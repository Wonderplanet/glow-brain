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割り振りルール" sheetId="1" r:id="rId4"/>
    <sheet state="visible" name="作品" sheetId="2" r:id="rId5"/>
    <sheet state="visible" name="キャラpng素材" sheetId="3" r:id="rId6"/>
    <sheet state="visible" name="ゲート" sheetId="4" r:id="rId7"/>
    <sheet state="visible" name="原画のかけら原画" sheetId="5" r:id="rId8"/>
    <sheet state="visible" name="キャラ" sheetId="6" r:id="rId9"/>
    <sheet state="hidden" name="敵情報アイコン" sheetId="7" r:id="rId10"/>
    <sheet state="visible" name="アイテム" sheetId="8" r:id="rId11"/>
    <sheet state="visible" name="クエストカテゴリー" sheetId="9" r:id="rId12"/>
    <sheet state="hidden" name="アバターアイコン" sheetId="10" r:id="rId13"/>
    <sheet state="visible" name="クエスト" sheetId="11" r:id="rId14"/>
    <sheet state="visible" name="クエストサムネ" sheetId="12" r:id="rId15"/>
    <sheet state="visible" name="イベント用ステージサムネ" sheetId="13" r:id="rId16"/>
    <sheet state="visible" name="いいジャン祭ID" sheetId="14" r:id="rId17"/>
    <sheet state="visible" name="ログインボーナス" sheetId="15" r:id="rId18"/>
    <sheet state="visible" name="図鑑" sheetId="16" r:id="rId19"/>
    <sheet state="visible" name="状態変化アイコン" sheetId="17" r:id="rId20"/>
    <sheet state="visible" name="特性アイコン" sheetId="18" r:id="rId21"/>
    <sheet state="visible" name="ガシャバナー" sheetId="19" r:id="rId22"/>
    <sheet state="visible" name="ショップ" sheetId="20" r:id="rId23"/>
    <sheet state="visible" name="交換所バナー" sheetId="21" r:id="rId24"/>
    <sheet state="visible" name="パックバナー" sheetId="22" r:id="rId25"/>
    <sheet state="visible" name="パスバナー" sheetId="23" r:id="rId26"/>
    <sheet state="visible" name="キャンペーンバナー" sheetId="24" r:id="rId27"/>
    <sheet state="visible" name="パスアイコン" sheetId="25" r:id="rId28"/>
    <sheet state="visible" name="お知らせバナー" sheetId="26" r:id="rId29"/>
    <sheet state="visible" name="IGNバナー" sheetId="27" r:id="rId30"/>
    <sheet state="visible" name="ランクマッチバナー" sheetId="28" r:id="rId31"/>
    <sheet state="visible" name="エンブレム" sheetId="29" r:id="rId32"/>
    <sheet state="visible" name="背景" sheetId="30" r:id="rId33"/>
    <sheet state="visible" name="コンテンツ" sheetId="31" r:id="rId34"/>
    <sheet state="visible" name="原画&amp;セリフ演出" sheetId="32" r:id="rId35"/>
    <sheet state="visible" name="BGM" sheetId="33" r:id="rId36"/>
    <sheet state="visible" name="02_SEファイル" sheetId="34" r:id="rId37"/>
    <sheet state="visible" name="プルダウンメニュー (SE用)" sheetId="35" r:id="rId38"/>
    <sheet state="visible" name="削除予定　→" sheetId="36" r:id="rId39"/>
    <sheet state="visible" name="削除予定_敵情報アイコン（ノーマル）" sheetId="37" r:id="rId40"/>
    <sheet state="visible" name="削除予定_敵情報アイコン（ボス(強敵)）" sheetId="38" r:id="rId41"/>
  </sheets>
  <definedNames>
    <definedName localSheetId="34" name="使用画面ID">'プルダウンメニュー (SE用)'!$F$2:$F$34</definedName>
    <definedName localSheetId="34" name="SEステータス">'プルダウンメニュー (SE用)'!$A$2:$A$8</definedName>
    <definedName localSheetId="34" name="BGM発注">'プルダウンメニュー (SE用)'!$B$2:$B$7</definedName>
    <definedName localSheetId="34" name="使用画面">'プルダウンメニュー (SE用)'!$E$2:$E$34</definedName>
    <definedName hidden="1" localSheetId="5" name="_xlnm._FilterDatabase">'キャラ'!$A$1:$AF$245</definedName>
    <definedName hidden="1" localSheetId="29" name="_xlnm._FilterDatabase">'背景'!$A$1:$K$64</definedName>
    <definedName hidden="1" localSheetId="33" name="Z_3B966196_529F_4D69_A363_6A7F605D35F5_.wvu.FilterData">'02_SEファイル'!$A$1:$U$1022</definedName>
    <definedName hidden="1" localSheetId="5" name="Z_D16812C9_6CED_4B7B_9EF5_D37C7B337631_.wvu.FilterData">'キャラ'!$A$1:$AF$245</definedName>
    <definedName hidden="1" localSheetId="33" name="Z_43EE5445_C926_4D77_A5ED_69B7B67F7636_.wvu.FilterData">'02_SEファイル'!$A$3:$U$1022</definedName>
    <definedName hidden="1" localSheetId="33" name="Z_E87F8DC0_67CD_4BA1_92BE_FC7A09C1EA9D_.wvu.FilterData">'02_SEファイル'!$A$3:$U$1022</definedName>
    <definedName hidden="1" localSheetId="33" name="Z_2FA1D751_4350_4209_A239_2E40F1829FEB_.wvu.FilterData">'02_SEファイル'!$A$3:$U$1022</definedName>
    <definedName hidden="1" localSheetId="33" name="Z_0B8EFB02_340F_44AC_962D_B56CAB32384D_.wvu.FilterData">'02_SEファイル'!$A$82:$Q$88</definedName>
    <definedName hidden="1" localSheetId="33" name="Z_7BCE61DF_4033_4BAF_818F_F594474C8926_.wvu.FilterData">'02_SEファイル'!$A$3:$U$1022</definedName>
    <definedName hidden="1" localSheetId="33" name="Z_FEA1AA1D_3434_4597_81E8_13EA0E7AC240_.wvu.FilterData">'02_SEファイル'!$A$3:$U$1022</definedName>
    <definedName hidden="1" localSheetId="33" name="Z_E587C2F2_7FF1_43E4_863D_F52BAA87E613_.wvu.FilterData">'02_SEファイル'!$A$1:$U$1028</definedName>
    <definedName hidden="1" localSheetId="5" name="Z_AA96AFEB_C8E2_47D0_ADED_98F2FA1919F2_.wvu.FilterData">'キャラ'!$A$1:$AF$172</definedName>
    <definedName hidden="1" localSheetId="33" name="Z_E8A2E8C6_B662_4B98_BAD5_AD8458DD4BD7_.wvu.FilterData">'02_SEファイル'!$A$1:$U$1022</definedName>
    <definedName hidden="1" localSheetId="33" name="Z_B0EDF50A_98D4_473E_BAAD_E552B8D5AC8B_.wvu.FilterData">'02_SEファイル'!$A$3:$U$1022</definedName>
    <definedName hidden="1" localSheetId="33" name="Z_BBA638FC_5580_46D7_AB90_42945F1E2513_.wvu.FilterData">'02_SEファイル'!$A$3:$U$1022</definedName>
    <definedName hidden="1" localSheetId="33" name="Z_0A7843F1_E712_4F85_AD02_F03021C472DC_.wvu.FilterData">'02_SEファイル'!$A$3:$U$1022</definedName>
    <definedName hidden="1" localSheetId="33" name="Z_06238DD9_E2A6_4514_B55E_646442B1B91A_.wvu.FilterData">'02_SEファイル'!$A$1:$U$1022</definedName>
    <definedName hidden="1" localSheetId="33" name="Z_B25E0895_8780_4624_8210_8C376A9425F0_.wvu.FilterData">'02_SEファイル'!$A$1:$U$1028</definedName>
    <definedName hidden="1" localSheetId="33" name="Z_11C095E5_912F_4832_888B_8C01FCE6B4AB_.wvu.FilterData">'02_SEファイル'!$A$1:$U$1022</definedName>
    <definedName hidden="1" localSheetId="33" name="Z_E539C5E1_421E_4569_8AB3_01B2648E95CA_.wvu.FilterData">'02_SEファイル'!$A$3:$U$1022</definedName>
    <definedName hidden="1" localSheetId="5" name="Z_9DF13CA4_3118_4E81_834F_E8791AD4D91D_.wvu.FilterData">'キャラ'!$A$1:$AF$253</definedName>
    <definedName hidden="1" localSheetId="33" name="Z_0F798636_F229_49B1_A4E8_1DCC3464C09D_.wvu.FilterData">'02_SEファイル'!$A$1:$N$210</definedName>
  </definedNames>
  <calcPr/>
  <customWorkbookViews>
    <customWorkbookView activeSheetId="0" maximized="1" windowHeight="0" windowWidth="0" guid="{E8A2E8C6-B662-4B98-BAD5-AD8458DD4BD7}" name="長屋"/>
    <customWorkbookView activeSheetId="0" maximized="1" windowHeight="0" windowWidth="0" guid="{43EE5445-C926-4D77-A5ED-69B7B67F7636}" name="福谷"/>
    <customWorkbookView activeSheetId="0" maximized="1" windowHeight="0" windowWidth="0" guid="{06238DD9-E2A6-4514-B55E-646442B1B91A}" name="平林"/>
    <customWorkbookView activeSheetId="0" maximized="1" windowHeight="0" windowWidth="0" guid="{0A7843F1-E712-4F85-AD02-F03021C472DC}" name="audiostock5月"/>
    <customWorkbookView activeSheetId="0" maximized="1" windowHeight="0" windowWidth="0" guid="{B0EDF50A-98D4-473E-BAAD-E552B8D5AC8B}" name="たつかわ"/>
    <customWorkbookView activeSheetId="0" maximized="1" windowHeight="0" windowWidth="0" guid="{7BCE61DF-4033-4BAF-818F-F594474C8926}" name="マサ"/>
    <customWorkbookView activeSheetId="0" maximized="1" windowHeight="0" windowWidth="0" guid="{9DF13CA4-3118-4E81-834F-E8791AD4D91D}" name="古澤作業用"/>
    <customWorkbookView activeSheetId="0" maximized="1" windowHeight="0" windowWidth="0" guid="{E539C5E1-421E-4569-8AB3-01B2648E95CA}" name="audiostock4月"/>
    <customWorkbookView activeSheetId="0" maximized="1" windowHeight="0" windowWidth="0" guid="{AA96AFEB-C8E2-47D0-ADED-98F2FA1919F2}" name="検索用"/>
    <customWorkbookView activeSheetId="0" maximized="1" windowHeight="0" windowWidth="0" guid="{BBA638FC-5580-46D7-AB90-42945F1E2513}" name="ジーアングル様3月分"/>
    <customWorkbookView activeSheetId="0" maximized="1" windowHeight="0" windowWidth="0" guid="{B25E0895-8780-4624-8210-8C376A9425F0}" name="SE予算共有用"/>
    <customWorkbookView activeSheetId="0" maximized="1" windowHeight="0" windowWidth="0" guid="{3B966196-529F-4D69-A363-6A7F605D35F5}" name="ノイジークローク様4月納品分"/>
    <customWorkbookView activeSheetId="0" maximized="1" windowHeight="0" windowWidth="0" guid="{FEA1AA1D-3434-4597-81E8-13EA0E7AC240}" name="ジーアングル様4月分"/>
    <customWorkbookView activeSheetId="0" maximized="1" windowHeight="0" windowWidth="0" guid="{2FA1D751-4350-4209-A239-2E40F1829FEB}" name="ジーアングル様5月分"/>
    <customWorkbookView activeSheetId="0" maximized="1" windowHeight="0" windowWidth="0" guid="{0F798636-F229-49B1-A4E8-1DCC3464C09D}" name="必殺技で使用可能なSE"/>
    <customWorkbookView activeSheetId="0" maximized="1" windowHeight="0" windowWidth="0" guid="{0B8EFB02-340F-44AC-962D-B56CAB32384D}" name="フィルタ 4"/>
    <customWorkbookView activeSheetId="0" maximized="1" windowHeight="0" windowWidth="0" guid="{E587C2F2-7FF1-43E4-863D-F52BAA87E613}" name="ノイジークローク様2月"/>
    <customWorkbookView activeSheetId="0" maximized="1" windowHeight="0" windowWidth="0" guid="{D16812C9-6CED-4B7B-9EF5-D37C7B337631}" name="UR"/>
    <customWorkbookView activeSheetId="0" maximized="1" windowHeight="0" windowWidth="0" guid="{11C095E5-912F-4832-888B-8C01FCE6B4AB}" name="フィルタ 2"/>
    <customWorkbookView activeSheetId="0" maximized="1" windowHeight="0" windowWidth="0" guid="{E87F8DC0-67CD-4BA1-92BE-FC7A09C1EA9D}" name="フィルタ 3"/>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IDは32文字以内</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outpost_作品ID_ゲート位置_制作番号4桁
	-古澤潤樹</t>
      </text>
    </comment>
    <comment authorId="0" ref="F1">
      <text>
        <t xml:space="preserve">ゲートアセットは反転配置NG
	-古澤潤樹</t>
      </text>
    </comment>
    <comment authorId="0" ref="G1">
      <text>
        <t xml:space="preserve">作品IDとゲート位置ごとにカウントアップ。
関数化すると誤操作時に元のIDが分からなくなるので手動入力すること。
	-古澤潤樹</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原画のかけらのアセットに関して
プランナーは「原画のかけら」を新規で作成依頼をする際に「a」「b」の２パターンの作成を依頼する
・「a」：解像度が高い
・「b」：解像度が低い
またデータ設定時には、「a」「b」の表記は不要。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コードネームじゃないから＜＞なしでOK
https://wonderplanet-glow.slack.com/archives/C063XAU0EPL/p1730962408825739?thread_ts=1727154473.877639&amp;cid=C063XAU0EPL
</t>
      </text>
    </comment>
    <comment authorId="0" ref="T6">
      <text>
        <t xml:space="preserve">元データ:0.67</t>
      </text>
    </comment>
    <comment authorId="0" ref="E22">
      <text>
        <t xml:space="preserve">綾瀬の苗字は使用しないでください</t>
      </text>
    </comment>
    <comment authorId="0" ref="T76">
      <text>
        <t xml:space="preserve">元データ:1.50</t>
      </text>
    </comment>
    <comment authorId="0" ref="T102">
      <text>
        <t xml:space="preserve">元データ:stop無:1回目 0.75</t>
      </text>
    </comment>
    <comment authorId="0" ref="T104">
      <text>
        <t xml:space="preserve">元データ:1.50</t>
      </text>
    </comment>
    <comment authorId="0" ref="T35">
      <text>
        <t xml:space="preserve">スペシャル化前メモ:stop有:1回目 2.60
	-松尾峰昇</t>
      </text>
    </comment>
    <comment authorId="0" ref="S35">
      <text>
        <t xml:space="preserve">スペシャル化前メモ:3.67
	-松尾峰昇</t>
      </text>
    </comment>
    <comment authorId="0" ref="R35">
      <text>
        <t xml:space="preserve">スペシャル化前メモ:stop有:1回目 0.55
	-松尾峰昇</t>
      </text>
    </comment>
    <comment authorId="0" ref="Q35">
      <text>
        <t xml:space="preserve">スペシャル化前の数値メモ:1.71
	-松尾峰昇</t>
      </text>
    </comment>
    <comment authorId="0" ref="T2">
      <text>
        <t xml:space="preserve">元データ：1.00
	-松尾峰昇</t>
      </text>
    </comment>
    <comment authorId="0" ref="E65">
      <text>
        <t xml:space="preserve">監修提出中
	-平野健人</t>
      </text>
    </comment>
    <comment authorId="0" ref="J22">
      <text>
        <t xml:space="preserve">9/9　属性変更
赤　→ 黄色
	-天野一星</t>
      </text>
    </comment>
    <comment authorId="0" ref="L8">
      <text>
        <t xml:space="preserve">ディフェンスに変更よてい
	-天野一星
7/22　SPY×FAMILY企画仮FIXにつきディフェンスに変更
	-天野一星</t>
      </text>
    </comment>
    <comment authorId="0" ref="H8">
      <text>
        <t xml:space="preserve">イベントに合わせてレアリティ変更の可能性あり
	-天野一星
7/22　SPY×FAMILY企画仮FIXにつきURへ変更
	-天野一星</t>
      </text>
    </comment>
    <comment authorId="0" ref="H7">
      <text>
        <t xml:space="preserve">イベントに合わせてレアリティ変更の可能性あり
	-天野一星
7/22　SPY×FAMILY企画仮FIXにつき変更
	-天野一星</t>
      </text>
    </comment>
    <comment authorId="0" ref="H80">
      <text>
        <t xml:space="preserve">イベントキャラにRは無くなった。
イベント詳細でレアリティを上げる監修資料を作成する
	-天野一星</t>
      </text>
    </comment>
    <comment authorId="0" ref="H96">
      <text>
        <t xml:space="preserve">イベントキャラにRは無くなった。
イベント詳細でレアリティを上げる監修資料を作成する
	-天野一星</t>
      </text>
    </comment>
    <comment authorId="0" ref="H127">
      <text>
        <t xml:space="preserve">イベントキャラにRは無くなった。
イベント詳細でレアリティを上げる監修資料を作成する
	-天野一星</t>
      </text>
    </comment>
    <comment authorId="0" ref="E62">
      <text>
        <t xml:space="preserve">キャラ名称の変更が必要
https://wonderplanet-glow.slack.com/archives/C063XAU0EPL/p1743066595108179?thread_ts=1742810449.417569&amp;cid=C063XAU0EPL
	-天野一星</t>
      </text>
    </comment>
    <comment authorId="0" ref="H121">
      <text>
        <t xml:space="preserve">3/21
ぴえヨンのレアリティをRで監修を出している
https://app.box.com/file/1762426168454
変更の監修資料を作成する
	-天野一星</t>
      </text>
    </comment>
    <comment authorId="0" ref="O112">
      <text>
        <t xml:space="preserve">デバフスペシャルなので、Hit音的に打撃っぽい
	-天野一星</t>
      </text>
    </comment>
    <comment authorId="0" ref="O117">
      <text>
        <t xml:space="preserve">姫様の通常攻撃ような圧で、攻撃するイメージ
	-天野一星</t>
      </text>
    </comment>
    <comment authorId="0" ref="O116">
      <text>
        <t xml:space="preserve">バフなので、なし
	-天野一星</t>
      </text>
    </comment>
    <comment authorId="0" ref="O119">
      <text>
        <t xml:space="preserve">ハートを飛ばすので、射撃より打撃のオノマトペのがしっくりくると思います。
	-天野一星</t>
      </text>
    </comment>
    <comment authorId="0" ref="O103">
      <text>
        <t xml:space="preserve">ハートを飛ばすので、射撃より打撃のオノマトペのがしっくりくると思います。
	-天野一星</t>
      </text>
    </comment>
    <comment authorId="0" ref="O80">
      <text>
        <t xml:space="preserve">変身している姿で殴るため
	-天野一星</t>
      </text>
    </comment>
    <comment authorId="0" ref="O82">
      <text>
        <t xml:space="preserve">デバフでHit判定入るので
	-天野一星</t>
      </text>
    </comment>
    <comment authorId="0" ref="O74">
      <text>
        <t xml:space="preserve">必殺技マシンガン
	-天野一星</t>
      </text>
    </comment>
    <comment authorId="0" ref="O8">
      <text>
        <t xml:space="preserve">自身バフ想定なので、なし
	-天野一星</t>
      </text>
    </comment>
    <comment authorId="0" ref="E194">
      <text>
        <t xml:space="preserve">マーチBNE NG
	-天野一星</t>
      </text>
    </comment>
    <comment authorId="0" ref="E193">
      <text>
        <t xml:space="preserve">マーチBNE NG
	-天野一星</t>
      </text>
    </comment>
    <comment authorId="0" ref="E192">
      <text>
        <t xml:space="preserve">マーチBNE NG
	-天野一星</t>
      </text>
    </comment>
    <comment authorId="0" ref="E191">
      <text>
        <t xml:space="preserve">マーチBNE NG
	-天野一星</t>
      </text>
    </comment>
    <comment authorId="0" ref="C21">
      <text>
        <t xml:space="preserve">401は円城寺 仁に使いたいので飛ばしました
	-天野一星</t>
      </text>
    </comment>
    <comment authorId="0" ref="T1">
      <text>
        <t xml:space="preserve">2発目からは0.17ずつ足す
	-金東焃</t>
      </text>
    </comment>
    <comment authorId="0" ref="S1">
      <text>
        <t xml:space="preserve">ヒットストップ1回＝0.17 を足す
	-金東焃</t>
      </text>
    </comment>
    <comment authorId="0" ref="N103">
      <text>
        <t xml:space="preserve">アセット数の影響で
「近距離」から「遠距離」に変更になる可能性あり
	-天野一星</t>
      </text>
    </comment>
    <comment authorId="0" ref="L103">
      <text>
        <t xml:space="preserve">アセット数の影響で
「アタック」から「サポート」に変更になる可能性あり
	-天野一星</t>
      </text>
    </comment>
    <comment authorId="0" ref="N62">
      <text>
        <t xml:space="preserve">アセット数の影響で
「遠距離」から「中距離」に変更になる可能性あり
	-天野一星</t>
      </text>
    </comment>
    <comment authorId="0" ref="K1">
      <text>
        <t xml:space="preserve">chara=プレイアブル,エネミー両方使える。
enemy=エネミー限定
	-安藤祥大</t>
      </text>
    </comment>
    <comment authorId="0" ref="Q1">
      <text>
        <t xml:space="preserve">spine上の秒(F)を記載
	-安藤祥大</t>
      </text>
    </comment>
    <comment authorId="0" ref="D1">
      <text>
        <t xml:space="preserve">▼プレアブル
chara_spy_00001
chara_spy_00002
⇧キャラの色違いやバージョン違いは連番で使用する
chara_spy_00101
⇧キャラが違う場合は3桁目を増やしていく
▼エネミー
enemy_spy_00001
enemy_spy_00002
⇧キャラの色違いやバージョン違いは連番で使用する
enemy_spy_00101
⇧キャラが違う場合は3桁目を増やしていく
	-天野一星</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7">
      <text>
        <t xml:space="preserve">なくなった
	-古澤潤樹
----
なくなった
	-古澤潤樹
----
なくなった
	-古澤潤樹
----
なくなった
	-古澤潤樹</t>
      </text>
    </comment>
    <comment authorId="0" ref="H15">
      <text>
        <t xml:space="preserve">なくなった
	-古澤潤樹</t>
      </text>
    </comment>
    <comment authorId="0" ref="H14">
      <text>
        <t xml:space="preserve">なくなった
	-古澤潤樹</t>
      </text>
    </comment>
    <comment authorId="0" ref="H10">
      <text>
        <t xml:space="preserve">なくなった
	-古澤潤樹
----
なくなった
	-古澤潤樹</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82">
      <text>
        <t xml:space="preserve">ユーザー：user
	-ryosuke goto</t>
      </text>
    </comment>
    <comment authorId="0" ref="B279">
      <text>
        <t xml:space="preserve">限界：limited
	-ryosuke goto</t>
      </text>
    </comment>
    <comment authorId="0" ref="B278">
      <text>
        <t xml:space="preserve">強化：reinforcement
	-ryosuke goto</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1">
      <text>
        <t xml:space="preserve">2026正月キャンペーンと同じ画像かつ別IDで作成</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ガシャLバナー命名規則：
gacha_banner_xxxx.png
	-古澤潤樹</t>
      </text>
    </comment>
    <comment authorId="0" ref="E1">
      <text>
        <t xml:space="preserve">OprGachaマスタ、banner_urlへ設定
	-古澤潤樹</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6/24エンジニア共有の名称に修正</t>
      </text>
    </comment>
    <comment authorId="0" ref="F20">
      <text>
        <t xml:space="preserve">6/24エンジニア共有の名称に修正</t>
      </text>
    </comment>
    <comment authorId="0" ref="F21">
      <text>
        <t xml:space="preserve">6/24エンジニア共有の名称に修正</t>
      </text>
    </comment>
    <comment authorId="0" ref="F22">
      <text>
        <t xml:space="preserve">6/24エンジニア共有の名称に修正</t>
      </text>
    </comment>
    <comment authorId="0" ref="F23">
      <text>
        <t xml:space="preserve">6/24エンジニア共有の名称に修正</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J96">
      <text>
        <t xml:space="preserve">9/17
集英社FBにて変更
お不良
↓
ブッ飛ばせるわい!!
に変更
	-天野一星</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8">
      <text>
        <t xml:space="preserve">監修提出名「ラーメン赤猫がある住宅街」</t>
      </text>
    </comment>
    <comment authorId="0" ref="D10">
      <text>
        <t xml:space="preserve">番号のみ。
対応画像は未作成＆未発注</t>
      </text>
    </comment>
    <comment authorId="0" ref="K78">
      <text>
        <t xml:space="preserve">移さなくても良いもの</t>
      </text>
    </comment>
    <comment authorId="0" ref="K79">
      <text>
        <t xml:space="preserve">移さなくても良いもの</t>
      </text>
    </comment>
    <comment authorId="0" ref="J82">
      <text>
        <t xml:space="preserve">koma_background_tutorial
に格納
</t>
      </text>
    </comment>
    <comment authorId="0" ref="J1">
      <text>
        <t xml:space="preserve">「未定」なっているのは999999999に入れるでOK
	-金東焃</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ここに関数入ってるから壊さないでね</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3">
      <text>
        <t xml:space="preserve">サンプル音と実際の音が違うかも</t>
      </text>
    </comment>
    <comment authorId="0" ref="N18">
      <text>
        <t xml:space="preserve">SSE_053_003でアップされたことがある。
実装用音源のフォルダは修正済み</t>
      </text>
    </comment>
    <comment authorId="0" ref="G170">
      <text>
        <t xml:space="preserve">使用側確認する
専用の音って鳴らせるのか？
	-前田信悟</t>
      </text>
    </comment>
    <comment authorId="0" ref="G80">
      <text>
        <t xml:space="preserve">赤セルは購入時にMP3音源のみだったもの
wav形式があるもので再度選定する必要がある
	-前田信悟
選定してD承認もらいました。
文字色赤文字白セルに変更しています
	-前田信悟</t>
      </text>
    </comment>
    <comment authorId="0" ref="A115">
      <text>
        <t xml:space="preserve">2/26承認
新規37点（24,420円）
	-前田信悟</t>
      </text>
    </comment>
    <comment authorId="0" ref="A1">
      <text>
        <t xml:space="preserve">・SEの音に対する一覧で調整する。
・ファイル名はドライブ保存の時にしか使ってなさそうなので、エンジニアと相談した上でアセット名の管理に変更する。
	-前田信悟</t>
      </text>
    </comment>
  </commentList>
</comments>
</file>

<file path=xl/sharedStrings.xml><?xml version="1.0" encoding="utf-8"?>
<sst xmlns="http://schemas.openxmlformats.org/spreadsheetml/2006/main" count="26816" uniqueCount="4351">
  <si>
    <t>■ID設定ルールについて</t>
  </si>
  <si>
    <t>番号以外も指定可能になった
※万が一作品IDなどで被りが生まれるなどイレギュラーがありましたら、別途ルール追加いただいて問題ございません。
ただし、関係各所への共有を忘れないこと！！</t>
  </si>
  <si>
    <t>カテゴリー</t>
  </si>
  <si>
    <t>ID付与ルール</t>
  </si>
  <si>
    <t>最大ID桁数</t>
  </si>
  <si>
    <t>作品</t>
  </si>
  <si>
    <t>作品のローマ字表記の先頭3文字からとったものとする。
小文字表記。
例）『SPY×FAMILY』ならspyとなる。</t>
  </si>
  <si>
    <t>3桁</t>
  </si>
  <si>
    <t>キャラ</t>
  </si>
  <si>
    <t>キャラクターIDは接頭語(chara)+作品ID3桁+5桁のIDで管理する。
敵キャラの場合は接頭語がenemyとなる。
例）アーニャの場合、chara_spy_00001、2体目（別のアーニャ）はchara_spy_00002となる。
同じ作品のロイドは、chara_spy_00100となる。1IPの1キャラにつき99番のIDを割り振れる。
敵キャラも同様のルール
同時期かつ同名キャラに関して、別IDを取得する
例）極楽蝶（遠）　enemy_jig_00401
　　極楽蝶（近）　enemy_jig_00402</t>
  </si>
  <si>
    <t>15桁</t>
  </si>
  <si>
    <t>アバターアイコン</t>
  </si>
  <si>
    <t>キャラと同じルール。
接頭語がcharaからiconになったのみ。
例）スパイファミリーのキャラで00001のアーニャのアイコンの場合は、下記となる。
unit_icon_chara_spy_00001
もしエネミーのアバターアイコンを配布など割り振りが必要な場合は、charaの箇所をenemyに変更してIDを採番する。</t>
  </si>
  <si>
    <t>25桁</t>
  </si>
  <si>
    <t>クエスト</t>
  </si>
  <si>
    <t>接頭語(quest)+クエストの難易度+クエストカテゴリー+作品ID3桁+5桁のIDで管理する。
クエストの難易度設定がないものに関しては、nullとなる。クエストカテゴリーは、メインクエスト、特集祭などのイベントなどがある。
例）メインクエストのノーマルの難易度のダンダダンのクエストの場合は、下記となる。
quest_main_normal_dan_00001</t>
  </si>
  <si>
    <t>32桁</t>
  </si>
  <si>
    <t>アイテム</t>
  </si>
  <si>
    <t>接頭語(各カテゴリー)+作品ID3桁+5桁のIDで管理する。
それぞれカテゴリー別で接頭語が決まっているので注意すること。
例）プリズムであれば、下記となる。
prism_glo_00001</t>
  </si>
  <si>
    <t>19桁</t>
  </si>
  <si>
    <t>図鑑</t>
  </si>
  <si>
    <t>接頭語(book)+作品ID3桁+5桁のIDで管理する。
例）スパイファミリーの図鑑の場合は、下記となる。
book_spy_00001</t>
  </si>
  <si>
    <t>14桁</t>
  </si>
  <si>
    <t>エンブレム</t>
  </si>
  <si>
    <t>接頭語(emblem)+エンブレムカテゴリー+作品ID3桁+5桁のIDで管理する。
例）ダンダダンの特集祭で入手できるエンブレムの場合は、下記となる。
emblem_event_spy_00001</t>
  </si>
  <si>
    <t>24桁</t>
  </si>
  <si>
    <t>背景</t>
  </si>
  <si>
    <t>接頭語(background)+作品ID3桁+5桁のIDで管理する。
作品毎の背景で最大99999番まで割り振ることが可能。
また、汎用背景に関しては、作品IDをgloとして管理する。
例）スパイファミリーの背景の場合は、下記となる。
background_spy_00001</t>
  </si>
  <si>
    <t>20桁</t>
  </si>
  <si>
    <t>コンテンツ</t>
  </si>
  <si>
    <t>接頭語(contents)+コンテンツカテゴリー+作品ID3桁+5桁のIDで管理する。
コンテンツカテゴリーには、event、training、duel、raid、limitedがある。
例）ラーメン赤猫の大特集祭の場合は、下記となる。
contents_event_aha_00001</t>
  </si>
  <si>
    <t>BGM</t>
  </si>
  <si>
    <t>BGMは画面遷移図の大分類の管理番号+サウンド数で管理する。
例）タイトル画面であれば下記となる
SBG_011_001</t>
  </si>
  <si>
    <t>11桁</t>
  </si>
  <si>
    <t>キャラアイコン</t>
  </si>
  <si>
    <t>キャラの頭にさらに接頭語を追加します。
接頭語がcharaの頭にpicon or eiconをつけるのみ。
例）スパイファミリーのキャラで00001のアーニャのアイコンの場合は、下記となる。
picon_chara_spy_00001、eicon_chara_spy_00001
敵onlyのキャラはeiconのみで良い
eicon_enemy_spy_00001</t>
  </si>
  <si>
    <t>21桁</t>
  </si>
  <si>
    <t>ゲート</t>
  </si>
  <si>
    <t>ゲートIDは接頭語(outpost)+作品ID3桁+5桁のIDで管理する。
敵キャラの場合は接頭語がenemyとなる。
例）姫+エクスの場合、outpost_gom_00001、2個目（別の姫）はoutpost_gom_00002となる。
同じ作品について別キャラであっても実装順に連番とする。エクスのみを実装したい場合outpost_gom_00003となる。最大で99999番のID割り振りが可能。
敵ゲートは、enemy_gom_00001から連番で使用するので、99999番のID割り振りが可能。</t>
  </si>
  <si>
    <t>17桁</t>
  </si>
  <si>
    <t>作品_ID</t>
  </si>
  <si>
    <t>作品バナーID</t>
  </si>
  <si>
    <t>作品ロゴID</t>
  </si>
  <si>
    <t>作品名</t>
  </si>
  <si>
    <t>連載曜日</t>
  </si>
  <si>
    <t>サブタイトル</t>
  </si>
  <si>
    <t>サブタイトルの位置</t>
  </si>
  <si>
    <t>タイトル合成</t>
  </si>
  <si>
    <t>display_order</t>
  </si>
  <si>
    <t>設定ID</t>
  </si>
  <si>
    <t>left1</t>
  </si>
  <si>
    <t>left2</t>
  </si>
  <si>
    <t>left3</t>
  </si>
  <si>
    <t>メインサムネ1画像AssetKey</t>
  </si>
  <si>
    <t>メインサムネ2画像AssetKey</t>
  </si>
  <si>
    <t>メインサムネ3画像AssetKey</t>
  </si>
  <si>
    <t>BGMジャンル(通常)</t>
  </si>
  <si>
    <t>BGMジャンル(ボス)</t>
  </si>
  <si>
    <t>デプロイ</t>
  </si>
  <si>
    <t>リリース監状況</t>
  </si>
  <si>
    <t>spy</t>
  </si>
  <si>
    <t>series_logo_spy</t>
  </si>
  <si>
    <t>SPY×FAMILY</t>
  </si>
  <si>
    <t>月曜日</t>
  </si>
  <si>
    <t>-</t>
  </si>
  <si>
    <t>001</t>
  </si>
  <si>
    <t>日常・ギャグ</t>
  </si>
  <si>
    <t>強敵/ボス登場時2 （高難度）</t>
  </si>
  <si>
    <t>aka</t>
  </si>
  <si>
    <t>series_logo_aka</t>
  </si>
  <si>
    <t>ラーメン赤猫</t>
  </si>
  <si>
    <t/>
  </si>
  <si>
    <t>002</t>
  </si>
  <si>
    <t>akaneko</t>
  </si>
  <si>
    <t>バトル系2</t>
  </si>
  <si>
    <t>rik</t>
  </si>
  <si>
    <t>series_logo_rik</t>
  </si>
  <si>
    <t>トマトイプーのリコピン</t>
  </si>
  <si>
    <t>003</t>
  </si>
  <si>
    <t>rikopin</t>
  </si>
  <si>
    <t>dan</t>
  </si>
  <si>
    <t>series_logo_dan</t>
  </si>
  <si>
    <t>ダンダダン</t>
  </si>
  <si>
    <t>火曜日</t>
  </si>
  <si>
    <t>004</t>
  </si>
  <si>
    <t>バトル系1</t>
  </si>
  <si>
    <t>強敵/ボスバトル1</t>
  </si>
  <si>
    <t>gom</t>
  </si>
  <si>
    <t>series_logo_gom</t>
  </si>
  <si>
    <t>姫様“拷問”の時間です</t>
  </si>
  <si>
    <t>005</t>
  </si>
  <si>
    <t>gomon</t>
  </si>
  <si>
    <t>chi</t>
  </si>
  <si>
    <t>series_logo_chi</t>
  </si>
  <si>
    <t>チェンソーマン</t>
  </si>
  <si>
    <t>水曜日</t>
  </si>
  <si>
    <t>006</t>
  </si>
  <si>
    <t>chienso</t>
  </si>
  <si>
    <t>mag</t>
  </si>
  <si>
    <t>series_logo_mag</t>
  </si>
  <si>
    <t>株式会社マジルミエ</t>
  </si>
  <si>
    <t>007</t>
  </si>
  <si>
    <t>magirumie</t>
  </si>
  <si>
    <t>dos</t>
  </si>
  <si>
    <t>series_logo_dos</t>
  </si>
  <si>
    <t>道産子ギャルはなまらめんこい</t>
  </si>
  <si>
    <t>008</t>
  </si>
  <si>
    <t>dosanko</t>
  </si>
  <si>
    <t>ラブコメ2</t>
  </si>
  <si>
    <t>bat</t>
  </si>
  <si>
    <t>series_logo_bat</t>
  </si>
  <si>
    <t>忘却バッテリー</t>
  </si>
  <si>
    <t>木曜日</t>
  </si>
  <si>
    <t>009</t>
  </si>
  <si>
    <t>batteri</t>
  </si>
  <si>
    <t>kai</t>
  </si>
  <si>
    <t>series_logo_kai</t>
  </si>
  <si>
    <t>怪獣８号</t>
  </si>
  <si>
    <t>金曜日</t>
  </si>
  <si>
    <t>010</t>
  </si>
  <si>
    <t>kaiju</t>
  </si>
  <si>
    <t>yuw</t>
  </si>
  <si>
    <t>series_logo_yuw</t>
  </si>
  <si>
    <t>2.5次元の誘惑</t>
  </si>
  <si>
    <t>土曜日</t>
  </si>
  <si>
    <t>011</t>
  </si>
  <si>
    <t>yuwaku</t>
  </si>
  <si>
    <t>sur</t>
  </si>
  <si>
    <t>series_logo_sur</t>
  </si>
  <si>
    <t>魔都精兵のスレイブ</t>
  </si>
  <si>
    <t>012</t>
  </si>
  <si>
    <t>sureibu</t>
  </si>
  <si>
    <t>ron</t>
  </si>
  <si>
    <t>series_logo_ron</t>
  </si>
  <si>
    <t>鴨乃橋ロンの禁断推理</t>
  </si>
  <si>
    <t>日曜日</t>
  </si>
  <si>
    <t>013</t>
  </si>
  <si>
    <t>シリアス</t>
  </si>
  <si>
    <t>aha</t>
  </si>
  <si>
    <t>series_logo_aha</t>
  </si>
  <si>
    <t>阿波連さんははかれない</t>
  </si>
  <si>
    <t>014</t>
  </si>
  <si>
    <t>aharen</t>
  </si>
  <si>
    <t>sum</t>
  </si>
  <si>
    <t>series_logo_sum</t>
  </si>
  <si>
    <t>サマータイムレンダ</t>
  </si>
  <si>
    <t>015</t>
  </si>
  <si>
    <t>summer</t>
  </si>
  <si>
    <t>jig</t>
  </si>
  <si>
    <t>series_logo_jig</t>
  </si>
  <si>
    <t>地獄楽</t>
  </si>
  <si>
    <t>016</t>
  </si>
  <si>
    <t>jigoku</t>
  </si>
  <si>
    <t>tak</t>
  </si>
  <si>
    <t>series_logo_tak</t>
  </si>
  <si>
    <t>タコピーの原罪</t>
  </si>
  <si>
    <t>017</t>
  </si>
  <si>
    <t>takopi</t>
  </si>
  <si>
    <t>osh</t>
  </si>
  <si>
    <t>【推しの子】</t>
  </si>
  <si>
    <t>018</t>
  </si>
  <si>
    <t>oshinoko</t>
  </si>
  <si>
    <t>you</t>
  </si>
  <si>
    <t>幼稚園WARS</t>
  </si>
  <si>
    <t>019</t>
  </si>
  <si>
    <t>youchien</t>
  </si>
  <si>
    <t>kim</t>
  </si>
  <si>
    <t>君のことが大大大大大好きな100人の彼女</t>
  </si>
  <si>
    <t>020</t>
  </si>
  <si>
    <t>kimino</t>
  </si>
  <si>
    <t>k</t>
  </si>
  <si>
    <t>ki</t>
  </si>
  <si>
    <t>hut</t>
  </si>
  <si>
    <t>series_logo_hut</t>
  </si>
  <si>
    <t>ふつうの軽音部</t>
  </si>
  <si>
    <t>021</t>
  </si>
  <si>
    <t>hutuu</t>
  </si>
  <si>
    <t>h</t>
  </si>
  <si>
    <t>hu</t>
  </si>
  <si>
    <t>rur</t>
  </si>
  <si>
    <t>series_logo_rur</t>
  </si>
  <si>
    <t>ルリドラゴン</t>
  </si>
  <si>
    <t>022</t>
  </si>
  <si>
    <t>rurid</t>
  </si>
  <si>
    <t>r</t>
  </si>
  <si>
    <t>ru</t>
  </si>
  <si>
    <t>hyp</t>
  </si>
  <si>
    <t>series_logo_hyp</t>
  </si>
  <si>
    <t>ハイパーインフレーション</t>
  </si>
  <si>
    <t>023</t>
  </si>
  <si>
    <t>hyper</t>
  </si>
  <si>
    <t>hy</t>
  </si>
  <si>
    <t>gam</t>
  </si>
  <si>
    <t>series_logo_gam</t>
  </si>
  <si>
    <t>ゲーミングお嬢様</t>
  </si>
  <si>
    <t>024</t>
  </si>
  <si>
    <t>gamin</t>
  </si>
  <si>
    <t>g</t>
  </si>
  <si>
    <t>ga</t>
  </si>
  <si>
    <t>ara</t>
  </si>
  <si>
    <t>series_logo_ara</t>
  </si>
  <si>
    <t>アラガネの子</t>
  </si>
  <si>
    <t>025</t>
  </si>
  <si>
    <t>aragane</t>
  </si>
  <si>
    <t>a</t>
  </si>
  <si>
    <t>ar</t>
  </si>
  <si>
    <t>aya</t>
  </si>
  <si>
    <t>あやかしトライアングル</t>
  </si>
  <si>
    <t>026</t>
  </si>
  <si>
    <t>ayakasi</t>
  </si>
  <si>
    <t>ay</t>
  </si>
  <si>
    <t>mar</t>
  </si>
  <si>
    <t>マリッジトキシン</t>
  </si>
  <si>
    <t>027</t>
  </si>
  <si>
    <t>marriage</t>
  </si>
  <si>
    <t>m</t>
  </si>
  <si>
    <t>ma</t>
  </si>
  <si>
    <t>sib</t>
  </si>
  <si>
    <t>シバつき物件</t>
  </si>
  <si>
    <t>028</t>
  </si>
  <si>
    <t>siba</t>
  </si>
  <si>
    <t>s</t>
  </si>
  <si>
    <t>si</t>
  </si>
  <si>
    <t>nek</t>
  </si>
  <si>
    <t>猫田びより</t>
  </si>
  <si>
    <t>029</t>
  </si>
  <si>
    <t>neko</t>
  </si>
  <si>
    <t>n</t>
  </si>
  <si>
    <t>ne</t>
  </si>
  <si>
    <t>mad</t>
  </si>
  <si>
    <t>MAD</t>
  </si>
  <si>
    <t>030</t>
  </si>
  <si>
    <t>syu</t>
  </si>
  <si>
    <t>終末のハーレム</t>
  </si>
  <si>
    <t>031</t>
  </si>
  <si>
    <t>syuumatu</t>
  </si>
  <si>
    <t>sy</t>
  </si>
  <si>
    <t>aft</t>
  </si>
  <si>
    <t>終末のハーレム After World</t>
  </si>
  <si>
    <t>032</t>
  </si>
  <si>
    <t>after</t>
  </si>
  <si>
    <t>af</t>
  </si>
  <si>
    <t>fan</t>
  </si>
  <si>
    <t>終末のハーレム ファンタジア</t>
  </si>
  <si>
    <t>033</t>
  </si>
  <si>
    <t>fantasia</t>
  </si>
  <si>
    <t>f</t>
  </si>
  <si>
    <t>fa</t>
  </si>
  <si>
    <t>kut</t>
  </si>
  <si>
    <t>口が裂けても君には</t>
  </si>
  <si>
    <t>034</t>
  </si>
  <si>
    <t>kuti</t>
  </si>
  <si>
    <t>ku</t>
  </si>
  <si>
    <t>san</t>
  </si>
  <si>
    <t>サンキューピッチ</t>
  </si>
  <si>
    <t>035</t>
  </si>
  <si>
    <t>sankyuu</t>
  </si>
  <si>
    <t>sa</t>
  </si>
  <si>
    <t>kus</t>
  </si>
  <si>
    <t>クソ女に幸あれ</t>
  </si>
  <si>
    <t>036</t>
  </si>
  <si>
    <t>kuso</t>
  </si>
  <si>
    <t>han</t>
  </si>
  <si>
    <t>半人前の恋人</t>
  </si>
  <si>
    <t>037</t>
  </si>
  <si>
    <t>hanninmae</t>
  </si>
  <si>
    <t>ha</t>
  </si>
  <si>
    <t>kub</t>
  </si>
  <si>
    <t>久保さんは僕を許さない</t>
  </si>
  <si>
    <t>038</t>
  </si>
  <si>
    <t>kubo</t>
  </si>
  <si>
    <t>sei</t>
  </si>
  <si>
    <t>正反対な君と僕</t>
  </si>
  <si>
    <t>039</t>
  </si>
  <si>
    <t>seihantai</t>
  </si>
  <si>
    <t>se</t>
  </si>
  <si>
    <t>kaw</t>
  </si>
  <si>
    <t>カワイスギクライシス</t>
  </si>
  <si>
    <t>040</t>
  </si>
  <si>
    <t>kawaisugi</t>
  </si>
  <si>
    <t>ka</t>
  </si>
  <si>
    <t>c8m</t>
  </si>
  <si>
    <t>ちえりの恋は8メートル</t>
  </si>
  <si>
    <t>glo</t>
  </si>
  <si>
    <t>series_logo_glo</t>
  </si>
  <si>
    <t>GLOW</t>
  </si>
  <si>
    <t>999</t>
  </si>
  <si>
    <t>glow</t>
  </si>
  <si>
    <t>（高難易度）バトル1</t>
  </si>
  <si>
    <t>※連載中のものは上記の曜日の区分を優先とし月曜〜順に表示され、中身の順としてはこちらの順にゲーム内では表示する。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t>
  </si>
  <si>
    <t xml:space="preserve">　作品ID</t>
  </si>
  <si>
    <t>立ち絵png_ID</t>
  </si>
  <si>
    <t>キャラ名（仮）</t>
  </si>
  <si>
    <t>キャラ名（監修FIX）</t>
  </si>
  <si>
    <t>valid_start_date</t>
  </si>
  <si>
    <t>valid_end_date</t>
  </si>
  <si>
    <t>補足</t>
  </si>
  <si>
    <t>unit_stand_image_spy_00001</t>
  </si>
  <si>
    <t>アーニャ・フォージャー</t>
  </si>
  <si>
    <t>unit_stand_image_spy_00002</t>
  </si>
  <si>
    <t>イーデン校の生徒 アーニャ</t>
  </si>
  <si>
    <t>unit_stand_image_spy_00101</t>
  </si>
  <si>
    <t>ロイド・フォージャー</t>
  </si>
  <si>
    <t>unit_stand_image_spy_00201</t>
  </si>
  <si>
    <t>ヨル・フォージャー</t>
  </si>
  <si>
    <t>unit_stand_image_spy_00301</t>
  </si>
  <si>
    <t>ダミアン・デズモンド</t>
  </si>
  <si>
    <t>unit_stand_image_spy_00401</t>
  </si>
  <si>
    <t>フランキー・フランクリン</t>
  </si>
  <si>
    <t>unit_stand_image_aka_00001</t>
  </si>
  <si>
    <t>佐々木</t>
  </si>
  <si>
    <t>unit_stand_image_aka_00101</t>
  </si>
  <si>
    <t>文蔵</t>
  </si>
  <si>
    <t>unit_stand_image_rik_00001</t>
  </si>
  <si>
    <t>リコピン</t>
  </si>
  <si>
    <t>unit_stand_image_rik_00101</t>
  </si>
  <si>
    <t>甘戸 めめ</t>
  </si>
  <si>
    <t>unit_stand_image_rik_00201</t>
  </si>
  <si>
    <t>チアミン</t>
  </si>
  <si>
    <t>unit_stand_image_dan_00001</t>
  </si>
  <si>
    <t>オカルン
（制服着用）</t>
  </si>
  <si>
    <t>unit_stand_image_dan_00002</t>
  </si>
  <si>
    <t>オカルン（高倉 健）
（ターボババア憑依状態）</t>
  </si>
  <si>
    <t>unit_stand_image_dan_00101</t>
  </si>
  <si>
    <t>綾瀬桃</t>
  </si>
  <si>
    <t>unit_stand_image_dan_00201</t>
  </si>
  <si>
    <t>白鳥 愛羅</t>
  </si>
  <si>
    <t>unit_stand_image_gom_00001</t>
  </si>
  <si>
    <t>姫（奴隷服）</t>
  </si>
  <si>
    <t>unit_stand_image_gom_00101</t>
  </si>
  <si>
    <t>トーチャー・トルチュール</t>
  </si>
  <si>
    <t>チェンソーマン（一部）</t>
  </si>
  <si>
    <t>unit_stand_image_chi_00001</t>
  </si>
  <si>
    <t>デンジ</t>
  </si>
  <si>
    <t>unit_stand_image_chi_00002</t>
  </si>
  <si>
    <t>デンジ
（チェンソーマン）</t>
  </si>
  <si>
    <t>unit_stand_image_chi_00101</t>
  </si>
  <si>
    <t>早川アキ</t>
  </si>
  <si>
    <t>unit_stand_image_bat_00001</t>
  </si>
  <si>
    <t>清峰 葉流火</t>
  </si>
  <si>
    <t>unit_stand_image_bat_00101</t>
  </si>
  <si>
    <t>要 圭</t>
  </si>
  <si>
    <t>unit_stand_image_kai_00001</t>
  </si>
  <si>
    <t>日比野 カフカ
通常の戦闘スーツver</t>
  </si>
  <si>
    <t>unit_stand_image_kai_00002</t>
  </si>
  <si>
    <t>日比野 カフカ
怪獣8号ver</t>
  </si>
  <si>
    <t>unit_stand_image_kai_00101</t>
  </si>
  <si>
    <t>市川 レノ</t>
  </si>
  <si>
    <t>unit_stand_image_kai_00201</t>
  </si>
  <si>
    <t>亜白 ミナ</t>
  </si>
  <si>
    <t>unit_stand_image_kai_00301</t>
  </si>
  <si>
    <t>四ノ宮 キコル</t>
  </si>
  <si>
    <t>unit_stand_image_kai_00003</t>
  </si>
  <si>
    <t>怪獣9号</t>
  </si>
  <si>
    <t>unit_stand_image_yuw_00001</t>
  </si>
  <si>
    <t>羽生 まゆら</t>
  </si>
  <si>
    <t>unit_stand_image_yuw_00101</t>
  </si>
  <si>
    <t>天乃 リリサ</t>
  </si>
  <si>
    <t>unit_stand_image_yuw_00201</t>
  </si>
  <si>
    <t>橘 美花莉</t>
  </si>
  <si>
    <t>unit_stand_image_sur_00001</t>
  </si>
  <si>
    <t>和倉 優希</t>
  </si>
  <si>
    <t>unit_stand_image_sur_00101</t>
  </si>
  <si>
    <t>羽前 京香</t>
  </si>
  <si>
    <t>unit_stand_image_sur_00201</t>
  </si>
  <si>
    <t>東 日万凛</t>
  </si>
  <si>
    <t>unit_stand_image_sur_00301</t>
  </si>
  <si>
    <t>駿河 朱々</t>
  </si>
  <si>
    <t>unit_stand_image_sur_00401</t>
  </si>
  <si>
    <t>大川村 寧</t>
  </si>
  <si>
    <t>unit_stand_image_ron_00001</t>
  </si>
  <si>
    <t>鴨乃橋 ロン</t>
  </si>
  <si>
    <t>unit_stand_image_ron_00101</t>
  </si>
  <si>
    <t>一色 都々丸</t>
  </si>
  <si>
    <t>unit_stand_image_aha_00001</t>
  </si>
  <si>
    <t>ライドウ</t>
  </si>
  <si>
    <t>unit_stand_image_aha_00101</t>
  </si>
  <si>
    <t>阿波連 れいな</t>
  </si>
  <si>
    <t>unit_stand_image_tak_00001</t>
  </si>
  <si>
    <t>タコピー</t>
  </si>
  <si>
    <t>unit_stand_image_jig_00001</t>
  </si>
  <si>
    <t>画眉丸</t>
  </si>
  <si>
    <t>unit_stand_image_jig_00101</t>
  </si>
  <si>
    <t>山田浅ェ門 佐切</t>
  </si>
  <si>
    <t>unit_stand_image_mag_00001</t>
  </si>
  <si>
    <t>桜木 カナ</t>
  </si>
  <si>
    <t>unit_stand_image_mag_00101</t>
  </si>
  <si>
    <t>越谷 仁美</t>
  </si>
  <si>
    <t>unit_stand_image_dos_00001</t>
  </si>
  <si>
    <t>冬木 美波</t>
  </si>
  <si>
    <t>unit_stand_image_dos_00101</t>
  </si>
  <si>
    <t>秋野 沙友理</t>
  </si>
  <si>
    <t>unit_stand_image_sum_00001</t>
  </si>
  <si>
    <t>網代 慎平</t>
  </si>
  <si>
    <t>unit_stand_image_sum_00101</t>
  </si>
  <si>
    <t>小舟 潮</t>
  </si>
  <si>
    <t>unit_stand_image_sum_00201</t>
  </si>
  <si>
    <t>小舟 澪</t>
  </si>
  <si>
    <t>ゲート_ID</t>
  </si>
  <si>
    <t>asset_key</t>
  </si>
  <si>
    <t>ゲート名（管理用）</t>
  </si>
  <si>
    <t>ゲート位置</t>
  </si>
  <si>
    <t>制作番号</t>
  </si>
  <si>
    <t>姫+エクス</t>
  </si>
  <si>
    <t>ally</t>
  </si>
  <si>
    <t>トーチャー（ピック）+アイアンメイデン</t>
  </si>
  <si>
    <t>enemy</t>
  </si>
  <si>
    <t>トーチャー（ゴリラ）</t>
  </si>
  <si>
    <t>クロル</t>
  </si>
  <si>
    <t>愛城恋太郎</t>
  </si>
  <si>
    <t>宝箱</t>
  </si>
  <si>
    <t>sample</t>
  </si>
  <si>
    <t>サンプル1</t>
  </si>
  <si>
    <t>ID発行イメージサンプル</t>
  </si>
  <si>
    <t>命名規則：
outpost_作品ID_ゲート位置_制作番号4桁</t>
  </si>
  <si>
    <t>サンプル2</t>
  </si>
  <si>
    <t>サンプル3</t>
  </si>
  <si>
    <t>接頭語（カテゴリー）</t>
  </si>
  <si>
    <t>アイテム_ID</t>
  </si>
  <si>
    <t>assetKey</t>
  </si>
  <si>
    <t>drop_ID</t>
  </si>
  <si>
    <t>アイテム名</t>
  </si>
  <si>
    <t>レアリティ</t>
  </si>
  <si>
    <t>最大所持数</t>
  </si>
  <si>
    <t>フレーバーテキスト</t>
  </si>
  <si>
    <t>アイテム備考</t>
  </si>
  <si>
    <t>start_date</t>
  </si>
  <si>
    <t>リリースキー</t>
  </si>
  <si>
    <t>原画のかけら1枚原画完成ダイアログ用（524*524）ID 解像度高い方</t>
  </si>
  <si>
    <t>artwork</t>
  </si>
  <si>
    <t>秘密の家族</t>
  </si>
  <si>
    <t>父はスパイ、母は殺し屋、娘は超能力者！？
全員が秘密を抱えた家族生活が始まる！</t>
  </si>
  <si>
    <t>ノーマル</t>
  </si>
  <si>
    <t>素敵な家族</t>
  </si>
  <si>
    <t>共通認識を深めるために出かけた3人は、
協力してひったくりを捕まえる。</t>
  </si>
  <si>
    <t>ハード</t>
  </si>
  <si>
    <t>明るい未来に！！</t>
  </si>
  <si>
    <t>イーデンでの面接試験の後、
落ち込むロイドを励ますために
お茶で乾杯！</t>
  </si>
  <si>
    <t>Ex</t>
  </si>
  <si>
    <t>決して屈しない!</t>
  </si>
  <si>
    <t>国王軍第三騎士団”騎士団長”にして王女の姫様は、魔王軍からの”拷問”に抵抗する!</t>
  </si>
  <si>
    <t>姫様”拷問”の時間です</t>
  </si>
  <si>
    <t>魔王軍 最高位拷問官のトーチャーは、どのような拷問をするのか・・・</t>
  </si>
  <si>
    <t>姫様と最高位拷問官</t>
  </si>
  <si>
    <t>拷問が終われば、立場を気にせずにパーティーだ!</t>
  </si>
  <si>
    <t>新メニューの試食</t>
  </si>
  <si>
    <t>早起きした珠子に試食を頼む文蔵。​
もしかして、新メニュー！？</t>
  </si>
  <si>
    <t>話は聞かせてもらった！</t>
  </si>
  <si>
    <t>新メニュー開発に挑戦する文蔵。​
ラーメン赤猫のみんなで新メニュー開発だ！</t>
  </si>
  <si>
    <t>みんなでお昼寝</t>
  </si>
  <si>
    <t>昼営業と夜営業の間の休憩時間。​
至福のお昼寝タイム！</t>
  </si>
  <si>
    <t>オカルトの話しよーぜ</t>
  </si>
  <si>
    <t>度重なる危機を乗り越え、
なんだか友達になれそうな二人。</t>
  </si>
  <si>
    <t>ターボババアをぶっ飛ばそう</t>
  </si>
  <si>
    <t>オカルンの呪いを解くために、トンネルで再びターボババアと対峙する。</t>
  </si>
  <si>
    <t>力が溢れてくるぜ・・・!!</t>
  </si>
  <si>
    <t>ターボババアの呪いを解放した「オカルン」。超スピードで移動できるが、ネガティブになってしまう。</t>
  </si>
  <si>
    <t>必ず生きて帰る　君のために・・・!!</t>
  </si>
  <si>
    <t>帰りを待つ愛する人のために、決意する。</t>
  </si>
  <si>
    <t>強さの種</t>
  </si>
  <si>
    <t>立場の違う2人。
情に向き合うことで、知ることができる本心</t>
  </si>
  <si>
    <t>極楽浄土の醜怪</t>
  </si>
  <si>
    <t>極楽浄土にいたのは、人でも神でもない醜怪だった。</t>
  </si>
  <si>
    <t>チャッピー</t>
  </si>
  <si>
    <t>小さい頃からずーっと一緒​
チャッピーがいれば私は大丈夫​
何があったって平気なの​</t>
  </si>
  <si>
    <t>連れてってほしいっピ！</t>
  </si>
  <si>
    <t>しずかちゃんを笑顔にするために、​
しずかちゃんをもっと知るために、​
連れてってほしいっピ！​</t>
  </si>
  <si>
    <t>共犯</t>
  </si>
  <si>
    <t>チャッピーを探しにいくため、​
3人（？）は協力関係に。​</t>
  </si>
  <si>
    <t>邪魔者は全て</t>
  </si>
  <si>
    <t xml:space="preserve">デビルハンターとして雇われてるからにゃ悪魔は…
ぶっ殺さねえとなあ！
</t>
  </si>
  <si>
    <t>早川 アキとの出会い</t>
  </si>
  <si>
    <t>三年先輩のデビルハンター、早川 アキ。​
デンジを見張るためにアキの部隊に入り、​
一緒の家で暮らすことに…！</t>
  </si>
  <si>
    <t>公安対魔特異４課</t>
  </si>
  <si>
    <t>公安に悪魔の駆除要請。​
公安対魔特異４課６人、全員集合！​</t>
  </si>
  <si>
    <t>戦力解放！！</t>
  </si>
  <si>
    <t>怪獣襲来！
解放戦力１％になった、
今までとは違うカフカを見せてやる！</t>
  </si>
  <si>
    <t>取るべき行動</t>
  </si>
  <si>
    <t>防衛隊員選別試験二次最終審査開始！
攻撃能力の低いカフカとレノの取るべき行動は…！？</t>
  </si>
  <si>
    <t>あとは俺に任せろ</t>
  </si>
  <si>
    <t>防衛隊入隊試験中に現れた謎の大怪獣。
他の受験者を避難させる為に足止めをするキコルの前に、
怪獣8号が現れる…！！</t>
  </si>
  <si>
    <t>お前を私の奴隷にする</t>
  </si>
  <si>
    <t>魔都に迷い込んだ和倉 優希を助けた
魔防隊七番組組長、羽前 京香は、
突然奴隷にすると言い出し…！？</t>
  </si>
  <si>
    <t>無窮の鎖</t>
  </si>
  <si>
    <t>無窮の鎖となった優希は、
驚異的な力を発揮する！</t>
  </si>
  <si>
    <t>魔都精兵七番隊</t>
  </si>
  <si>
    <t>京香の奴隷となった優希は、
七番隊組寮の管理人となる！</t>
  </si>
  <si>
    <t>フワフワ乗り物の雲</t>
  </si>
  <si>
    <t>リコピンのパパが設計をしたフワフワ乗り物の雲！
他にも食べられる雲やインテリア雲があるぞ！</t>
  </si>
  <si>
    <t>めめちゃんの世界へようこそ</t>
  </si>
  <si>
    <t>めめちゃんの世界に来てしまったリコピン！
洗濯をしたり、不燃ごみをまとめたり…！？</t>
  </si>
  <si>
    <t>はじめましてぼくリコピン</t>
  </si>
  <si>
    <t>リコピンはトマトの苗から生まれたトイプードル！
トマトイプーの3さいの男の子なんだよ！</t>
  </si>
  <si>
    <t>初めての変身</t>
  </si>
  <si>
    <t>魔法少女としての初仕事！​
出動前に変身だ！</t>
  </si>
  <si>
    <t>業務完了！</t>
  </si>
  <si>
    <t>面接中に現れた怪異に対応すべく現れた​
魔法少女・越谷 仁美。</t>
  </si>
  <si>
    <t>飛ばすよ！</t>
  </si>
  <si>
    <t>初めての仕事、初めてのホーキ、初めての魔法！
初めてでももう立派な魔法少女。</t>
  </si>
  <si>
    <t>言うてる場合かっ！！！</t>
  </si>
  <si>
    <t>見つからないように人混みの中を駆け抜ける
慎平と潮。</t>
  </si>
  <si>
    <t>ちゃんと見つけてよ</t>
  </si>
  <si>
    <t>夏祭りの人混みで潮を見かけたような気がして
向かった先の浜辺には潮の姿が…！？</t>
  </si>
  <si>
    <t>言おうと思てたことあんねん</t>
  </si>
  <si>
    <t xml:space="preserve">
浜辺で再会した、死んだはずの幼馴染潮。
彼女は、慎平に再会できたら
言おうと思っていたことがあるという。</t>
  </si>
  <si>
    <t>artwork_tutorial_0001</t>
  </si>
  <si>
    <t>希望のコマ</t>
  </si>
  <si>
    <t>チュートリアル初期設定。最初から持ち物に所持。</t>
  </si>
  <si>
    <t>202509010
※チュートリアル使用</t>
  </si>
  <si>
    <t>ジャンプラバースファントム侵攻</t>
  </si>
  <si>
    <t>侵略されたジャンプラバースの画像</t>
  </si>
  <si>
    <t>エネミー専用のゲート原画</t>
  </si>
  <si>
    <t>激バズ！本能のヲタ芸！</t>
  </si>
  <si>
    <t>推しへの愛が高まりすぎた双子の赤ちゃんが
ヲタ芸を打つという異常事態に思わずアイドルも個レス！</t>
  </si>
  <si>
    <t>やっと言えた</t>
  </si>
  <si>
    <t>この言葉は絶対 嘘じゃない</t>
  </si>
  <si>
    <t>いってきます</t>
  </si>
  <si>
    <t>かくして幼少期(プロローグ)は終わり
それぞれの想いを胸に、新たな物語の幕が上がる</t>
  </si>
  <si>
    <t>原画のかけら　イベント用</t>
  </si>
  <si>
    <t>artwork_event</t>
  </si>
  <si>
    <t>ぶち抜くから歯食いしばれ</t>
  </si>
  <si>
    <t>傷付いた仲間を想い、怪獣９号へ怒りをむき出しに。怒りを乗せたその拳で怪獣９号の討伐へ挑む。</t>
  </si>
  <si>
    <t>イベントクエスト</t>
  </si>
  <si>
    <t>うん ずっと待ってる</t>
  </si>
  <si>
    <t>四ノ宮 功との戦いで怪獣８号に変身した日比野 カフカ。激闘の中で荒ぶる怪獣の本能に身を蝕まれ暴走するも、亜白 ミナとの約束が彼を再び人へと引き戻した。</t>
  </si>
  <si>
    <t>うそつきのちち</t>
  </si>
  <si>
    <t xml:space="preserve">2人の家への帰り路、娘を守るために奮闘した父はすごくかっこいい！		</t>
  </si>
  <si>
    <t>オトナの余裕</t>
  </si>
  <si>
    <t>ちょっとした意地悪くらいなら笑って流せるのがカッコイイお姉さん。</t>
  </si>
  <si>
    <t>逃げろ!!</t>
  </si>
  <si>
    <t>招き猫の中に乗り移ってしまったターボババア。
とにかく逃げろ!!</t>
  </si>
  <si>
    <t>お⺟さん 愛してる</t>
  </si>
  <si>
    <t>アイラに炎(オーラ)を託して消えゆくアクロバティックさらさら。
宇宙で⼀番幸せだった記憶は絶対に消えない。</t>
  </si>
  <si>
    <t>上司です</t>
  </si>
  <si>
    <t>株式会社マジルミエの社長を務める重本 浩司は魔法少女に魂を捧げており、その覚悟は私生活にも表れている。
日々、衣装の手入れやスキンケアを欠かすことなく、自身が思い描く理想の魔法少女像を追い求めている。</t>
  </si>
  <si>
    <t>一人とチーム</t>
  </si>
  <si>
    <t>これまでは一人で考え、選択し、責任を負う仕事をしてきた槇野 あかね。マジルミエで桜木 カナや越谷 仁美、そしてエンジニアと共に業務をこなす中で、「チームで仕事をすること」を身につけ、連携し対応できるようになった。</t>
  </si>
  <si>
    <t xml:space="preserve"> 負けられないのよっ!!!</t>
  </si>
  <si>
    <t xml:space="preserve">コスプレの神様がいるのなら、自分の力で振り向かせる！誰にも負けないくらいコスプレを楽しんでやるんだから！		</t>
  </si>
  <si>
    <t>私たちは本気だ</t>
  </si>
  <si>
    <t>隣を見れば仲間がいる、恋焦がれた漫画の次元を全力で作っている 幸せです…</t>
  </si>
  <si>
    <t>六番組長の出雲 天花です</t>
  </si>
  <si>
    <t>初めて会う未来のお義姉さんへ、心よりご挨拶を。</t>
  </si>
  <si>
    <t>お前の姉じゃない</t>
  </si>
  <si>
    <t>魔防隊は敵。協力するつもりは無い。そのうえ「お義姉さん」などと勝手に呼ぶ女など、しばき倒す他にない。</t>
  </si>
  <si>
    <t>絶対ママみたいになるんだ！</t>
  </si>
  <si>
    <t>幼い頃から夢に見た、アイというアイドルの輝きを追って。厳しさや辛さも覚悟のうえ。ついに、芸能界へ一歩踏み出す。</t>
  </si>
  <si>
    <t>覆面筋トレ系ユーチューバー</t>
  </si>
  <si>
    <t>苺プロダクションの稼ぎ頭！大先輩の背中はデカい…</t>
  </si>
  <si>
    <t>必ず生きて帰る</t>
  </si>
  <si>
    <t>死罪となった“がらんの画眉丸“は、死を目前に妻の言葉を思い出す。
「人の心は、そんなに簡単に死なないわ」。里に残した妻がかけてくれた言葉だ。
妻との「普通の暮らし」を手に入れるため、画眉丸は謎多き島・神仙郷へ向かう。
そして心に強く誓う「必ず生きて帰る」と。</t>
  </si>
  <si>
    <t>兄は弟の道標だ！！</t>
  </si>
  <si>
    <t>立場こそ死罪人と首切り役人だが、亜左弔兵衛と山田浅ェ門桐馬は、紛れもなく兄弟である。
二人は、壮絶な幼少期を生き抜いてきた。
親を失い路頭に迷う日々に、泣きじゃくる弟へ兄は言った。
「何が正しいかわからねぇなら、オレだけを信じろ！」
その言葉が示すように、二人の絆は成長した今も昔も変わらない。
兄は弟を導き、弟は兄を信じ続けている。</t>
  </si>
  <si>
    <t>これで貸しはチャラだ</t>
  </si>
  <si>
    <t>未作成攫われたダグを助けにきたリタ。
殺し屋たちがブラック幼稚園に向かわないように
全員やっつける！</t>
  </si>
  <si>
    <t>兄と妹</t>
  </si>
  <si>
    <t>世界で一番大切な人。
お互いに罪を償って、また再会しよう。</t>
  </si>
  <si>
    <t>キスゾンビ</t>
  </si>
  <si>
    <t>彼女たちがキスを求めるキスゾンビに！愛の力でキスバイオハザードを生き残れ！</t>
  </si>
  <si>
    <t>運命の出会い</t>
  </si>
  <si>
    <t>一目見た瞬間、全身に走った衝撃。この二人が愛城 恋太郎の"運命の人"…!?</t>
  </si>
  <si>
    <t>もっと自由にわがままに</t>
  </si>
  <si>
    <t>いつか私たちの演奏で</t>
  </si>
  <si>
    <t>オモカゲ</t>
  </si>
  <si>
    <t>覚醒の兆し</t>
  </si>
  <si>
    <t>原画のかけらID　※アイテムIDは100番台→ノーマル、200番台→ハード、300番台→ベリーハード、400番台→イベントとしておく（α3）</t>
  </si>
  <si>
    <t>artwork_fragment</t>
  </si>
  <si>
    <t>spy_a_0001</t>
  </si>
  <si>
    <t>秘密の家族のかけら1</t>
  </si>
  <si>
    <t>N</t>
  </si>
  <si>
    <t>秘密の家族のかけら2</t>
  </si>
  <si>
    <t>spy_a_0002</t>
  </si>
  <si>
    <t>秘密の家族のかけら3</t>
  </si>
  <si>
    <t>秘密の家族のかけら4</t>
  </si>
  <si>
    <t>spy_a_0003</t>
  </si>
  <si>
    <t>秘密の家族のかけら5</t>
  </si>
  <si>
    <t>秘密の家族のかけら6</t>
  </si>
  <si>
    <t>spy_a_0004</t>
  </si>
  <si>
    <t>秘密の家族のかけら7</t>
  </si>
  <si>
    <t>秘密の家族のかけら8</t>
  </si>
  <si>
    <t>spy_a_0005</t>
  </si>
  <si>
    <t>秘密の家族のかけら9</t>
  </si>
  <si>
    <t>秘密の家族のかけら10</t>
  </si>
  <si>
    <t>spy_a_0006</t>
  </si>
  <si>
    <t>秘密の家族のかけら11</t>
  </si>
  <si>
    <t>秘密の家族のかけら12</t>
  </si>
  <si>
    <t>spy_b_0001</t>
  </si>
  <si>
    <t>素敵な家族のかけら1</t>
  </si>
  <si>
    <t>素敵な家族のかけら2</t>
  </si>
  <si>
    <t>spy_b_0002</t>
  </si>
  <si>
    <t>素敵な家族のかけら3</t>
  </si>
  <si>
    <t>素敵な家族のかけら4</t>
  </si>
  <si>
    <t>spy_b_0003</t>
  </si>
  <si>
    <t>素敵な家族のかけら5</t>
  </si>
  <si>
    <t>素敵な家族のかけら6</t>
  </si>
  <si>
    <t>spy_b_0004</t>
  </si>
  <si>
    <t>素敵な家族のかけら7</t>
  </si>
  <si>
    <t>素敵な家族のかけら8</t>
  </si>
  <si>
    <t>spy_b_0005</t>
  </si>
  <si>
    <t>素敵な家族のかけら9</t>
  </si>
  <si>
    <t>素敵な家族のかけら10</t>
  </si>
  <si>
    <t>spy_b_0006</t>
  </si>
  <si>
    <t>素敵な家族のかけら11</t>
  </si>
  <si>
    <t>素敵な家族のかけら12</t>
  </si>
  <si>
    <t>spy_c_0001</t>
  </si>
  <si>
    <t>明るい未来に！！のかけら1</t>
  </si>
  <si>
    <t>明るい未来に！！のかけら2</t>
  </si>
  <si>
    <t>spy_c_0002</t>
  </si>
  <si>
    <t>明るい未来に！！のかけら3</t>
  </si>
  <si>
    <t>明るい未来に！！のかけら4</t>
  </si>
  <si>
    <t>spy_c_0003</t>
  </si>
  <si>
    <t>明るい未来に！！のかけら5</t>
  </si>
  <si>
    <t>明るい未来に！！のかけら6</t>
  </si>
  <si>
    <t>spy_c_0004</t>
  </si>
  <si>
    <t>明るい未来に！！のかけら7</t>
  </si>
  <si>
    <t>明るい未来に！！のかけら8</t>
  </si>
  <si>
    <t>spy_c_0005</t>
  </si>
  <si>
    <t>明るい未来に！！のかけら9</t>
  </si>
  <si>
    <t>明るい未来に！！のかけら10</t>
  </si>
  <si>
    <t>spy_c_0006</t>
  </si>
  <si>
    <t>明るい未来に！！のかけら11</t>
  </si>
  <si>
    <t>明るい未来に！！のかけら12</t>
  </si>
  <si>
    <t>aka_a_0001</t>
  </si>
  <si>
    <t>ラーメン赤猫101</t>
  </si>
  <si>
    <t>ラーメン赤猫102</t>
  </si>
  <si>
    <t>ラーメン赤猫103</t>
  </si>
  <si>
    <t>ラーメン赤猫104</t>
  </si>
  <si>
    <t>ラーメン赤猫105</t>
  </si>
  <si>
    <t>aka_a_0002</t>
  </si>
  <si>
    <t>ラーメン赤猫106</t>
  </si>
  <si>
    <t>ラーメン赤猫107</t>
  </si>
  <si>
    <t>ラーメン赤猫108</t>
  </si>
  <si>
    <t>ラーメン赤猫109</t>
  </si>
  <si>
    <t>ラーメン赤猫110</t>
  </si>
  <si>
    <t>ラーメン赤猫111</t>
  </si>
  <si>
    <t>aka_a_0003</t>
  </si>
  <si>
    <t>ラーメン赤猫112</t>
  </si>
  <si>
    <t>ラーメン赤猫113</t>
  </si>
  <si>
    <t>ラーメン赤猫114</t>
  </si>
  <si>
    <t>ラーメン赤猫115</t>
  </si>
  <si>
    <t>ラーメン赤猫116</t>
  </si>
  <si>
    <t>aka_b_0001</t>
  </si>
  <si>
    <t>ラーメン赤猫201</t>
  </si>
  <si>
    <t>ラーメン赤猫202</t>
  </si>
  <si>
    <t>ラーメン赤猫203</t>
  </si>
  <si>
    <t>ラーメン赤猫204</t>
  </si>
  <si>
    <t>ラーメン赤猫205</t>
  </si>
  <si>
    <t>aka_b_0002</t>
  </si>
  <si>
    <t>ラーメン赤猫206</t>
  </si>
  <si>
    <t>ラーメン赤猫207</t>
  </si>
  <si>
    <t>ラーメン赤猫208</t>
  </si>
  <si>
    <t>ラーメン赤猫209</t>
  </si>
  <si>
    <t>ラーメン赤猫210</t>
  </si>
  <si>
    <t>ラーメン赤猫211</t>
  </si>
  <si>
    <t>aka_b_0003</t>
  </si>
  <si>
    <t>ラーメン赤猫212</t>
  </si>
  <si>
    <t>ラーメン赤猫213</t>
  </si>
  <si>
    <t>ラーメン赤猫214</t>
  </si>
  <si>
    <t>ラーメン赤猫215</t>
  </si>
  <si>
    <t>ラーメン赤猫216</t>
  </si>
  <si>
    <t>aka_c_0001</t>
  </si>
  <si>
    <t>ラーメン赤猫301</t>
  </si>
  <si>
    <t>ラーメン赤猫302</t>
  </si>
  <si>
    <t>ラーメン赤猫303</t>
  </si>
  <si>
    <t>ラーメン赤猫304</t>
  </si>
  <si>
    <t>ラーメン赤猫305</t>
  </si>
  <si>
    <t>ラーメン赤猫306</t>
  </si>
  <si>
    <t>aka_c_0002</t>
  </si>
  <si>
    <t>ラーメン赤猫307</t>
  </si>
  <si>
    <t>ラーメン赤猫308</t>
  </si>
  <si>
    <t>ラーメン赤猫309</t>
  </si>
  <si>
    <t>ラーメン赤猫310</t>
  </si>
  <si>
    <t>ラーメン赤猫311</t>
  </si>
  <si>
    <t>aka_c_0003</t>
  </si>
  <si>
    <t>ラーメン赤猫312</t>
  </si>
  <si>
    <t>ラーメン赤猫313</t>
  </si>
  <si>
    <t>ラーメン赤猫314</t>
  </si>
  <si>
    <t>ラーメン赤猫315</t>
  </si>
  <si>
    <t>ラーメン赤猫316</t>
  </si>
  <si>
    <t>トマトイプーのリコピンの原画のかけらA</t>
  </si>
  <si>
    <t>トマトイプーのリコピンの原画のかけらB</t>
  </si>
  <si>
    <t>トマトイプーのリコピンの原画のかけらC</t>
  </si>
  <si>
    <t>dan_a_0001</t>
  </si>
  <si>
    <t>ダンダダン101</t>
  </si>
  <si>
    <t>ダンダダン102</t>
  </si>
  <si>
    <t>ダンダダン103</t>
  </si>
  <si>
    <t>dan_a_0002</t>
  </si>
  <si>
    <t>ダンダダン104</t>
  </si>
  <si>
    <t>ダンダダン105</t>
  </si>
  <si>
    <t>ダンダダン106</t>
  </si>
  <si>
    <t>dan_a_0003</t>
  </si>
  <si>
    <t>ダンダダン107</t>
  </si>
  <si>
    <t>ダンダダン108</t>
  </si>
  <si>
    <t>ダンダダン109</t>
  </si>
  <si>
    <t>dan_a_0004</t>
  </si>
  <si>
    <t>ダンダダン110</t>
  </si>
  <si>
    <t>ダンダダン111</t>
  </si>
  <si>
    <t>ダンダダン112</t>
  </si>
  <si>
    <t>dan_a_0005</t>
  </si>
  <si>
    <t>ダンダダン113</t>
  </si>
  <si>
    <t>ダンダダン114</t>
  </si>
  <si>
    <t>ダンダダン115</t>
  </si>
  <si>
    <t>ダンダダン116</t>
  </si>
  <si>
    <t>dan_b_0001</t>
  </si>
  <si>
    <t>ダンダダン201</t>
  </si>
  <si>
    <t>ダンダダン202</t>
  </si>
  <si>
    <t>ダンダダン203</t>
  </si>
  <si>
    <t>dan_b_0002</t>
  </si>
  <si>
    <t>ダンダダン204</t>
  </si>
  <si>
    <t>ダンダダン205</t>
  </si>
  <si>
    <t>ダンダダン206</t>
  </si>
  <si>
    <t>dan_b_0003</t>
  </si>
  <si>
    <t>ダンダダン207</t>
  </si>
  <si>
    <t>ダンダダン208</t>
  </si>
  <si>
    <t>ダンダダン209</t>
  </si>
  <si>
    <t>dan_b_0004</t>
  </si>
  <si>
    <t>ダンダダン210</t>
  </si>
  <si>
    <t>ダンダダン211</t>
  </si>
  <si>
    <t>ダンダダン212</t>
  </si>
  <si>
    <t>dan_b_0005</t>
  </si>
  <si>
    <t>ダンダダン213</t>
  </si>
  <si>
    <t>ダンダダン214</t>
  </si>
  <si>
    <t>ダンダダン215</t>
  </si>
  <si>
    <t>ダンダダン216</t>
  </si>
  <si>
    <t>dan_c_0001</t>
  </si>
  <si>
    <t>ダンダダン301</t>
  </si>
  <si>
    <t>ダンダダン302</t>
  </si>
  <si>
    <t>ダンダダン303</t>
  </si>
  <si>
    <t>dan_c_0002</t>
  </si>
  <si>
    <t>ダンダダン304</t>
  </si>
  <si>
    <t>ダンダダン305</t>
  </si>
  <si>
    <t>ダンダダン306</t>
  </si>
  <si>
    <t>dan_c_0003</t>
  </si>
  <si>
    <t>ダンダダン307</t>
  </si>
  <si>
    <t>ダンダダン308</t>
  </si>
  <si>
    <t>ダンダダン309</t>
  </si>
  <si>
    <t>dan_c_0004</t>
  </si>
  <si>
    <t>ダンダダン310</t>
  </si>
  <si>
    <t>ダンダダン311</t>
  </si>
  <si>
    <t>ダンダダン312</t>
  </si>
  <si>
    <t>dan_c_0005</t>
  </si>
  <si>
    <t>ダンダダン313</t>
  </si>
  <si>
    <t>ダンダダン314</t>
  </si>
  <si>
    <t>ダンダダン315</t>
  </si>
  <si>
    <t>ダンダダン316</t>
  </si>
  <si>
    <t>gom_a_0001</t>
  </si>
  <si>
    <t>姫様拷問の時間です101</t>
  </si>
  <si>
    <t>姫様拷問の時間です102</t>
  </si>
  <si>
    <t>姫様拷問の時間です103</t>
  </si>
  <si>
    <t>姫様拷問の時間です104</t>
  </si>
  <si>
    <t>gom_a_0002</t>
  </si>
  <si>
    <t>姫様拷問の時間です105</t>
  </si>
  <si>
    <t>姫様拷問の時間です106</t>
  </si>
  <si>
    <t>姫様拷問の時間です107</t>
  </si>
  <si>
    <t>gom_a_0003</t>
  </si>
  <si>
    <t>姫様拷問の時間です108</t>
  </si>
  <si>
    <t>姫様拷問の時間です109</t>
  </si>
  <si>
    <t>姫様拷問の時間です110</t>
  </si>
  <si>
    <t>gom_a_0004</t>
  </si>
  <si>
    <t>姫様拷問の時間です111</t>
  </si>
  <si>
    <t>姫様拷問の時間です112</t>
  </si>
  <si>
    <t>姫様拷問の時間です113</t>
  </si>
  <si>
    <t>gom_a_0005</t>
  </si>
  <si>
    <t>姫様拷問の時間です114</t>
  </si>
  <si>
    <t>姫様拷問の時間です115</t>
  </si>
  <si>
    <t>姫様拷問の時間です116</t>
  </si>
  <si>
    <t>gom_b_0001</t>
  </si>
  <si>
    <t>姫様拷問の時間です201</t>
  </si>
  <si>
    <t>姫様拷問の時間です202</t>
  </si>
  <si>
    <t>姫様拷問の時間です203</t>
  </si>
  <si>
    <t>gom_b_0002</t>
  </si>
  <si>
    <t>姫様拷問の時間です204</t>
  </si>
  <si>
    <t>姫様拷問の時間です205</t>
  </si>
  <si>
    <t>姫様拷問の時間です206</t>
  </si>
  <si>
    <t>gom_b_0003</t>
  </si>
  <si>
    <t>姫様拷問の時間です207</t>
  </si>
  <si>
    <t>姫様拷問の時間です208</t>
  </si>
  <si>
    <t>姫様拷問の時間です209</t>
  </si>
  <si>
    <t>gom_b_0004</t>
  </si>
  <si>
    <t>姫様拷問の時間です210</t>
  </si>
  <si>
    <t>姫様拷問の時間です211</t>
  </si>
  <si>
    <t>姫様拷問の時間です212</t>
  </si>
  <si>
    <t>gom_b_0005</t>
  </si>
  <si>
    <t>姫様拷問の時間です213</t>
  </si>
  <si>
    <t>姫様拷問の時間です214</t>
  </si>
  <si>
    <t>姫様拷問の時間です215</t>
  </si>
  <si>
    <t>姫様拷問の時間です216</t>
  </si>
  <si>
    <t>gom_c_0001</t>
  </si>
  <si>
    <t>姫様拷問の時間です301</t>
  </si>
  <si>
    <t>姫様拷問の時間です302</t>
  </si>
  <si>
    <t>姫様拷問の時間です303</t>
  </si>
  <si>
    <t>gom_c_0002</t>
  </si>
  <si>
    <t>姫様拷問の時間です304</t>
  </si>
  <si>
    <t>姫様拷問の時間です305</t>
  </si>
  <si>
    <t>姫様拷問の時間です306</t>
  </si>
  <si>
    <t>gom_c_0003</t>
  </si>
  <si>
    <t>姫様拷問の時間です307</t>
  </si>
  <si>
    <t>姫様拷問の時間です308</t>
  </si>
  <si>
    <t>姫様拷問の時間です309</t>
  </si>
  <si>
    <t>gom_c_0004</t>
  </si>
  <si>
    <t>姫様拷問の時間です310</t>
  </si>
  <si>
    <t>姫様拷問の時間です311</t>
  </si>
  <si>
    <t>姫様拷問の時間です312</t>
  </si>
  <si>
    <t>gom_c_0005</t>
  </si>
  <si>
    <t>姫様拷問の時間です313</t>
  </si>
  <si>
    <t>姫様拷問の時間です314</t>
  </si>
  <si>
    <t>姫様拷問の時間です315</t>
  </si>
  <si>
    <t>姫様拷問の時間です316</t>
  </si>
  <si>
    <t>チェンソーマンですの原画のかけらA</t>
  </si>
  <si>
    <t>チェンソーマンですの原画のかけらB</t>
  </si>
  <si>
    <t>チェンソーマンですの原画のかけらC</t>
  </si>
  <si>
    <t>忘却バッテリーの原画のかけらA</t>
  </si>
  <si>
    <t>忘却バッテリーの原画のかけらB</t>
  </si>
  <si>
    <t>忘却バッテリーの原画のかけらC</t>
  </si>
  <si>
    <t>怪獣８号の原画のかけらA</t>
  </si>
  <si>
    <t>怪獣８号の原画のかけらB</t>
  </si>
  <si>
    <t>怪獣８号の原画のかけらC</t>
  </si>
  <si>
    <t>2.5次元の誘惑の原画のかけらA</t>
  </si>
  <si>
    <t>2.5次元の誘惑の原画のかけらB</t>
  </si>
  <si>
    <t>2.5次元の誘惑の原画のかけらC</t>
  </si>
  <si>
    <t>魔都精兵のスレイブの原画のかけらA</t>
  </si>
  <si>
    <t>魔都精兵のスレイブの原画のかけらB</t>
  </si>
  <si>
    <t>魔都精兵のスレイブの原画のかけらC</t>
  </si>
  <si>
    <t>鴨乃橋ロンの禁断推理の原画のかけらA</t>
  </si>
  <si>
    <t>鴨乃橋ロンの禁断推理の原画のかけらB</t>
  </si>
  <si>
    <t>鴨乃橋ロンの禁断推理の原画のかけらC</t>
  </si>
  <si>
    <t>阿波連さんははかれないの原画のかけらA</t>
  </si>
  <si>
    <t>阿波連さんははかれないの原画のかけらB</t>
  </si>
  <si>
    <t>阿波連さんははかれないの原画のかけらC</t>
  </si>
  <si>
    <t>タコピーの原罪の原画のかけらA</t>
  </si>
  <si>
    <t>タコピーの原罪の原画のかけらB</t>
  </si>
  <si>
    <t>タコピーの原罪の原画のかけらC</t>
  </si>
  <si>
    <t>jig_a_0001</t>
  </si>
  <si>
    <t>地獄楽101</t>
  </si>
  <si>
    <t>地獄楽102</t>
  </si>
  <si>
    <t>地獄楽103</t>
  </si>
  <si>
    <t>jig_a_0002</t>
  </si>
  <si>
    <t>地獄楽104</t>
  </si>
  <si>
    <t>地獄楽105</t>
  </si>
  <si>
    <t>地獄楽106</t>
  </si>
  <si>
    <t>jig_a_0003</t>
  </si>
  <si>
    <t>地獄楽107</t>
  </si>
  <si>
    <t>地獄楽108</t>
  </si>
  <si>
    <t>地獄楽109</t>
  </si>
  <si>
    <t>jig_a_0004</t>
  </si>
  <si>
    <t>地獄楽110</t>
  </si>
  <si>
    <t>地獄楽111</t>
  </si>
  <si>
    <t>地獄楽112</t>
  </si>
  <si>
    <t>jig_a_0005</t>
  </si>
  <si>
    <t>地獄楽113</t>
  </si>
  <si>
    <t>地獄楽114</t>
  </si>
  <si>
    <t>地獄楽115</t>
  </si>
  <si>
    <t>地獄楽116</t>
  </si>
  <si>
    <t>jig_b_0001</t>
  </si>
  <si>
    <t>地獄楽201</t>
  </si>
  <si>
    <t>地獄楽202</t>
  </si>
  <si>
    <t>地獄楽203</t>
  </si>
  <si>
    <t>jig_b_0002</t>
  </si>
  <si>
    <t>地獄楽204</t>
  </si>
  <si>
    <t>地獄楽205</t>
  </si>
  <si>
    <t>地獄楽206</t>
  </si>
  <si>
    <t>jig_b_0003</t>
  </si>
  <si>
    <t>地獄楽207</t>
  </si>
  <si>
    <t>地獄楽208</t>
  </si>
  <si>
    <t>地獄楽209</t>
  </si>
  <si>
    <t>jig_b_0004</t>
  </si>
  <si>
    <t>地獄楽210</t>
  </si>
  <si>
    <t>地獄楽211</t>
  </si>
  <si>
    <t>地獄楽212</t>
  </si>
  <si>
    <t>jig_b_0005</t>
  </si>
  <si>
    <t>地獄楽213</t>
  </si>
  <si>
    <t>地獄楽214</t>
  </si>
  <si>
    <t>地獄楽215</t>
  </si>
  <si>
    <t>地獄楽216</t>
  </si>
  <si>
    <t>jig_c_0001</t>
  </si>
  <si>
    <t>地獄楽301</t>
  </si>
  <si>
    <t>地獄楽302</t>
  </si>
  <si>
    <t>地獄楽303</t>
  </si>
  <si>
    <t>jig_c_0002</t>
  </si>
  <si>
    <t>地獄楽304</t>
  </si>
  <si>
    <t>地獄楽305</t>
  </si>
  <si>
    <t>地獄楽306</t>
  </si>
  <si>
    <t>jig_c_0003</t>
  </si>
  <si>
    <t>地獄楽307</t>
  </si>
  <si>
    <t>地獄楽308</t>
  </si>
  <si>
    <t>地獄楽309</t>
  </si>
  <si>
    <t>jig_c_0004</t>
  </si>
  <si>
    <t>地獄楽310</t>
  </si>
  <si>
    <t>地獄楽311</t>
  </si>
  <si>
    <t>地獄楽312</t>
  </si>
  <si>
    <t>jig_c_0005</t>
  </si>
  <si>
    <t>地獄楽313</t>
  </si>
  <si>
    <t>地獄楽314</t>
  </si>
  <si>
    <t>地獄楽315</t>
  </si>
  <si>
    <t>地獄楽316</t>
  </si>
  <si>
    <t>jig_d_0001</t>
  </si>
  <si>
    <t>地獄楽401</t>
  </si>
  <si>
    <t>地獄楽402</t>
  </si>
  <si>
    <t>地獄楽403</t>
  </si>
  <si>
    <t>jig_d_0002</t>
  </si>
  <si>
    <t>地獄楽404</t>
  </si>
  <si>
    <t>地獄楽405</t>
  </si>
  <si>
    <t>地獄楽406</t>
  </si>
  <si>
    <t>jig_d_0003</t>
  </si>
  <si>
    <t>地獄楽407</t>
  </si>
  <si>
    <t>地獄楽408</t>
  </si>
  <si>
    <t>地獄楽409</t>
  </si>
  <si>
    <t>jig_d_0004</t>
  </si>
  <si>
    <t>地獄楽410</t>
  </si>
  <si>
    <t>地獄楽411</t>
  </si>
  <si>
    <t>地獄楽412</t>
  </si>
  <si>
    <t>jig_d_0005</t>
  </si>
  <si>
    <t>地獄楽413</t>
  </si>
  <si>
    <t>地獄楽414</t>
  </si>
  <si>
    <t>地獄楽415</t>
  </si>
  <si>
    <t>地獄楽416</t>
  </si>
  <si>
    <t>株式会社マジルミエの原画のかけらA</t>
  </si>
  <si>
    <t>株式会社マジルミエの原画のかけらB</t>
  </si>
  <si>
    <t>株式会社マジルミエの原画のかけらC</t>
  </si>
  <si>
    <t>道産子ギャルはなまらめんこいの原画のかけらA</t>
  </si>
  <si>
    <t>道産子ギャルはなまらめんこいの原画のかけらB</t>
  </si>
  <si>
    <t>道産子ギャルはなまらめんこいの原画のかけらC</t>
  </si>
  <si>
    <t>サマータイムレンダの原画のかけらA</t>
  </si>
  <si>
    <t>サマータイムレンダの原画のかけらB</t>
  </si>
  <si>
    <t>サマータイムレンダの原画のかけらC</t>
  </si>
  <si>
    <t>osh_a_0001</t>
  </si>
  <si>
    <t>原画のかけら16</t>
  </si>
  <si>
    <t>原画のかけら11</t>
  </si>
  <si>
    <t>原画のかけら8</t>
  </si>
  <si>
    <t>原画のかけら15</t>
  </si>
  <si>
    <t>原画のかけら7</t>
  </si>
  <si>
    <t>osh_a_0002</t>
  </si>
  <si>
    <t>原画のかけら2</t>
  </si>
  <si>
    <t>原画のかけら3</t>
  </si>
  <si>
    <t>原画のかけら6</t>
  </si>
  <si>
    <t>原画のかけら4</t>
  </si>
  <si>
    <t>原画のかけら5</t>
  </si>
  <si>
    <t>osh_a_0003</t>
  </si>
  <si>
    <t>原画のかけら14</t>
  </si>
  <si>
    <t>原画のかけら1</t>
  </si>
  <si>
    <t>原画のかけら10</t>
  </si>
  <si>
    <t>原画のかけら12</t>
  </si>
  <si>
    <t>原画のかけら9</t>
  </si>
  <si>
    <t>原画のかけら13</t>
  </si>
  <si>
    <t>osh_b_0001</t>
  </si>
  <si>
    <t>osh_b_0002</t>
  </si>
  <si>
    <t>osh_b_0003</t>
  </si>
  <si>
    <t>osh_c_0001</t>
  </si>
  <si>
    <t>osh_c_0002</t>
  </si>
  <si>
    <t>osh_c_0003</t>
  </si>
  <si>
    <t>作品ID</t>
  </si>
  <si>
    <t>識別ID</t>
  </si>
  <si>
    <t>キャラ_ID</t>
  </si>
  <si>
    <t>必殺ワザ名（監修FIX）</t>
  </si>
  <si>
    <t>ラベル</t>
  </si>
  <si>
    <t>属性</t>
  </si>
  <si>
    <t>キャラ立ち位置</t>
  </si>
  <si>
    <t>ロール</t>
  </si>
  <si>
    <t>通常攻撃モーション</t>
  </si>
  <si>
    <t>攻撃射程</t>
  </si>
  <si>
    <t>必殺ワザモーション</t>
  </si>
  <si>
    <t>必殺ワザ発動有無</t>
  </si>
  <si>
    <t>通常攻撃発生</t>
  </si>
  <si>
    <t>必殺攻撃モーション</t>
  </si>
  <si>
    <t>必殺攻撃発生</t>
  </si>
  <si>
    <t>catch_copy_image_filename</t>
  </si>
  <si>
    <t>ノーマル敵専用アイコン_ID</t>
  </si>
  <si>
    <t>BOSS専用アイコン_ID</t>
  </si>
  <si>
    <t>通常攻撃Asset</t>
  </si>
  <si>
    <t>必殺ワザAsset</t>
  </si>
  <si>
    <t>プランナー監修状況</t>
  </si>
  <si>
    <t>全て監修状況</t>
  </si>
  <si>
    <t>発注依頼書状況</t>
  </si>
  <si>
    <t>00001</t>
  </si>
  <si>
    <t>わくわく アーニャ</t>
  </si>
  <si>
    <t>せいふくのアーニャかわいい？</t>
  </si>
  <si>
    <t>UR</t>
  </si>
  <si>
    <t>PremiumUR</t>
  </si>
  <si>
    <t>無</t>
  </si>
  <si>
    <t>chara</t>
  </si>
  <si>
    <t>スペシャル</t>
  </si>
  <si>
    <t>ー</t>
  </si>
  <si>
    <t>3.44</t>
  </si>
  <si>
    <t>0</t>
  </si>
  <si>
    <t>chara_spy_00001_special</t>
  </si>
  <si>
    <t>リリース時</t>
  </si>
  <si>
    <t>監修通過</t>
  </si>
  <si>
    <t>▼フレーバーなど下記のシートに記載
GLOW_キャラ名称＆キャラセリフ資料</t>
  </si>
  <si>
    <t>未</t>
  </si>
  <si>
    <t>202509010_リリース</t>
  </si>
  <si>
    <t>00002</t>
  </si>
  <si>
    <t>選定中</t>
  </si>
  <si>
    <t>（未FIX）アーニャがんばるます！</t>
  </si>
  <si>
    <t>SSR</t>
  </si>
  <si>
    <t>DropSSR</t>
  </si>
  <si>
    <t>2.4</t>
  </si>
  <si>
    <t>stop無:1.03</t>
  </si>
  <si>
    <t>実装未定</t>
  </si>
  <si>
    <t>1周年</t>
  </si>
  <si>
    <t>監修中</t>
  </si>
  <si>
    <t>999999999_リリースキー未定</t>
  </si>
  <si>
    <t>00101</t>
  </si>
  <si>
    <t>&lt;黄昏&gt; ロイド</t>
  </si>
  <si>
    <t>終わりにしよう</t>
  </si>
  <si>
    <t>黄</t>
  </si>
  <si>
    <t>アタック</t>
  </si>
  <si>
    <t>shageki_1</t>
  </si>
  <si>
    <t>Long</t>
  </si>
  <si>
    <t>1.64</t>
  </si>
  <si>
    <t>0.83</t>
  </si>
  <si>
    <t>2.50</t>
  </si>
  <si>
    <t>1.33</t>
  </si>
  <si>
    <t>chara_spy_00101_normal</t>
  </si>
  <si>
    <t>chara_spy_00101_special</t>
  </si>
  <si>
    <t>00201</t>
  </si>
  <si>
    <t>&lt;いばら姫&gt; ヨル</t>
  </si>
  <si>
    <t>この手が血で汚れても構わない</t>
  </si>
  <si>
    <t>赤</t>
  </si>
  <si>
    <t>zangeki_1</t>
  </si>
  <si>
    <t>Middle</t>
  </si>
  <si>
    <t>dageki_1</t>
  </si>
  <si>
    <t>1.42</t>
  </si>
  <si>
    <t>stop無:1回目 0.61</t>
  </si>
  <si>
    <t>stop有:1回目 0.73</t>
  </si>
  <si>
    <t>chara_spy_00201_normal</t>
  </si>
  <si>
    <t>chara_spy_00201_special</t>
  </si>
  <si>
    <t>00301</t>
  </si>
  <si>
    <t>いい気になるなよ</t>
  </si>
  <si>
    <t>SR</t>
  </si>
  <si>
    <t>DropSR</t>
  </si>
  <si>
    <t>2.10</t>
  </si>
  <si>
    <t>chara_spy_00301_special</t>
  </si>
  <si>
    <t>SPY×FAMILYいいジャン祭</t>
  </si>
  <si>
    <t>202510010_SPY×FAMILY</t>
  </si>
  <si>
    <t>00401</t>
  </si>
  <si>
    <t>超人外骨格！！</t>
  </si>
  <si>
    <t>緑</t>
  </si>
  <si>
    <t>ディフェンス</t>
  </si>
  <si>
    <t>dageki_2</t>
  </si>
  <si>
    <t>Short</t>
  </si>
  <si>
    <t>1.20</t>
  </si>
  <si>
    <t>0.50</t>
  </si>
  <si>
    <t>2.75</t>
  </si>
  <si>
    <t>1.34</t>
  </si>
  <si>
    <t>chara_spy_00401_normal</t>
  </si>
  <si>
    <t>chara_spy_00401_special</t>
  </si>
  <si>
    <t>00501</t>
  </si>
  <si>
    <t>ユーリ・ブライア</t>
  </si>
  <si>
    <t>姉を想う盲愛 ユーリ・ブライア</t>
  </si>
  <si>
    <t>姉さぁーーーん♡</t>
  </si>
  <si>
    <t>青</t>
  </si>
  <si>
    <t>1.13</t>
  </si>
  <si>
    <t>stop有:1回目 0.33</t>
  </si>
  <si>
    <t>2.33</t>
  </si>
  <si>
    <t>stop無:1回目 1.17</t>
  </si>
  <si>
    <t>chara_spy_00501_special</t>
  </si>
  <si>
    <t>ハチワレの猫の佐々木さん</t>
  </si>
  <si>
    <t>R</t>
  </si>
  <si>
    <t>PremiumR</t>
  </si>
  <si>
    <t>1.70</t>
  </si>
  <si>
    <t>0.66</t>
  </si>
  <si>
    <t>chara_aka_00001_special</t>
  </si>
  <si>
    <t>ラーメン赤猫の職人</t>
  </si>
  <si>
    <t>テクニカル</t>
  </si>
  <si>
    <t>1.50</t>
  </si>
  <si>
    <t>stop無:1回目 0.54</t>
  </si>
  <si>
    <t>4.50</t>
  </si>
  <si>
    <t>stop無:1回目 1.37
stop無:2回目 1.63
stop有:3回目 2.67</t>
  </si>
  <si>
    <t>chara_aka_00101_normal</t>
  </si>
  <si>
    <t>chara_aka_00101_special</t>
  </si>
  <si>
    <t>ハナ</t>
  </si>
  <si>
    <t xml:space="preserve">ハナのほっこり接客術
</t>
  </si>
  <si>
    <t>サポート</t>
  </si>
  <si>
    <t>1.37</t>
  </si>
  <si>
    <t>stop有:1回目 0.63</t>
  </si>
  <si>
    <t>2.73</t>
  </si>
  <si>
    <t>stop無:1回目 0.6</t>
  </si>
  <si>
    <t>2026年5月中旬のアニマル祭りで実装予定</t>
  </si>
  <si>
    <t>プラン確認</t>
  </si>
  <si>
    <t>サブ</t>
  </si>
  <si>
    <t>stop有:1回目 0.55</t>
  </si>
  <si>
    <t>2.53</t>
  </si>
  <si>
    <t>stop無:1回目 0.76
stop無:2回目 0.91
stop有:3回目 1.4</t>
  </si>
  <si>
    <t>トマト果汁は健康の証</t>
  </si>
  <si>
    <t>0.93</t>
  </si>
  <si>
    <t>4.01</t>
  </si>
  <si>
    <t>1回目：0.83
2回目：1.84
3回目：2.67</t>
  </si>
  <si>
    <t>chara_rik_00001_normal</t>
  </si>
  <si>
    <t>chara_rik_00001_special</t>
  </si>
  <si>
    <t>モンブランケーキ</t>
  </si>
  <si>
    <t>DropR</t>
  </si>
  <si>
    <t>1.57</t>
  </si>
  <si>
    <t>0.87</t>
  </si>
  <si>
    <t>2.67</t>
  </si>
  <si>
    <t>stop無:1.00</t>
  </si>
  <si>
    <t>chara_rik_00101_normal</t>
  </si>
  <si>
    <t>chara_rik_00101_special</t>
  </si>
  <si>
    <t>オカルン</t>
  </si>
  <si>
    <t>友達ができたからだ！</t>
  </si>
  <si>
    <t>1.43</t>
  </si>
  <si>
    <t>0.53</t>
  </si>
  <si>
    <t>4.00</t>
  </si>
  <si>
    <t>1.66</t>
  </si>
  <si>
    <t>chara_dan_00001_normal</t>
  </si>
  <si>
    <t>chara_dan_00001_special</t>
  </si>
  <si>
    <t>α3</t>
  </si>
  <si>
    <t>ターボババアの霊力 オカルン</t>
  </si>
  <si>
    <t>萎えるぜ</t>
  </si>
  <si>
    <t>1.84</t>
  </si>
  <si>
    <t>stop有:1回目 0.66
stop有:2回目 1.27</t>
  </si>
  <si>
    <t>5.21</t>
  </si>
  <si>
    <t>stop有:1回目：1.78
stop有:2回目：3.34
stop無:3回目 3.76
stop無:4回目 3.92
stop無:5回目 4.09
stop無:6回目 4.26
stop無:7回目 4.42</t>
  </si>
  <si>
    <t>chara_dan_00002_special</t>
  </si>
  <si>
    <t>モモ</t>
  </si>
  <si>
    <t>おっしゃあ いけえ!!</t>
  </si>
  <si>
    <t>PremiumSSR</t>
  </si>
  <si>
    <t>1.00</t>
  </si>
  <si>
    <t>2.00</t>
  </si>
  <si>
    <t>chara_dan_00101_normal</t>
  </si>
  <si>
    <t>chara_dan_00101_special</t>
  </si>
  <si>
    <t>作成済み</t>
  </si>
  <si>
    <t>アイラ</t>
  </si>
  <si>
    <t>私って美女すぎる</t>
  </si>
  <si>
    <t>1.5</t>
  </si>
  <si>
    <t>stop有:1回目 0.43</t>
  </si>
  <si>
    <t>stop無:1回目：1.33</t>
  </si>
  <si>
    <t>chara_dan_00201_normal</t>
  </si>
  <si>
    <t>chara_dan_00201_special</t>
  </si>
  <si>
    <t>ダンダダンいいジャン祭</t>
  </si>
  <si>
    <t>202510020_ダンダダン</t>
  </si>
  <si>
    <t>00202</t>
  </si>
  <si>
    <t>アクさらの愛 アイラ</t>
  </si>
  <si>
    <t>お放しなさい!!</t>
  </si>
  <si>
    <t>0.45</t>
  </si>
  <si>
    <t>2.44</t>
  </si>
  <si>
    <t>stop無:1回目:0.30
stop無:2回目:0.65
stop有:3回目:1.05</t>
  </si>
  <si>
    <t>chara_dan_00202_normal</t>
  </si>
  <si>
    <t>chara_dan_00202_special</t>
  </si>
  <si>
    <t>招き猫 ターボババア</t>
  </si>
  <si>
    <t>クソだらあ!!</t>
  </si>
  <si>
    <t>1.60</t>
  </si>
  <si>
    <t>stop無:1回目 0.38
stop無:2回目 0.83
stop無:3回目 1.16</t>
  </si>
  <si>
    <t>1.83</t>
  </si>
  <si>
    <t>stop無:1回目：0.30</t>
  </si>
  <si>
    <t>chara_dan_00301_normal</t>
  </si>
  <si>
    <t>chara_dan_00301_special</t>
  </si>
  <si>
    <t>坂田 金太</t>
  </si>
  <si>
    <t>1.6</t>
  </si>
  <si>
    <t>0.92</t>
  </si>
  <si>
    <t>stop有:1.05</t>
  </si>
  <si>
    <t>不明：メダルガシャ追加時</t>
  </si>
  <si>
    <t>00601</t>
  </si>
  <si>
    <t>星子</t>
  </si>
  <si>
    <t>stop有:0.50</t>
  </si>
  <si>
    <t>2.5</t>
  </si>
  <si>
    <t>stop無:1.57</t>
  </si>
  <si>
    <t>ハーフアニバ想定</t>
  </si>
  <si>
    <t>ハーフアニバーサリー</t>
  </si>
  <si>
    <t>囚われの王女 姫様</t>
  </si>
  <si>
    <t>決して屈しない！</t>
  </si>
  <si>
    <t>1.30</t>
  </si>
  <si>
    <t>stop有:1回目 0.50</t>
  </si>
  <si>
    <t>stop無:1回目 2.3</t>
  </si>
  <si>
    <t>chara_gom_00001_normal</t>
  </si>
  <si>
    <t>chara_gom_00001_special</t>
  </si>
  <si>
    <t>“拷問”の時間です</t>
  </si>
  <si>
    <t>PremiumSR</t>
  </si>
  <si>
    <t>stop無:1回目 0.43</t>
  </si>
  <si>
    <t>4.84</t>
  </si>
  <si>
    <t>stop無:1回目 3.00</t>
  </si>
  <si>
    <t>chara_gom_00101_normal</t>
  </si>
  <si>
    <t>chara_gom_00101_special</t>
  </si>
  <si>
    <t>ワンちゃん大量作戦だ☆</t>
  </si>
  <si>
    <t>stop無:1回目 0.40
stop無:2回目 0.60
stop無:3回目 0.80</t>
  </si>
  <si>
    <t>5.00</t>
  </si>
  <si>
    <t>stop無:1回目 2.10
stop無:2回目 2.30
stop無:3回目 2.50
stop無:4回目 2.70
stop無:5回目 2.90
stop無:6回目 3.20
stop無:7回目 3.40
stop無:8回目 3.60
stop無:9回目 3.80</t>
  </si>
  <si>
    <t>chara_gom_00201_normal</t>
  </si>
  <si>
    <t>chara_gom_00201_special</t>
  </si>
  <si>
    <t>魔王 ゴッドサンダー</t>
  </si>
  <si>
    <t>stop有: 0.55</t>
  </si>
  <si>
    <t>stop有: 1.5</t>
  </si>
  <si>
    <t>(仮)2026/03/01 15:00:00</t>
  </si>
  <si>
    <t>姫様“拷問”の時間ですいいジャン祭</t>
  </si>
  <si>
    <t>マオマオちゃん</t>
  </si>
  <si>
    <t>stop無: 1</t>
  </si>
  <si>
    <t>陽鬼</t>
  </si>
  <si>
    <t>stop有: 0.51</t>
  </si>
  <si>
    <t>stop無:1回目 0.5
stop無:2回目 1.3
stop有:3回目 2.08</t>
  </si>
  <si>
    <t>陰鬼</t>
  </si>
  <si>
    <t>stop有: 0.33</t>
  </si>
  <si>
    <t>stop無:1回目 0.46
stop無:2回目 0.61
stop無:3回目 0.81
stop有:4回目 1.01</t>
  </si>
  <si>
    <t>00701</t>
  </si>
  <si>
    <t>カナッジ</t>
  </si>
  <si>
    <t>stop有: 0.42</t>
  </si>
  <si>
    <t>2.27</t>
  </si>
  <si>
    <t>stop無: 0.92</t>
  </si>
  <si>
    <t>股間！しか！狙わねえ！</t>
  </si>
  <si>
    <t>1.40</t>
  </si>
  <si>
    <t>3.37</t>
  </si>
  <si>
    <t>chara_chi_00001_normal</t>
  </si>
  <si>
    <t>chara_chi_00001_special</t>
  </si>
  <si>
    <t>▼フレーバーなど下記のシートに記載
GLOW_キャラ名称＆キャラセリフ資料
必殺技発動前に必殺技名を吹き出しにて表示をする</t>
  </si>
  <si>
    <t>悪魔が恐れる悪魔 チェンソーマン</t>
  </si>
  <si>
    <t>ぶっ殺さねえとなあ！</t>
  </si>
  <si>
    <t>1.07</t>
  </si>
  <si>
    <t>stop無:1回目 0.66</t>
  </si>
  <si>
    <t>3.74</t>
  </si>
  <si>
    <t>stop無:1回目 0.53
stop無:2回目 0.70
stop無:3回目 0.90
stop無:4回目 1.03
stop無:5回目 1.23
stop有:6回目 2.62</t>
  </si>
  <si>
    <t>chara_chi_00002_normal</t>
  </si>
  <si>
    <t>chara_chi_00002_special</t>
  </si>
  <si>
    <t xml:space="preserve">▼フレーバーなど下記のシートに記載
GLOW_キャラ名称＆キャラセリフ資料
</t>
  </si>
  <si>
    <t>早川 アキ</t>
  </si>
  <si>
    <t>狐の悪魔</t>
  </si>
  <si>
    <t>0.84</t>
  </si>
  <si>
    <t>chara_chi_00201_normal</t>
  </si>
  <si>
    <t>chara_chi_00201_special</t>
  </si>
  <si>
    <t>パワー</t>
  </si>
  <si>
    <t>血の匂いじゃ！</t>
  </si>
  <si>
    <t>0.58</t>
  </si>
  <si>
    <t>catchcopy_character_chara_chi_00201.png</t>
  </si>
  <si>
    <t>chara_chi_00301_normal</t>
  </si>
  <si>
    <t>chara_chi_00301_special</t>
  </si>
  <si>
    <t>マキマ</t>
  </si>
  <si>
    <t>調整中</t>
  </si>
  <si>
    <t>チェンソーマンいいジャン祭</t>
  </si>
  <si>
    <t>姫野</t>
  </si>
  <si>
    <t>1.17</t>
  </si>
  <si>
    <t>.5</t>
  </si>
  <si>
    <t>1.87</t>
  </si>
  <si>
    <t>stop有:1</t>
  </si>
  <si>
    <t>小紅</t>
  </si>
  <si>
    <t>stop有:1回目 0.36</t>
  </si>
  <si>
    <t>2.07</t>
  </si>
  <si>
    <t>stop有:1回目 1.20</t>
  </si>
  <si>
    <t>沢渡 アカネ</t>
  </si>
  <si>
    <t>1.2</t>
  </si>
  <si>
    <t>0.27</t>
  </si>
  <si>
    <t>stop有:0.86</t>
  </si>
  <si>
    <t>00801</t>
  </si>
  <si>
    <t>サムライソード</t>
  </si>
  <si>
    <t>stop有:1回目0.58</t>
  </si>
  <si>
    <t>stop有:1回目0.91</t>
  </si>
  <si>
    <t>00901</t>
  </si>
  <si>
    <t>レゼ</t>
  </si>
  <si>
    <t>負ける気なんて毛頭ない</t>
  </si>
  <si>
    <t>1.97</t>
  </si>
  <si>
    <t>0.70</t>
  </si>
  <si>
    <t>0.96</t>
  </si>
  <si>
    <t>chara_bat_00001_normal</t>
  </si>
  <si>
    <t>chara_bat_00001_special</t>
  </si>
  <si>
    <t>天才捕手 要圭</t>
  </si>
  <si>
    <t>0.75</t>
  </si>
  <si>
    <t>3.00</t>
  </si>
  <si>
    <t>chara_bat_00101_normal</t>
  </si>
  <si>
    <t>chara_bat_00101_special</t>
  </si>
  <si>
    <t>00102</t>
  </si>
  <si>
    <t>智将 要 圭</t>
  </si>
  <si>
    <t>千早 瞬平</t>
  </si>
  <si>
    <t>藤堂 葵</t>
  </si>
  <si>
    <t>日比野 カフカ</t>
  </si>
  <si>
    <t>部分変身!!</t>
  </si>
  <si>
    <t>chara_kai_00001_special</t>
  </si>
  <si>
    <t>隠された英雄の姿 怪獣８号</t>
  </si>
  <si>
    <t>2.40</t>
  </si>
  <si>
    <t>stop有:1回目 1.00
stop無:2回目 1.37
stop無:3回目 1.54
stop無:4回目 1.70
stop無:5回目 1.87
stop無:6回目 2.04</t>
  </si>
  <si>
    <t>chara_kai_00002_normal</t>
  </si>
  <si>
    <t>chara_kai_00002_special</t>
  </si>
  <si>
    <t>00003</t>
  </si>
  <si>
    <t>ドレスアップ怪獣８号</t>
  </si>
  <si>
    <t>仲間のために体張れる男だ!!</t>
  </si>
  <si>
    <t>stop無:1回目 0.91</t>
  </si>
  <si>
    <t>3.17</t>
  </si>
  <si>
    <t>stop無:1回目 1.05
stop無:2回目 1.33
stop無:3回目 1.76</t>
  </si>
  <si>
    <t>chara_kai_00101_normal</t>
  </si>
  <si>
    <t>chara_kai_00101_special</t>
  </si>
  <si>
    <t>識別怪獣兵器6 市川 レノ</t>
  </si>
  <si>
    <t>2026/07/上旬</t>
  </si>
  <si>
    <t>怪獣８号 2回目 いいジャン祭</t>
  </si>
  <si>
    <t>第三部隊隊長 亜白 ミナ</t>
  </si>
  <si>
    <t>解放戦力 96%</t>
  </si>
  <si>
    <t>4.41</t>
  </si>
  <si>
    <t>stop無:1回目 1.42
stop無:2回目 1.85
stop無:3回目 2.29
stop無:4回目 2.73
stop有:5回目 3.17</t>
  </si>
  <si>
    <t>chara_kai_00201_normal</t>
  </si>
  <si>
    <t>chara_kai_00201_special</t>
  </si>
  <si>
    <t>怪獣８号いいジャン祭</t>
  </si>
  <si>
    <t>202509010_怪獣8号</t>
  </si>
  <si>
    <t>超大型キラー 亜白 ミナ</t>
  </si>
  <si>
    <t>隊式斧術1式　落雷</t>
  </si>
  <si>
    <t>2.04</t>
  </si>
  <si>
    <t>3.34</t>
  </si>
  <si>
    <t>chara_kai_00301_normal</t>
  </si>
  <si>
    <t>chara_kai_00301_special</t>
  </si>
  <si>
    <t>00302</t>
  </si>
  <si>
    <t>識別怪獣兵器4 四ノ宮 キコル</t>
  </si>
  <si>
    <t>保科 宗四郎</t>
  </si>
  <si>
    <t>6式 八重討ち</t>
  </si>
  <si>
    <t>1.27</t>
  </si>
  <si>
    <t>stop無:1回目 0.25
stop無:2回目 0.91
stop無:3回目 1.05
stop無:4回目 1.15
stop有:5回目 1.66</t>
  </si>
  <si>
    <t>chara_kai_00401_normal</t>
  </si>
  <si>
    <t>chara_kai_00401_special</t>
  </si>
  <si>
    <t>四ノ宮 功</t>
  </si>
  <si>
    <t>隊式格闘術2式 発破</t>
  </si>
  <si>
    <t>1.10</t>
  </si>
  <si>
    <t>1.62</t>
  </si>
  <si>
    <t>chara_kai_00501_normal</t>
  </si>
  <si>
    <t>chara_kai_00501_special</t>
  </si>
  <si>
    <t>古橋 伊春</t>
  </si>
  <si>
    <t>俺がお前を守るんだ バカヤロー</t>
  </si>
  <si>
    <t>stop有:1回目 0.71</t>
  </si>
  <si>
    <t>stop無:1回目 0.93</t>
  </si>
  <si>
    <t>chara_kai_00601_normal</t>
  </si>
  <si>
    <t>chara_kai_00601_special</t>
  </si>
  <si>
    <t>識別怪獣兵器1 鳴海 弦</t>
  </si>
  <si>
    <t>東雲 りん</t>
  </si>
  <si>
    <t>四ノ宮ヒカリ</t>
  </si>
  <si>
    <t>01001</t>
  </si>
  <si>
    <t>怪獣15号</t>
  </si>
  <si>
    <t>リリエルに捧ぐ愛 天乃 リリサ</t>
  </si>
  <si>
    <t>リリエル爆破!!</t>
  </si>
  <si>
    <t>1.54</t>
  </si>
  <si>
    <t>3.67</t>
  </si>
  <si>
    <t>chara_yuw_00001_normal</t>
  </si>
  <si>
    <t>chara_yuw_00001_special</t>
  </si>
  <si>
    <t>天乃 リリサ(クリスマス)</t>
  </si>
  <si>
    <t>不明</t>
  </si>
  <si>
    <t>コスプレに託す乙女心 橘 美花莉</t>
  </si>
  <si>
    <t>私を見てよ！</t>
  </si>
  <si>
    <t>stop無:1回目 0.45
stop無:2回目 0.55
stop無:3回目 0.67
stop無:4回目 0.77
stop無:5回目 0.90
stop無:6回目 0.95</t>
  </si>
  <si>
    <t>3.50</t>
  </si>
  <si>
    <t>stop無: 1回目 3.20</t>
  </si>
  <si>
    <t>chara_yuw_00101_normal</t>
  </si>
  <si>
    <t>chara_yuw_00101_special</t>
  </si>
  <si>
    <t>クリスマス 橘 美花莉</t>
  </si>
  <si>
    <t>愛届ける聖夜のサンタ 橘 美花莉</t>
  </si>
  <si>
    <t>プレゼントは私だよ〜♡</t>
  </si>
  <si>
    <t>FestivalUR</t>
  </si>
  <si>
    <t>1.67</t>
  </si>
  <si>
    <t>3.5</t>
  </si>
  <si>
    <t>stop無: 1回目 2.00</t>
  </si>
  <si>
    <t>2025年 クリスマス限定ガシャ</t>
  </si>
  <si>
    <t>202512015_クリスマス</t>
  </si>
  <si>
    <t>羽生 まゆり</t>
  </si>
  <si>
    <t>先生がもう一肌脱ぐしかないわね</t>
  </si>
  <si>
    <t>1.06</t>
  </si>
  <si>
    <t>0.34</t>
  </si>
  <si>
    <t>4.67</t>
  </si>
  <si>
    <t>2.5次元の誘惑いいジャン祭</t>
  </si>
  <si>
    <t>202511020_【クリスマス】2.5次元の誘惑</t>
  </si>
  <si>
    <t>勇気を纏うコスプレ 乃愛</t>
  </si>
  <si>
    <t>命に換えてもお守りします</t>
  </si>
  <si>
    <t>stop無:1回目 0.50
stop無:2回目 1.00</t>
  </si>
  <si>
    <t>chara_yuw_00301_normal</t>
  </si>
  <si>
    <t>chara_yuw_00301_special</t>
  </si>
  <si>
    <t>伝えたいウチの想い　喜咲 アリア</t>
  </si>
  <si>
    <t>伝えたいウチの想い 喜咲 アリア</t>
  </si>
  <si>
    <t>アタシに任せてよ!!</t>
  </si>
  <si>
    <t>753♡</t>
  </si>
  <si>
    <t>どっちがコスプレを愛してる？</t>
  </si>
  <si>
    <t>1.24</t>
  </si>
  <si>
    <t>2.17</t>
  </si>
  <si>
    <t>stop無: 1回目 1.50</t>
  </si>
  <si>
    <t>chara_yuw_00501_normal</t>
  </si>
  <si>
    <t>chara_yuw_00501_special</t>
  </si>
  <si>
    <t>00502</t>
  </si>
  <si>
    <t>753♡(魔女コスプレ)</t>
  </si>
  <si>
    <t>奥村 正宗</t>
  </si>
  <si>
    <t>事実だけ言ってやる!!</t>
  </si>
  <si>
    <t>0.67</t>
  </si>
  <si>
    <t>stop無: 1回目 0.68</t>
  </si>
  <si>
    <t>chara_yuw_00601_normal</t>
  </si>
  <si>
    <t>chara_yuw_00601_special</t>
  </si>
  <si>
    <t>張り切っちゃうぜ！</t>
  </si>
  <si>
    <t>stop有:1回目 0.30</t>
  </si>
  <si>
    <t>2.80</t>
  </si>
  <si>
    <t>stop無:1回目 2.00</t>
  </si>
  <si>
    <t>chara_sur_00001_special</t>
  </si>
  <si>
    <t>誇り高き魔都の剣姫 羽前京香</t>
  </si>
  <si>
    <t>誇り高き魔都の剣姫 羽前 京香</t>
  </si>
  <si>
    <t>乱れ山桜</t>
  </si>
  <si>
    <t>stop無:1回目 0.33</t>
  </si>
  <si>
    <t>stop無:1回目 0.40
stop無:2回目 0.60
stop無:3回目 0.80
stop無:4回目 0.90
stop無:5回目 1.03
stop有:6回目 1.57</t>
  </si>
  <si>
    <t>chara_sur_00101_normal</t>
  </si>
  <si>
    <t>chara_sur_00101_special</t>
  </si>
  <si>
    <t>武装小町</t>
  </si>
  <si>
    <t>1.47</t>
  </si>
  <si>
    <t>stop無:1回目 0.37</t>
  </si>
  <si>
    <t>stop無:1回目 0.74
stop無:2回目 0.92
stop無:3回目 1.1
stop無:4回目 1.28
stop無:5回目 1.45
stop無:6回目 1.65
stop有:7回目 1.84</t>
  </si>
  <si>
    <t>玉体革命</t>
  </si>
  <si>
    <t>1.56</t>
  </si>
  <si>
    <t>1.91</t>
  </si>
  <si>
    <t>0.73</t>
  </si>
  <si>
    <t>chara_sur_00301_normal</t>
  </si>
  <si>
    <t>chara_sur_00301_special</t>
  </si>
  <si>
    <t>きっと見つける</t>
  </si>
  <si>
    <t>chara_sur_00401_special</t>
  </si>
  <si>
    <t>出雲 天花</t>
  </si>
  <si>
    <t>空間を操る六番組組長 出雲 天花</t>
  </si>
  <si>
    <t>天御鳥命</t>
  </si>
  <si>
    <t>1.71</t>
  </si>
  <si>
    <t>stop有:1回目 0.93</t>
  </si>
  <si>
    <t>stop有:1回目 1.53</t>
  </si>
  <si>
    <t>魔都精兵のスレイブいいジャン祭</t>
  </si>
  <si>
    <t>202512010_魔都精兵のスレイブ</t>
  </si>
  <si>
    <t>東 八千穂</t>
  </si>
  <si>
    <t>東の辰刻</t>
  </si>
  <si>
    <t>stop有:1回目 0.75</t>
  </si>
  <si>
    <t>stop有:1回目 1.2</t>
  </si>
  <si>
    <t>和倉 青羽</t>
  </si>
  <si>
    <t>弟について喋ってるでしょ</t>
  </si>
  <si>
    <t>0.28</t>
  </si>
  <si>
    <t>2.01</t>
  </si>
  <si>
    <t>stop無:1回目 0.67
stop無:2回目 0.84
stop無:3回目 1
stop有:4回目 1.25</t>
  </si>
  <si>
    <t>和倉優希（変身）</t>
  </si>
  <si>
    <t>無窮の鎖 和倉 優希</t>
  </si>
  <si>
    <t>隷架拳</t>
  </si>
  <si>
    <t>stop有:1回目 0.66</t>
  </si>
  <si>
    <t>stop有:1回目 1.06</t>
  </si>
  <si>
    <t>山城 恋</t>
  </si>
  <si>
    <t>万物を統べる総組長 山城 恋</t>
  </si>
  <si>
    <t>万物を総該した無限宇宙の全一</t>
  </si>
  <si>
    <t>stop有 : 0.43</t>
  </si>
  <si>
    <t>2.92</t>
  </si>
  <si>
    <t>stop有 : 1.31</t>
  </si>
  <si>
    <t>ストックキャラ</t>
  </si>
  <si>
    <t>今からそれを証明してみせる</t>
  </si>
  <si>
    <t>stop有:1回目 0.92</t>
  </si>
  <si>
    <t>2.74</t>
  </si>
  <si>
    <t>stop有:1回目 1.17
stop無:2回目 1.50
stop無:3回目 1.67
stop無:4回目 1.84
stop無:5回目 1.97</t>
  </si>
  <si>
    <t>chara_ron_00001_normal</t>
  </si>
  <si>
    <t>chara_ron_00001_special</t>
  </si>
  <si>
    <t>ピュアでマヌケな名探偵</t>
  </si>
  <si>
    <t>1.44</t>
  </si>
  <si>
    <t>chara_ron_00101_normal</t>
  </si>
  <si>
    <t>chara_ron_00101_special</t>
  </si>
  <si>
    <t>公園は皆のものだから</t>
  </si>
  <si>
    <t>1.05</t>
  </si>
  <si>
    <t>chara_aha_00001_special</t>
  </si>
  <si>
    <t>さっきはありがとう</t>
  </si>
  <si>
    <t>stop有:1回目 0.46</t>
  </si>
  <si>
    <t>chara_aha_00101_normal</t>
  </si>
  <si>
    <t>chara_aha_00101_special</t>
  </si>
  <si>
    <t>ハッピー星からの使者 タコピー</t>
  </si>
  <si>
    <t>笑ってもらえるように</t>
  </si>
  <si>
    <t>0.44</t>
  </si>
  <si>
    <t>chara_tak_00001_normal</t>
  </si>
  <si>
    <t>chara_tak_00001_special</t>
  </si>
  <si>
    <t>久世 しずか＆タコピー</t>
  </si>
  <si>
    <t>雲母坂 まりな</t>
  </si>
  <si>
    <t>がらんの画眉丸</t>
  </si>
  <si>
    <t>忍法 火法師</t>
  </si>
  <si>
    <t>stop有:1回目0.20</t>
  </si>
  <si>
    <t>2.30</t>
  </si>
  <si>
    <t>stop有:1回目 0.08
stop有:2回目 0.90
stop有:3回目 1.50</t>
  </si>
  <si>
    <t>chara_jig_00001_normal</t>
  </si>
  <si>
    <t>chara_jig_00001_special</t>
  </si>
  <si>
    <t>試一刀流 具足割</t>
  </si>
  <si>
    <t>chara_jig_00101_normal</t>
  </si>
  <si>
    <t>chara_jig_00101_special</t>
  </si>
  <si>
    <t>杠</t>
  </si>
  <si>
    <t xml:space="preserve">忍法 線斬行 </t>
  </si>
  <si>
    <t>stop有:1回目 1</t>
  </si>
  <si>
    <t>2.56</t>
  </si>
  <si>
    <t>stop有:1回目1.66</t>
  </si>
  <si>
    <t>chara_jig_00201_normal</t>
  </si>
  <si>
    <t>chara_jig_00201_special</t>
  </si>
  <si>
    <t>山田浅ェ門 仙汰</t>
  </si>
  <si>
    <t>僕を通して貰わないと</t>
  </si>
  <si>
    <t>1.80</t>
  </si>
  <si>
    <t>stop有0.50</t>
  </si>
  <si>
    <t>2.34</t>
  </si>
  <si>
    <t>stop無:1回目：0.35
stop無:2回目：0.50
stop無:3回目 0.62
stop無:4回目 0.78
stop有:5回目 1.00</t>
  </si>
  <si>
    <t>chara_jig_00301_special</t>
  </si>
  <si>
    <t>賊王 亜左 弔兵衛</t>
  </si>
  <si>
    <t>オレの神もオレだ!!</t>
  </si>
  <si>
    <t>stop有:1回目0.50</t>
  </si>
  <si>
    <t>stop有:1回目1.57</t>
  </si>
  <si>
    <t>地獄楽いいジャン祭</t>
  </si>
  <si>
    <t>202601010_地獄楽</t>
  </si>
  <si>
    <t>山田浅ェ門 桐馬</t>
  </si>
  <si>
    <t>兄さんは強いんだ</t>
  </si>
  <si>
    <t>stop有:1回目0.4</t>
  </si>
  <si>
    <t>3.33</t>
  </si>
  <si>
    <t>stop無:1.67</t>
  </si>
  <si>
    <t>民谷 巌鉄斎</t>
  </si>
  <si>
    <t>真の不老不死だ!!</t>
  </si>
  <si>
    <t>stop有:1回目0.6</t>
  </si>
  <si>
    <t>stop有:1.5</t>
  </si>
  <si>
    <t>メイ</t>
  </si>
  <si>
    <t>強イモ弱イモ ゼンブダイジ</t>
  </si>
  <si>
    <t>新人魔法少女 桜木 カナ</t>
  </si>
  <si>
    <t>私は役に立てる</t>
  </si>
  <si>
    <t>1.77</t>
  </si>
  <si>
    <t>stop無:1回目 0.75
stop無:2回目 0.92
stop無:3回目 1.08
stop無:4回目 1.25
stop無:5回目 1.42
stop無:6回目 1.58</t>
  </si>
  <si>
    <t>chara_mag_00001_normal</t>
  </si>
  <si>
    <t>chara_mag_00001_special</t>
  </si>
  <si>
    <t>まずァ一発！</t>
  </si>
  <si>
    <t>1.90</t>
  </si>
  <si>
    <t>chara_mag_00101_normal</t>
  </si>
  <si>
    <t>chara_mag_00101_special</t>
  </si>
  <si>
    <t>土刃 メイ</t>
  </si>
  <si>
    <t>絶対効率の体現者 土刃 メイ</t>
  </si>
  <si>
    <t>これが仕事です</t>
  </si>
  <si>
    <t>stop有:1回目 0.42</t>
  </si>
  <si>
    <t>2.71</t>
  </si>
  <si>
    <t>stop有:1回目 0.38
stop無:2回目 1.55
stop無:3回目 1.8
stop無:4回目 2.1</t>
  </si>
  <si>
    <t>株式会社マジルミエいいジャン祭</t>
  </si>
  <si>
    <t>202511010_株式会社マジルミエ</t>
  </si>
  <si>
    <t>葵 リリー</t>
  </si>
  <si>
    <t>笑って</t>
  </si>
  <si>
    <t>stop有:0.6</t>
  </si>
  <si>
    <t>stop無 1</t>
  </si>
  <si>
    <t>槇野 あかね</t>
  </si>
  <si>
    <t>花散一閃</t>
  </si>
  <si>
    <t>1.31</t>
  </si>
  <si>
    <t>stop有 :1回目 0.6</t>
  </si>
  <si>
    <t>stop有 :1回目 0.62</t>
  </si>
  <si>
    <t>重本 浩司</t>
  </si>
  <si>
    <t>心配いらんぞ</t>
  </si>
  <si>
    <t>明日家来る？</t>
  </si>
  <si>
    <t>0.60</t>
  </si>
  <si>
    <t>2.60</t>
  </si>
  <si>
    <t>chara_dos_00001_normal</t>
  </si>
  <si>
    <t>chara_dos_00001_special</t>
  </si>
  <si>
    <t>誰にも負けない</t>
  </si>
  <si>
    <t>chara_dos_00101_special</t>
  </si>
  <si>
    <t>フカンしろ!!</t>
  </si>
  <si>
    <t>stop無:1回目 0.65</t>
  </si>
  <si>
    <t>stop無:1回目 0.75
stop無:2回目 0.93
stop無:3回目 1.15</t>
  </si>
  <si>
    <t>chara_sum_00001_normal</t>
  </si>
  <si>
    <t>chara_sum_00001_special</t>
  </si>
  <si>
    <t>影のウシオ 小舟 潮</t>
  </si>
  <si>
    <t>守っちゃってね</t>
  </si>
  <si>
    <t>2.20</t>
  </si>
  <si>
    <t>chara_sum_00101_normal</t>
  </si>
  <si>
    <t>chara_sum_00101_special</t>
  </si>
  <si>
    <t>おかえり慎ちゃん!!</t>
  </si>
  <si>
    <t>2.37</t>
  </si>
  <si>
    <t>stop有 :1回目 0.67</t>
  </si>
  <si>
    <t>stop有 :1回目 1.70</t>
  </si>
  <si>
    <t>chara_sum_00201_normal</t>
  </si>
  <si>
    <t>chara_sum_00201_special</t>
  </si>
  <si>
    <t>作成中</t>
  </si>
  <si>
    <t>南方 ひづる</t>
  </si>
  <si>
    <t>小舟 澪の影</t>
  </si>
  <si>
    <t>ハイネ＆シデ</t>
  </si>
  <si>
    <t>星野 アイ</t>
  </si>
  <si>
    <t>B小町不動のセンター アイ</t>
  </si>
  <si>
    <t>究極のアイドル</t>
  </si>
  <si>
    <t>3.24</t>
  </si>
  <si>
    <t>stop無:1回目 1.83</t>
  </si>
  <si>
    <t>【推しの子】いいジャン祭</t>
  </si>
  <si>
    <t>202512020_推しの子＆年末＆正月</t>
  </si>
  <si>
    <t>星野 アクア</t>
  </si>
  <si>
    <t>復讐を誓う片星 星野 アクア</t>
  </si>
  <si>
    <t>同じ轍を踏ませない</t>
  </si>
  <si>
    <t>星野 アクア (東京ブレイド編ver.)</t>
  </si>
  <si>
    <t>星野 ルビー</t>
  </si>
  <si>
    <t>憧れのアイドルへ!!</t>
  </si>
  <si>
    <t>stop有:1回目 0.30
stop有:2回目 0.60</t>
  </si>
  <si>
    <t>stop無:1回目 1.66</t>
  </si>
  <si>
    <t>星野 ルビー（闇堕ち演技ver）</t>
  </si>
  <si>
    <t>MEMちょ</t>
  </si>
  <si>
    <t>バズらせのプロ</t>
  </si>
  <si>
    <t>stop無:1回目 0.18
stop無:1回目 0.35
stop無:1回目 0.52</t>
  </si>
  <si>
    <t>stop無:1回目 1.78</t>
  </si>
  <si>
    <t>有馬 かな</t>
  </si>
  <si>
    <t>光はあるから</t>
  </si>
  <si>
    <t>0.5</t>
  </si>
  <si>
    <t>2.47</t>
  </si>
  <si>
    <t>stop無:1回目 1.00</t>
  </si>
  <si>
    <t>00402</t>
  </si>
  <si>
    <t>有馬 かな (東京ブレイド編ver.)</t>
  </si>
  <si>
    <t>黒川 あかね</t>
  </si>
  <si>
    <t>あっ　もうカメラ回ってる？</t>
  </si>
  <si>
    <t>0.3</t>
  </si>
  <si>
    <t>1.78</t>
  </si>
  <si>
    <t>黒川 あかね (東京ブレイド編ver.)</t>
  </si>
  <si>
    <t>ぴえヨン</t>
  </si>
  <si>
    <t>ぴえヨンブートダンス</t>
  </si>
  <si>
    <t>stop無:1回目 0.28
stop無:2回目 0.70</t>
  </si>
  <si>
    <t>stop無:1回目 0.50
stop無:2回目 0.83
stop無:3回目 1.16
stop無:4回目 1.50</t>
  </si>
  <si>
    <t>雨宮 吾郎</t>
  </si>
  <si>
    <t>君の奴隷(ファン)だ</t>
  </si>
  <si>
    <t>2.14</t>
  </si>
  <si>
    <t>stop無:0.6</t>
  </si>
  <si>
    <t>メダルガシャ追加時</t>
  </si>
  <si>
    <t>斉藤 ミヤコ</t>
  </si>
  <si>
    <t>推さない 駆けない 喋らない！</t>
  </si>
  <si>
    <t>3</t>
  </si>
  <si>
    <t>stopud無 : 0.66</t>
  </si>
  <si>
    <t>リタ</t>
  </si>
  <si>
    <t>元殺し屋の新人教諭 リタ</t>
  </si>
  <si>
    <t xml:space="preserve">お遊戯の時間です </t>
  </si>
  <si>
    <t>stop有:1回目 0.45</t>
  </si>
  <si>
    <t>stop無:1回目 0.72
stop無:2回目 0.88
stop有:3回目 1.12</t>
  </si>
  <si>
    <t>幼稚園WARS いいジャン祭</t>
  </si>
  <si>
    <t>202602010_幼稚園WARS</t>
  </si>
  <si>
    <t>ルーク</t>
  </si>
  <si>
    <t>さよならのお時間だ</t>
  </si>
  <si>
    <t>stop有:1回目 0.65</t>
  </si>
  <si>
    <t>3.57</t>
  </si>
  <si>
    <t>stop無:1回目 0.97
stop無:2回目 1.08
stop無:3回目 1.2
stop無:4回目 1.32
stop有:5回目 1.48</t>
  </si>
  <si>
    <t>ダグ</t>
  </si>
  <si>
    <t xml:space="preserve">これで貸しはチャラだ </t>
  </si>
  <si>
    <t>stop無:1回目 1.00
stop無:2回目 1.26
stop無:3回目 1.50
stop有:4回目 1.70</t>
  </si>
  <si>
    <t>大丈夫だ</t>
  </si>
  <si>
    <t>stop有:1回目 0.7</t>
  </si>
  <si>
    <t>stop有 :1回目 2.2</t>
  </si>
  <si>
    <t>花園羽々里</t>
  </si>
  <si>
    <t>溢れる母性 花園 羽々里</t>
  </si>
  <si>
    <t>私と付き合ってちょうだい!!</t>
  </si>
  <si>
    <t>1.3</t>
  </si>
  <si>
    <t>stop有:1回目 0.67</t>
  </si>
  <si>
    <t>stop無:1回目 0.63
stop無:2回目 0.8
stop無:3回目 0.99
stop無:4回目 1.2
stop有:5回目 1.60</t>
  </si>
  <si>
    <t>2026/02中旬</t>
  </si>
  <si>
    <t>君のことが大大大大大好きな100人の彼女 いいジャン祭</t>
  </si>
  <si>
    <t>花園羽香里</t>
  </si>
  <si>
    <t>花園 羽香里</t>
  </si>
  <si>
    <t>す…好きです……！</t>
  </si>
  <si>
    <t>1.23</t>
  </si>
  <si>
    <t>stop有:1回目 0.25</t>
  </si>
  <si>
    <t>stop無:1回目 1.11
stop無:2回目 1.33
stop無:3回目 1.53
stop無:4回目 1.75
stop有:5回目 1.93</t>
  </si>
  <si>
    <t>院田唐音</t>
  </si>
  <si>
    <t>院田 唐音</t>
  </si>
  <si>
    <t>好きなの……っ</t>
  </si>
  <si>
    <t>stop有:1回目 0.2</t>
  </si>
  <si>
    <t>stop無 :1回目 1.2</t>
  </si>
  <si>
    <t>好本 静</t>
  </si>
  <si>
    <t>「好きです」</t>
  </si>
  <si>
    <t>1.75</t>
  </si>
  <si>
    <t>stop有:1回目 0.78</t>
  </si>
  <si>
    <t>3.6</t>
  </si>
  <si>
    <t>鳩野 ちひろ</t>
  </si>
  <si>
    <t>ひたむきギタリスト 鳩野 ちひろ</t>
  </si>
  <si>
    <t>stop有 :1回目 0.15</t>
  </si>
  <si>
    <t>2.8</t>
  </si>
  <si>
    <t>stop有:1回目 0.87</t>
  </si>
  <si>
    <t>2026/03上旬</t>
  </si>
  <si>
    <t>ふつうの軽音部 いいジャン祭</t>
  </si>
  <si>
    <t>幸山 厘</t>
  </si>
  <si>
    <t>はとちゃん あなたは神</t>
  </si>
  <si>
    <t>1.58</t>
  </si>
  <si>
    <t>stop有 :1回目 0.75</t>
  </si>
  <si>
    <t>2.58</t>
  </si>
  <si>
    <t>stop有:1回目 0.33
stop無:2回目 0.78
stop無:3回目 1.0
stop無:4回目 1.27
stop無:5回目 1.58</t>
  </si>
  <si>
    <t>内田 桃</t>
  </si>
  <si>
    <t>どれだけ未熟でも</t>
  </si>
  <si>
    <t>stop有 :1回目 0.34</t>
  </si>
  <si>
    <t>2.84</t>
  </si>
  <si>
    <t>stop無:1回目 1.1
stop無:2回目 1.44
stop有:3回目 1.97</t>
  </si>
  <si>
    <t>藤井 彩目</t>
  </si>
  <si>
    <t>かましたらなあかんやろ！</t>
  </si>
  <si>
    <t>stop有 :1回目 0.33</t>
  </si>
  <si>
    <t>2.42</t>
  </si>
  <si>
    <t>stop無:1回目 0.3
stop無:2回目 0.61
stop無:3回目 0.93
stop無:4回目 1.25
stop有:5回目 1.6</t>
  </si>
  <si>
    <t>青木 瑠璃</t>
  </si>
  <si>
    <t>カネが欲しいッ!!</t>
  </si>
  <si>
    <t>stop有 :1回目 0.45</t>
  </si>
  <si>
    <t>3.35</t>
  </si>
  <si>
    <t>stop無:1回目 0.85</t>
  </si>
  <si>
    <t>SSR：祥龍院隆子</t>
  </si>
  <si>
    <t>祥龍院 隆子</t>
  </si>
  <si>
    <t>お嬢様は”完璧”であるべき</t>
  </si>
  <si>
    <t>1.08</t>
  </si>
  <si>
    <t>stop有 : 0.55</t>
  </si>
  <si>
    <t>3.45</t>
  </si>
  <si>
    <t>stop有 : 0.73</t>
  </si>
  <si>
    <t>R：灰（アラガネの子）</t>
  </si>
  <si>
    <t>灰</t>
  </si>
  <si>
    <t>金剛石 煌反閃転</t>
  </si>
  <si>
    <t>stop有 :1回目 0.3</t>
  </si>
  <si>
    <t>stop有 : 0.7</t>
  </si>
  <si>
    <t>風巻 祭里</t>
  </si>
  <si>
    <t>一子相伝の風使い 風巻 祭里</t>
  </si>
  <si>
    <t>風巻流・祓忍法 螺旋突</t>
  </si>
  <si>
    <t>stop有 :1回目 0.55</t>
  </si>
  <si>
    <t>stop有:1回目 0.38
stop無:2回目 1.5</t>
  </si>
  <si>
    <t>2026/04/中旬</t>
  </si>
  <si>
    <t>あやかしトライアングル いいジャン祭</t>
  </si>
  <si>
    <t>花奏 すず</t>
  </si>
  <si>
    <t>妖巫女の覚悟</t>
  </si>
  <si>
    <t>2.57</t>
  </si>
  <si>
    <t>stop有 : 1.13</t>
  </si>
  <si>
    <t>香炉木 恋緒</t>
  </si>
  <si>
    <t>サポートする責任があるんです</t>
  </si>
  <si>
    <t>stop有 :1回目 0.58</t>
  </si>
  <si>
    <t>stopud無 : 1.33</t>
  </si>
  <si>
    <t>ニノ曲 宗牙</t>
  </si>
  <si>
    <t>二ノ曲 宗牙</t>
  </si>
  <si>
    <t>ニノ曲流・祓忍法 迅雷跳断</t>
  </si>
  <si>
    <t>stop有 :1回目 0.5</t>
  </si>
  <si>
    <t>stop無:1回目 0.62
stop無:2回目 0.78
stop無:3回目 1
stop無:4回目 1.19
stop有:5回目 1.5</t>
  </si>
  <si>
    <t>下呂 ヒカル</t>
  </si>
  <si>
    <t>stop有 :1回目 1.2</t>
  </si>
  <si>
    <t>城崎 メイ</t>
  </si>
  <si>
    <t>stop有 :1回目 0.65</t>
  </si>
  <si>
    <t>stop有 :1回目 0.83</t>
  </si>
  <si>
    <t>姫川 杏子</t>
  </si>
  <si>
    <t>2.51</t>
  </si>
  <si>
    <t>stop有 :1回目 1.0</t>
  </si>
  <si>
    <t>嬉野 シオリ</t>
  </si>
  <si>
    <t>鳴子</t>
  </si>
  <si>
    <t>2.23</t>
  </si>
  <si>
    <t>stop有 :1回目 1</t>
  </si>
  <si>
    <t>stop有 :1回目 1.5</t>
  </si>
  <si>
    <t>百瀬 氷</t>
  </si>
  <si>
    <t>stop有 :1回目 0.36</t>
  </si>
  <si>
    <t>stop無 :1回目 0.96</t>
  </si>
  <si>
    <t>猫田さん</t>
  </si>
  <si>
    <t>1.9</t>
  </si>
  <si>
    <t>stop有 :1回目 0.85</t>
  </si>
  <si>
    <t>ジョン（エイリアン形態）</t>
  </si>
  <si>
    <t>2026/06/上旬</t>
  </si>
  <si>
    <t>MAD いいジャン祭</t>
  </si>
  <si>
    <t>パノ</t>
  </si>
  <si>
    <t>アルダ</t>
  </si>
  <si>
    <t>ボブ</t>
  </si>
  <si>
    <t>周防 美来</t>
  </si>
  <si>
    <t>2026/06/中旬</t>
  </si>
  <si>
    <t>ジューンブライドイベント</t>
  </si>
  <si>
    <t>溝下 乃薔薇</t>
  </si>
  <si>
    <t>みろく</t>
  </si>
  <si>
    <t>桐山 不折</t>
  </si>
  <si>
    <t>三馬 正磨</t>
  </si>
  <si>
    <t>鈴木 みゆ</t>
  </si>
  <si>
    <t xml:space="preserve">西川 檸檬
</t>
  </si>
  <si>
    <t xml:space="preserve">杉崎 響子
</t>
  </si>
  <si>
    <t xml:space="preserve">久保 渚咲
</t>
  </si>
  <si>
    <t xml:space="preserve">大峰 ちえり
</t>
  </si>
  <si>
    <t>以下エネミーを記載</t>
  </si>
  <si>
    <t>密輸組織の残党</t>
  </si>
  <si>
    <t>0.17</t>
  </si>
  <si>
    <t>enemy_spy_00001_normal</t>
  </si>
  <si>
    <t>グエン</t>
  </si>
  <si>
    <t>enemy_spy_00101_normal</t>
  </si>
  <si>
    <t>鎖窯使いのバーナビー</t>
  </si>
  <si>
    <t>毒霧使い</t>
  </si>
  <si>
    <t>セルポ星人</t>
  </si>
  <si>
    <t>1.16</t>
  </si>
  <si>
    <t>セルポ星人（変身）</t>
  </si>
  <si>
    <t>セルポ星人(変身)</t>
  </si>
  <si>
    <t>enemy_dan_00101_normal</t>
  </si>
  <si>
    <t>ターボババア</t>
  </si>
  <si>
    <t>0.40</t>
  </si>
  <si>
    <t>アクロバティックさらさら</t>
  </si>
  <si>
    <t>enemy_dan_00301_normal</t>
  </si>
  <si>
    <t>"拷問"の時間です</t>
  </si>
  <si>
    <t>2.90</t>
  </si>
  <si>
    <t>▼フレーバーなど下記のシートに記載
GLOW_キャラ名称＆キャラセリフ資料
ゴリラマーチ</t>
  </si>
  <si>
    <t>0.30</t>
  </si>
  <si>
    <t>キュイ</t>
  </si>
  <si>
    <t>2.76</t>
  </si>
  <si>
    <t>catchcopy_character_enemy_gom_00001.png</t>
  </si>
  <si>
    <t>たこ焼きくん</t>
  </si>
  <si>
    <t>0.833</t>
  </si>
  <si>
    <t>catchcopy_character_enemy_gom_00002.png</t>
  </si>
  <si>
    <t>enemy_dan_00401_normal</t>
  </si>
  <si>
    <t>たこ焼き</t>
  </si>
  <si>
    <t>バタートースト</t>
  </si>
  <si>
    <t>割きトースト</t>
  </si>
  <si>
    <t>ゴリラのマーチA</t>
  </si>
  <si>
    <t>ゴリラのマーチ</t>
  </si>
  <si>
    <t>1</t>
  </si>
  <si>
    <t>オミット</t>
  </si>
  <si>
    <t>00611</t>
  </si>
  <si>
    <t>ゴリラのマーチB</t>
  </si>
  <si>
    <t>00621</t>
  </si>
  <si>
    <t>ゴリラのマーチC</t>
  </si>
  <si>
    <t>00631</t>
  </si>
  <si>
    <t>ゴリラのマーチD</t>
  </si>
  <si>
    <t>ラーメン</t>
  </si>
  <si>
    <t>ライス</t>
  </si>
  <si>
    <t>ライス(海苔)</t>
  </si>
  <si>
    <t>ライス (海苔)</t>
  </si>
  <si>
    <t>あんぱん</t>
  </si>
  <si>
    <t>01002</t>
  </si>
  <si>
    <t>トーストあんぱん</t>
  </si>
  <si>
    <t>01101</t>
  </si>
  <si>
    <t>魔王ゴッドサンダー</t>
  </si>
  <si>
    <t>ゾンビの悪魔</t>
  </si>
  <si>
    <t>0.20</t>
  </si>
  <si>
    <t>enemy_chi_00001_normal</t>
  </si>
  <si>
    <t>ゾンビ</t>
  </si>
  <si>
    <t>コウモリの悪魔</t>
  </si>
  <si>
    <t>0.33</t>
  </si>
  <si>
    <t>enemy_chi_00201_normal</t>
  </si>
  <si>
    <t>怪獣 本獣</t>
  </si>
  <si>
    <t>stop有:1回目 1.00</t>
  </si>
  <si>
    <t>怪獣 余獣</t>
  </si>
  <si>
    <t>stop有:1回目 0.56</t>
  </si>
  <si>
    <t>怪獣９号</t>
  </si>
  <si>
    <t>stop有:1回目 1.26</t>
  </si>
  <si>
    <t>蜘蛛の怪獣</t>
  </si>
  <si>
    <t>怪獣１０号</t>
  </si>
  <si>
    <t>怪獣８号 いいジャン祭</t>
  </si>
  <si>
    <t>醜鬼</t>
  </si>
  <si>
    <t>0.80</t>
  </si>
  <si>
    <t>門神</t>
  </si>
  <si>
    <t>enemy_jig_00001_normal</t>
  </si>
  <si>
    <t>門神 （小）</t>
  </si>
  <si>
    <t>門神 (小)</t>
  </si>
  <si>
    <t>enemy_jig_00101_normal</t>
  </si>
  <si>
    <t>門神 （大）</t>
  </si>
  <si>
    <t>門神 (大)</t>
  </si>
  <si>
    <t>enemy_jig_00201_normal</t>
  </si>
  <si>
    <t>竈神 魚</t>
  </si>
  <si>
    <t>極楽蝶</t>
  </si>
  <si>
    <t>enemy_jig_00402_normal</t>
  </si>
  <si>
    <t>▼フレーバーなど下記のシートに記載
GLOW_キャラ名称＆キャラセリフ資料
鱗粉</t>
  </si>
  <si>
    <t>山田浅ェ門 源嗣</t>
  </si>
  <si>
    <t>enemy_jig_00501_normal</t>
  </si>
  <si>
    <t>朱槿</t>
  </si>
  <si>
    <t>boss_icon_enemy_jig_00501</t>
  </si>
  <si>
    <t>地極楽 いいジャン祭</t>
  </si>
  <si>
    <t>冷却系の怪異</t>
  </si>
  <si>
    <t>冷却系怪異</t>
  </si>
  <si>
    <t>enemy_mag_00001_normal</t>
  </si>
  <si>
    <t>つらら</t>
  </si>
  <si>
    <t>0.37</t>
  </si>
  <si>
    <t>stop有:1回目 0.20</t>
  </si>
  <si>
    <t>建造物寄生型の怪異（大）</t>
  </si>
  <si>
    <t>建造物寄生型の怪異 (大)</t>
  </si>
  <si>
    <t>0.74</t>
  </si>
  <si>
    <t>enemy_mag_00201_normal</t>
  </si>
  <si>
    <t>建造物寄生型の怪異（小）</t>
  </si>
  <si>
    <t>建造物寄生型の怪異</t>
  </si>
  <si>
    <t>工事現場の怪異</t>
  </si>
  <si>
    <t>stop有:0.84</t>
  </si>
  <si>
    <t>株式会社マジルミエ いいジャン祭</t>
  </si>
  <si>
    <t>影</t>
  </si>
  <si>
    <t>enemy_sum_00001_normal</t>
  </si>
  <si>
    <t>小舟 澪(影)_拳銃</t>
  </si>
  <si>
    <t>小舟 澪の影 (拳銃)</t>
  </si>
  <si>
    <t>enemy_sum_00101_normal</t>
  </si>
  <si>
    <t>小舟 澪(影)_包丁</t>
  </si>
  <si>
    <t>小舟 澪の影 (包丁)</t>
  </si>
  <si>
    <t>enemy_sum_00201_normal</t>
  </si>
  <si>
    <t>暗殺者（近）</t>
  </si>
  <si>
    <t>不良系金髪イケメン</t>
  </si>
  <si>
    <t>stop有0.5</t>
  </si>
  <si>
    <t>202601020_幼稚園WARS</t>
  </si>
  <si>
    <t>暗殺者（遠）</t>
  </si>
  <si>
    <t>イケメンじゃない殺し屋</t>
  </si>
  <si>
    <t>0.56</t>
  </si>
  <si>
    <t>愛城 恋太郎</t>
  </si>
  <si>
    <t>stop有:0.2</t>
  </si>
  <si>
    <t>学生A（男）</t>
  </si>
  <si>
    <t>鷹見 項希</t>
  </si>
  <si>
    <t>stop有:0.51</t>
  </si>
  <si>
    <t>学生B</t>
  </si>
  <si>
    <t>1.28</t>
  </si>
  <si>
    <t>stop有:0.25</t>
  </si>
  <si>
    <t>シロガネ</t>
  </si>
  <si>
    <t>stop有:0.63</t>
  </si>
  <si>
    <t>水使い</t>
  </si>
  <si>
    <t>1.22</t>
  </si>
  <si>
    <t>stop無:1回目 0.28
stop無:2回目 0.46
stop無:3回目 0.66
stop有:4回目 0.76</t>
  </si>
  <si>
    <t>2026/05/上旬マリッジトキシン</t>
  </si>
  <si>
    <t>エイリアン</t>
  </si>
  <si>
    <t>26/06上旬MAD</t>
  </si>
  <si>
    <t>水原 怜人</t>
  </si>
  <si>
    <t>26/06中旬ジュンブラ</t>
  </si>
  <si>
    <t>金村 陸</t>
  </si>
  <si>
    <t>茶乃 紅一</t>
  </si>
  <si>
    <t>本獣(8巻ver.)</t>
  </si>
  <si>
    <t>26/07上旬怪獣8号</t>
  </si>
  <si>
    <t>26/07上旬怪獣８号</t>
  </si>
  <si>
    <t>怪獣9号(差分)</t>
  </si>
  <si>
    <t>姫川 大輝 (東京ブレイド編ver.)</t>
  </si>
  <si>
    <t>鳴嶋 メルト (東京ブレイド編ver.)</t>
  </si>
  <si>
    <t>鴨志田 朔夜 (東京ブレイド編ver.)</t>
  </si>
  <si>
    <t>ファントム</t>
  </si>
  <si>
    <t>enemy_glo_00001_normal</t>
  </si>
  <si>
    <t>enemy_glo_00001_special</t>
  </si>
  <si>
    <t>サイリウム持ちファントム</t>
  </si>
  <si>
    <t>推し活ファントム</t>
  </si>
  <si>
    <t>stop有:1回目 0.6</t>
  </si>
  <si>
    <t>バッターファントム</t>
  </si>
  <si>
    <t>00004</t>
  </si>
  <si>
    <t>ピッチャーファントム</t>
  </si>
  <si>
    <t>00005</t>
  </si>
  <si>
    <t>野球帽ファントム</t>
  </si>
  <si>
    <t>00006</t>
  </si>
  <si>
    <t>ジューンブライドファントム</t>
  </si>
  <si>
    <t>中ボスエネミー</t>
  </si>
  <si>
    <t>ボスファントム</t>
  </si>
  <si>
    <t>強敵（BOSS）専用アイコン_ID</t>
  </si>
  <si>
    <t>boss_icon_chara_spy_00001</t>
  </si>
  <si>
    <t>プレイアブル＆敵キャラでも登場可</t>
  </si>
  <si>
    <t>enemy_icon_chara_spy_00002</t>
  </si>
  <si>
    <t>boss_icon_chara_spy_00002</t>
  </si>
  <si>
    <t>enemy_icon_chara_spy_00101</t>
  </si>
  <si>
    <t>boss_icon_chara_spy_00101</t>
  </si>
  <si>
    <t>enemy_icon_chara_spy_00201</t>
  </si>
  <si>
    <t>boss_icon_chara_spy_00201</t>
  </si>
  <si>
    <t>enemy_icon_chara_spy_00301</t>
  </si>
  <si>
    <t>boss_icon_chara_spy_00301</t>
  </si>
  <si>
    <t>enemy_icon_chara_spy_00401</t>
  </si>
  <si>
    <t>boss_icon_chara_spy_00401</t>
  </si>
  <si>
    <t>enemy_icon_enemy_spy_00001</t>
  </si>
  <si>
    <t>boss_icon_enemy_spy_00001</t>
  </si>
  <si>
    <t>キース・ケプラー</t>
  </si>
  <si>
    <t xml:space="preserve">敵キャラonly </t>
  </si>
  <si>
    <t>enemy_icon_enemy_spy_00002</t>
  </si>
  <si>
    <t>boss_icon_enemy_spy_00002</t>
  </si>
  <si>
    <t>エドガー</t>
  </si>
  <si>
    <t>enemy_icon_enemy_spy_00003</t>
  </si>
  <si>
    <t>boss_icon_enemy_spy_00003</t>
  </si>
  <si>
    <t>殺し屋たち（A）</t>
  </si>
  <si>
    <t>enemy_icon_enemy_spy_00004</t>
  </si>
  <si>
    <t>boss_icon_enemy_spy_00004</t>
  </si>
  <si>
    <t>殺し屋たち（B）</t>
  </si>
  <si>
    <t>enemy_icon_enemy_spy_00005</t>
  </si>
  <si>
    <t>boss_icon_enemy_spy_00005</t>
  </si>
  <si>
    <t>学生テロリストたち</t>
  </si>
  <si>
    <t>enemy_icon_enemy_spy_00006</t>
  </si>
  <si>
    <t>boss_icon_enemy_spy_00006</t>
  </si>
  <si>
    <t>爆弾犬</t>
  </si>
  <si>
    <t>enemy_icon_chara_aka_00001</t>
  </si>
  <si>
    <t>boss_icon_chara_aka_00001</t>
  </si>
  <si>
    <t>enemy_icon_chara_aka_00101</t>
  </si>
  <si>
    <t>boss_icon_chara_aka_00101</t>
  </si>
  <si>
    <t>enemy_icon_chara_rik_00001</t>
  </si>
  <si>
    <t>boss_icon_chara_rik_00001</t>
  </si>
  <si>
    <t>enemy_icon_chara_rik_00101</t>
  </si>
  <si>
    <t>boss_icon_chara_rik_00101</t>
  </si>
  <si>
    <t>enemy_icon_chara_rik_00201</t>
  </si>
  <si>
    <t>boss_icon_chara_rik_00201</t>
  </si>
  <si>
    <t>enemy_icon_chara_dan_00001</t>
  </si>
  <si>
    <t>boss_icon_chara_dan_00001</t>
  </si>
  <si>
    <t>enemy_icon_chara_dan_00002</t>
  </si>
  <si>
    <t>boss_icon_chara_dan_00002</t>
  </si>
  <si>
    <t>enemy_icon_chara_dan_00101</t>
  </si>
  <si>
    <t>boss_icon_chara_dan_00101</t>
  </si>
  <si>
    <t>enemy_icon_chara_dan_00201</t>
  </si>
  <si>
    <t>boss_icon_chara_dan_00201</t>
  </si>
  <si>
    <t>enemy_icon_enemy_dan_00001</t>
  </si>
  <si>
    <t>boss_icon_enemy_dan_00001</t>
  </si>
  <si>
    <t>セルポ星人
桃が最初に出会った宇宙人</t>
  </si>
  <si>
    <t>enemy_icon_enemy_dan_00002</t>
  </si>
  <si>
    <t>boss_icon_enemy_dan_00002</t>
  </si>
  <si>
    <t>ターボババァ</t>
  </si>
  <si>
    <t>enemy_icon_chara_gom_00001</t>
  </si>
  <si>
    <t>boss_icon_chara_gom_00001</t>
  </si>
  <si>
    <t>enemy_icon_chara_gom_00101</t>
  </si>
  <si>
    <t>boss_icon_chara_gom_00101</t>
  </si>
  <si>
    <t>enemy_icon_enemy_gom_00001</t>
  </si>
  <si>
    <t>boss_icon_enemy_gom_00001</t>
  </si>
  <si>
    <t>カナッジ
魔王側近。</t>
  </si>
  <si>
    <t>enemy_icon_enemy_gom_00002</t>
  </si>
  <si>
    <t>boss_icon_enemy_gom_00002</t>
  </si>
  <si>
    <t>enemy_icon_chara_chi_00001</t>
  </si>
  <si>
    <t>boss_icon_chara_chi_00001</t>
  </si>
  <si>
    <t>enemy_icon_chara_chi_00002</t>
  </si>
  <si>
    <t>boss_icon_chara_chi_00002</t>
  </si>
  <si>
    <t>enemy_icon_chara_chi_00101</t>
  </si>
  <si>
    <t>boss_icon_chara_chi_00101</t>
  </si>
  <si>
    <t>enemy_icon_enemy_chi_00001</t>
  </si>
  <si>
    <t>boss_icon_enemy_chi_00001</t>
  </si>
  <si>
    <t>enemy_icon_enemy_chi_00002</t>
  </si>
  <si>
    <t>boss_icon_enemy_chi_00002</t>
  </si>
  <si>
    <t>enemy_icon_chara_bat_00001</t>
  </si>
  <si>
    <t>boss_icon_chara_bat_00001</t>
  </si>
  <si>
    <t>enemy_icon_chara_bat_00101</t>
  </si>
  <si>
    <t>boss_icon_chara_bat_00101</t>
  </si>
  <si>
    <t>enemy_icon_chara_kai_00001</t>
  </si>
  <si>
    <t>boss_icon_chara_kai_00001</t>
  </si>
  <si>
    <t>enemy_icon_chara_kai_00002</t>
  </si>
  <si>
    <t>boss_icon_chara_kai_00002</t>
  </si>
  <si>
    <t>enemy_icon_chara_kai_00101</t>
  </si>
  <si>
    <t>boss_icon_chara_kai_00101</t>
  </si>
  <si>
    <t>enemy_icon_chara_kai_00201</t>
  </si>
  <si>
    <t>boss_icon_chara_kai_00201</t>
  </si>
  <si>
    <t>enemy_icon_chara_kai_00301</t>
  </si>
  <si>
    <t>boss_icon_chara_kai_00301</t>
  </si>
  <si>
    <t>enemy_icon_enemy_kai_00001</t>
  </si>
  <si>
    <t>boss_icon_enemy_kai_00001</t>
  </si>
  <si>
    <t>怪獣（エイリアン系）本獣</t>
  </si>
  <si>
    <t>enemy_icon_enemy_kai_00002</t>
  </si>
  <si>
    <t>boss_icon_enemy_kai_00002</t>
  </si>
  <si>
    <t>怪獣（エイリアン系）小さい</t>
  </si>
  <si>
    <t>enemy_icon_enemy_kai_00003</t>
  </si>
  <si>
    <t>boss_icon_enemy_kai_00003</t>
  </si>
  <si>
    <t>enemy_icon_chara_yuw_00001</t>
  </si>
  <si>
    <t>boss_icon_chara_yuw_00001</t>
  </si>
  <si>
    <t>enemy_icon_chara_yuw_00101</t>
  </si>
  <si>
    <t>boss_icon_chara_yuw_00101</t>
  </si>
  <si>
    <t>enemy_icon_chara_yuw_00201</t>
  </si>
  <si>
    <t>boss_icon_chara_yuw_00201</t>
  </si>
  <si>
    <t>enemy_icon_chara_sur_00001</t>
  </si>
  <si>
    <t>boss_icon_chara_sur_00001</t>
  </si>
  <si>
    <t>enemy_icon_chara_sur_00101</t>
  </si>
  <si>
    <t>boss_icon_chara_sur_00101</t>
  </si>
  <si>
    <t>enemy_icon_chara_sur_00201</t>
  </si>
  <si>
    <t>boss_icon_chara_sur_00201</t>
  </si>
  <si>
    <t>enemy_icon_chara_sur_00301</t>
  </si>
  <si>
    <t>boss_icon_chara_sur_00301</t>
  </si>
  <si>
    <t>enemy_icon_chara_sur_00401</t>
  </si>
  <si>
    <t>boss_icon_chara_sur_00401</t>
  </si>
  <si>
    <t>enemy_icon_enemy_sur_00001</t>
  </si>
  <si>
    <t>boss_icon_enemy_sur_00001</t>
  </si>
  <si>
    <t>enemy_icon_enemy_sur_00002</t>
  </si>
  <si>
    <t>boss_icon_enemy_sur_00002</t>
  </si>
  <si>
    <t>enemy_icon_chara_ron_00001</t>
  </si>
  <si>
    <t>boss_icon_chara_ron_00001</t>
  </si>
  <si>
    <t>enemy_icon_chara_ron_00101</t>
  </si>
  <si>
    <t>boss_icon_chara_ron_00101</t>
  </si>
  <si>
    <t>enemy_icon_chara_aha_00001</t>
  </si>
  <si>
    <t>boss_icon_chara_aha_00001</t>
  </si>
  <si>
    <t>enemy_icon_chara_aha_00101</t>
  </si>
  <si>
    <t>boss_icon_chara_aha_00101</t>
  </si>
  <si>
    <t>enemy_icon_chara_tak_00001</t>
  </si>
  <si>
    <t>boss_icon_chara_tak_00001</t>
  </si>
  <si>
    <t>enemy_icon_chara_jig_00001</t>
  </si>
  <si>
    <t>boss_icon_chara_jig_00001</t>
  </si>
  <si>
    <t>enemy_icon_chara_jig_00101</t>
  </si>
  <si>
    <t>boss_icon_chara_jig_00101</t>
  </si>
  <si>
    <t>enemy_icon_enemy_jig_00001</t>
  </si>
  <si>
    <t>boss_icon_enemy_jig_00001</t>
  </si>
  <si>
    <t>enemy_icon_enemy_jig_00002</t>
  </si>
  <si>
    <t>boss_icon_enemy_jig_00002</t>
  </si>
  <si>
    <t>そう神（A）</t>
  </si>
  <si>
    <t>enemy_icon_enemy_jig_00003</t>
  </si>
  <si>
    <t>boss_icon_enemy_jig_00003</t>
  </si>
  <si>
    <t>そう神（B）</t>
  </si>
  <si>
    <t>enemy_icon_enemy_jig_00004</t>
  </si>
  <si>
    <t>boss_icon_enemy_jig_00004</t>
  </si>
  <si>
    <t>そう神（C）</t>
  </si>
  <si>
    <t>maj</t>
  </si>
  <si>
    <t>enemy_icon_chara_maj_00001</t>
  </si>
  <si>
    <t>boss_icon_chara_maj_00001</t>
  </si>
  <si>
    <t>enemy_icon_chara_maj_00101</t>
  </si>
  <si>
    <t>boss_icon_chara_maj_00101</t>
  </si>
  <si>
    <t>enemy_icon_chara_dos_00001</t>
  </si>
  <si>
    <t>boss_icon_chara_dos_00001</t>
  </si>
  <si>
    <t>enemy_icon_chara_dos_00101</t>
  </si>
  <si>
    <t>boss_icon_chara_dos_00101</t>
  </si>
  <si>
    <t>enemy_icon_chara_sum_00001</t>
  </si>
  <si>
    <t>boss_icon_chara_sum_00001</t>
  </si>
  <si>
    <t>enemy_icon_chara_sum_00101</t>
  </si>
  <si>
    <t>boss_icon_chara_sum_00101</t>
  </si>
  <si>
    <t>enemy_icon_chara_sum_00201</t>
  </si>
  <si>
    <t>boss_icon_chara_sum_00201</t>
  </si>
  <si>
    <t>画像ファイルID</t>
  </si>
  <si>
    <t>最大表示上限数</t>
  </si>
  <si>
    <t>単価</t>
  </si>
  <si>
    <t>prism</t>
  </si>
  <si>
    <t>プリズム</t>
  </si>
  <si>
    <t>未定</t>
  </si>
  <si>
    <t>2024-01-01 00:00:00</t>
  </si>
  <si>
    <t>coin</t>
  </si>
  <si>
    <t>Coin</t>
  </si>
  <si>
    <t>coin_glo_00001</t>
  </si>
  <si>
    <t>コイン</t>
  </si>
  <si>
    <t>stamina</t>
  </si>
  <si>
    <t>スタミナ</t>
  </si>
  <si>
    <t>stamina_item</t>
  </si>
  <si>
    <t>スタミナドリンク</t>
  </si>
  <si>
    <t>使用することでスタミナ最を10回復できるアイテム</t>
  </si>
  <si>
    <t>スーパースタミナドリンク</t>
  </si>
  <si>
    <t>使用することでスタミナ最を50回復できるアイテム</t>
  </si>
  <si>
    <t>exp</t>
  </si>
  <si>
    <t>リーダーEXP</t>
  </si>
  <si>
    <t>ticket</t>
  </si>
  <si>
    <t>ノーマルガシャチケット</t>
  </si>
  <si>
    <t>ノーマルガシャを引くことができるアイテム</t>
  </si>
  <si>
    <r>
      <rPr>
        <rFont val="Arial"/>
        <b/>
        <color rgb="FFFFFF00"/>
        <sz val="8.0"/>
      </rPr>
      <t xml:space="preserve">ノーマルガシャは実施無しに変更。
</t>
    </r>
    <r>
      <rPr>
        <rFont val="Arial"/>
        <b/>
        <color rgb="FFFF0000"/>
        <sz val="8.0"/>
      </rPr>
      <t xml:space="preserve">
</t>
    </r>
    <r>
      <rPr>
        <rFont val="Arial"/>
        <b/>
        <sz val="8.0"/>
      </rPr>
      <t xml:space="preserve">無料配布OK、コインで購入OK
</t>
    </r>
    <r>
      <rPr>
        <rFont val="Arial"/>
        <b/>
        <color rgb="FF0000FF"/>
        <sz val="8.0"/>
      </rPr>
      <t xml:space="preserve">※ガシャチケの配布ルールはアイテム構成図を確認すること
</t>
    </r>
    <r>
      <rPr>
        <rFont val="Arial"/>
        <b/>
        <color rgb="FF1155CC"/>
        <sz val="8.0"/>
      </rPr>
      <t>https://wonderplanet.atlassian.net/wiki/spaces/GLOW/pages/344622597</t>
    </r>
    <r>
      <rPr>
        <rFont val="Arial"/>
        <b/>
        <color rgb="FF0000FF"/>
        <sz val="8.0"/>
      </rPr>
      <t xml:space="preserve">
</t>
    </r>
    <r>
      <rPr>
        <rFont val="Arial"/>
        <sz val="8.0"/>
      </rPr>
      <t>ノーマルガシャを1回引けるガシャチケット。10枚集めると10連も可能（最大10連を上限とする）</t>
    </r>
  </si>
  <si>
    <t>リリース無し</t>
  </si>
  <si>
    <t>スペシャルガシャチケット</t>
  </si>
  <si>
    <t>スペシャルガシャを引くことができるアイテム</t>
  </si>
  <si>
    <t>有償/無償プリズムで引くことのできるスペシャルガシャを1回引けるガシャチケット。10枚集めると10連も可能（最大10連を上限とする）。</t>
  </si>
  <si>
    <t>ピックアップガシャチケット</t>
  </si>
  <si>
    <t>ピックアップガシャを引くことができるアイテム</t>
  </si>
  <si>
    <t>有償/無償プリズムで引くことのできるピックアップガシャを1回引けるガシャチケット。10枚集めると10連も可能（最大10連を上限とする）。</t>
  </si>
  <si>
    <t>フェスガシャチケット</t>
  </si>
  <si>
    <t>フェスガシャを引くことができるアイテム</t>
  </si>
  <si>
    <t>有償/無償プリズムで引くことのできるフェスプガシャを1回引けるガシャチケット。10枚集めると10連も可能（最大10連を上限とする）。</t>
  </si>
  <si>
    <t>R以上確定ガシャチケット</t>
  </si>
  <si>
    <t>R以上確定ガシャを引くことができるアイテム</t>
  </si>
  <si>
    <r>
      <rPr>
        <rFont val="Arial"/>
        <color rgb="FFFF0000"/>
        <sz val="8.0"/>
      </rPr>
      <t>ガシャデータ未作成
無料配布OK、コインで購入OK</t>
    </r>
    <r>
      <rPr>
        <rFont val="Arial"/>
        <b/>
        <color rgb="FFFF0000"/>
        <sz val="8.0"/>
      </rPr>
      <t xml:space="preserve">
</t>
    </r>
    <r>
      <rPr>
        <rFont val="Arial"/>
        <color theme="1"/>
        <sz val="8.0"/>
      </rPr>
      <t>1体R以上キャラ確定のガシャチケット。10枚集めると10連も可能（最大10連を上限とする）。1枚のみだと単発。
プレミアムガシャチケットと違い、天井がない。</t>
    </r>
  </si>
  <si>
    <t>00104</t>
  </si>
  <si>
    <t>SR以上確定ガシャチケット</t>
  </si>
  <si>
    <t>SR以上確定ガシャを引くことができるアイテム</t>
  </si>
  <si>
    <r>
      <rPr>
        <rFont val="Arial"/>
        <color rgb="FFFF0000"/>
        <sz val="8.0"/>
      </rPr>
      <t>ガシャデータ未作成
無料配布OK、コインで購入は×</t>
    </r>
    <r>
      <rPr>
        <rFont val="Arial"/>
        <b/>
        <color rgb="FFFF0000"/>
        <sz val="8.0"/>
      </rPr>
      <t xml:space="preserve">
</t>
    </r>
    <r>
      <rPr>
        <rFont val="Arial"/>
        <color theme="1"/>
        <sz val="8.0"/>
      </rPr>
      <t>1体SR以上のキャラ確定の1連ガシャチケット。10枚集めると10連も可能（最大10連を上限とする）。
ガシャID未作成。</t>
    </r>
  </si>
  <si>
    <t>00105</t>
  </si>
  <si>
    <t>SSR以上確定ガシャチケット</t>
  </si>
  <si>
    <t>SSR以上確定ガシャを引くことができるアイテム</t>
  </si>
  <si>
    <r>
      <rPr>
        <rFont val="Arial"/>
        <color rgb="FFFF0000"/>
        <sz val="8.0"/>
      </rPr>
      <t xml:space="preserve">ガシャデータ未作成
有償販売・プリズム販売・オマケのみ
</t>
    </r>
    <r>
      <rPr>
        <rFont val="Arial"/>
        <color theme="1"/>
        <sz val="8.0"/>
      </rPr>
      <t>SSRキャラ確定の1連ガシャチケット。10枚集めると10連も可能（最大10連を上限とする）。</t>
    </r>
  </si>
  <si>
    <t>UR確定ガシャチケット</t>
  </si>
  <si>
    <t>UR以上確定ガシャを引くことができるアイテム</t>
  </si>
  <si>
    <r>
      <rPr>
        <rFont val="Arial"/>
        <color rgb="FFFF0000"/>
        <sz val="8.0"/>
      </rPr>
      <t xml:space="preserve">ガシャデータ未作成
有償販売・プリズム販売・オマケのみ
</t>
    </r>
    <r>
      <rPr>
        <rFont val="Arial"/>
        <color theme="1"/>
        <sz val="8.0"/>
      </rPr>
      <t>URキャラ確定の1連ガシャチケット。10枚集めると10連も可能（最大10連を上限とする）。</t>
    </r>
  </si>
  <si>
    <t>00203</t>
  </si>
  <si>
    <t>UR1体確定10連ガシャチケット</t>
  </si>
  <si>
    <t>UR1体確定10連ガシャを引くことができるアイテム</t>
  </si>
  <si>
    <r>
      <rPr>
        <rFont val="Arial"/>
        <color rgb="FFFF0000"/>
        <sz val="8.0"/>
      </rPr>
      <t xml:space="preserve">有償販売・プリズム販売・オマケのみ
</t>
    </r>
    <r>
      <rPr>
        <rFont val="Arial"/>
        <color theme="1"/>
        <sz val="8.0"/>
      </rPr>
      <t>URキャラ1体確定の10連ガシャチケット。1枚(10連)ずつしか使えない。</t>
    </r>
  </si>
  <si>
    <t>00204</t>
  </si>
  <si>
    <t>ピックアップUR1体確定10連ガシャチケット</t>
  </si>
  <si>
    <t>ピックアップUR1体確定10連ガシャを引くことができるアイテム</t>
  </si>
  <si>
    <r>
      <rPr>
        <rFont val="Arial"/>
        <color rgb="FFFF0000"/>
        <sz val="8.0"/>
      </rPr>
      <t xml:space="preserve">ガシャデータ未作成
有償販売・プリズム販売・オマケのみ
</t>
    </r>
    <r>
      <rPr>
        <rFont val="Arial"/>
        <color theme="1"/>
        <sz val="8.0"/>
      </rPr>
      <t>URキャラ1体確定の10連ガシャチケット。1枚(10連)ずつしか使えない。</t>
    </r>
  </si>
  <si>
    <t>00205</t>
  </si>
  <si>
    <t>URキャラ1体確定10連フェスガシャチケット</t>
  </si>
  <si>
    <t>フェス限定URキャラ1体確定10連ガシャを引くことができるアイテム</t>
  </si>
  <si>
    <r>
      <rPr>
        <rFont val="Arial"/>
        <color rgb="FFFF0000"/>
        <sz val="8.0"/>
      </rPr>
      <t xml:space="preserve">ガシャデータ未作成
有償販売・プリズム販売・オマケのみ
</t>
    </r>
    <r>
      <rPr>
        <rFont val="Arial"/>
        <color theme="1"/>
        <sz val="8.0"/>
      </rPr>
      <t>URキャラ1体確定の10連ガシャチケット。1枚(10連)ずつしか使えない。</t>
    </r>
  </si>
  <si>
    <t>00206</t>
  </si>
  <si>
    <t>『補てん』スタートダッシュガシャチケット</t>
  </si>
  <si>
    <t>72時間限定スタートダッシュガシャを引くことができるアイテム</t>
  </si>
  <si>
    <t>00207</t>
  </si>
  <si>
    <t>『補てん』2026年正月記念！UR1体確定ガシャチケット</t>
  </si>
  <si>
    <t>2026年正月記念！UR1体確定ガシャを引くことができるアイテム</t>
  </si>
  <si>
    <t>2026-01-01 00:00:00</t>
  </si>
  <si>
    <t>90000</t>
  </si>
  <si>
    <t>プレミアムメダル</t>
  </si>
  <si>
    <t>プレミアムメダルガシャを引くことができるアイテム</t>
  </si>
  <si>
    <t>10000</t>
  </si>
  <si>
    <t>【推しの子】SSR確定ガシャチケット</t>
  </si>
  <si>
    <t>【推しの子】SSR確定ガシャを引くことができるアイテム</t>
  </si>
  <si>
    <t>推しの子イベント用</t>
  </si>
  <si>
    <t>10001</t>
  </si>
  <si>
    <t>賀正ガシャチケット Ver.2026</t>
  </si>
  <si>
    <t>賀正ガシャ Ver.2026を引くことができるアイテム。ミッションをクリアしてたくさん集めよう！</t>
  </si>
  <si>
    <t>正月イベント用</t>
  </si>
  <si>
    <t>SSR彼女確定ガシャチケット</t>
  </si>
  <si>
    <t>SSR彼女確定ガシャを引くことができるアイテム</t>
  </si>
  <si>
    <t>君のことが大大大大大好きな100人の彼女イベント用</t>
  </si>
  <si>
    <t>10002</t>
  </si>
  <si>
    <t>バレンタインピックアップガシャチケット</t>
  </si>
  <si>
    <t>バレンタインピックアップガシャチケットを引くことができるアイテム</t>
  </si>
  <si>
    <t>バレンタインガシャ用</t>
  </si>
  <si>
    <t>memory</t>
  </si>
  <si>
    <t>カラーメモリー・グレー</t>
  </si>
  <si>
    <t>無属性キャラのLv.上限開放に使用するアイテム</t>
  </si>
  <si>
    <t>カラーメモリー・レッド</t>
  </si>
  <si>
    <t>赤属性キャラのLv.上限開放に使用するアイテム</t>
  </si>
  <si>
    <t>カラーメモリー・ブルー</t>
  </si>
  <si>
    <t>青属性キャラのLv.上限開放に使用するアイテム</t>
  </si>
  <si>
    <t>カラーメモリー・イエロー</t>
  </si>
  <si>
    <t>黄属性キャラのLv.上限開放に使用するアイテム</t>
  </si>
  <si>
    <t>カラーメモリー・グリーン</t>
  </si>
  <si>
    <t>緑属性キャラのLv.上限開放に使用するアイテム</t>
  </si>
  <si>
    <t>memoryfragment</t>
  </si>
  <si>
    <t>メモリーフラグメント・初級</t>
  </si>
  <si>
    <t>キャラのLv.上限開放に使用するアイテム</t>
  </si>
  <si>
    <t>メモリーフラグメント・中級</t>
  </si>
  <si>
    <t>メモリーフラグメント・上級</t>
  </si>
  <si>
    <t>box</t>
  </si>
  <si>
    <t>ランダムRキャラのかけらBOX</t>
  </si>
  <si>
    <t>Rのキャラのかけらがランダムで獲得できるアイテムBOX</t>
  </si>
  <si>
    <t>ランダムSRキャラのかけらBOX</t>
  </si>
  <si>
    <t>SRのキャラのかけらがランダムで獲得できるアイテムBOX</t>
  </si>
  <si>
    <t>ランダムSSRキャラのかけらBOX</t>
  </si>
  <si>
    <t>SSRのキャラのかけらがランダムで獲得できるアイテムBOX</t>
  </si>
  <si>
    <t>ランダムURキャラのかけらBOX</t>
  </si>
  <si>
    <t>URのキャラのかけらがランダムで獲得できるアイテムBOX</t>
  </si>
  <si>
    <t>選べるRキャラのかけらBOX</t>
  </si>
  <si>
    <t>Rのキャラのかけらを選択して獲得できるアイテムBOX</t>
  </si>
  <si>
    <t>選べるSRキャラのかけらBOX</t>
  </si>
  <si>
    <t>SRのキャラのかけらを選択して獲得できるアイテムBOX</t>
  </si>
  <si>
    <t>00007</t>
  </si>
  <si>
    <t>選べるSSRキャラのかけらBOX</t>
  </si>
  <si>
    <t>SSRのキャラのかけらを選択して獲得できるアイテムBOX</t>
  </si>
  <si>
    <t>00008</t>
  </si>
  <si>
    <t>選べるURキャラのかけらBOX</t>
  </si>
  <si>
    <t>URのキャラのかけらを選択して獲得できるアイテムBOX</t>
  </si>
  <si>
    <t>tool</t>
  </si>
  <si>
    <t>探索N時間分コイン</t>
  </si>
  <si>
    <r>
      <rPr>
        <rFont val="Arial"/>
        <b/>
        <color rgb="FFFFFF00"/>
        <sz val="8.0"/>
      </rPr>
      <t>リリースしない。
削除すると危ないので、使用できない状態でIDは残しておく。</t>
    </r>
    <r>
      <rPr>
        <rFont val="Arial"/>
        <b/>
        <color rgb="FFFF0000"/>
        <sz val="8.0"/>
      </rPr>
      <t xml:space="preserve">
</t>
    </r>
    <r>
      <rPr>
        <rFont val="Arial"/>
        <color theme="1"/>
        <sz val="8.0"/>
      </rPr>
      <t>「探索」N時間分で獲得できる同量のコインが獲得できるアイテム。獲得時に自動的に使用される。</t>
    </r>
  </si>
  <si>
    <t>探索N時間分リミテッドメモリー</t>
  </si>
  <si>
    <r>
      <rPr>
        <rFont val="Arial"/>
        <b/>
        <color rgb="FFFFFF00"/>
        <sz val="8.0"/>
      </rPr>
      <t>リリースしない。
削除すると危ないので、使用できない状態でIDは残しておく。</t>
    </r>
    <r>
      <rPr>
        <rFont val="Arial"/>
        <b/>
        <color rgb="FFFF0000"/>
        <sz val="8.0"/>
      </rPr>
      <t xml:space="preserve">
</t>
    </r>
    <r>
      <rPr>
        <rFont val="Arial"/>
        <color theme="1"/>
        <sz val="8.0"/>
      </rPr>
      <t>「探索」N時間分で獲得できる同量のリミテッドメモリーが獲得できるアイテム。獲得時に自動的に使用される。</t>
    </r>
  </si>
  <si>
    <t>piece</t>
  </si>
  <si>
    <t>000001</t>
  </si>
  <si>
    <t>キャラの結晶</t>
  </si>
  <si>
    <t>余ったキャラのかけらを交換して、グレードアップのワイルドカードとして使える。
※仕様どうなるか検討中　10/11記載</t>
  </si>
  <si>
    <t>未設定</t>
  </si>
  <si>
    <t>わくわく アーニャのかけら</t>
  </si>
  <si>
    <t>わくわく アーニャのグレードアップに使用するアイテム</t>
  </si>
  <si>
    <t>＜黄昏＞ ロイドのかけら</t>
  </si>
  <si>
    <t>＜黄昏＞ ロイドのグレードアップに使用するアイテム</t>
  </si>
  <si>
    <t>＜いばら姫＞ ヨルのかけら</t>
  </si>
  <si>
    <t>＜いばら姫＞ ヨルのグレードアップに使用するアイテム</t>
  </si>
  <si>
    <t>ダミアン・デズモンドのかけら</t>
  </si>
  <si>
    <t>ダミアン・デズモンドのグレードアップに使用するアイテム</t>
  </si>
  <si>
    <t>フランキー・フランクリンのかけら</t>
  </si>
  <si>
    <t>フランキー・フランクリンのグレードアップに使用するアイテム</t>
  </si>
  <si>
    <t>姉を想う盲愛 ユーリ・ブライアのかけら</t>
  </si>
  <si>
    <t>姉を想う盲愛 ユーリ・ブライアのグレードアップに使用するアイテム</t>
  </si>
  <si>
    <t>佐々木のかけら</t>
  </si>
  <si>
    <t>佐々木のグレードアップに使用するアイテム</t>
  </si>
  <si>
    <t>文蔵のかけら</t>
  </si>
  <si>
    <t>文蔵のグレードアップに使用するアイテム</t>
  </si>
  <si>
    <t>リコピンのかけら</t>
  </si>
  <si>
    <t>リコピンのグレードアップに使用するアイテム</t>
  </si>
  <si>
    <t>甘戸 めめのかけら</t>
  </si>
  <si>
    <t>甘戸 めめのグレードアップに使用するアイテム</t>
  </si>
  <si>
    <t>オカルンのかけら</t>
  </si>
  <si>
    <t>オカルンのグレードアップに使用するアイテム</t>
  </si>
  <si>
    <t>ターボババアの霊力 オカルンのかけら</t>
  </si>
  <si>
    <t>ターボババアの霊力 オカルンのグレードアップに使用するアイテム</t>
  </si>
  <si>
    <t>モモのかけら</t>
  </si>
  <si>
    <t>モモのグレードアップに使用するアイテム</t>
  </si>
  <si>
    <t>アイラのかけら</t>
  </si>
  <si>
    <t>アイラのグレードアップに使用するアイテム</t>
  </si>
  <si>
    <t>アクさらの愛 アイラ のかけら</t>
  </si>
  <si>
    <t>アクさらの愛 アイラのグレードアップに使用するアイテム</t>
  </si>
  <si>
    <t>招き猫 ターボババアのかけら</t>
  </si>
  <si>
    <t>招き猫 ターボババアのグレードアップに使用するアイテム</t>
  </si>
  <si>
    <t>囚われの王女 姫様のかけら</t>
  </si>
  <si>
    <t>囚われの王女 姫様のグレードアップに使用するアイテム</t>
  </si>
  <si>
    <t>トーチャー・トルチュールのかけら</t>
  </si>
  <si>
    <t>トーチャー・トルチュールのグレードアップに使用するアイテム</t>
  </si>
  <si>
    <t>クロルのかけら</t>
  </si>
  <si>
    <t>クロルのグレードアップに使用するアイテム</t>
  </si>
  <si>
    <t>デンジのかけら</t>
  </si>
  <si>
    <t>デンジのグレードアップに使用するアイテム</t>
  </si>
  <si>
    <t>悪魔が恐れる悪魔 チェンソーマンのかけら</t>
  </si>
  <si>
    <t>悪魔が恐れる悪魔 チェンソーマンのグレードアップに使用するアイテム</t>
  </si>
  <si>
    <t>早川 アキのかけら</t>
  </si>
  <si>
    <t>早川 アキのグレードアップに使用するアイテム</t>
  </si>
  <si>
    <t>パワーのかけら</t>
  </si>
  <si>
    <t>パワーのグレードアップに使用するアイテム</t>
  </si>
  <si>
    <t>清峰 葉流火のかけら</t>
  </si>
  <si>
    <t>清峰 葉流火のグレードアップに使用するアイテム</t>
  </si>
  <si>
    <t>要 圭のかけら</t>
  </si>
  <si>
    <t>要 圭のグレードアップに使用するアイテム</t>
  </si>
  <si>
    <t>日比野 カフカのかけら</t>
  </si>
  <si>
    <t>日比野 カフカのグレードアップに使用するアイテム</t>
  </si>
  <si>
    <t>隠された英雄の姿 怪獣８号のかけら</t>
  </si>
  <si>
    <t>隠された英雄の姿 怪獣８号のグレードアップに使用するアイテム</t>
  </si>
  <si>
    <t>市川 レノのかけら</t>
  </si>
  <si>
    <t>市川 レノのグレードアップに使用するアイテム</t>
  </si>
  <si>
    <t>第三部隊隊長 亜白 ミナのかけら</t>
  </si>
  <si>
    <t>第三部隊隊長 亜白 ミナのグレードアップに使用するアイテム</t>
  </si>
  <si>
    <t>四ノ宮 キコルのかけら</t>
  </si>
  <si>
    <t>四ノ宮 キコルのグレードアップに使用するアイテム</t>
  </si>
  <si>
    <t>保科 宗四郎のかけら</t>
  </si>
  <si>
    <t>保科 宗四郎のグレードアップに使用するアイテム</t>
  </si>
  <si>
    <t>四ノ宮 功のかけら</t>
  </si>
  <si>
    <t>四ノ宮 功のグレードアップに使用するアイテム</t>
  </si>
  <si>
    <t>古橋 伊春のかけら</t>
  </si>
  <si>
    <t>古橋 伊春のグレードアップに使用するアイテム</t>
  </si>
  <si>
    <t>リリエルに捧ぐ愛 天乃 リリサのかけら</t>
  </si>
  <si>
    <t>リリエルに捧ぐ愛 天乃 リリサのグレードアップに使用するアイテム</t>
  </si>
  <si>
    <t>コスプレに託す乙女心 橘 美花莉のかけら</t>
  </si>
  <si>
    <t>コスプレに託す乙女心 橘 美花莉のグレードアップに使用するアイテム</t>
  </si>
  <si>
    <t>愛届ける聖夜のサンタ 橘 美花莉のかけら</t>
  </si>
  <si>
    <t>愛届ける聖夜のサンタ 橘 美花莉のグレードアップに使用するアイテム</t>
  </si>
  <si>
    <t>2025-12-22 12:00:00</t>
  </si>
  <si>
    <t>羽生まゆりのかけら</t>
  </si>
  <si>
    <t>羽生 まゆりのグレードアップに使用するアイテム</t>
  </si>
  <si>
    <t>2025-11-25 15:00:00</t>
  </si>
  <si>
    <t>勇気を纏うコスプレ 乃愛のかけら</t>
  </si>
  <si>
    <t>勇気を纏うコスプレ 乃愛のグレードアップに使用するアイテム</t>
  </si>
  <si>
    <t>伝えたいウチの想い 喜咲 アリアのかけら</t>
  </si>
  <si>
    <t>伝えたいウチの想い 喜咲 アリアのグレードアップに使用するアイテム</t>
  </si>
  <si>
    <t>753♡のかけら</t>
  </si>
  <si>
    <t>753♡のグレードアップに使用するアイテム</t>
  </si>
  <si>
    <t>奥村 正宗のかけら</t>
  </si>
  <si>
    <t>奥村 正宗のグレードアップに使用するアイテム</t>
  </si>
  <si>
    <t>和倉 優希のかけら</t>
  </si>
  <si>
    <t>和倉 優希のグレードアップに使用するアイテム</t>
  </si>
  <si>
    <t>誇り高き魔都の剣姫 羽前 京香のかけら</t>
  </si>
  <si>
    <t>誇り高き魔都の剣姫 羽前 京香のグレードアップに使用するアイテム</t>
  </si>
  <si>
    <t>東 日万凛のかけら</t>
  </si>
  <si>
    <t>東 日万凛のグレードアップに使用するアイテム</t>
  </si>
  <si>
    <t>駿河 朱々のかけら</t>
  </si>
  <si>
    <t>駿河 朱々のグレードアップに使用するアイテム</t>
  </si>
  <si>
    <t>大川村 寧のかけら</t>
  </si>
  <si>
    <t>大川村 寧のグレードアップに使用するアイテム</t>
  </si>
  <si>
    <t>空間を操る六番組組長 出雲 天花のかけら</t>
  </si>
  <si>
    <t>空間を操る六番組組長 出雲 天花のグレードアップに使用するアイテム</t>
  </si>
  <si>
    <t>2025-12-08 12:00:00</t>
  </si>
  <si>
    <t>東 八千穂のかけら</t>
  </si>
  <si>
    <t>東 八千穂のグレードアップに使用するアイテム</t>
  </si>
  <si>
    <t>和倉 青羽のかけら</t>
  </si>
  <si>
    <t>和倉 青羽のグレードアップに使用するアイテム</t>
  </si>
  <si>
    <t>2025-12-08 15:00:00</t>
  </si>
  <si>
    <t>無窮の鎖 和倉 優希のかけら</t>
  </si>
  <si>
    <t>無窮の鎖 和倉 優希のグレードアップに使用するアイテム</t>
  </si>
  <si>
    <t>鴨乃橋 ロンのかけら</t>
  </si>
  <si>
    <t>鴨乃橋 ロンのグレードアップに使用するアイテム</t>
  </si>
  <si>
    <t>一色 都々丸のかけら</t>
  </si>
  <si>
    <t>一色 都々丸のグレードアップに使用するアイテム</t>
  </si>
  <si>
    <t>ライドウのかけら</t>
  </si>
  <si>
    <t>ライドウのグレードアップに使用するアイテム</t>
  </si>
  <si>
    <t>阿波連 れいなのかけら</t>
  </si>
  <si>
    <t>阿波連 れいなのグレードアップに使用するアイテム</t>
  </si>
  <si>
    <t>ハッピー星からの使者 タコピーのかけら</t>
  </si>
  <si>
    <t>ハッピー星からの使者 タコピーのグレードアップに使用するアイテム</t>
  </si>
  <si>
    <t>がらんの画眉丸のかけら</t>
  </si>
  <si>
    <t>がらんの画眉丸のグレードアップに使用するアイテム</t>
  </si>
  <si>
    <t>山田浅ェ門 佐切のかけら</t>
  </si>
  <si>
    <t>山田浅ェ門 佐切のグレードアップに使用するアイテム</t>
  </si>
  <si>
    <t>杠のかけら</t>
  </si>
  <si>
    <t>杠のグレードアップに使用するアイテム</t>
  </si>
  <si>
    <t>山田浅ェ門 仙汰のかけら</t>
  </si>
  <si>
    <t>山田浅ェ門 仙汰のグレードアップに使用するアイテム</t>
  </si>
  <si>
    <t>新人魔法少女 桜木 カナのかけら</t>
  </si>
  <si>
    <t>新人魔法少女 桜木 カナのグレードアップに使用するアイテム</t>
  </si>
  <si>
    <t>越谷 仁美のかけら</t>
  </si>
  <si>
    <t>越谷 仁美のグレードアップに使用するアイテム</t>
  </si>
  <si>
    <t>絶対効率の体現者 土刃 メイのかけら</t>
  </si>
  <si>
    <t>絶対効率の体現者 土刃 メイのグレードアップに使用するアイテム</t>
  </si>
  <si>
    <t>葵 リリーのかけら</t>
  </si>
  <si>
    <t>葵 リリーのグレードアップに使用するアイテム</t>
  </si>
  <si>
    <t>槇野 あかねのかけら</t>
  </si>
  <si>
    <t>槇野 あかねのグレードアップに使用するアイテム</t>
  </si>
  <si>
    <t>重本 浩司のかけら</t>
  </si>
  <si>
    <t>重本 浩司のグレードアップに使用するアイテム</t>
  </si>
  <si>
    <t>冬木 美波のかけら</t>
  </si>
  <si>
    <t>冬木 美波のグレードアップに使用するアイテム</t>
  </si>
  <si>
    <t>秋野 沙友理のかけら</t>
  </si>
  <si>
    <t>秋野 沙友理のグレードアップに使用するアイテム</t>
  </si>
  <si>
    <t>網代 慎平のかけら</t>
  </si>
  <si>
    <t>網代 慎平のグレードアップに使用するアイテム</t>
  </si>
  <si>
    <t>影のウシオ 小舟 潮のかけら</t>
  </si>
  <si>
    <t>影のウシオ 小舟 潮のグレードアップに使用するアイテム</t>
  </si>
  <si>
    <t>小舟 澪のかけら</t>
  </si>
  <si>
    <t>小舟 澪のグレードアップに使用するアイテム</t>
  </si>
  <si>
    <t>南方 竜之介のかけら</t>
  </si>
  <si>
    <t>B小町不動のセンター アイのかけら</t>
  </si>
  <si>
    <t>B小町不動のセンター アイのグレードアップに使用するアイテム</t>
  </si>
  <si>
    <t>復讐を誓う片星 星野 アクアのかけら</t>
  </si>
  <si>
    <t>復讐を誓う片星 星野 アクアのグレードアップに使用するアイテム</t>
  </si>
  <si>
    <t>星野 ルビーのかけら</t>
  </si>
  <si>
    <t>星野 ルビーのグレードアップに使用するアイテム</t>
  </si>
  <si>
    <t>MEMちょのかけら</t>
  </si>
  <si>
    <t>MEMちょのグレードアップに使用するアイテム</t>
  </si>
  <si>
    <t>有馬 かなのかけら</t>
  </si>
  <si>
    <t>有馬 かなのグレードアップに使用するアイテム</t>
  </si>
  <si>
    <t>黒川 あかねのかけら</t>
  </si>
  <si>
    <t>黒川 あかねのグレードアップに使用するアイテム</t>
  </si>
  <si>
    <t>ぴえヨンのかけら</t>
  </si>
  <si>
    <t>ぴえヨンのグレードアップに使用するアイテム</t>
  </si>
  <si>
    <t>賊王 亜左 弔兵衛のかけら</t>
  </si>
  <si>
    <t>賊王 亜左 弔兵衛のグレードアップに使用するアイテム</t>
  </si>
  <si>
    <t>2026-01-16 15:00:00</t>
  </si>
  <si>
    <t>山田浅ェ門 桐馬のかけら</t>
  </si>
  <si>
    <t>山田浅ェ門 桐馬のグレードアップに使用するアイテム</t>
  </si>
  <si>
    <t>民谷 巌鉄斎のかけら</t>
  </si>
  <si>
    <t>民谷 巌鉄斎のグレードアップに使用するアイテム</t>
  </si>
  <si>
    <t>メイのかけら</t>
  </si>
  <si>
    <t>メイのグレードアップに使用するアイテム</t>
  </si>
  <si>
    <t>元殺し屋の新人教諭 リタのかけら</t>
  </si>
  <si>
    <t>元殺し屋の新人教諭 リタのグレードアップに使用するアイテム</t>
  </si>
  <si>
    <t>2026-02-02 15:00:00</t>
  </si>
  <si>
    <t>ルークのかけら</t>
  </si>
  <si>
    <t>ルークのグレードアップに使用するアイテム</t>
  </si>
  <si>
    <t>ダグのかけら</t>
  </si>
  <si>
    <t>ダグのグレードアップに使用するアイテム</t>
  </si>
  <si>
    <t>ハナのかけら</t>
  </si>
  <si>
    <t>ハナのグレードアップに使用するアイテム</t>
  </si>
  <si>
    <t>溢れる母性 花園 羽々里のかけら</t>
  </si>
  <si>
    <t>溢れる母性 花園 羽々里のグレードアップに使用するアイテム</t>
  </si>
  <si>
    <t>2026-02-16 15:00:00</t>
  </si>
  <si>
    <t>花園 羽香里のかけら</t>
  </si>
  <si>
    <t>花園 羽香里のグレードアップに使用するアイテム</t>
  </si>
  <si>
    <t>院田 唐音のかけら</t>
  </si>
  <si>
    <t>院田 唐音のグレードアップに使用するアイテム</t>
  </si>
  <si>
    <t>好本 静のかけら</t>
  </si>
  <si>
    <t>好本 静のグレードアップに使用するアイテム</t>
  </si>
  <si>
    <t>ひたむきギタリスト 鳩野 ちひろのかけら</t>
  </si>
  <si>
    <t>ひたむきギタリスト 鳩野 ちひろのグレードアップに使用するアイテム</t>
  </si>
  <si>
    <t>2026-03-02 15:00:00</t>
  </si>
  <si>
    <t>幸山 厘のかけら</t>
  </si>
  <si>
    <t>幸山 厘のグレードアップに使用するアイテム</t>
  </si>
  <si>
    <t>内田 桃のかけら</t>
  </si>
  <si>
    <t>内田 桃のグレードアップに使用するアイテム</t>
  </si>
  <si>
    <t>藤井 彩目のかけら</t>
  </si>
  <si>
    <t>藤井 彩目のグレードアップに使用するアイテム</t>
  </si>
  <si>
    <t>一子相伝の風使い 風巻 祭里のかけら</t>
  </si>
  <si>
    <t>一子相伝の風使い　風巻 祭里のグレードアップに使用するアイテム</t>
  </si>
  <si>
    <t>2026-04-17 15:00:00</t>
  </si>
  <si>
    <t>花奏 すずのかけら</t>
  </si>
  <si>
    <t>花奏 すずのグレードアップに使用するアイテム</t>
  </si>
  <si>
    <t>香炉木 恋緒のかけら</t>
  </si>
  <si>
    <t>香炉木 恋緒のグレードアップに使用するアイテム</t>
  </si>
  <si>
    <t>二ノ曲 宗牙のかけら</t>
  </si>
  <si>
    <t>二ノ曲 宗牙のグレードアップに使用するアイテム</t>
  </si>
  <si>
    <t>memory_chara</t>
  </si>
  <si>
    <t>四ノ宮 功のメモリー</t>
  </si>
  <si>
    <t>四ノ宮 功のLv.上限開放に使用するアイテム</t>
  </si>
  <si>
    <t>古橋 伊春のメモリー</t>
  </si>
  <si>
    <t>古橋 伊春のLv.上限開放に使用するアイテム</t>
  </si>
  <si>
    <t>ダミアン・デズモンドのメモリー</t>
  </si>
  <si>
    <t>ダミアン・デズモンドのLv.上限開放に使用するアイテム</t>
  </si>
  <si>
    <t>フランキー・フランクリンのメモリー</t>
  </si>
  <si>
    <t>フランキー・フランクリンのLv.上限開放に使用するアイテム</t>
  </si>
  <si>
    <t>アイラのメモリー</t>
  </si>
  <si>
    <t>アイラのLv.上限開放に使用するアイテム</t>
  </si>
  <si>
    <t>招き猫 ターボババアのメモリー</t>
  </si>
  <si>
    <t>招き猫 ターボババアのLv.上限開放に使用するアイテム</t>
  </si>
  <si>
    <t>槇野 あかねのメモリー</t>
  </si>
  <si>
    <t>槇野 あかねのLv.上限開放に使用するアイテム</t>
  </si>
  <si>
    <t>重本 浩司のメモリー</t>
  </si>
  <si>
    <t>重本 浩司のLv.上限開放に使用するアイテム</t>
  </si>
  <si>
    <t>753♡のメモリー</t>
  </si>
  <si>
    <t>753♡のLv.上限開放に使用するアイテム</t>
  </si>
  <si>
    <t>奥村 正宗のメモリー</t>
  </si>
  <si>
    <t>奥村 正宗のLv.上限開放に使用するアイテム</t>
  </si>
  <si>
    <t>和倉 青羽のメモリー</t>
  </si>
  <si>
    <t>和倉 青羽のLv.上限開放に使用するアイテム</t>
  </si>
  <si>
    <t>無窮の鎖 和倉 優希のメモリー</t>
  </si>
  <si>
    <t>無窮の鎖 和倉 優希のLv.上限開放に使用するアイテム</t>
  </si>
  <si>
    <t>ぴえヨンのメモリー</t>
  </si>
  <si>
    <t>ぴえヨンのLv.上限開放に使用するアイテム</t>
  </si>
  <si>
    <t>民谷 巌鉄斎のメモリー</t>
  </si>
  <si>
    <t>民谷 巌鉄斎のLv.上限開放に使用するアイテム</t>
  </si>
  <si>
    <t>メイのメモリー</t>
  </si>
  <si>
    <t>メイのLv.上限開放に使用するアイテム</t>
  </si>
  <si>
    <t>ダグのメモリー</t>
  </si>
  <si>
    <t>ダグのLv.上限開放に使用するアイテム</t>
  </si>
  <si>
    <t>ハナのメモリー</t>
  </si>
  <si>
    <t>ハナのLv.上限開放に使用するアイテム</t>
  </si>
  <si>
    <t>内田 桃のメモリー</t>
  </si>
  <si>
    <t>内田 桃のLv.上限開放に使用するアイテム</t>
  </si>
  <si>
    <t>藤井 彩目のメモリー</t>
  </si>
  <si>
    <t>藤井 彩目のLv.上限開放に使用するアイテム</t>
  </si>
  <si>
    <t>香炉木 恋緒のメモリー</t>
  </si>
  <si>
    <t>香炉木 恋緒のLv.上限開放に使用するアイテム</t>
  </si>
  <si>
    <t>ニノ曲 宗牙のメモリー</t>
  </si>
  <si>
    <t>ニノ曲 宗牙のLv.上限開放に使用するアイテム</t>
  </si>
  <si>
    <t>item</t>
  </si>
  <si>
    <t>いいジャン祭メダル【赤】</t>
  </si>
  <si>
    <t>交換所で使用するメダル</t>
  </si>
  <si>
    <t>いいジャン祭メダル【青】</t>
  </si>
  <si>
    <t>(未定)</t>
  </si>
  <si>
    <t>いいジャン祭メダル【緑】</t>
  </si>
  <si>
    <t>いいジャン祭メダル【黄】</t>
  </si>
  <si>
    <t>打ち消しの薬</t>
  </si>
  <si>
    <t>君のことが大大大大大好きな100人の彼女交換所で使用するアイテム</t>
  </si>
  <si>
    <t>ギターピック</t>
  </si>
  <si>
    <t>ふつうの軽音部交換所で使用するアイテム</t>
  </si>
  <si>
    <t>風車</t>
  </si>
  <si>
    <t>あやかしトライアングル交換所で使用するアイテム</t>
  </si>
  <si>
    <t>原画</t>
  </si>
  <si>
    <t xml:space="preserve">　1</t>
  </si>
  <si>
    <t>原画そのものを報酬に置いたときに共通で表示する際のアイコン</t>
  </si>
  <si>
    <t>box_item</t>
  </si>
  <si>
    <t>いいジャンくじ</t>
  </si>
  <si>
    <t>いいジャンくじ引換所で使用するアイテム</t>
  </si>
  <si>
    <t>entry_item</t>
  </si>
  <si>
    <t>ランクマッチチケット</t>
  </si>
  <si>
    <t>ランクマッチに挑戦するためのアイテム</t>
  </si>
  <si>
    <t>ランクマッチの挑戦回数を回復する</t>
  </si>
  <si>
    <t>クエストカテゴリー(意味)</t>
  </si>
  <si>
    <t>クエストカテゴリー</t>
  </si>
  <si>
    <t>クエスト難易度</t>
  </si>
  <si>
    <t>メインクエスト</t>
  </si>
  <si>
    <t>main</t>
  </si>
  <si>
    <t>1日1回(イベント)</t>
  </si>
  <si>
    <t>1day</t>
  </si>
  <si>
    <t>強化/素材入手</t>
  </si>
  <si>
    <t>training</t>
  </si>
  <si>
    <t>キャラ獲得</t>
  </si>
  <si>
    <t>charaget</t>
  </si>
  <si>
    <t>降臨バトル</t>
  </si>
  <si>
    <t>raid</t>
  </si>
  <si>
    <t>ストーリー</t>
  </si>
  <si>
    <t>story</t>
  </si>
  <si>
    <t>イベント</t>
  </si>
  <si>
    <t>event</t>
  </si>
  <si>
    <t>原画獲得</t>
  </si>
  <si>
    <t>スピードチャレンジ</t>
  </si>
  <si>
    <t>challenge</t>
  </si>
  <si>
    <t>高難易度</t>
  </si>
  <si>
    <t>savage</t>
  </si>
  <si>
    <t xml:space="preserve">　作品_ID</t>
  </si>
  <si>
    <t>アバターアイコン_ID</t>
  </si>
  <si>
    <t>chara_spy_00001</t>
  </si>
  <si>
    <t>chara_spy_00002</t>
  </si>
  <si>
    <t>chara_spy_00101</t>
  </si>
  <si>
    <t>chara_spy_00201</t>
  </si>
  <si>
    <t>chara_spy_00301</t>
  </si>
  <si>
    <t>chara_spy_00401</t>
  </si>
  <si>
    <t>chara_aka_00001</t>
  </si>
  <si>
    <t>chara_aka_00101</t>
  </si>
  <si>
    <t>chara_rik_00001</t>
  </si>
  <si>
    <t>chara_rik_00101</t>
  </si>
  <si>
    <t>chara_rik_00201</t>
  </si>
  <si>
    <t>chara_dan_00001</t>
  </si>
  <si>
    <t>chara_dan_00002</t>
  </si>
  <si>
    <t>chara_dan_00101</t>
  </si>
  <si>
    <t>chara_dan_00201</t>
  </si>
  <si>
    <t>chara_gom_00001</t>
  </si>
  <si>
    <t>chara_gom_00100</t>
  </si>
  <si>
    <t>chara_chi_00001</t>
  </si>
  <si>
    <t>chara_chi_00002</t>
  </si>
  <si>
    <t>chara_chi_00101</t>
  </si>
  <si>
    <t>chara_bat_00001</t>
  </si>
  <si>
    <t>chara_bat_00101</t>
  </si>
  <si>
    <t>chara_kai_00001</t>
  </si>
  <si>
    <t>chara_kai_00002</t>
  </si>
  <si>
    <t>chara_kai_00101</t>
  </si>
  <si>
    <t>chara_kai_00201</t>
  </si>
  <si>
    <t>chara_kai_00301</t>
  </si>
  <si>
    <t>chara_yuw_00001</t>
  </si>
  <si>
    <t>chara_yuw_00101</t>
  </si>
  <si>
    <t>chara_yuw_00201</t>
  </si>
  <si>
    <t>chara_sur_00001</t>
  </si>
  <si>
    <t>chara_sur_00101</t>
  </si>
  <si>
    <t>chara_sur_00201</t>
  </si>
  <si>
    <t>chara_sur_00301</t>
  </si>
  <si>
    <t>chara_sur_00401</t>
  </si>
  <si>
    <t>chara_ron_00001</t>
  </si>
  <si>
    <t>chara_ron_00101</t>
  </si>
  <si>
    <t>chara_aha_00001</t>
  </si>
  <si>
    <t>chara_aha_00101</t>
  </si>
  <si>
    <t>chara_tak_00001</t>
  </si>
  <si>
    <t>chara_jig_00001</t>
  </si>
  <si>
    <t>chara_jig_00101</t>
  </si>
  <si>
    <t>chara_mag_00001</t>
  </si>
  <si>
    <t>chara_mag_00101</t>
  </si>
  <si>
    <t>chara_dos_00001</t>
  </si>
  <si>
    <t>chara_dos_00101</t>
  </si>
  <si>
    <t>chara_sum_00001</t>
  </si>
  <si>
    <t>chara_sum_00101</t>
  </si>
  <si>
    <t>chara_sum_00201</t>
  </si>
  <si>
    <t>クエスト_id</t>
  </si>
  <si>
    <t>クエスト名</t>
  </si>
  <si>
    <t>ステージ_id</t>
  </si>
  <si>
    <t>Stage_id</t>
  </si>
  <si>
    <t>ステージアイコン画像ID</t>
  </si>
  <si>
    <t>ステージ名</t>
  </si>
  <si>
    <t>コマ段数</t>
  </si>
  <si>
    <t>BGM_id</t>
  </si>
  <si>
    <t>BOSS_BGM_id</t>
  </si>
  <si>
    <t>原画group_id</t>
  </si>
  <si>
    <t>備考</t>
  </si>
  <si>
    <t>normal</t>
  </si>
  <si>
    <t>1.SPY FAMILY</t>
  </si>
  <si>
    <t>01</t>
  </si>
  <si>
    <t>02</t>
  </si>
  <si>
    <t>03</t>
  </si>
  <si>
    <t>04</t>
  </si>
  <si>
    <t>05</t>
  </si>
  <si>
    <t>06</t>
  </si>
  <si>
    <t>2.姫様“拷問”の時間です</t>
  </si>
  <si>
    <t>3.ラーメン赤猫</t>
  </si>
  <si>
    <t>glo1</t>
  </si>
  <si>
    <t>4.リミックスクエスト Vol.1</t>
  </si>
  <si>
    <t>5.ダンダダン</t>
  </si>
  <si>
    <t>6.地獄楽</t>
  </si>
  <si>
    <t>7.タコピーの原罪</t>
  </si>
  <si>
    <t>glo2</t>
  </si>
  <si>
    <t>8.リミックスクエスト Vol.2</t>
  </si>
  <si>
    <t>9.チェンソーマン</t>
  </si>
  <si>
    <t>10.魔都精兵のスレイブ</t>
  </si>
  <si>
    <t>11.トマトイプーのリコピン</t>
  </si>
  <si>
    <t>glo3</t>
  </si>
  <si>
    <t>12.リミックスクエスト Vol.3</t>
  </si>
  <si>
    <t>13.株式会社マジルミエ</t>
  </si>
  <si>
    <t>14.サマータイムレンダ</t>
  </si>
  <si>
    <t>15.怪獣８号</t>
  </si>
  <si>
    <t>glo4</t>
  </si>
  <si>
    <t>16.リミックスクエスト Vol.4</t>
  </si>
  <si>
    <t>17.【推しの子】</t>
  </si>
  <si>
    <t>hard</t>
  </si>
  <si>
    <t>stage_icon_spy_normal_01</t>
  </si>
  <si>
    <t>stage_icon_spy_normal_02</t>
  </si>
  <si>
    <t>stage_icon_spy_normal_03</t>
  </si>
  <si>
    <t>stage_icon_spy_normal_04</t>
  </si>
  <si>
    <t>stage_icon_spy_normal_05</t>
  </si>
  <si>
    <t>stage_icon_spy_normal_06</t>
  </si>
  <si>
    <t>stage_icon_gom_normal_01</t>
  </si>
  <si>
    <t>stage_icon_gom_normal_02</t>
  </si>
  <si>
    <t>stage_icon_gom_normal_03</t>
  </si>
  <si>
    <t>stage_icon_gom_normal_04</t>
  </si>
  <si>
    <t>stage_icon_gom_normal_05</t>
  </si>
  <si>
    <t>stage_icon_gom_normal_06</t>
  </si>
  <si>
    <t>stage_icon_aka_normal_01</t>
  </si>
  <si>
    <t>stage_icon_aka_normal_02</t>
  </si>
  <si>
    <t>stage_icon_aka_normal_03</t>
  </si>
  <si>
    <t>stage_icon_glo1_normal_01</t>
  </si>
  <si>
    <t>stage_icon_glo1_normal_02</t>
  </si>
  <si>
    <t>stage_icon_glo1_normal_03</t>
  </si>
  <si>
    <t>stage_icon_glo1_normal_04</t>
  </si>
  <si>
    <t>stage_icon_glo1_normal_05</t>
  </si>
  <si>
    <t>stage_icon_glo1_normal_06</t>
  </si>
  <si>
    <t>stage_icon_dan_normal_01</t>
  </si>
  <si>
    <t>stage_icon_dan_normal_02</t>
  </si>
  <si>
    <t>stage_icon_dan_normal_03</t>
  </si>
  <si>
    <t>stage_icon_dan_normal_04</t>
  </si>
  <si>
    <t>stage_icon_dan_normal_05</t>
  </si>
  <si>
    <t>stage_icon_dan_normal_06</t>
  </si>
  <si>
    <t>stage_icon_jig_normal_01</t>
  </si>
  <si>
    <t>stage_icon_jig_normal_02</t>
  </si>
  <si>
    <t>stage_icon_jig_normal_03</t>
  </si>
  <si>
    <t>stage_icon_jig_normal_04</t>
  </si>
  <si>
    <t>stage_icon_jig_normal_05</t>
  </si>
  <si>
    <t>stage_icon_jig_normal_06</t>
  </si>
  <si>
    <t>stage_icon_tak_normal_01</t>
  </si>
  <si>
    <t>stage_icon_tak_normal_02</t>
  </si>
  <si>
    <t>stage_icon_tak_normal_03</t>
  </si>
  <si>
    <t>stage_icon_glo2_normal_01</t>
  </si>
  <si>
    <t>stage_icon_glo2_normal_02</t>
  </si>
  <si>
    <t>stage_icon_glo2_normal_03</t>
  </si>
  <si>
    <t>stage_icon_glo2_normal_04</t>
  </si>
  <si>
    <t>stage_icon_glo2_normal_05</t>
  </si>
  <si>
    <t>stage_icon_glo2_normal_06</t>
  </si>
  <si>
    <t>stage_icon_chi_normal_01</t>
  </si>
  <si>
    <t>stage_icon_chi_normal_02</t>
  </si>
  <si>
    <t>stage_icon_chi_normal_03</t>
  </si>
  <si>
    <t>stage_icon_chi_normal_04</t>
  </si>
  <si>
    <t>stage_icon_chi_normal_05</t>
  </si>
  <si>
    <t>stage_icon_chi_normal_06</t>
  </si>
  <si>
    <t>stage_icon_sur_normal_01</t>
  </si>
  <si>
    <t>stage_icon_sur_normal_02</t>
  </si>
  <si>
    <t>stage_icon_sur_normal_03</t>
  </si>
  <si>
    <t>stage_icon_sur_normal_04</t>
  </si>
  <si>
    <t>stage_icon_sur_normal_05</t>
  </si>
  <si>
    <t>stage_icon_sur_normal_06</t>
  </si>
  <si>
    <t>stage_icon_rik_normal_01</t>
  </si>
  <si>
    <t>stage_icon_rik_normal_02</t>
  </si>
  <si>
    <t>stage_icon_rik_normal_03</t>
  </si>
  <si>
    <t>stage_icon_glo3_normal_01</t>
  </si>
  <si>
    <t>stage_icon_glo3_normal_02</t>
  </si>
  <si>
    <t>stage_icon_glo3_normal_03</t>
  </si>
  <si>
    <t>stage_icon_glo3_normal_04</t>
  </si>
  <si>
    <t>stage_icon_glo3_normal_05</t>
  </si>
  <si>
    <t>stage_icon_glo3_normal_06</t>
  </si>
  <si>
    <t>stage_icon_mag_normal_01</t>
  </si>
  <si>
    <t>stage_icon_mag_normal_02</t>
  </si>
  <si>
    <t>stage_icon_mag_normal_03</t>
  </si>
  <si>
    <t>stage_icon_mag_normal_04</t>
  </si>
  <si>
    <t>stage_icon_mag_normal_05</t>
  </si>
  <si>
    <t>stage_icon_mag_normal_06</t>
  </si>
  <si>
    <t>stage_icon_sum_normal_01</t>
  </si>
  <si>
    <t>stage_icon_sum_normal_02</t>
  </si>
  <si>
    <t>stage_icon_sum_normal_03</t>
  </si>
  <si>
    <t>stage_icon_sum_normal_04</t>
  </si>
  <si>
    <t>stage_icon_sum_normal_05</t>
  </si>
  <si>
    <t>stage_icon_sum_normal_06</t>
  </si>
  <si>
    <t>stage_icon_kai_normal_01</t>
  </si>
  <si>
    <t>stage_icon_kai_normal_02</t>
  </si>
  <si>
    <t>stage_icon_kai_normal_03</t>
  </si>
  <si>
    <t>stage_icon_kai_normal_04</t>
  </si>
  <si>
    <t>stage_icon_kai_normal_05</t>
  </si>
  <si>
    <t>stage_icon_kai_normal_06</t>
  </si>
  <si>
    <t>stage_icon_glo4_normal_01</t>
  </si>
  <si>
    <t>stage_icon_glo4_normal_02</t>
  </si>
  <si>
    <t>stage_icon_glo4_normal_03</t>
  </si>
  <si>
    <t>stage_icon_glo4_normal_04</t>
  </si>
  <si>
    <t>stage_icon_glo4_normal_05</t>
  </si>
  <si>
    <t>stage_icon_glo4_normal_06</t>
  </si>
  <si>
    <t>veryhard</t>
  </si>
  <si>
    <t>stage_icon_osh_normal_01</t>
  </si>
  <si>
    <t>stage_icon_osh_normal_02</t>
  </si>
  <si>
    <t>stage_icon_osh_normal_03</t>
  </si>
  <si>
    <t>null</t>
  </si>
  <si>
    <t>quest_enhance_00001</t>
  </si>
  <si>
    <t>コイン獲得クエスト</t>
  </si>
  <si>
    <t>enhance_00001</t>
  </si>
  <si>
    <t>なし</t>
  </si>
  <si>
    <t>Normal</t>
  </si>
  <si>
    <t>Tutorial</t>
  </si>
  <si>
    <t>チュートリアル</t>
  </si>
  <si>
    <t>tutorial</t>
  </si>
  <si>
    <t>tutorial_1</t>
  </si>
  <si>
    <t>general_coin</t>
  </si>
  <si>
    <t>tutorial_2</t>
  </si>
  <si>
    <t>tutorial_3</t>
  </si>
  <si>
    <t>kai1</t>
  </si>
  <si>
    <t>候補生としての入隊</t>
  </si>
  <si>
    <t>charaget01</t>
  </si>
  <si>
    <t>気に入らねェ 気に入らねェ</t>
  </si>
  <si>
    <t>07</t>
  </si>
  <si>
    <t>08</t>
  </si>
  <si>
    <t>charaget02</t>
  </si>
  <si>
    <t>怪獣８号の引き渡しを命ずる</t>
  </si>
  <si>
    <t>challenge01</t>
  </si>
  <si>
    <t>戦場で 力を示してみせろ ヒヨコども</t>
  </si>
  <si>
    <t>クラス『大怪獣』</t>
  </si>
  <si>
    <t>spy1</t>
  </si>
  <si>
    <t>デイリークエスト</t>
  </si>
  <si>
    <t>ストーリークエスト1</t>
  </si>
  <si>
    <t>ストーリークエスト2</t>
  </si>
  <si>
    <t>チャレンジクエスト</t>
  </si>
  <si>
    <t>高難易度クエスト</t>
  </si>
  <si>
    <t>dan1</t>
  </si>
  <si>
    <t>mag1</t>
  </si>
  <si>
    <t>何とかやってます</t>
  </si>
  <si>
    <t>うちの美学</t>
  </si>
  <si>
    <t>よく見てる</t>
  </si>
  <si>
    <t>色々な魔法少女</t>
  </si>
  <si>
    <t>「怪異」現象</t>
  </si>
  <si>
    <t>yuw1</t>
  </si>
  <si>
    <t>はじめての撮影会</t>
  </si>
  <si>
    <t>コスプレをしに来たんだよ</t>
  </si>
  <si>
    <t>俺はずっとオタクなだけです</t>
  </si>
  <si>
    <t>幸せです…</t>
  </si>
  <si>
    <t>これがこの世界の頂上</t>
  </si>
  <si>
    <t>savage02</t>
  </si>
  <si>
    <t>クリスマスバトル!!</t>
  </si>
  <si>
    <t>sur1</t>
  </si>
  <si>
    <t>精兵と管理人</t>
  </si>
  <si>
    <t>スレイブの誕生</t>
  </si>
  <si>
    <t>隠れ里の戦い</t>
  </si>
  <si>
    <t>魔都防衛隊</t>
  </si>
  <si>
    <t>スレイブと組長</t>
  </si>
  <si>
    <t>osh1</t>
  </si>
  <si>
    <t>ファンと推し合戦!</t>
  </si>
  <si>
    <t>芸能界へ!</t>
  </si>
  <si>
    <t>推しの子になってやる</t>
  </si>
  <si>
    <t>ぴえヨンのブートクエスト</t>
  </si>
  <si>
    <t>芸能界には才能が集まる</t>
  </si>
  <si>
    <t>開運!ジャンブル運試し</t>
  </si>
  <si>
    <t>jig1</t>
  </si>
  <si>
    <t>本能が告げている 危険だと</t>
  </si>
  <si>
    <t>朱印の者たち</t>
  </si>
  <si>
    <t>死罪人と首切り役人</t>
  </si>
  <si>
    <t>手負いの獣は恐ろしいぞ</t>
  </si>
  <si>
    <t>you1</t>
  </si>
  <si>
    <t>お遊戯の時間です</t>
  </si>
  <si>
    <t>先輩は敬いたまえ</t>
  </si>
  <si>
    <t>兄を助けてくれないか?</t>
  </si>
  <si>
    <t>世界一安全な幼稚園</t>
  </si>
  <si>
    <t>正義だけじゃ何も守れない</t>
  </si>
  <si>
    <t>kim1</t>
  </si>
  <si>
    <t>恋は盲目</t>
  </si>
  <si>
    <t>キスゾンビ♡パニック</t>
  </si>
  <si>
    <t>最高の恋愛パートナー</t>
  </si>
  <si>
    <t>恋太郎ファミリー</t>
  </si>
  <si>
    <t>DEAD OR LOVE</t>
  </si>
  <si>
    <t>怪獣退治の時間</t>
  </si>
  <si>
    <t>不具合あったので「quest_raid_kai_00001」の再開催</t>
  </si>
  <si>
    <t>業務実行!!</t>
  </si>
  <si>
    <t>夏コミの魔物</t>
  </si>
  <si>
    <t>魔防隊と戦う者</t>
  </si>
  <si>
    <t>ファーストライブ</t>
  </si>
  <si>
    <t>まるで 悪夢を見ているようだ</t>
  </si>
  <si>
    <t>誰の依頼だ？</t>
  </si>
  <si>
    <t>ラブミッション：インポッシブル</t>
  </si>
  <si>
    <t>limited</t>
  </si>
  <si>
    <t>リミテッドバトル</t>
  </si>
  <si>
    <t>順</t>
  </si>
  <si>
    <t>quest_thumbnail_asset</t>
  </si>
  <si>
    <t>クエストID</t>
  </si>
  <si>
    <t>quest_event_kai1_1day</t>
  </si>
  <si>
    <t>quest_event_kai1_charaget01</t>
  </si>
  <si>
    <t>quest_event_kai1_charaget02</t>
  </si>
  <si>
    <t>quest_event_kai1_challenge01</t>
  </si>
  <si>
    <t>quest_event_kai1_savage</t>
  </si>
  <si>
    <t>quest_event_spy1_1day</t>
  </si>
  <si>
    <t>quest_event_spy1_charaget01</t>
  </si>
  <si>
    <t>quest_event_spy1_charaget02</t>
  </si>
  <si>
    <t>quest_event_spy1_challenge01</t>
  </si>
  <si>
    <t>quest_event_spy1_savage</t>
  </si>
  <si>
    <t>quest_event_dan1_1day</t>
  </si>
  <si>
    <t>quest_event_dan1_charaget01</t>
  </si>
  <si>
    <t>quest_event_dan1_charaget02</t>
  </si>
  <si>
    <t>quest_event_dan1_challenge01</t>
  </si>
  <si>
    <t>quest_event_dan1_savage</t>
  </si>
  <si>
    <t>quest_event_mag1_1day</t>
  </si>
  <si>
    <t>quest_event_mag1_charaget01</t>
  </si>
  <si>
    <t>quest_event_mag1_charaget02</t>
  </si>
  <si>
    <t>quest_event_mag1_challenge01</t>
  </si>
  <si>
    <t>quest_event_mag1_savage</t>
  </si>
  <si>
    <t>quest_event_yuw1_1day</t>
  </si>
  <si>
    <t>quest_event_yuw1_charaget01</t>
  </si>
  <si>
    <t>quest_event_yuw1_charaget02</t>
  </si>
  <si>
    <t>quest_event_yuw1_challenge01</t>
  </si>
  <si>
    <t>quest_event_yuw1_savage</t>
  </si>
  <si>
    <t>quest_event_yuw1_savage02</t>
  </si>
  <si>
    <r>
      <rPr>
        <rFont val="Arial"/>
        <color rgb="FF000000"/>
        <sz val="8.0"/>
      </rPr>
      <t>quest_event_osh1_</t>
    </r>
    <r>
      <rPr>
        <rFont val="Arial"/>
        <color rgb="FFFF0000"/>
        <sz val="8.0"/>
      </rPr>
      <t>????</t>
    </r>
  </si>
  <si>
    <t>年始デイリー</t>
  </si>
  <si>
    <t>quest_event_osh1_1day</t>
  </si>
  <si>
    <t>quest_event_osh1_charaget01</t>
  </si>
  <si>
    <t>quest_event_osh1_charaget02</t>
  </si>
  <si>
    <t>quest_event_osh1_savage</t>
  </si>
  <si>
    <t>quest_event_jig1_1day</t>
  </si>
  <si>
    <t>quest_event_jig1_charaget01</t>
  </si>
  <si>
    <t>quest_event_jig1_charaget02</t>
  </si>
  <si>
    <t>quest_event_jig1_challenge01</t>
  </si>
  <si>
    <t>quest_event_jig1_savage</t>
  </si>
  <si>
    <t>quest_event_you1_1day</t>
  </si>
  <si>
    <t>quest_event_you1_charaget01</t>
  </si>
  <si>
    <t>quest_event_you1_charaget02</t>
  </si>
  <si>
    <t>quest_event_you1_challenge01</t>
  </si>
  <si>
    <t>quest_event_you1_savage</t>
  </si>
  <si>
    <t>quest_event_kim1_1day</t>
  </si>
  <si>
    <t>quest_event_kim1_charaget01</t>
  </si>
  <si>
    <t>quest_event_kim1_charaget02</t>
  </si>
  <si>
    <t>quest_event_kim1_challenge01</t>
  </si>
  <si>
    <t>quest_event_kim1_savage</t>
  </si>
  <si>
    <t>種別</t>
  </si>
  <si>
    <t>イベント番号</t>
  </si>
  <si>
    <t>モチーフID</t>
  </si>
  <si>
    <t>アイコンのモチーフ</t>
  </si>
  <si>
    <t>stage_iconファイル名</t>
  </si>
  <si>
    <t>汎用</t>
  </si>
  <si>
    <t>diamond</t>
  </si>
  <si>
    <t>memory_00001</t>
  </si>
  <si>
    <t>memory_00002</t>
  </si>
  <si>
    <t>memory_00003</t>
  </si>
  <si>
    <t>memory_00004</t>
  </si>
  <si>
    <t>memory_00005</t>
  </si>
  <si>
    <t>fragment_00001</t>
  </si>
  <si>
    <t>fragment_00002</t>
  </si>
  <si>
    <t>fragment_00003</t>
  </si>
  <si>
    <t>box_00001</t>
  </si>
  <si>
    <t>box_00002</t>
  </si>
  <si>
    <t>box_00003</t>
  </si>
  <si>
    <t>box_00004</t>
  </si>
  <si>
    <t>box_00005</t>
  </si>
  <si>
    <t>box_00006</t>
  </si>
  <si>
    <t>box_00007</t>
  </si>
  <si>
    <t>box_00008</t>
  </si>
  <si>
    <t>ticket_00001</t>
  </si>
  <si>
    <t>ticket_00002</t>
  </si>
  <si>
    <t>ticket_00003</t>
  </si>
  <si>
    <t>exchange_00001</t>
  </si>
  <si>
    <t>exchange_00002</t>
  </si>
  <si>
    <t>exchange_00003</t>
  </si>
  <si>
    <t>exchange_00004</t>
  </si>
  <si>
    <t>イベント専用</t>
  </si>
  <si>
    <t>キャラ_古橋 伊春</t>
  </si>
  <si>
    <t>古橋伊春のかけら</t>
  </si>
  <si>
    <t>カラーメモリー・古橋伊春</t>
  </si>
  <si>
    <t>キャラ_四ノ宮 功</t>
  </si>
  <si>
    <t>四ノ宮功のかけら</t>
  </si>
  <si>
    <t>カラーメモリー・四ノ宮 功</t>
  </si>
  <si>
    <t>保科宗四郎のかけら</t>
  </si>
  <si>
    <t>亜白ミナのかけら</t>
  </si>
  <si>
    <t>怪獣9号のエンブレム</t>
  </si>
  <si>
    <t>怪獣10号のエンブレム</t>
  </si>
  <si>
    <t>キャラ_ダミアン・デズモンド</t>
  </si>
  <si>
    <t>カラーメモリー・ダミアン・デズモンド</t>
  </si>
  <si>
    <t>キャラ_フランキー・フランクリン</t>
  </si>
  <si>
    <t>カラーメモリー・フランキー・フランクリン</t>
  </si>
  <si>
    <t>ユーリ・ブライアのかけら</t>
  </si>
  <si>
    <t>&lt;いばら姫&gt; ヨルのかけら</t>
  </si>
  <si>
    <t>ロイドのかけら</t>
  </si>
  <si>
    <t>キャラ_招き猫 ターボババア</t>
  </si>
  <si>
    <t>カラーメモリー・招き猫 ターボババア</t>
  </si>
  <si>
    <t>キャラ_アイラ</t>
  </si>
  <si>
    <t>カラーメモリー・アイラ</t>
  </si>
  <si>
    <t>アクさらの愛 アイラのかけら</t>
  </si>
  <si>
    <t>ターボババアのマスクのエンブレム</t>
  </si>
  <si>
    <t>アクさらのマスクのエンブレム</t>
  </si>
  <si>
    <t>キャラ_重本 浩司</t>
  </si>
  <si>
    <t>カラーメモリー・重本 浩司</t>
  </si>
  <si>
    <t>キャラ_槇野 あかね</t>
  </si>
  <si>
    <t>カラーメモリー・槇野 あかね</t>
  </si>
  <si>
    <t>冷淡な精密機械　土刃 メイのかけら</t>
  </si>
  <si>
    <t>葵 リリーかけら</t>
  </si>
  <si>
    <t>桜木 カナの変身アイテムのエンブレム</t>
  </si>
  <si>
    <t>葵 リリーの変身アイテムのエンブレム</t>
  </si>
  <si>
    <t>キャラ_753♡</t>
  </si>
  <si>
    <t>キャラ_奥村 正宗</t>
  </si>
  <si>
    <t>奥村 正宗メモリー</t>
  </si>
  <si>
    <t>コスプレに託す乙女心　橘 美花莉のかけら</t>
  </si>
  <si>
    <t>エンブレム：ラスタロッテ</t>
  </si>
  <si>
    <t>エンブレム：イコラ</t>
  </si>
  <si>
    <t>キャラ_無窮の鎖 和倉 優希</t>
  </si>
  <si>
    <t>キャラ_和倉 青羽</t>
  </si>
  <si>
    <t>魔都防衛隊エンブレム</t>
  </si>
  <si>
    <t>羽前 京香エンブレム</t>
  </si>
  <si>
    <t>出雲 天花のエンブレム</t>
  </si>
  <si>
    <t>有馬かなのかけら</t>
  </si>
  <si>
    <t>アイのかけら</t>
  </si>
  <si>
    <t>星野 アクアのかけら</t>
  </si>
  <si>
    <t>【推しの子】SSR確定チケット</t>
  </si>
  <si>
    <t>B小町エンブレム</t>
  </si>
  <si>
    <t>嘘吐きエンブレム</t>
  </si>
  <si>
    <t>アイのサインエンブレム</t>
  </si>
  <si>
    <t>キャラ_メイ</t>
  </si>
  <si>
    <t>キャラ_民谷 巌鉄斎</t>
  </si>
  <si>
    <t>神仙郷エンブレム</t>
  </si>
  <si>
    <t>キャラ_ダグ</t>
  </si>
  <si>
    <t>キャラ_ハナ</t>
  </si>
  <si>
    <t>エンブレムブラック幼稚園の園章</t>
  </si>
  <si>
    <t>エンブレム神様</t>
  </si>
  <si>
    <t>特集祭名</t>
  </si>
  <si>
    <t>識別番号</t>
  </si>
  <si>
    <t>特集祭ID(quest_group)</t>
  </si>
  <si>
    <t>イベント画面バナーID</t>
  </si>
  <si>
    <t>イベントトップバナーID(prefab)</t>
  </si>
  <si>
    <t>ホームバナーID</t>
  </si>
  <si>
    <t>ミッションバナーID</t>
  </si>
  <si>
    <t>昇格タグ</t>
  </si>
  <si>
    <t>開始日</t>
  </si>
  <si>
    <t>終了日</t>
  </si>
  <si>
    <t>地獄楽特集祭</t>
  </si>
  <si>
    <t>2024-08-13 00:00:00</t>
  </si>
  <si>
    <t>2025-12-30 23:59:59</t>
  </si>
  <si>
    <t>仮</t>
  </si>
  <si>
    <t>2025-09-22 11:00:00</t>
  </si>
  <si>
    <t>2025-10-22 14:59:59</t>
  </si>
  <si>
    <t>本番ID</t>
  </si>
  <si>
    <t>2025-10-06 15:00:00</t>
  </si>
  <si>
    <t>2025-10-31 14:59:59</t>
  </si>
  <si>
    <t>ダンダダン いいジャン祭</t>
  </si>
  <si>
    <t>2025-10-22 15:00:00</t>
  </si>
  <si>
    <t>2025-11-21 14:59:59</t>
  </si>
  <si>
    <t>2025-11-06 15:00:00</t>
  </si>
  <si>
    <t>2025-12-08 14:59:59</t>
  </si>
  <si>
    <t>ブラックフライデーキャンペーン</t>
  </si>
  <si>
    <t>2025-11-21 15:00:00</t>
  </si>
  <si>
    <t>2025-12-01 14:59:59</t>
  </si>
  <si>
    <t xml:space="preserve">2.5次元の誘惑 いいジャン祭 </t>
  </si>
  <si>
    <t>2025-12-31 23:59:59</t>
  </si>
  <si>
    <t xml:space="preserve">魔都精兵のスレイブ いいジャン祭 </t>
  </si>
  <si>
    <t>2026-01-16 10:59:59</t>
  </si>
  <si>
    <t>2026正月 キャンペーン</t>
  </si>
  <si>
    <t>event_osh_00001_01</t>
  </si>
  <si>
    <t>2026-02-02 10:59:59</t>
  </si>
  <si>
    <t>推しの子とは</t>
  </si>
  <si>
    <t>【推しの子】 いいジャン祭</t>
  </si>
  <si>
    <t>地獄楽 いいジャン祭</t>
  </si>
  <si>
    <t>2026-02-16 10:59:59</t>
  </si>
  <si>
    <t>2026-03-02 10:59:59</t>
  </si>
  <si>
    <t>2026-03-16 10:59:59</t>
  </si>
  <si>
    <t>いいジャン祭画面無し・昇格タグ必要</t>
  </si>
  <si>
    <t>2025クリスマス</t>
  </si>
  <si>
    <t>ex_Xmas_2025_01</t>
  </si>
  <si>
    <t>2025-12-22 15:00:00</t>
  </si>
  <si>
    <t>2026-01-31 23:59:59</t>
  </si>
  <si>
    <t>ログボ種類</t>
  </si>
  <si>
    <t>名称</t>
  </si>
  <si>
    <t>ログボバナーID</t>
  </si>
  <si>
    <t>定常</t>
  </si>
  <si>
    <t>定常ログインボーナス</t>
  </si>
  <si>
    <t>怪獣8号いいジャン祭ログインボーナス</t>
  </si>
  <si>
    <t>カムバックログボ</t>
  </si>
  <si>
    <t>SPY×FAMILYいいジャン祭ログインボーナス</t>
  </si>
  <si>
    <t>ダンダダン いいジャン祭ログインボーナス</t>
  </si>
  <si>
    <t>株式会社マジルミエ いいジャン祭ログインボーナス</t>
  </si>
  <si>
    <t>2.5次元の誘惑 いいジャン祭 特別ログインボーナス</t>
  </si>
  <si>
    <t>魔都精兵のスレイブ いいジャン祭 特別ログインボーナス</t>
  </si>
  <si>
    <t>【推しの子】 いいジャン祭 特別ログインボーナス</t>
  </si>
  <si>
    <t>地獄楽 いいジャン祭 特別ログインボーナス</t>
  </si>
  <si>
    <t>幼稚園WARS いいジャン祭 特別ログインボーナス</t>
  </si>
  <si>
    <t>君のことが大大大大大好きな100人の彼女 いいジャン祭 特別ログインボーナス</t>
  </si>
  <si>
    <t>図鑑_ID</t>
  </si>
  <si>
    <t>図鑑名称</t>
  </si>
  <si>
    <t>画像名</t>
  </si>
  <si>
    <t>インゲーム中に表示されるアイコンです。キャラの頭上や、インゲームキャラ詳細の状態変化欄、RUSHボタンの上などに表示されます。</t>
  </si>
  <si>
    <t>状態変化名</t>
  </si>
  <si>
    <t>開発時の名称</t>
  </si>
  <si>
    <t>分類</t>
  </si>
  <si>
    <t>分類ID</t>
  </si>
  <si>
    <t>状態変化アイコンID</t>
  </si>
  <si>
    <t>パワーアップコマ効果ブースト</t>
  </si>
  <si>
    <t>コマ効果ブースト</t>
  </si>
  <si>
    <t>boost</t>
  </si>
  <si>
    <t>attackup_koma</t>
  </si>
  <si>
    <t>通常コマ攻撃UP</t>
  </si>
  <si>
    <t>通常コマ時攻撃力アップ</t>
  </si>
  <si>
    <t>通常コマ時強化</t>
  </si>
  <si>
    <t>normal_koma</t>
  </si>
  <si>
    <t>attack_up</t>
  </si>
  <si>
    <t>・赤属性特攻ダメージ</t>
  </si>
  <si>
    <t>キラー</t>
  </si>
  <si>
    <t>通常コマ時移動スピードアップ</t>
  </si>
  <si>
    <t>speed_up</t>
  </si>
  <si>
    <t>・青属性特攻ダメージ</t>
  </si>
  <si>
    <t>通常コマ時ダメージ軽減</t>
  </si>
  <si>
    <t>damage_cut</t>
  </si>
  <si>
    <t>・緑属性特攻ダメージ</t>
  </si>
  <si>
    <t>ダメージコマ無効化</t>
  </si>
  <si>
    <t>コマ効果無効</t>
  </si>
  <si>
    <t>block</t>
  </si>
  <si>
    <t>damage_koma</t>
  </si>
  <si>
    <t>・黄属性特攻ダメージ</t>
  </si>
  <si>
    <t>パワーダウンコマ無効化</t>
  </si>
  <si>
    <t>attackdown_koma</t>
  </si>
  <si>
    <t>・ノックバック攻撃</t>
  </si>
  <si>
    <t>ノックバック</t>
  </si>
  <si>
    <t>突風コマ無効化</t>
  </si>
  <si>
    <t>gust_koma</t>
  </si>
  <si>
    <t>・体力吸収攻撃</t>
  </si>
  <si>
    <t>HP回復攻撃</t>
  </si>
  <si>
    <t>毒</t>
  </si>
  <si>
    <t>状態異常</t>
  </si>
  <si>
    <t>poison</t>
  </si>
  <si>
    <t>・スタン攻撃</t>
  </si>
  <si>
    <t>スタン</t>
  </si>
  <si>
    <t>火傷</t>
  </si>
  <si>
    <t>burn</t>
  </si>
  <si>
    <t>・氷結攻撃</t>
  </si>
  <si>
    <t>氷結</t>
  </si>
  <si>
    <t>freeze</t>
  </si>
  <si>
    <t>・火傷ダメージ付与</t>
  </si>
  <si>
    <t>stun</t>
  </si>
  <si>
    <t>・毒ダメージ付与</t>
  </si>
  <si>
    <t>状態異常無効</t>
  </si>
  <si>
    <t>・ステータスUP</t>
  </si>
  <si>
    <t>攻撃UP・移動スピードUP</t>
  </si>
  <si>
    <t>・ステータスDOWN</t>
  </si>
  <si>
    <t>攻撃DOWN・移動スピードDOWN</t>
  </si>
  <si>
    <t>状態異常ダメージ軽減</t>
  </si>
  <si>
    <t>cut</t>
  </si>
  <si>
    <t>poison_damage</t>
  </si>
  <si>
    <t>・被ダメージカット</t>
  </si>
  <si>
    <t>ダメージ軽減</t>
  </si>
  <si>
    <t>burn_damage</t>
  </si>
  <si>
    <t>・体力回復</t>
  </si>
  <si>
    <t>hp回復</t>
  </si>
  <si>
    <t>攻撃力アップ</t>
  </si>
  <si>
    <t>ステータスUP</t>
  </si>
  <si>
    <t>・RUSHダメージUP</t>
  </si>
  <si>
    <t>総攻撃威力UP</t>
  </si>
  <si>
    <t>移動スピードアップ</t>
  </si>
  <si>
    <t>攻撃力ダウン</t>
  </si>
  <si>
    <t>ステータスDOWN</t>
  </si>
  <si>
    <t>attack_down</t>
  </si>
  <si>
    <t>移動スピードダウン</t>
  </si>
  <si>
    <t>speed_down</t>
  </si>
  <si>
    <t>damage</t>
  </si>
  <si>
    <t>体力継続回復</t>
  </si>
  <si>
    <t>HP継続回復</t>
  </si>
  <si>
    <t>HP回復</t>
  </si>
  <si>
    <t>heal</t>
  </si>
  <si>
    <t>repeat</t>
  </si>
  <si>
    <t>根性</t>
  </si>
  <si>
    <t>guts</t>
  </si>
  <si>
    <t>根性が発動した時に表示される</t>
  </si>
  <si>
    <t>RUSHダメージアップ</t>
  </si>
  <si>
    <t>RUSH強化</t>
  </si>
  <si>
    <t>rush_damage_up</t>
  </si>
  <si>
    <t>キャラの特性欄に表示されるアイコンです</t>
  </si>
  <si>
    <t>特性名</t>
  </si>
  <si>
    <t>特性アイコンID</t>
  </si>
  <si>
    <t>アイコン制作状況</t>
  </si>
  <si>
    <t>damege_cut</t>
  </si>
  <si>
    <t>毒ダメージ軽減</t>
  </si>
  <si>
    <t>poison_damge</t>
  </si>
  <si>
    <t>火傷ダメージ軽減</t>
  </si>
  <si>
    <t>氷結無効</t>
  </si>
  <si>
    <t>デバフ無効</t>
  </si>
  <si>
    <t>スタン無効</t>
  </si>
  <si>
    <t>ノックバック無効</t>
  </si>
  <si>
    <t>knockback</t>
  </si>
  <si>
    <t>施策内容</t>
  </si>
  <si>
    <t>作品/ガシャID</t>
  </si>
  <si>
    <t>banner_url</t>
  </si>
  <si>
    <t>ガシャ一覧バナーID</t>
  </si>
  <si>
    <t>72時間限定スタートダッシュガシャ</t>
  </si>
  <si>
    <t>startdash</t>
  </si>
  <si>
    <t>プレミアムメダルガシャ</t>
  </si>
  <si>
    <t>medal</t>
  </si>
  <si>
    <t>スペシャルガシャ</t>
  </si>
  <si>
    <t>special</t>
  </si>
  <si>
    <t>ノーマルガシャ</t>
  </si>
  <si>
    <t>怪獣8号 いいジャン祭ピックアップガシャ</t>
  </si>
  <si>
    <t>UR1体確定10連ガシャ</t>
  </si>
  <si>
    <t>UR_Ticket</t>
  </si>
  <si>
    <t>チュートリアルガシャ</t>
  </si>
  <si>
    <t>SPY×FAMILYいいジャン祭ピックアップガシャA</t>
  </si>
  <si>
    <t>SPY×FAMILYいいジャン祭ピックアップガシャB</t>
  </si>
  <si>
    <t>ダンダダン いいジャン祭ピックアップガシャA</t>
  </si>
  <si>
    <t>ダンダダン いいジャン祭ピックアップガシャB</t>
  </si>
  <si>
    <t>株式会社マジルミエ いいジャン祭ピックアップガシャA</t>
  </si>
  <si>
    <t>株式会社マジルミエ いいジャン祭ピックアップガシャB</t>
  </si>
  <si>
    <t>2.5次元の誘惑 いいジャン祭ピックアップガシャA</t>
  </si>
  <si>
    <t>event_yuw_00001_01</t>
  </si>
  <si>
    <t>2.5次元の誘惑 いいジャン祭ピックアップガシャB</t>
  </si>
  <si>
    <t>魔都精兵のスレイブ いいジャン祭ピックアップガシャA</t>
  </si>
  <si>
    <t>魔都精兵のスレイブ いいジャン祭ピックアップガシャB</t>
  </si>
  <si>
    <t>クリスマス限定フェスガシャ</t>
  </si>
  <si>
    <t>正月限定フェスガシャ</t>
  </si>
  <si>
    <t>2026年正月記念！UR1体確定ガシャ</t>
  </si>
  <si>
    <t>初夢ガシャ 2026</t>
  </si>
  <si>
    <t>賀正ガシャ 2026</t>
  </si>
  <si>
    <t>【推しの子】いいジャン祭ピックアップガシャ</t>
  </si>
  <si>
    <t>【推しの子】いいジャン祭SSR確定チケットガシャ</t>
  </si>
  <si>
    <t>地獄楽 いいジャン祭ピックアップガシャA</t>
  </si>
  <si>
    <t>地獄楽 いいジャン祭ピックアップガシャB</t>
  </si>
  <si>
    <t>幼稚園WARS いいジャン祭ピックアップガシャ</t>
  </si>
  <si>
    <t>君のことが大大大大大好きな100人の彼女 いいジャン祭ピックアップガシャ</t>
  </si>
  <si>
    <t>SSR彼女確定チケットガシャ</t>
  </si>
  <si>
    <t>ふつうの軽音部 いいジャン祭ピックアップガシャ</t>
  </si>
  <si>
    <t>バレンタインピックアップガシャ</t>
  </si>
  <si>
    <t>種類</t>
  </si>
  <si>
    <t>ショップ画面・交換所バナーID</t>
  </si>
  <si>
    <t>特別割引プリズム×160</t>
  </si>
  <si>
    <t>特別割引プリズム</t>
  </si>
  <si>
    <t>80個の定常プリズムと同じ値段で、倍のプリズムを販売</t>
  </si>
  <si>
    <t>特別割引プリズム×480</t>
  </si>
  <si>
    <t>240個の定常プリズムと同じ値段で、倍のプリズムを販売</t>
  </si>
  <si>
    <t>特別割引プリズム×1020</t>
  </si>
  <si>
    <t>510個の定常プリズムと同じ値段で、倍のプリズムを販売</t>
  </si>
  <si>
    <t>特別割引プリズム×3120</t>
  </si>
  <si>
    <t>1560個の定常プリズムと同じ値段で、倍のプリズムを販売</t>
  </si>
  <si>
    <t>特別割引プリズム×5200</t>
  </si>
  <si>
    <t>2600個の定常プリズムと同じ値段で、倍のプリズムを販売</t>
  </si>
  <si>
    <t>特別割引プリズム×10800</t>
  </si>
  <si>
    <t>5400個の定常プリズムと同じ値段で、倍のプリズムを販売</t>
  </si>
  <si>
    <t>プリズム×80</t>
  </si>
  <si>
    <t>プリズム×240</t>
  </si>
  <si>
    <t>プリズム×510</t>
  </si>
  <si>
    <t>プリズム×1560</t>
  </si>
  <si>
    <t>プリズム×2600</t>
  </si>
  <si>
    <t>プリズム×5400</t>
  </si>
  <si>
    <t>コイン1</t>
  </si>
  <si>
    <t>コイン2</t>
  </si>
  <si>
    <t>コイン3</t>
  </si>
  <si>
    <t>コイン4</t>
  </si>
  <si>
    <t>コイン5</t>
  </si>
  <si>
    <t>コイン6</t>
  </si>
  <si>
    <t>交換所バナーID</t>
  </si>
  <si>
    <t>通常交換所</t>
  </si>
  <si>
    <t>交換所</t>
  </si>
  <si>
    <t>キャラのかけらBOX 交換所</t>
  </si>
  <si>
    <t>【推しの子】いいジャン祭 交換所</t>
  </si>
  <si>
    <t>君のことが大大大大大好きな100人の彼女 いいジャン祭 交換所</t>
  </si>
  <si>
    <t>ショップ画面バナーID</t>
  </si>
  <si>
    <t>ホームバナー昇格タグ</t>
  </si>
  <si>
    <t>【お一人様1回まで購入可】わくわく アーニャ パック</t>
  </si>
  <si>
    <t>event_kai_00001_01</t>
  </si>
  <si>
    <t>【お一人様1回まで購入可】スタートダッシュパック</t>
  </si>
  <si>
    <t>【お一人様1回まで購入可】スタートダッシュジャンブルパック</t>
  </si>
  <si>
    <t>【毎日更新】強化パック</t>
  </si>
  <si>
    <t>【お一人様1回まで購入可】いいジャン祭 開催記念パック</t>
  </si>
  <si>
    <t>BLACKFRIDAY お得パック・A</t>
  </si>
  <si>
    <t>BLACKFRIDAY お得パック・B</t>
  </si>
  <si>
    <t>BLACKFRIDAY お得パック・C</t>
  </si>
  <si>
    <t>クリスマス お得パック・A</t>
  </si>
  <si>
    <t>クリスマス お得パック・B</t>
  </si>
  <si>
    <t>クリスマス お得パック・C</t>
  </si>
  <si>
    <t>お正月 DXお得パック梅</t>
  </si>
  <si>
    <t>下位</t>
  </si>
  <si>
    <t>お正月 DXお得パック竹</t>
  </si>
  <si>
    <t>中位</t>
  </si>
  <si>
    <t>お正月 DXお得パック松</t>
  </si>
  <si>
    <t>高位</t>
  </si>
  <si>
    <t>BLACK FRIDAYパック お得なパック登場お知らせ
まとめお知らせ
・BLACK FRIDAY お得パック・A
・BLACK FRIDAY お得パック・B
・BLACK FRIDAY お得パック・C</t>
  </si>
  <si>
    <t>クリスマスお得パック お得なパック登場お知らせ
まとめお知らせ
・クリスマス お得パック・A
・クリスマス お得パック・B
・クリスマス お得パック・C</t>
  </si>
  <si>
    <t>お得強化パック</t>
  </si>
  <si>
    <t>お正月パック お得なパック登場お知らせ</t>
  </si>
  <si>
    <t>まとめお知らせ
・お正月 DXお得パック梅
・お正月 DXお得パック竹
・お正月 DXお得パック松</t>
  </si>
  <si>
    <t>お正月 超DX ジャンブルパック</t>
  </si>
  <si>
    <t>お得パック</t>
  </si>
  <si>
    <t>オファーコード用に作成
「プリズム画像」と「お得パック」だけを表示</t>
  </si>
  <si>
    <t>バレンタイン お得なパック登場お知らせ</t>
  </si>
  <si>
    <t>まとめお知らせ
・バレンタインキャラパック(7種)</t>
  </si>
  <si>
    <t>「ヨル」バレンタインキャラパック</t>
  </si>
  <si>
    <t>「姫様」バレンタインキャラパック</t>
  </si>
  <si>
    <t>「天乃 リリサ」バレンタインキャラパック</t>
  </si>
  <si>
    <t>「橘 美花莉」バレンタインキャラパック</t>
  </si>
  <si>
    <t>「羽前 京香」バレンタインキャラパック</t>
  </si>
  <si>
    <t>「桜木 カナ」バレンタインキャラパック</t>
  </si>
  <si>
    <t>「小舟 潮」バレンタインキャラパック</t>
  </si>
  <si>
    <t>いいジャン!スタミナドリンクパック</t>
  </si>
  <si>
    <t>スタミナブースト応援パック</t>
  </si>
  <si>
    <t>即戦力!キャラ強化パック</t>
  </si>
  <si>
    <t>販売パス</t>
  </si>
  <si>
    <t>ホームバナー有無</t>
  </si>
  <si>
    <t>マンスリーパス</t>
  </si>
  <si>
    <t>あり</t>
  </si>
  <si>
    <t>ウィークリーパス</t>
  </si>
  <si>
    <t>プレミアムパス</t>
  </si>
  <si>
    <t>謹賀新年パス</t>
  </si>
  <si>
    <t>キャンペーン名</t>
  </si>
  <si>
    <t>キャンペーンお知らせ</t>
  </si>
  <si>
    <t>BLACK FRIDAYお得プリズム</t>
  </si>
  <si>
    <t>クリスマスお得プリズム</t>
  </si>
  <si>
    <t>お正月お得プリズム</t>
  </si>
  <si>
    <t>アイコン</t>
  </si>
  <si>
    <t>パスアイコン画像ID</t>
  </si>
  <si>
    <t>プレミアムパス（金色パス）</t>
  </si>
  <si>
    <t>premium</t>
  </si>
  <si>
    <t>データ設定時に流用可能。</t>
  </si>
  <si>
    <t>マンスリーパス（紫色パス）</t>
  </si>
  <si>
    <t>monthly</t>
  </si>
  <si>
    <t>ウィークリーパス（銀色パス）</t>
  </si>
  <si>
    <t>weekly</t>
  </si>
  <si>
    <t>謹賀新年パス(2026)</t>
  </si>
  <si>
    <t>newyear2026</t>
  </si>
  <si>
    <t>掲載内容</t>
  </si>
  <si>
    <t>識別名称</t>
  </si>
  <si>
    <t>お知らせバナーID</t>
  </si>
  <si>
    <t>パック</t>
  </si>
  <si>
    <t>まとめお知らせ
・【お一人様1回まで購入可】スタートダッシュパック
・【お一人様1回まで購入可】スタートダッシュジャンブルパック
・【毎日更新】強化パック</t>
  </si>
  <si>
    <t>パス</t>
  </si>
  <si>
    <t>怪獣8号いいジャン祭</t>
  </si>
  <si>
    <t>ガシャ</t>
  </si>
  <si>
    <t>怪獣8号いいジャン祭ピックアップガシャ</t>
  </si>
  <si>
    <t>有償限定UR確定10連ガシャ</t>
  </si>
  <si>
    <t>gacha_</t>
  </si>
  <si>
    <t>キャンペーン</t>
  </si>
  <si>
    <t>その他</t>
  </si>
  <si>
    <t>メンテ告知</t>
  </si>
  <si>
    <t>アプデ告知</t>
  </si>
  <si>
    <t>ランクマッチ</t>
  </si>
  <si>
    <t>ランクマッチ特別ルールのお知らせ</t>
  </si>
  <si>
    <t>pvp_</t>
  </si>
  <si>
    <t>event_spy_00001_01</t>
  </si>
  <si>
    <t>ダンダダン いいジャン祭ピックアップガシャ A</t>
  </si>
  <si>
    <t>event_dan_00001_01</t>
  </si>
  <si>
    <t>ダンダダン いいジャン祭ピックアップガシャ B</t>
  </si>
  <si>
    <t>2.5次元の誘惑 いいジャン祭</t>
  </si>
  <si>
    <t>・BLACK FRIDAY お得パック・A</t>
  </si>
  <si>
    <t>・BLACK FRIDAY お得パック・B</t>
  </si>
  <si>
    <t>・BLACK FRIDAY お得パック・C</t>
  </si>
  <si>
    <t>クリスマスパック お得なパック登場お知らせ
まとめお知らせ
・クリスマス お得パック・A
・クリスマス お得パック・B
・クリスマス お得パック・C</t>
  </si>
  <si>
    <t>降臨バトル「怪獣退治の時間」</t>
  </si>
  <si>
    <t>降臨バトル「業務実行!!」</t>
  </si>
  <si>
    <t>降臨バトル「夏コミの魔物」</t>
  </si>
  <si>
    <t>降臨バトル「魔防隊と戦う者」</t>
  </si>
  <si>
    <t>汎用の降臨バトル開催バナー</t>
  </si>
  <si>
    <t>SNS</t>
  </si>
  <si>
    <t>みかりシルエット（SNS）</t>
  </si>
  <si>
    <t>アイシルエット（SNS）</t>
  </si>
  <si>
    <t>冬のWフェス告知</t>
  </si>
  <si>
    <t>冬のWフェス告知（SNS）</t>
  </si>
  <si>
    <t>冬のWフェスキャンペーン（SNS）_アイ</t>
  </si>
  <si>
    <t>冬のWフェスキャンペーン（SNS）_美花莉</t>
  </si>
  <si>
    <t>【投稿促進施策】美花莉に愛❤️を届けよう！</t>
  </si>
  <si>
    <t>【投稿促進施策】美花莉に愛❤️を届けよう！（SNS）</t>
  </si>
  <si>
    <t>【投稿促進施策】美花莉に愛❤️を届けよう！
リアクション１（SNS）</t>
  </si>
  <si>
    <t>【投稿促進施策】美花莉に愛❤️を届けよう！
リアクション２（SNS）</t>
  </si>
  <si>
    <t>【投稿促進施策】美花莉に愛❤️を届けよう！
リアクション３（SNS）</t>
  </si>
  <si>
    <t>【投稿促進施策】美花莉に愛❤️を届けよう！
プレゼント</t>
  </si>
  <si>
    <t>【推しの子】参戦決定</t>
  </si>
  <si>
    <t>配布用テンプレート（M）
特別プレゼント　ロゴと汎用の報酬のみ（プリズムとコイン）キャラなし</t>
  </si>
  <si>
    <t>配布用テンプレート（SNS、）
特別プレゼント　ロゴと汎用の報酬のみ（プリズムとコイン）キャラなし</t>
  </si>
  <si>
    <t>「冬のWフェス」開催決定記念！特別プレゼント、Mバナー</t>
  </si>
  <si>
    <t>ジャンプフェスタ出展！特別プレゼント、Mバナー</t>
  </si>
  <si>
    <t>フェス開催記念特別プレゼント、Mバナー</t>
  </si>
  <si>
    <t>降臨バトル「ファーストライブ」</t>
  </si>
  <si>
    <t>【お知らせ_Mバナー】メインクエスト追加</t>
  </si>
  <si>
    <t>【お知らせ_Mバナー】正月DXフェスガシャ</t>
  </si>
  <si>
    <t>【お知らせ_Mバナー】【推しの子】いいジャン祭ピックアップガシャ</t>
  </si>
  <si>
    <t>【お知らせ_Mバナー】【推しの子】いいジャン祭SSR確定チケットガシャ</t>
  </si>
  <si>
    <t>【お知らせ_Mバナー】【推しの子】いいジャン祭 交換所</t>
  </si>
  <si>
    <t>【推しの子】カウントダウンSNSキャンペーン</t>
  </si>
  <si>
    <t>【推しの子】カウントダウンSNSキャンペーン（アイ）</t>
  </si>
  <si>
    <t>【推しの子】カウントダウンSNSキャンペーン（ルビー）</t>
  </si>
  <si>
    <t>【推しの子】カウントダウンSNSキャンペーン（MEMちょ）</t>
  </si>
  <si>
    <t>【推しの子】カウントダウンSNSキャンペーン（あかね）</t>
  </si>
  <si>
    <t>【推しの子】カウントダウンSNSキャンペーン（かな）</t>
  </si>
  <si>
    <t>【お知らせ_Mバナー】2026年正月記念！UR1体確定ガシャ</t>
  </si>
  <si>
    <t>SNS新年2026年カウントダウンギフト配布</t>
  </si>
  <si>
    <t>【お知らせ_Mバナー】新年2026年カウントダウンギフト配布</t>
  </si>
  <si>
    <t>【お知らせ】Mバナー】最大100連無料！正月キャンペーン</t>
  </si>
  <si>
    <t>【お知らせ_Mバナー】年賀状2026年</t>
  </si>
  <si>
    <t>【お知らせ_Mバナー】初夢ガシャ 2026</t>
  </si>
  <si>
    <t>【お知らせ_Mバナー】賀正ガシャ 2026</t>
  </si>
  <si>
    <t>正月 DXお得パック梅</t>
  </si>
  <si>
    <t>正月 DXお得パック竹</t>
  </si>
  <si>
    <t>正月 DXお得パック松</t>
  </si>
  <si>
    <t>お正月パック お得なパック登場お知らせ
まとめお知らせ
・お正月 DXお得パック梅
・お正月 DXお得パック竹
・お正月 DXお得パック松</t>
  </si>
  <si>
    <t>クリスマス限定！高難易度！お知らせMバナー</t>
  </si>
  <si>
    <t>【お知らせ_Mバナー】バレンタインピックアップガシャ</t>
  </si>
  <si>
    <t>バレンタイン お得なパック登場お知らせ
まとめお知らせ
・バレンタインキャラパック(7種)</t>
  </si>
  <si>
    <t>IGNバナーID</t>
  </si>
  <si>
    <t>【お知らせ_IGN】年賀状2026年</t>
  </si>
  <si>
    <t>バナーID</t>
  </si>
  <si>
    <t>ランクマッチホームバナー_1</t>
  </si>
  <si>
    <t>ホーム画面</t>
  </si>
  <si>
    <t>ランクマッチコンテンツバナー_1</t>
  </si>
  <si>
    <t>イベント画面</t>
  </si>
  <si>
    <t>所持上限数の仕様については⇩</t>
  </si>
  <si>
    <t>https://wonderplanet.atlassian.net/wiki/spaces/GLOW/pages/292127891/WIP+API</t>
  </si>
  <si>
    <t>マスタ設定状況</t>
  </si>
  <si>
    <t>テキスト状況</t>
  </si>
  <si>
    <t>エンブレムカテゴリー</t>
  </si>
  <si>
    <t>エンブレム_ID</t>
  </si>
  <si>
    <t>エンブレム名称</t>
  </si>
  <si>
    <t>監修状況</t>
  </si>
  <si>
    <t>マスタ設定済</t>
  </si>
  <si>
    <t>記入のみ</t>
  </si>
  <si>
    <t>メインクエスト『SPY×FAMILY』のステージを全てクリアした証</t>
  </si>
  <si>
    <t>202509010</t>
  </si>
  <si>
    <t>未作成</t>
  </si>
  <si>
    <t>メインクエスト『ラーメン赤猫』のステージを全てクリアした証</t>
  </si>
  <si>
    <t>メインクエスト『トマトイプーのリコピン』のステージを全てクリアした証</t>
  </si>
  <si>
    <t>メインクエスト『ダンダダン』のステージを全てクリアした証</t>
  </si>
  <si>
    <t>メインクエスト『姫様“拷問”の時間です』のステージを全てクリアした証</t>
  </si>
  <si>
    <t>メインクエスト『チェンソーマン』のステージを全てクリアした証</t>
  </si>
  <si>
    <t>クエスト『忘却バッテリー」の作品ロゴを模ったエンブレム</t>
  </si>
  <si>
    <t>999999999</t>
  </si>
  <si>
    <t>メインクエスト『怪獣８号』のステージを全てクリアした証</t>
  </si>
  <si>
    <t>クエスト『2.5次元の誘惑」の作品ロゴを模ったエンブレム</t>
  </si>
  <si>
    <t>メインクエスト『魔都精兵のスレイブ』のステージを全てクリアした証</t>
  </si>
  <si>
    <t>クエスト『鴨乃橋ロンの禁断推理」の作品ロゴを模ったエンブレム</t>
  </si>
  <si>
    <t>クエスト『阿波連さんははかれない」の作品ロゴを模ったエンブレム</t>
  </si>
  <si>
    <t>メインクエスト『タコピーの原罪』のステージを全てクリアした証</t>
  </si>
  <si>
    <t>メインクエスト『地獄楽』のステージを全てクリアした証</t>
  </si>
  <si>
    <t>メインクエスト『株式会社マジルミエ』のステージを全てクリアした証</t>
  </si>
  <si>
    <t>状況確認中</t>
  </si>
  <si>
    <t>クエスト『道産子ギャルはなまらめんこい」の作品ロゴを模ったエンブレム</t>
  </si>
  <si>
    <t>メインクエスト『サマータイムレンダ』のステージを全てクリアした証</t>
  </si>
  <si>
    <t>IDのみ採番</t>
  </si>
  <si>
    <t>祝！2026</t>
  </si>
  <si>
    <t>あけましておめでとう！2026年も素敵なジャンブラライフになりますように！</t>
  </si>
  <si>
    <t>開運</t>
  </si>
  <si>
    <t>脅威の確率を引き当てた証。これを手にしたリーダーの運の良さは天下一。まさに「強運」の持ち主！</t>
  </si>
  <si>
    <t>怪獣２号</t>
  </si>
  <si>
    <t>札幌市を壊滅させた恐竜型の巨大怪獣のエンブレム</t>
  </si>
  <si>
    <t>フォルティチュードは驚異の9.8の突如現れた人型怪獣のエンブレム</t>
  </si>
  <si>
    <t>知能が高く小型怪獣を使役する人型怪獣のエンブレム</t>
  </si>
  <si>
    <t>好戦的で力を求める人型怪獣のエンブレム</t>
  </si>
  <si>
    <t>金の玉</t>
  </si>
  <si>
    <t>オカルンがターボババアに奪われてしまった体の一部。
ターボババアの霊力に包まれ金色に光っている玉のエンブレム</t>
  </si>
  <si>
    <t>202510020</t>
  </si>
  <si>
    <t>ターボババアの霊力により変身したオカルンのエンブレム</t>
  </si>
  <si>
    <t>無駄ですわ!!</t>
  </si>
  <si>
    <t>アクロバティックさらさらの炎(オーラ)の力で変身したアイラのエンブレム</t>
  </si>
  <si>
    <t>WISEのピン</t>
  </si>
  <si>
    <t>西国(ウェスタリス)情報局対東課&lt;WISE(ワイズ)&gt;のシンボルマークを模したピン</t>
  </si>
  <si>
    <t>202510010</t>
  </si>
  <si>
    <t>「株式会社マジルミエ」のロゴ</t>
  </si>
  <si>
    <t>桜木 カナが所属している魔法少女企業。社長の重本をはじめ、個性的だが実力のある社員が集まる。</t>
  </si>
  <si>
    <t>202511010</t>
  </si>
  <si>
    <t>桜木 カナの社員証</t>
  </si>
  <si>
    <t>桜木 カナの社員証。「株式会社マジルミエ」の魔法少女は社員証が変身アイテムになっている。</t>
  </si>
  <si>
    <t>葵 リリーの鍵</t>
  </si>
  <si>
    <t>葵 リリーが身に着けている鍵のネックレス。葵 リリーが魔法少女に変身するためのアイテムにもなる。</t>
  </si>
  <si>
    <t>ラスタロッテ</t>
  </si>
  <si>
    <t>『コスプレイヤー四天王』まゆらがラスタロッテにコスプレした姿のエンブレム</t>
  </si>
  <si>
    <t>202511020</t>
  </si>
  <si>
    <t>イコラ</t>
  </si>
  <si>
    <t>『コスプレイヤー四天王』753♡がイコラにコスプレした姿のエンブレム</t>
  </si>
  <si>
    <t>魔都防衛隊章</t>
  </si>
  <si>
    <t>魔都の脅威から日本を守護するために編成された組織の証。</t>
  </si>
  <si>
    <t>202512010</t>
  </si>
  <si>
    <t>七番組組長 羽前 京香</t>
  </si>
  <si>
    <t>魔防隊七番組組長である羽前 京香のエンブレム</t>
  </si>
  <si>
    <t xml:space="preserve">六番組組長 出雲 天花 </t>
  </si>
  <si>
    <t>魔防隊六番組組長である出雲 天花のエンブレム</t>
  </si>
  <si>
    <t>嘘吐き</t>
  </si>
  <si>
    <t>復讐を誓う星を模ったエンブレム</t>
  </si>
  <si>
    <t>202512020</t>
  </si>
  <si>
    <t>B小町</t>
  </si>
  <si>
    <t>苺プロ所属のアイドルグループ「B小町」のロゴのエンブレム</t>
  </si>
  <si>
    <t>アイ推し！</t>
  </si>
  <si>
    <t>B小町のアイドル、アイ推しであることの証</t>
  </si>
  <si>
    <t>ルビー推し！</t>
  </si>
  <si>
    <t>新生B小町のアイドル、ルビー推しであることの証</t>
  </si>
  <si>
    <t>MEMちょ推し！</t>
  </si>
  <si>
    <t>新生B小町のアイドル、MEMちょ推しであることの証</t>
  </si>
  <si>
    <t>有馬かな推し！</t>
  </si>
  <si>
    <t>新生B小町のアイドル、有馬 かな推しであることの証</t>
  </si>
  <si>
    <t>黒川あかね推し！</t>
  </si>
  <si>
    <t>女優、黒川 あかね推しであることの証</t>
  </si>
  <si>
    <t>筋肉推し！</t>
  </si>
  <si>
    <t>ぴえヨンにも匹敵するその筋肉…！そう、筋肉は全てを解決する！</t>
  </si>
  <si>
    <t>00009</t>
  </si>
  <si>
    <t>アクア推し！</t>
  </si>
  <si>
    <t>俳優、アクア推しであることの証</t>
  </si>
  <si>
    <t>00010</t>
  </si>
  <si>
    <t>アイのサイン</t>
  </si>
  <si>
    <t>B小町のアイドル、アイのサインのエンブレム</t>
  </si>
  <si>
    <t>00011</t>
  </si>
  <si>
    <t>神仙郷</t>
  </si>
  <si>
    <t>仙薬探しのため、死罪人と打ち首執行人たちが上陸した秘境の島</t>
  </si>
  <si>
    <t>202601010</t>
  </si>
  <si>
    <t>ブラック幼稚園園章</t>
  </si>
  <si>
    <t>世界一安全な幼稚園・ブラック幼稚園園章を模ったエンブレム</t>
  </si>
  <si>
    <t>202601020</t>
  </si>
  <si>
    <t>神様</t>
  </si>
  <si>
    <t>花園 羽々里の大好きな気持ち</t>
  </si>
  <si>
    <t>花園 羽香里の大好きな気持ち</t>
  </si>
  <si>
    <t>院田 唐音の大好きな気持ち</t>
  </si>
  <si>
    <t>好本 静の大好きな気持ち</t>
  </si>
  <si>
    <t>機熟</t>
  </si>
  <si>
    <t>神の写し絵</t>
  </si>
  <si>
    <t>自意識アニマル</t>
  </si>
  <si>
    <t>宗牙</t>
  </si>
  <si>
    <t>恋緒</t>
  </si>
  <si>
    <t>祭里</t>
  </si>
  <si>
    <t>すず</t>
  </si>
  <si>
    <t>決闘</t>
  </si>
  <si>
    <t>duel</t>
  </si>
  <si>
    <t>adventbattle</t>
  </si>
  <si>
    <t>season01_00001</t>
  </si>
  <si>
    <t>影なき英雄(1位)</t>
  </si>
  <si>
    <t>2025年10月開催降臨バトル『SPY×FAMILY』ランキング1位の証</t>
  </si>
  <si>
    <t>season01_00002</t>
  </si>
  <si>
    <t>影なき英雄(2位)</t>
  </si>
  <si>
    <t>2025年10月開催降臨バトル『SPY×FAMILY』ランキング2位の証</t>
  </si>
  <si>
    <t>season01_00003</t>
  </si>
  <si>
    <t>影なき英雄(3位)</t>
  </si>
  <si>
    <t>2025年10月開催降臨バトル『SPY×FAMILY』ランキング3位の証</t>
  </si>
  <si>
    <t>season01_00004</t>
  </si>
  <si>
    <t>影なき英雄(4~50位)</t>
  </si>
  <si>
    <t>2025年10月開催降臨バトル『SPY×FAMILY』ランキング4~50位の証</t>
  </si>
  <si>
    <t>season01_00005</t>
  </si>
  <si>
    <t>影なき英雄(51~300位)</t>
  </si>
  <si>
    <t>2025年10月開催降臨バトル『SPY×FAMILY』ランキング51~300位の証</t>
  </si>
  <si>
    <t>season01_00006</t>
  </si>
  <si>
    <t>影なき英雄(301~1,000位)</t>
  </si>
  <si>
    <t>2025年10月開催降臨バトル『SPY×FAMILY』ランキング301~1,000位の証</t>
  </si>
  <si>
    <t>歴史に残る大怪獣(1位)</t>
  </si>
  <si>
    <t>降臨バトル『怪獣退治の時間』1位の証</t>
  </si>
  <si>
    <t>歴史に残る大怪獣(2位)</t>
  </si>
  <si>
    <t>降臨バトル『怪獣退治の時間』2位の証</t>
  </si>
  <si>
    <t>歴史に残る大怪獣(3位)</t>
  </si>
  <si>
    <t>降臨バトル『怪獣退治の時間』3位の証</t>
  </si>
  <si>
    <t>歴史に残る大怪獣(4~50位)</t>
  </si>
  <si>
    <t>降臨バトル『怪獣退治の時間』4~50位の証</t>
  </si>
  <si>
    <t>歴史に残る大怪獣(51~300位)</t>
  </si>
  <si>
    <t>降臨バトル『怪獣退治の時間』51~300位の証</t>
  </si>
  <si>
    <t>歴史に残る大怪獣(301~1,000位)</t>
  </si>
  <si>
    <t>降臨バトル『怪獣退治の時間』301~1,000位の証</t>
  </si>
  <si>
    <t>ブッ飛ばせるわい!!(1位)</t>
  </si>
  <si>
    <t>2025年11月開催降臨バトル『ダンダダン』ランキング1位の証</t>
  </si>
  <si>
    <t>ブッ飛ばせるわい!!(2位)</t>
  </si>
  <si>
    <t>2025年11月開催降臨バトル『ダンダダン』ランキング2位の証</t>
  </si>
  <si>
    <t>ブッ飛ばせるわい!!(3位)</t>
  </si>
  <si>
    <t>2025年11月開催降臨バトル『ダンダダン』ランキング3位の証</t>
  </si>
  <si>
    <t>ブッ飛ばせるわい!!(4~50位)</t>
  </si>
  <si>
    <t>2025年11月開催降臨バトル『ダンダダン』ランキング4~50位の証</t>
  </si>
  <si>
    <t>ブッ飛ばせるわい!!(51~300位)</t>
  </si>
  <si>
    <t>2025年11月開催降臨バトル『ダンダダン』ランキング51~300位の証</t>
  </si>
  <si>
    <t>ブッ飛ばせるわい!!(301~1,000位)</t>
  </si>
  <si>
    <t>2025年11月開催降臨バトル『ダンダダン』ランキング301~1,000位の証</t>
  </si>
  <si>
    <t>魔法少女(1位)</t>
  </si>
  <si>
    <t>2025年11月開催降臨バトル『業務実行!!』ランキング1位の証</t>
  </si>
  <si>
    <t>魔法少女(2位)</t>
  </si>
  <si>
    <t>2025年11月開催降臨バトル『業務実行!!』ランキング2位の証</t>
  </si>
  <si>
    <t>魔法少女(3位)</t>
  </si>
  <si>
    <t>2025年11月開催降臨バトル『業務実行!!』ランキング3位の証</t>
  </si>
  <si>
    <t>魔法少女(4~50位)</t>
  </si>
  <si>
    <t>2025年11月開催降臨バトル『業務実行!!』ランキング4~50位の証</t>
  </si>
  <si>
    <t>魔法少女(51~300位)</t>
  </si>
  <si>
    <t>2025年11月開催降臨バトル『業務実行!!』ランキング51~300位の証</t>
  </si>
  <si>
    <t>魔法少女(301~1,000位)</t>
  </si>
  <si>
    <t>2025年11月開催降臨バトル『業務実行!!』ランキング301~1,000位の証</t>
  </si>
  <si>
    <t>天使空挺隊(1位)</t>
  </si>
  <si>
    <t>2025年12月開催降臨バトル『夏コミの魔物』1位の証</t>
  </si>
  <si>
    <t>天使空挺隊(2位)</t>
  </si>
  <si>
    <t>2025年12月開催降臨バトル『夏コミの魔物』2位の証</t>
  </si>
  <si>
    <t>天使空挺隊(3位)</t>
  </si>
  <si>
    <t>2025年12月開催降臨バトル『夏コミの魔物』3位の証</t>
  </si>
  <si>
    <t>天使空挺隊(4~50位)</t>
  </si>
  <si>
    <t>2025年12月開催降臨バトル『夏コミの魔物』4~50位の証</t>
  </si>
  <si>
    <t>天使空挺隊(51~300位)</t>
  </si>
  <si>
    <t>2025年12月開催降臨バトル『夏コミの魔物』51~300位の証</t>
  </si>
  <si>
    <t>天使空挺隊(301~1,000位)</t>
  </si>
  <si>
    <t>2025年12月開催降臨バトル『夏コミの魔物』301~1,000位の証</t>
  </si>
  <si>
    <t>屈服の時間だ(1位)</t>
  </si>
  <si>
    <t>2025年12月開催降臨バトル『魔防隊と戦う者』1位の証</t>
  </si>
  <si>
    <t>屈服の時間だ(2位)</t>
  </si>
  <si>
    <t>2025年12月開催降臨バトル『魔防隊と戦う者』2位の証</t>
  </si>
  <si>
    <t>屈服の時間だ(3位)</t>
  </si>
  <si>
    <t>2025年12月開催降臨バトル『魔防隊と戦う者』3位の証</t>
  </si>
  <si>
    <t>屈服の時間だ(4~50位)</t>
  </si>
  <si>
    <t>2025年12月開催降臨バトル『魔防隊と戦う者』4~50位の証</t>
  </si>
  <si>
    <t>屈服の時間だ(51~300位)</t>
  </si>
  <si>
    <t>2025年12月開催降臨バトル『魔防隊と戦う者』51~300位の証</t>
  </si>
  <si>
    <t>屈服の時間だ(301~1,000位)</t>
  </si>
  <si>
    <t>2025年12月開催降臨バトル『魔防隊と戦う者』301~1,000位の証</t>
  </si>
  <si>
    <t>最強で無敵のアイドル(1位)</t>
  </si>
  <si>
    <t>2026年1月開催降臨バトル『ファーストライブ』1位の証</t>
  </si>
  <si>
    <t>監修まだ</t>
  </si>
  <si>
    <t>最強で無敵のアイドル(2位)</t>
  </si>
  <si>
    <t>2026年1月開催降臨バトル『ファーストライブ』2位の証</t>
  </si>
  <si>
    <t>最強で無敵のアイドル(3位)</t>
  </si>
  <si>
    <t>2026年1月開催降臨バトル『ファーストライブ』3位の証</t>
  </si>
  <si>
    <t>最強で無敵のアイドル(4~50位)</t>
  </si>
  <si>
    <t>2026年1月開催降臨バトル『ファーストライブ』4~50位の証</t>
  </si>
  <si>
    <t>最強で無敵のアイドル(51~300位)</t>
  </si>
  <si>
    <t>2026年1月開催降臨バトル『ファーストライブ』51~300位の証</t>
  </si>
  <si>
    <t>最強で無敵のアイドル(301~1,000位)</t>
  </si>
  <si>
    <t>2026年1月開催降臨バトル『ファーストライブ』301~1,000位の証</t>
  </si>
  <si>
    <t>背景_id</t>
  </si>
  <si>
    <t>背景一覧登録名称</t>
  </si>
  <si>
    <t>備考欄</t>
  </si>
  <si>
    <t>ループ可否</t>
  </si>
  <si>
    <t>デカコマ対応</t>
  </si>
  <si>
    <t>データ投入</t>
  </si>
  <si>
    <t>実装ブランチ</t>
  </si>
  <si>
    <t>リリースキー対応</t>
  </si>
  <si>
    <t>ヨーロッパ風の市街地_昼</t>
  </si>
  <si>
    <t>他作品のキャラ登場不可</t>
  </si>
  <si>
    <t>可</t>
  </si>
  <si>
    <t>対応</t>
  </si>
  <si>
    <t>完了</t>
  </si>
  <si>
    <t>v1.0.0</t>
  </si>
  <si>
    <t>ヨーロッパ風の市街地_夜</t>
  </si>
  <si>
    <t>イーデン校中庭</t>
  </si>
  <si>
    <t>イーデン校中庭_夕方</t>
  </si>
  <si>
    <t>黄昏が借りた部屋</t>
  </si>
  <si>
    <t>非対応</t>
  </si>
  <si>
    <t>城内部</t>
  </si>
  <si>
    <t>不可</t>
  </si>
  <si>
    <t>住宅街_赤猫差分</t>
  </si>
  <si>
    <t>キュートピア</t>
  </si>
  <si>
    <t>住宅街_UFOあり</t>
  </si>
  <si>
    <t>住宅街_真っ暗</t>
  </si>
  <si>
    <t>住宅街_怪しい空</t>
  </si>
  <si>
    <t>トンネル</t>
  </si>
  <si>
    <t>廃墟</t>
  </si>
  <si>
    <t>宇宙船内部</t>
  </si>
  <si>
    <t>モモの家_廊下</t>
  </si>
  <si>
    <t>モモの家_廊下_階段差分</t>
  </si>
  <si>
    <t>牢獄_通路</t>
  </si>
  <si>
    <t>牢獄_通路_夜</t>
  </si>
  <si>
    <t>牢獄_通路_暗グラデ</t>
  </si>
  <si>
    <t>立川基地_市街地型演習場</t>
  </si>
  <si>
    <t>立川基地_市街地型演習場_夜差分</t>
  </si>
  <si>
    <t>防衛隊有明りんかい基地_内部</t>
  </si>
  <si>
    <t>コミケ会場風</t>
  </si>
  <si>
    <t>コミケ会場風_国際会議場あり</t>
  </si>
  <si>
    <t>コミケの囲い撮影場</t>
  </si>
  <si>
    <t>コミケの囲い撮影場_国際会議場あり</t>
  </si>
  <si>
    <t>魔都</t>
  </si>
  <si>
    <t>魔都_空差分</t>
  </si>
  <si>
    <t>魔都_防御シールド差分</t>
  </si>
  <si>
    <t>神仙郷_オブジェあり</t>
  </si>
  <si>
    <t>神仙郷_開けた大地</t>
  </si>
  <si>
    <t>処刑場室内</t>
  </si>
  <si>
    <t>市街地_怪異差分</t>
  </si>
  <si>
    <t>商店街</t>
  </si>
  <si>
    <t>商店街_怪異差分</t>
  </si>
  <si>
    <t>ビルの内部</t>
  </si>
  <si>
    <t>工事現場</t>
  </si>
  <si>
    <t>工事現場_解体中建物あり</t>
  </si>
  <si>
    <t>海岸沿いの道路_昼</t>
  </si>
  <si>
    <t>海岸沿いの道路_夜</t>
  </si>
  <si>
    <t>海辺の街</t>
  </si>
  <si>
    <t>海辺の街_堤防</t>
  </si>
  <si>
    <t>小早川家の家</t>
  </si>
  <si>
    <t>ライブ会場</t>
  </si>
  <si>
    <t>ダンススタジオ</t>
  </si>
  <si>
    <t>ブラック幼稚園_外観</t>
  </si>
  <si>
    <t>まだ</t>
  </si>
  <si>
    <t>ブラック幼稚園_正門前</t>
  </si>
  <si>
    <t>ブラック幼稚園_園内</t>
  </si>
  <si>
    <t>ブラック幼稚園_園舎</t>
  </si>
  <si>
    <t>花園家</t>
  </si>
  <si>
    <t>花園家_扉差分</t>
  </si>
  <si>
    <t>神社の境内</t>
  </si>
  <si>
    <t>神社の境内_本殿あり</t>
  </si>
  <si>
    <t>輸送船内部</t>
  </si>
  <si>
    <t>輸送船内部_椅子なし差分</t>
  </si>
  <si>
    <t>汎用_住宅街_昼</t>
  </si>
  <si>
    <t>汎用_住宅街_夜</t>
  </si>
  <si>
    <t>汎用_住宅街_夜_破壊</t>
  </si>
  <si>
    <t>汎用_森_昼</t>
  </si>
  <si>
    <t>汎用_森_破壊_昼</t>
  </si>
  <si>
    <t>汎用_森_夜</t>
  </si>
  <si>
    <t>汎用_森_破壊_夜</t>
  </si>
  <si>
    <t>汎用_市街地_昼</t>
  </si>
  <si>
    <t>汎用_市街地_夜</t>
  </si>
  <si>
    <t>汎用_市街地_破壊</t>
  </si>
  <si>
    <t>汎用_学校_廊下</t>
  </si>
  <si>
    <t>汎用_学校_廊下_夜</t>
  </si>
  <si>
    <t>汎用_学校_階段あり廊下</t>
  </si>
  <si>
    <t>汎用_学校_部室あり廊下</t>
  </si>
  <si>
    <t>汎用_住宅街_夕方</t>
  </si>
  <si>
    <t>汎用_倉庫</t>
  </si>
  <si>
    <t>汎用_不穏な背景_赤</t>
  </si>
  <si>
    <t>超次元バトルなど</t>
  </si>
  <si>
    <r>
      <rPr>
        <rFont val="Arial"/>
        <color theme="1"/>
        <sz val="8.0"/>
      </rPr>
      <t xml:space="preserve">202509010
</t>
    </r>
    <r>
      <rPr>
        <rFont val="Arial"/>
        <color rgb="FFFF0000"/>
        <sz val="8.0"/>
      </rPr>
      <t>※チュートリアル1話で使用</t>
    </r>
  </si>
  <si>
    <t>汎用_不穏な背景_青</t>
  </si>
  <si>
    <t>未制作</t>
  </si>
  <si>
    <t>汎用_不穏な背景_緑</t>
  </si>
  <si>
    <t>汎用_不穏な背景_黄</t>
  </si>
  <si>
    <t>汎用_不穏な背景_ノーマル</t>
  </si>
  <si>
    <t>汎用_住宅街_夕方_破壊</t>
  </si>
  <si>
    <t>汎用_コインクエスト</t>
  </si>
  <si>
    <t>汎用_都会の公園_広場</t>
  </si>
  <si>
    <t>汎用_洞窟</t>
  </si>
  <si>
    <t>汎用_洞窟_滝差分</t>
  </si>
  <si>
    <t>汎用_電車内</t>
  </si>
  <si>
    <t>汎用_学校の屋上</t>
  </si>
  <si>
    <t>汎用_学校の屋上_入口差分</t>
  </si>
  <si>
    <t>汎用_レッドカーペット_0.5周年</t>
  </si>
  <si>
    <t>企画ごとに中のキャラや背景を変更して投入します。その度に採番して別の背景として扱います。0.5周年のもののキャラも決定したら差し替えて実装できればと思います。</t>
  </si>
  <si>
    <t>汎用_学校_廊下_クリスマス差分</t>
  </si>
  <si>
    <t>汎用_市街地_夜_イルミネーション</t>
  </si>
  <si>
    <t>汎用_市街地_夜_イルミネーション_ツリーあり</t>
  </si>
  <si>
    <t>汎用_荒野</t>
  </si>
  <si>
    <t>汎用_市街地_破壊_晴れ差分</t>
  </si>
  <si>
    <t>汎用_レッドカーペット_コイン増量</t>
  </si>
  <si>
    <t>コンテンツカテゴリー</t>
  </si>
  <si>
    <t>コンテンツ_ID</t>
  </si>
  <si>
    <t>コンテンツ名称</t>
  </si>
  <si>
    <t>end_date</t>
  </si>
  <si>
    <t>contents_event_spy_00001</t>
  </si>
  <si>
    <t>SPY×FAMILY いいジャン祭</t>
  </si>
  <si>
    <t>contents_event_spy_00002</t>
  </si>
  <si>
    <t>contents_event_aka_00001</t>
  </si>
  <si>
    <t>contents_event_rik_00001</t>
  </si>
  <si>
    <t>contents_event_dan_00001</t>
  </si>
  <si>
    <t>contents_event_gom_00001</t>
  </si>
  <si>
    <t>contents_event_chi_00001</t>
  </si>
  <si>
    <t>contents_event_bat_00001</t>
  </si>
  <si>
    <t>contents_event_kai_00001</t>
  </si>
  <si>
    <t>contents_event_yuw_00001</t>
  </si>
  <si>
    <t>contents_event_sur_00001</t>
  </si>
  <si>
    <t>contents_event_ron_00001</t>
  </si>
  <si>
    <t>contents_event_aha_00001</t>
  </si>
  <si>
    <t>contents_event_tak_00001</t>
  </si>
  <si>
    <t>contents_event_jig_00001</t>
  </si>
  <si>
    <t>地獄楽 特集祭</t>
  </si>
  <si>
    <t>contents_event_mag_00001</t>
  </si>
  <si>
    <t>contents_event_dos_00001</t>
  </si>
  <si>
    <t>contents_event_sum_00001</t>
  </si>
  <si>
    <t>contents_event_glo_00001</t>
  </si>
  <si>
    <t>contents_training_glo_00001</t>
  </si>
  <si>
    <t>contents_training_glo_00002</t>
  </si>
  <si>
    <t>contents_training_glo_00003</t>
  </si>
  <si>
    <t>contents_duel_glo_00001</t>
  </si>
  <si>
    <t>contents_duel_glo_00002</t>
  </si>
  <si>
    <t>contents_duel_glo_00003</t>
  </si>
  <si>
    <t>contents_raid_glo_00001</t>
  </si>
  <si>
    <t>contents_raid_glo_00002</t>
  </si>
  <si>
    <t>contents_raid_glo_00003</t>
  </si>
  <si>
    <t>contents_limited_glo_00001</t>
  </si>
  <si>
    <t>contents_limited_glo_00002</t>
  </si>
  <si>
    <t>contents_limited_glo_00003</t>
  </si>
  <si>
    <t>設定可</t>
  </si>
  <si>
    <t>使用クエスト</t>
  </si>
  <si>
    <t>作品_id</t>
  </si>
  <si>
    <t>クエストカテゴリ</t>
  </si>
  <si>
    <t>クエスト区分</t>
  </si>
  <si>
    <t>クエスト番号</t>
  </si>
  <si>
    <t>ステージ番号</t>
  </si>
  <si>
    <t>演出種類</t>
  </si>
  <si>
    <t>表示タイミング</t>
  </si>
  <si>
    <t>名称追加</t>
  </si>
  <si>
    <t>種類区別</t>
  </si>
  <si>
    <t>表示区別</t>
  </si>
  <si>
    <t>演出_asset_key ※設定ID併用</t>
  </si>
  <si>
    <t>プレハブ名</t>
  </si>
  <si>
    <t>使用場所</t>
  </si>
  <si>
    <t>原作場面</t>
  </si>
  <si>
    <t>監修通過の有無</t>
  </si>
  <si>
    <t>psd差し替え</t>
  </si>
  <si>
    <t>メインクエスト原画・セリフ演出の命名規則
main_クエスト番号_ステージ番号_作品id_演出種類_表示タイミング_名称追加</t>
  </si>
  <si>
    <t>◎</t>
  </si>
  <si>
    <t>開始</t>
  </si>
  <si>
    <t>メイン1-1　開始時</t>
  </si>
  <si>
    <t>2</t>
  </si>
  <si>
    <t>genga_</t>
  </si>
  <si>
    <t>_start</t>
  </si>
  <si>
    <t>メイン2-1　開始</t>
  </si>
  <si>
    <t>1巻1話　初拷問の時間です</t>
  </si>
  <si>
    <t>通過済み</t>
  </si>
  <si>
    <t>クリア</t>
  </si>
  <si>
    <t>_victory</t>
  </si>
  <si>
    <t>メイン2-1　クリア</t>
  </si>
  <si>
    <t>1巻1話　トースト屈し</t>
  </si>
  <si>
    <t>メイン2-2　開始</t>
  </si>
  <si>
    <t>1巻2話　拷問の時間です</t>
  </si>
  <si>
    <t>メイン2-2　クリア</t>
  </si>
  <si>
    <t>1巻2話　たこ焼き屈し</t>
  </si>
  <si>
    <t>メイン2-3　開始</t>
  </si>
  <si>
    <t>1巻5話　クロル初登場</t>
  </si>
  <si>
    <t>メイン2-3　クリア</t>
  </si>
  <si>
    <t>1巻5話　キュイ屈し</t>
  </si>
  <si>
    <t>4</t>
  </si>
  <si>
    <t>メイン2-4　開始</t>
  </si>
  <si>
    <t>1巻8話　拷問の時間です</t>
  </si>
  <si>
    <t>メイン2-4　クリア</t>
  </si>
  <si>
    <t>1巻8話　ゴリラのマーチ屈し</t>
  </si>
  <si>
    <t>5</t>
  </si>
  <si>
    <t>メイン2-5　開始</t>
  </si>
  <si>
    <t>1巻11話　拷問の時間です</t>
  </si>
  <si>
    <t>メイン2-5　クリア</t>
  </si>
  <si>
    <t>1巻11話　深夜ラーメン屈し</t>
  </si>
  <si>
    <t>6</t>
  </si>
  <si>
    <t>ボス出現</t>
  </si>
  <si>
    <t>_torcher</t>
  </si>
  <si>
    <t>_appear</t>
  </si>
  <si>
    <t>メイン2-6　開始</t>
  </si>
  <si>
    <t>トーチャー　拷問の時間です</t>
  </si>
  <si>
    <t>_kurol</t>
  </si>
  <si>
    <t>メイン2-6　クロル出現</t>
  </si>
  <si>
    <t>クロル　拷問の時間だ</t>
  </si>
  <si>
    <t>_hime</t>
  </si>
  <si>
    <t>メイン2-6　姫様出現</t>
  </si>
  <si>
    <t>姫様　チーズたこ焼き</t>
  </si>
  <si>
    <t>メイン3-1　開始時</t>
  </si>
  <si>
    <t>メイン4-1　開始時</t>
  </si>
  <si>
    <t>監修待ち</t>
  </si>
  <si>
    <t>メイン5-1　開始時</t>
  </si>
  <si>
    <t>メイン5-1　クリア</t>
  </si>
  <si>
    <t>_ta-bobabaa</t>
  </si>
  <si>
    <t>メイン5-1　ターボババア出現</t>
  </si>
  <si>
    <t>メイン5-2　開始時</t>
  </si>
  <si>
    <t>メイン5-2　クリア</t>
  </si>
  <si>
    <t>_seruposeijin</t>
  </si>
  <si>
    <t>メイン5-2　セルポ星人出現</t>
  </si>
  <si>
    <t>メイン5-3　開始時</t>
  </si>
  <si>
    <t>メイン5-3　クリア</t>
  </si>
  <si>
    <t>セリフ</t>
  </si>
  <si>
    <t>エネミー行動</t>
  </si>
  <si>
    <t>talk_</t>
  </si>
  <si>
    <t>_action</t>
  </si>
  <si>
    <t>メイン5-3　セルポ星人変身前</t>
  </si>
  <si>
    <t>「ただちに出ていきなさい」「そうでなければ」</t>
  </si>
  <si>
    <t>メイン5-3　セルポ星人変身後</t>
  </si>
  <si>
    <t>メイン5-4　開始時</t>
  </si>
  <si>
    <t>メイン5-4　クリア</t>
  </si>
  <si>
    <t>メイン5-5　開始時</t>
  </si>
  <si>
    <t>メイン5-5　クリア</t>
  </si>
  <si>
    <t>_ta-bobabaa2</t>
  </si>
  <si>
    <t>メイン5-1　ターボババアカウント「1」</t>
  </si>
  <si>
    <t>_ta-bobabaa3</t>
  </si>
  <si>
    <t>メイン5-1　ターボババアカウント「2」</t>
  </si>
  <si>
    <t>_ta-bobabaa4</t>
  </si>
  <si>
    <t>メイン5-1　ターボババアカウント「5」</t>
  </si>
  <si>
    <t>_ta-bobabaa5</t>
  </si>
  <si>
    <t>メイン5-1　ターボババアカウント「20」</t>
  </si>
  <si>
    <t>_ta-bobabaa6</t>
  </si>
  <si>
    <t>メイン5-1　ターボババアカウント「1分」</t>
  </si>
  <si>
    <t>_ta-bobabaa7</t>
  </si>
  <si>
    <t>メイン5-1　ターボババアカウント「28」</t>
  </si>
  <si>
    <t>_ta-bobabaa8</t>
  </si>
  <si>
    <t>メイン5-1　ターボババアカウント「45」</t>
  </si>
  <si>
    <t>_ta-bobabaa9</t>
  </si>
  <si>
    <t>メイン5-1　ターボババアカウント「3分」</t>
  </si>
  <si>
    <t>_ta-bobabaa10</t>
  </si>
  <si>
    <t>メイン5-1　ターボババアカウント「3分31」</t>
  </si>
  <si>
    <t>_ta-bobabaa11</t>
  </si>
  <si>
    <t>メイン5-1　ターボババアカウント「3分46」</t>
  </si>
  <si>
    <t>_ta-bobabaa12</t>
  </si>
  <si>
    <t>メイン5-1　ターボババアカウント「3分52」</t>
  </si>
  <si>
    <t>メイン5-1　ターボババア移動</t>
  </si>
  <si>
    <t>_ayasemomo</t>
  </si>
  <si>
    <t>メイン5-6　綾瀬桃出現</t>
  </si>
  <si>
    <t>_okarun</t>
  </si>
  <si>
    <t>メイン5-6　ターボババアの霊力 オカルン出現</t>
  </si>
  <si>
    <t>メイン6-1　開始時</t>
  </si>
  <si>
    <t>地獄楽コミックス1巻P166。さぎりvs画眉丸</t>
  </si>
  <si>
    <t>メイン6-1　クリア</t>
  </si>
  <si>
    <t>地獄楽コミックス1巻P188。さぎりvs画眉丸決着</t>
  </si>
  <si>
    <t>メイン6-2　開始</t>
  </si>
  <si>
    <t>地獄楽1巻P198。極楽蝶・門神初登場</t>
  </si>
  <si>
    <t>メイン6-3　開始</t>
  </si>
  <si>
    <t>極楽蝶と門神のダブルカットイン</t>
  </si>
  <si>
    <t>メイン6-4　開始</t>
  </si>
  <si>
    <t>地獄楽1巻最終ページ　竈神 魚初登場</t>
  </si>
  <si>
    <t>メイン6-4　クリア</t>
  </si>
  <si>
    <t>地獄楽コミックス？巻　画眉丸がさぎりを守って敵を倒す</t>
  </si>
  <si>
    <t>メイン6-5　開始</t>
  </si>
  <si>
    <t>竈神 魚と門神のダブルカットイン</t>
  </si>
  <si>
    <t>メイン6-6　開始</t>
  </si>
  <si>
    <t>さぎり＆画眉丸</t>
  </si>
  <si>
    <t>7</t>
  </si>
  <si>
    <t>メイン7-1　開始</t>
  </si>
  <si>
    <t>メイン7-2　開始</t>
  </si>
  <si>
    <t>メイン7-3　開始</t>
  </si>
  <si>
    <t>メイン7-1　クリア</t>
  </si>
  <si>
    <t>9</t>
  </si>
  <si>
    <t>_denji</t>
  </si>
  <si>
    <t>15</t>
  </si>
  <si>
    <t>_8gou</t>
  </si>
  <si>
    <t>_9gou</t>
  </si>
  <si>
    <t>10</t>
  </si>
  <si>
    <t>_kyoka</t>
  </si>
  <si>
    <t>11</t>
  </si>
  <si>
    <t>_lycopene</t>
  </si>
  <si>
    <t>リコピン登場時</t>
  </si>
  <si>
    <t>13</t>
  </si>
  <si>
    <t>_kana</t>
  </si>
  <si>
    <t>14</t>
  </si>
  <si>
    <t>_mio</t>
  </si>
  <si>
    <t>_ushio</t>
  </si>
  <si>
    <t>_loid</t>
  </si>
  <si>
    <t>17</t>
  </si>
  <si>
    <t>イベント原画・セリフ演出の命名規則
event_作品id_クエスト番号_クエスト区分_ステージ番号_演出種類_表示タイミング_名称追加</t>
  </si>
  <si>
    <t>8</t>
  </si>
  <si>
    <t>×</t>
  </si>
  <si>
    <t>yoru</t>
  </si>
  <si>
    <t>loid</t>
  </si>
  <si>
    <t>yuri</t>
  </si>
  <si>
    <t>_akane</t>
  </si>
  <si>
    <t>_lily</t>
  </si>
  <si>
    <t>_mei</t>
  </si>
  <si>
    <t>_boss</t>
  </si>
  <si>
    <t>_dag</t>
  </si>
  <si>
    <t>_hana</t>
  </si>
  <si>
    <t>_lita</t>
  </si>
  <si>
    <t>_luke</t>
  </si>
  <si>
    <t>challenge_n</t>
  </si>
  <si>
    <t>genga_jig_event_challenge_n_00001_01_start</t>
  </si>
  <si>
    <t>地獄楽特集祭2025 高難度ステージ1開始</t>
  </si>
  <si>
    <t>2巻122P　さぎりがゲンジに土下座</t>
  </si>
  <si>
    <t>genga_jig_event_challenge_n_00001_01_victory</t>
  </si>
  <si>
    <t>地獄楽特集祭2025 高難度ステージ1クリア</t>
  </si>
  <si>
    <t>2巻126P　ゲンジvsさぎり決着</t>
  </si>
  <si>
    <t>genga_jig_event_1day_00001_03_start</t>
  </si>
  <si>
    <t>地獄楽特集祭2025 1日1回　3話目クリア</t>
  </si>
  <si>
    <t>1巻26P　釜茹で（boil）</t>
  </si>
  <si>
    <t>サンプル</t>
  </si>
  <si>
    <t>extra</t>
  </si>
  <si>
    <t>サンプル：バトル開始時原画</t>
  </si>
  <si>
    <t>サンプル：変身時セリフ</t>
  </si>
  <si>
    <t>spead</t>
  </si>
  <si>
    <t>サンプル：ボス出現時原画</t>
  </si>
  <si>
    <t>サンプル：QA用Fuwa</t>
  </si>
  <si>
    <t>BGM/SE関連</t>
  </si>
  <si>
    <t>ファイル名</t>
  </si>
  <si>
    <t>旧ファイル名
（対応後削除予定）</t>
  </si>
  <si>
    <t>使用箇所</t>
  </si>
  <si>
    <t>サウンド名称</t>
  </si>
  <si>
    <t>格納フォルダ</t>
  </si>
  <si>
    <t>備考（クエストでの使用箇所など）</t>
  </si>
  <si>
    <t>使用画面</t>
  </si>
  <si>
    <t>SSE_SBG_003_001</t>
  </si>
  <si>
    <t>ingame_001_2</t>
  </si>
  <si>
    <t>SSE_SBG_003_002</t>
  </si>
  <si>
    <t>ingame_001
ingame_002
ingame_003</t>
  </si>
  <si>
    <t>SSE_SBG_003_003</t>
  </si>
  <si>
    <t>ingame_001_3</t>
  </si>
  <si>
    <t>SSE_SBG_003_004</t>
  </si>
  <si>
    <t>ボス登場時に使用</t>
  </si>
  <si>
    <t>SSE_SBG_003_005</t>
  </si>
  <si>
    <t>※MIX前音源のため使用不可
（権利としてはWPが持っている音源）</t>
  </si>
  <si>
    <t>SSE_SBG_003_006</t>
  </si>
  <si>
    <t>SSE_SBG_003_007</t>
  </si>
  <si>
    <t>高難度クエストに使用</t>
  </si>
  <si>
    <t>SSE_SBG_003_008</t>
  </si>
  <si>
    <t>SSE_SBG_003_009</t>
  </si>
  <si>
    <t>SSE_SBG_003_010</t>
  </si>
  <si>
    <t>SSE_SBG_000_001</t>
  </si>
  <si>
    <t>SSE_SBG_000_002</t>
  </si>
  <si>
    <t>SSE_SBG_000_003</t>
  </si>
  <si>
    <t>SSE_SBG_001_001</t>
  </si>
  <si>
    <t>SSE_SBG_000_004</t>
  </si>
  <si>
    <t>SSE_SBG_000_005</t>
  </si>
  <si>
    <t>SSE_SBG_002_001</t>
  </si>
  <si>
    <t>SSE_SBG_002_002</t>
  </si>
  <si>
    <t>GLOW_SE再生箇所リスト</t>
  </si>
  <si>
    <t>予算</t>
  </si>
  <si>
    <t>実績</t>
  </si>
  <si>
    <t>想定単価</t>
  </si>
  <si>
    <t>実績単価</t>
  </si>
  <si>
    <t>発注</t>
  </si>
  <si>
    <t>ステータス</t>
  </si>
  <si>
    <t>申請</t>
  </si>
  <si>
    <t>package名</t>
  </si>
  <si>
    <t>アセット名</t>
  </si>
  <si>
    <t>項目書き出し用</t>
  </si>
  <si>
    <t>サウンド通称</t>
  </si>
  <si>
    <t>新規/流用</t>
  </si>
  <si>
    <t>必殺ワザでの使用</t>
  </si>
  <si>
    <t>URL</t>
  </si>
  <si>
    <t>使用時期
（スコープ）</t>
  </si>
  <si>
    <t>承認</t>
  </si>
  <si>
    <t>メモ</t>
  </si>
  <si>
    <t>(税抜)</t>
  </si>
  <si>
    <t>制作会社</t>
  </si>
  <si>
    <t>納品予定</t>
  </si>
  <si>
    <t>WF申請者</t>
  </si>
  <si>
    <t>audio_se_common_button_decide</t>
  </si>
  <si>
    <t>決定音</t>
  </si>
  <si>
    <t>新規</t>
  </si>
  <si>
    <t>https://audiostock.jp/audio/884512</t>
  </si>
  <si>
    <t>α3（2024年6-8月）</t>
  </si>
  <si>
    <t>P承認</t>
  </si>
  <si>
    <t>Audiostock</t>
  </si>
  <si>
    <t>納品済み</t>
  </si>
  <si>
    <t>audio_se_common_button_select</t>
  </si>
  <si>
    <t>選択音、ダイアログ開く音</t>
  </si>
  <si>
    <t>https://audiostock.jp/audio/107926</t>
  </si>
  <si>
    <t>audio_se_common_button_close</t>
  </si>
  <si>
    <t>キャンセル、閉じる音</t>
  </si>
  <si>
    <t>https://audiostock.jp/audio/60461</t>
  </si>
  <si>
    <t>押せないボタンをタップした音</t>
  </si>
  <si>
    <t>音無し</t>
  </si>
  <si>
    <t>audio_se_receive_reward_open</t>
  </si>
  <si>
    <t>報酬獲得音1</t>
  </si>
  <si>
    <t>DELIGHT流用</t>
  </si>
  <si>
    <t>https://audiostock.jp/audio/5658</t>
  </si>
  <si>
    <t>最初になる音</t>
  </si>
  <si>
    <t>audio_se_receive_reward_tick</t>
  </si>
  <si>
    <t>報酬獲得音2</t>
  </si>
  <si>
    <t>⚪︎</t>
  </si>
  <si>
    <t>https://audiostock.jp/audio/269359</t>
  </si>
  <si>
    <t>シャンシャン音</t>
  </si>
  <si>
    <t>audio_se_stage_open_start</t>
  </si>
  <si>
    <t>ホーム</t>
  </si>
  <si>
    <t>次ステージ、クエスト開放音1</t>
  </si>
  <si>
    <t>https://audiostock.jp/audio/211598</t>
  </si>
  <si>
    <t>audio_se_stage_open_unlock</t>
  </si>
  <si>
    <t>次ステージ、クエスト開放音2</t>
  </si>
  <si>
    <t>https://audiostock.jp/audio/994366</t>
  </si>
  <si>
    <t>audio_se_user_level_up_gauge</t>
  </si>
  <si>
    <t>バトルリザルト</t>
  </si>
  <si>
    <t>プレイヤーレベルアップ1</t>
  </si>
  <si>
    <t>https://audiostock.jp/audio/90171</t>
  </si>
  <si>
    <t>ゲージ音</t>
  </si>
  <si>
    <t>audio_se_user_level_up</t>
  </si>
  <si>
    <t>プレイヤーレベルアップ2</t>
  </si>
  <si>
    <t>https://audiostock.jp/audio/968121</t>
  </si>
  <si>
    <t>レベルUP音</t>
  </si>
  <si>
    <t>プレイヤーレベルアップ3</t>
  </si>
  <si>
    <t>https://audiostock.jp/audio/140671</t>
  </si>
  <si>
    <t>カットイン音/バトル勝利演出音1と同じSSE_051_002</t>
  </si>
  <si>
    <t>audio_se_battle_start</t>
  </si>
  <si>
    <t>バトル</t>
  </si>
  <si>
    <t xml:space="preserve">インゲーム </t>
  </si>
  <si>
    <t>バトル開始演出</t>
  </si>
  <si>
    <t>https://audiostock.jp/audio/52719</t>
  </si>
  <si>
    <t>audio_se_battle_start_button</t>
  </si>
  <si>
    <t>ホーム画面のバトル開始ボタン音</t>
  </si>
  <si>
    <t>https://audiostock.jp/audio/1477620</t>
  </si>
  <si>
    <t>バトル開始音</t>
  </si>
  <si>
    <t>重複している</t>
  </si>
  <si>
    <t>audio_se_battle_victory_cutin</t>
  </si>
  <si>
    <t>バトル勝利演出音1</t>
  </si>
  <si>
    <t>共通(決定音と同じ)SSE_000_001</t>
  </si>
  <si>
    <t>audio_se_battle_victory_light</t>
  </si>
  <si>
    <t>バトル勝利演出音2</t>
  </si>
  <si>
    <t>https://audiostock.jp/audio/827632</t>
  </si>
  <si>
    <t>audio_se_battle_victory_result</t>
  </si>
  <si>
    <t>勝利音</t>
  </si>
  <si>
    <t>https://audiostock.jp/audio/1108512</t>
  </si>
  <si>
    <t>どちらかにする(承認にどっちも持っていく)推し</t>
  </si>
  <si>
    <t>https://audiostock.jp/audio/893413</t>
  </si>
  <si>
    <t>不要</t>
  </si>
  <si>
    <t>どちらかにする(承認にどっちも持っていく)</t>
  </si>
  <si>
    <t>audio_se_battle_defeat_result</t>
  </si>
  <si>
    <t>敗北音</t>
  </si>
  <si>
    <t>https://audiostock.jp/audio/204748</t>
  </si>
  <si>
    <t>コンテニュー選択音</t>
  </si>
  <si>
    <t>GLOW流用</t>
  </si>
  <si>
    <t>バトル（弱攻撃）</t>
  </si>
  <si>
    <t>audio_se_ingame_hit_001</t>
  </si>
  <si>
    <t>バトル（攻撃が打撃）</t>
  </si>
  <si>
    <t>https://audiostock.jp/audio/1077177</t>
  </si>
  <si>
    <t>バトル（攻撃が斬撃）</t>
  </si>
  <si>
    <t>https://audiostock.jp/audio/52448</t>
  </si>
  <si>
    <t>バトル（バフ）</t>
  </si>
  <si>
    <t>https://audiostock.jp/audio/206672</t>
  </si>
  <si>
    <t>ゲートダメージ音</t>
  </si>
  <si>
    <t>https://audiostock.jp/audio/56324</t>
  </si>
  <si>
    <t>ゲート破壊音</t>
  </si>
  <si>
    <t>https://audiostock.jp/audio/1496189</t>
  </si>
  <si>
    <t>バトル（デバフ）</t>
  </si>
  <si>
    <t>https://audiostock.jp/audio/1016523</t>
  </si>
  <si>
    <t>バトル（スキル無効化）</t>
  </si>
  <si>
    <t>https://audiostock.jp/audio/1285213</t>
  </si>
  <si>
    <t>バトル（HP回復）</t>
  </si>
  <si>
    <t>https://audiostock.jp/audio/476674</t>
  </si>
  <si>
    <t>バトル（遠距離攻撃hit）</t>
  </si>
  <si>
    <t>マスター</t>
  </si>
  <si>
    <t>D承認</t>
  </si>
  <si>
    <t>打撃音と同じ</t>
  </si>
  <si>
    <t>audio_se_ingame_hit_002</t>
  </si>
  <si>
    <t>バトル（打撃キラーhit）</t>
  </si>
  <si>
    <t>https://audiostock.jp/audio/830363</t>
  </si>
  <si>
    <t>バトル（斬撃キラーhit）</t>
  </si>
  <si>
    <t>https://audiostock.jp/audio/131142</t>
  </si>
  <si>
    <t>バトル（遠距離攻撃キラーhit）</t>
  </si>
  <si>
    <t>audio_se_mission_open_chest</t>
  </si>
  <si>
    <t>ミッション</t>
  </si>
  <si>
    <t>ミッションクリア</t>
  </si>
  <si>
    <t>https://audiostock.jp/audio/399712</t>
  </si>
  <si>
    <t>宝箱の開封音</t>
  </si>
  <si>
    <t>audio_se_outpost_enhance_start</t>
  </si>
  <si>
    <t>キャラ・編成・強化</t>
  </si>
  <si>
    <t>ゲートレベルアップ1</t>
  </si>
  <si>
    <t>https://audiostock.jp/audio/870009</t>
  </si>
  <si>
    <t>audio_se_outpost_enhance_window</t>
  </si>
  <si>
    <t>ゲートレベルアップ2</t>
  </si>
  <si>
    <t>https://audiostock.jp/audio/1314322</t>
  </si>
  <si>
    <t>audio_se_unit_level_up</t>
  </si>
  <si>
    <t>キャラレベルアップ</t>
  </si>
  <si>
    <t>https://audiostock.jp/audio/1248248</t>
  </si>
  <si>
    <t>audio_se_unit_grade_up</t>
  </si>
  <si>
    <t>キャラ覚醒</t>
  </si>
  <si>
    <t>https://audiostock.jp/audio/105202</t>
  </si>
  <si>
    <t>audio_se_unit_rank_up</t>
  </si>
  <si>
    <t>キャラレベル上限解放</t>
  </si>
  <si>
    <t>https://audiostock.jp/audio/1473895</t>
  </si>
  <si>
    <t>ステージ/クエスト開放時</t>
  </si>
  <si>
    <t>アイテムBOXリスト</t>
  </si>
  <si>
    <t>アイテム使用時</t>
  </si>
  <si>
    <t>かけらBOX開封時</t>
  </si>
  <si>
    <t>共通(ミッションクリア音と同じ)SSE_061_001</t>
  </si>
  <si>
    <t>audio_se_get_item</t>
  </si>
  <si>
    <t>アイテム獲得時</t>
  </si>
  <si>
    <t>共通(報酬獲得音と同じ)SSE_000_004</t>
  </si>
  <si>
    <t>クエストリザルト</t>
  </si>
  <si>
    <t>勝利/敗北音があるため不要</t>
  </si>
  <si>
    <t>audio_se_battle_boss_appear</t>
  </si>
  <si>
    <t>強敵出現時1</t>
  </si>
  <si>
    <t>https://audiostock.jp/audio/801174</t>
  </si>
  <si>
    <t>audio_se_battle_boss_summon</t>
  </si>
  <si>
    <t>強敵出現時2</t>
  </si>
  <si>
    <t>△</t>
  </si>
  <si>
    <t>https://audiostock.jp/audio/167276</t>
  </si>
  <si>
    <t>Vビーム</t>
  </si>
  <si>
    <t>https://audiostock.jp/audio/110589</t>
  </si>
  <si>
    <t>https://audiostock.jp/audio/935848</t>
  </si>
  <si>
    <t>https://audiostock.jp/audio/1215959</t>
  </si>
  <si>
    <t>必殺ワザ共通1</t>
  </si>
  <si>
    <t>https://audiostock.jp/audio/190564</t>
  </si>
  <si>
    <t>必殺ワザカットインで使用</t>
  </si>
  <si>
    <t>チャージ1</t>
  </si>
  <si>
    <t>必殺ワザ共通2</t>
  </si>
  <si>
    <t>https://audiostock.jp/audio/109845</t>
  </si>
  <si>
    <t>チャージ2</t>
  </si>
  <si>
    <t>必殺ワザ共通3</t>
  </si>
  <si>
    <t>https://audiostock.jp/audio/1413400</t>
  </si>
  <si>
    <t>カットイン(カキーン)</t>
  </si>
  <si>
    <t>必殺ワザ共通4</t>
  </si>
  <si>
    <t>https://audiostock.jp/audio/372199</t>
  </si>
  <si>
    <t>カットイン</t>
  </si>
  <si>
    <t>必殺ワザ共通5</t>
  </si>
  <si>
    <t>https://audiostock.jp/audio/1068964</t>
  </si>
  <si>
    <t>https://audiostock.jp/audio/1531506</t>
  </si>
  <si>
    <t>2025/5/19</t>
  </si>
  <si>
    <t>https://audiostock.jp/audio/1460131</t>
  </si>
  <si>
    <t>変身1</t>
  </si>
  <si>
    <t>https://audiostock.jp/audio/78550</t>
  </si>
  <si>
    <t>変身前エフェクトの再生時</t>
  </si>
  <si>
    <t>2025/4/4</t>
  </si>
  <si>
    <t>HP回復攻撃が発動した時</t>
  </si>
  <si>
    <t>https://audiostock.jp/audio/1387397</t>
  </si>
  <si>
    <t>撤退時</t>
  </si>
  <si>
    <t>https://audiostock.jp/audio/821628</t>
  </si>
  <si>
    <t>氷結1</t>
  </si>
  <si>
    <t>https://audiostock.jp/audio/78446</t>
  </si>
  <si>
    <t>氷結状態になった時</t>
  </si>
  <si>
    <t>https://audiostock.jp/audio/860121</t>
  </si>
  <si>
    <t>根性1</t>
  </si>
  <si>
    <t>https://audiostock.jp/audio/1139881</t>
  </si>
  <si>
    <t>総攻撃の威力アップ1</t>
  </si>
  <si>
    <t>https://audiostock.jp/audio/964454</t>
  </si>
  <si>
    <t>亡骸ファントム1</t>
  </si>
  <si>
    <t>https://audiostock.jp/audio/1295152</t>
  </si>
  <si>
    <t>後半のカットが必要そう</t>
  </si>
  <si>
    <t>タイトル</t>
  </si>
  <si>
    <t>ゲームスタート時</t>
  </si>
  <si>
    <t>https://audiostock.jp/audio/151432</t>
  </si>
  <si>
    <t>DELIGHT：SSE_041_013</t>
  </si>
  <si>
    <t>ホームバナータップ</t>
  </si>
  <si>
    <t>SSE_000_002と同じ</t>
  </si>
  <si>
    <t>解放済みステージアイコンタップ時</t>
  </si>
  <si>
    <t>SSE_000_001と同じ</t>
  </si>
  <si>
    <t>ロック中ステージアイコンタップ時</t>
  </si>
  <si>
    <t>SSE_000_003と同じ</t>
  </si>
  <si>
    <t>編成SDキャラタップ時
※編成から外す</t>
  </si>
  <si>
    <t>https://audiostock.jp/audio/165559</t>
  </si>
  <si>
    <t>DELIGHT：SSE_052_30502</t>
  </si>
  <si>
    <t>編成SDキャラを長押しした時
※キャラを掴んでいる状態</t>
  </si>
  <si>
    <t>キャラのかけら隣の「＋」ボタンを押した時</t>
  </si>
  <si>
    <t>必殺ゲージMAX時</t>
  </si>
  <si>
    <t>https://audiostock.jp/audio/269387</t>
  </si>
  <si>
    <t>DELIGHT：SSE_052_30071リンクと違う音が格納されてた</t>
  </si>
  <si>
    <t>召喚リキャストゲージMAX時</t>
  </si>
  <si>
    <r>
      <rPr>
        <rFont val="Arial"/>
        <color rgb="FF1155CC"/>
        <sz val="8.0"/>
        <u/>
      </rPr>
      <t>https://audiostock.jp/audio/1173242</t>
    </r>
    <r>
      <rPr>
        <rFont val="Arial"/>
        <color rgb="FF1155CC"/>
        <sz val="8.0"/>
        <u/>
      </rPr>
      <t>2</t>
    </r>
  </si>
  <si>
    <t>DELIGHT：SSE_131_001</t>
  </si>
  <si>
    <t>ログボのスタンプ音</t>
  </si>
  <si>
    <t>SSE_053_015</t>
  </si>
  <si>
    <t>ヘッダー / フッター</t>
  </si>
  <si>
    <t>リーダーネーム編集ダイアログ
確定ボタン（グレーアウト）タップ時</t>
  </si>
  <si>
    <t>戻る</t>
  </si>
  <si>
    <t>ショップ（専用画面）</t>
  </si>
  <si>
    <t>開始時のアイコン表示(パーン/ぽよーん)</t>
  </si>
  <si>
    <t>https://audiostock.jp/audio/1586071</t>
  </si>
  <si>
    <t>開始直後のプラスアイコン弾ける音(パーン)</t>
  </si>
  <si>
    <t>https://audiostock.jp/audio/1196063</t>
  </si>
  <si>
    <t>「演出スキップ」ボタンをタップした時</t>
  </si>
  <si>
    <t>SSE_000_002</t>
  </si>
  <si>
    <t>最初からUR確定の時のキラキラ音</t>
  </si>
  <si>
    <t>https://audiostock.jp/audio/1505360</t>
  </si>
  <si>
    <t>タップでスタート直後に表示される十字の光の表示音</t>
  </si>
  <si>
    <t>https://audiostock.jp/audio/1309734</t>
  </si>
  <si>
    <t>原画コマ揺れ中のループ音(シュンシュン/ギュインギュイン)</t>
  </si>
  <si>
    <t>https://audiostock.jp/audio/1036505</t>
  </si>
  <si>
    <t>原画コマ表示開始時の音(SSR以下)</t>
  </si>
  <si>
    <t>https://audiostock.jp/audio/160611</t>
  </si>
  <si>
    <t>金色の輪っかが出現した時の音</t>
  </si>
  <si>
    <t>https://audiostock.jp/audio/1086563</t>
  </si>
  <si>
    <t>SSE_072_008</t>
  </si>
  <si>
    <t>原画コマ表示が終わってAパート結果に移動する時の音(ブワーン)</t>
  </si>
  <si>
    <t>流用（音源違い）</t>
  </si>
  <si>
    <t>SSE_072_007の尺が短い版</t>
  </si>
  <si>
    <t>虹色の輪っかが出現した時の音</t>
  </si>
  <si>
    <t>https://audiostock.jp/audio/1089190</t>
  </si>
  <si>
    <t>原画コマ表示開始時の音(UR)</t>
  </si>
  <si>
    <t>SSE_072_009</t>
  </si>
  <si>
    <t>URのプラスアイコンが表示された時の音(キラーン)</t>
  </si>
  <si>
    <t>https://audiostock.jp/audio/1396458</t>
  </si>
  <si>
    <t>URのプラスアイコンが弾けた（大きくなった）時の音</t>
  </si>
  <si>
    <t>SSE_072_005</t>
  </si>
  <si>
    <t>プラスアイコンが表示された時の音(パンパン)</t>
  </si>
  <si>
    <t>https://audiostock.jp/audio/1393141</t>
  </si>
  <si>
    <t>？アイコンが表示された時の音(パンパン)</t>
  </si>
  <si>
    <t>SSE_072_014</t>
  </si>
  <si>
    <t>SSR以上のアイコンの後光のループ音(キラキラ)</t>
  </si>
  <si>
    <t>SSE_072_004</t>
  </si>
  <si>
    <t>「タップして次へ」で画面をタップした時</t>
  </si>
  <si>
    <t>ガシャ演出UR確定ゴゴゴゴのテキスト表示音(ゴゴゴゴ)</t>
  </si>
  <si>
    <t>https://audiostock.jp/audio/1496194</t>
  </si>
  <si>
    <t>ガシャ演出UR確定ドオォォォォンのテキスト表示音(ドーン)</t>
  </si>
  <si>
    <t>https://audiostock.jp/audio/1609359</t>
  </si>
  <si>
    <t>ガシャUR確定シュワシュワ音</t>
  </si>
  <si>
    <t>SSE_072_010</t>
  </si>
  <si>
    <t>キャラが当たって光の柱が立つ音（ヒューン）</t>
  </si>
  <si>
    <t>https://audiostock.jp/audio/884446</t>
  </si>
  <si>
    <t>キャラ表示前の吹き出しやウィンドウが表示される時の音(シュ)</t>
  </si>
  <si>
    <t>https://audiostock.jp/audio/1462423</t>
  </si>
  <si>
    <t>SSR以上のレアリティが光る音(キラーン)</t>
  </si>
  <si>
    <t>https://audiostock.jp/audio/103206</t>
  </si>
  <si>
    <t>SSR以上のSDキャラの後光のループ音（キラキラ）</t>
  </si>
  <si>
    <t>アイテムが当選し、画面左からスライドインする音</t>
  </si>
  <si>
    <t>https://audiostock.jp/audio/1462424</t>
  </si>
  <si>
    <t>アイテムが当選し、アイテムアイコンが跳ねた時の音</t>
  </si>
  <si>
    <t>SSE_072_022</t>
  </si>
  <si>
    <t>獲得したアイテム・キャラの表示中に画面をタップした時
※次の当選アイテム表示に移行する</t>
  </si>
  <si>
    <t>獲得アイテムアイコンが表示される時</t>
  </si>
  <si>
    <t>獲得キャラがかけらに自動変換された時</t>
  </si>
  <si>
    <t>SSE_000_005</t>
  </si>
  <si>
    <t>SSR以上の獲得アイコンの後光のループ音（キラキラ）</t>
  </si>
  <si>
    <t>獲得したアイテムアイコンをタップした時の音</t>
  </si>
  <si>
    <t>初回入手キャラがいて、「タップして次へ」が表示されている状態で画面をタップした時</t>
  </si>
  <si>
    <t>獲得した新規プレイヤーアイコンが表示される時</t>
  </si>
  <si>
    <t>SSE_000_004</t>
  </si>
  <si>
    <t>戻るボタンをタップした時</t>
  </si>
  <si>
    <t>未承認</t>
  </si>
  <si>
    <t>SSE_000_003</t>
  </si>
  <si>
    <t>もう一度引くボタンをタップした時
※ガシャ確認ダイアログが開く</t>
  </si>
  <si>
    <t>SSE_000_001</t>
  </si>
  <si>
    <t>SR以上のキャラが出現する音</t>
  </si>
  <si>
    <t>https://audiostock.jp/audio/901624</t>
  </si>
  <si>
    <t>総攻撃ゲージが溜まった時　Lv1</t>
  </si>
  <si>
    <t>https://audiostock.jp/audio/1510815</t>
  </si>
  <si>
    <t>総攻撃ゲージが溜まった時　Lv2</t>
  </si>
  <si>
    <t>https://audiostock.jp/audio/1159408</t>
  </si>
  <si>
    <t>総攻撃ゲージが溜まった時　Lv3</t>
  </si>
  <si>
    <t>https://audiostock.jp/audio/179464</t>
  </si>
  <si>
    <t>ボタンタップ音(かっこいい発動音)</t>
  </si>
  <si>
    <t>https://audiostock.jp/audio/819720</t>
  </si>
  <si>
    <t>ボタンタップ音(ジャキーン)</t>
  </si>
  <si>
    <t>https://audiostock.jp/audio/1181984</t>
  </si>
  <si>
    <t>カットイン1(シュ/コマ)</t>
  </si>
  <si>
    <t>SSE_072_025</t>
  </si>
  <si>
    <t>カットイン2(シュ/キャラ)</t>
  </si>
  <si>
    <t>カットイン3(バチバチ)</t>
  </si>
  <si>
    <t>https://audiostock.jp/audio/254244</t>
  </si>
  <si>
    <t>カットイン4(ドドドド/ゴゴゴゴ)</t>
  </si>
  <si>
    <t>https://audiostock.jp/audio/105100</t>
  </si>
  <si>
    <t>カットイン5(バチバチ/地面切り裂きそうな音)</t>
  </si>
  <si>
    <t>https://audiostock.jp/audio/799387</t>
  </si>
  <si>
    <t>スペシャルキャラカットイン(シャキーン)1</t>
  </si>
  <si>
    <t>カットイン6(ドッカーン)</t>
  </si>
  <si>
    <t>https://audiostock.jp/audio/813252</t>
  </si>
  <si>
    <t>カットイン7(爆煙)</t>
  </si>
  <si>
    <t>https://audiostock.jp/audio/1096779</t>
  </si>
  <si>
    <t>カットイン8(殴る音)</t>
  </si>
  <si>
    <t>SSE_051_004</t>
  </si>
  <si>
    <t>カットイン9(殴る音)</t>
  </si>
  <si>
    <t>SSE_051_013</t>
  </si>
  <si>
    <t>大枠の入り込み</t>
  </si>
  <si>
    <t>項目の入り込み</t>
  </si>
  <si>
    <t>詳細スコアが上昇する時</t>
  </si>
  <si>
    <t>https://audiostock.jp/audio/126645</t>
  </si>
  <si>
    <t>トータルスコアが上昇する時</t>
  </si>
  <si>
    <t>SSE_053_008の長い版</t>
  </si>
  <si>
    <t>NewRecordが表示された時</t>
  </si>
  <si>
    <t>https://audiostock.jp/audio/390295</t>
  </si>
  <si>
    <t>現在のランクアイコンが表示された時</t>
  </si>
  <si>
    <t>SSE_012_003</t>
  </si>
  <si>
    <t>小ランクが昇格する時
※ブロンズ1→ブロンズ2など</t>
  </si>
  <si>
    <t>https://audiostock.jp/audio/167358</t>
  </si>
  <si>
    <t>大ランクが昇格する時
※ブロンズ→シルバーなど</t>
  </si>
  <si>
    <t>実装済み（要確認）SSE_053_002</t>
  </si>
  <si>
    <t>スコア発生時(ダメージ)</t>
  </si>
  <si>
    <t>https://audiostock.jp/audio/1072409</t>
  </si>
  <si>
    <t>スコア発生時(撃破)</t>
  </si>
  <si>
    <t>https://audiostock.jp/audio/827609</t>
  </si>
  <si>
    <t>タイムのカウント音</t>
  </si>
  <si>
    <t>https://audiostock.jp/audio/828894</t>
  </si>
  <si>
    <t>クリアタイムの表示音</t>
  </si>
  <si>
    <t>SSE_053_009</t>
  </si>
  <si>
    <t>クリアタイム報酬にクリアスタンプが押される音</t>
  </si>
  <si>
    <t xml:space="preserve">https://audiostock.jp/audio/931631
</t>
  </si>
  <si>
    <t>必殺ゲージMAX時1</t>
  </si>
  <si>
    <t>https://audiostock.jp/audio/100412</t>
  </si>
  <si>
    <t>必殺ゲージMAX時2</t>
  </si>
  <si>
    <t>SSE_072_012</t>
  </si>
  <si>
    <t>必殺ワザ発動時のオーラの音</t>
  </si>
  <si>
    <t>https://audiostock.jp/audio/172947</t>
  </si>
  <si>
    <t>3/3の購入で申請漏れてたので後日購入する
→購入するかどうかは一旦ステイ。必殺ワザの音選定した時に入れるかどうか検討する</t>
  </si>
  <si>
    <t>必殺ワザの発動でアイコンが燃える音1</t>
  </si>
  <si>
    <t>SSE_051_038</t>
  </si>
  <si>
    <t>必殺ワザの発動でアイコンが燃える音2</t>
  </si>
  <si>
    <t>音量違いでIDのみ発行（SSE_051_056）</t>
  </si>
  <si>
    <t>必殺ワザ演出カットインの音</t>
  </si>
  <si>
    <t>必殺ワザカットイン演出の表示時1
（必殺ワザ名称と原画が表示される時）</t>
  </si>
  <si>
    <t>SSE_051_045</t>
  </si>
  <si>
    <t>必殺ワザカットイン演出の表示時2
（必殺ワザ名称と原画が表示される時）</t>
  </si>
  <si>
    <t>https://audiostock.jp/audio/185273</t>
  </si>
  <si>
    <t>必殺ワザカットイン演出の表示時3
（必殺ワザ名称と原画が表示される時）</t>
  </si>
  <si>
    <t>キャラの撃破演出時</t>
  </si>
  <si>
    <t>https://audiostock.jp/audio/1612292</t>
  </si>
  <si>
    <t>ヒーローキャラの出撃時</t>
  </si>
  <si>
    <t>https://audiostock.jp/audio/876061</t>
  </si>
  <si>
    <t>ファントムキャラの出撃時</t>
  </si>
  <si>
    <t>https://audiostock.jp/audio/260005</t>
  </si>
  <si>
    <t>スペシャルキャラの召喚</t>
  </si>
  <si>
    <t>SSE_072_021の頭部分を削った音源</t>
  </si>
  <si>
    <t>スペシャルキャラの退却</t>
  </si>
  <si>
    <t>SSE_051_068</t>
  </si>
  <si>
    <t>トランジションのプラスマーク光彩が散った時</t>
  </si>
  <si>
    <t>SSE_072_002</t>
  </si>
  <si>
    <t>トランジションの切り替わり音1</t>
  </si>
  <si>
    <t>トランジションの切り替わり音2</t>
  </si>
  <si>
    <t>トランジションの切り替わり音3</t>
  </si>
  <si>
    <t>トランジションのプラスマークが出現した音</t>
  </si>
  <si>
    <t>SSE_072_001</t>
  </si>
  <si>
    <t>ADV</t>
  </si>
  <si>
    <t>原画演出（衝撃/出現）</t>
  </si>
  <si>
    <t>https://audiostock.jp/audio/59425</t>
  </si>
  <si>
    <t>原画演出（スワイプ）</t>
  </si>
  <si>
    <t>ターゲット防衛で敗北した時</t>
  </si>
  <si>
    <t>SSE_053_005</t>
  </si>
  <si>
    <t>グレーアウトのボタン押した音</t>
  </si>
  <si>
    <t>https://audiostock.jp/audio/1306229</t>
  </si>
  <si>
    <t>原画のかけら獲得音</t>
  </si>
  <si>
    <t>画面中央のクエストバナーをタップした時</t>
  </si>
  <si>
    <t>https://audiostock.jp/audio/890895</t>
  </si>
  <si>
    <t>※クエストの選択と難易度を決定した時</t>
  </si>
  <si>
    <t>初心者ミッション(2日目以降が解放される時)</t>
  </si>
  <si>
    <t>2つの音を鳴らす</t>
  </si>
  <si>
    <t>SSE_012_001
SSE_012_002</t>
  </si>
  <si>
    <t>氷結2</t>
  </si>
  <si>
    <t>https://audiostock.jp/audio/1096201</t>
  </si>
  <si>
    <t>氷結状態のキャラに攻撃が当たった時</t>
  </si>
  <si>
    <t>総攻撃の威力アップ2</t>
  </si>
  <si>
    <t>https://audiostock.jp/audio/209506</t>
  </si>
  <si>
    <t>暗闇コマが晴れた時</t>
  </si>
  <si>
    <t>https://audiostock.jp/audio/97542</t>
  </si>
  <si>
    <t>コマ効果</t>
  </si>
  <si>
    <t>風が吹いた時の音</t>
  </si>
  <si>
    <t>https://audiostock.jp/audio/898820</t>
  </si>
  <si>
    <t>変身2</t>
  </si>
  <si>
    <t>https://audiostock.jp/audio/1494016</t>
  </si>
  <si>
    <t>変身後、登場エフェクトの再生時</t>
  </si>
  <si>
    <t>亡骸ファントム2</t>
  </si>
  <si>
    <t>https://audiostock.jp/audio/1098306</t>
  </si>
  <si>
    <t>ゲート以外からのファントム出現1</t>
  </si>
  <si>
    <t>SSE_051_067</t>
  </si>
  <si>
    <t>ゲート以外からのファントム出現2</t>
  </si>
  <si>
    <t>https://audiostock.jp/audio/1167390</t>
  </si>
  <si>
    <t>根性2</t>
  </si>
  <si>
    <t>https://audiostock.jp/audio/1309115</t>
  </si>
  <si>
    <t>購入済み、FBでなしになった</t>
  </si>
  <si>
    <t>スペシャルキャラカットイン(シャキーン)2</t>
  </si>
  <si>
    <t>UR昇格時の音源</t>
  </si>
  <si>
    <t>SSE_072_006の尺が長い版</t>
  </si>
  <si>
    <t>ガチャ演出：audio_se_SSE_072_006のフェード</t>
  </si>
  <si>
    <t>◾️デザイナー追加</t>
  </si>
  <si>
    <t>ガチャ演出：audio_se_SSE_072_014のAttenuatio無効</t>
  </si>
  <si>
    <t>原画ノイズ演出</t>
  </si>
  <si>
    <t>https://audiostock.jp/audio/187801</t>
  </si>
  <si>
    <t>必殺ワザ演出用SE【高めのキラーン】</t>
  </si>
  <si>
    <t>https://audiostock.jp/audio/224294</t>
  </si>
  <si>
    <t>必殺ワザ演出用SE【風を切る音】</t>
  </si>
  <si>
    <t>https://audiostock.jp/audio/1403235</t>
  </si>
  <si>
    <t>必殺ワザ演出用SE【風を切る音（鋭利）】</t>
  </si>
  <si>
    <t>https://audiostock.jp/audio/1285317</t>
  </si>
  <si>
    <t>必殺ワザ演出用SE【金属的な打撃（ザシッ）】</t>
  </si>
  <si>
    <t>https://audiostock.jp/audio/1530743</t>
  </si>
  <si>
    <t>必殺ワザ演出用SE【水っぽい音】</t>
  </si>
  <si>
    <t>https://audiostock.jp/audio/122350</t>
  </si>
  <si>
    <t>必殺ワザ演出用SE【金属的なキシーン（高域）】</t>
  </si>
  <si>
    <t>https://audiostock.jp/audio/1402853</t>
  </si>
  <si>
    <t>必殺ワザ演出用SE【リバース風打撃】</t>
  </si>
  <si>
    <t>https://audiostock.jp/audio/1386974</t>
  </si>
  <si>
    <t>必殺ワザ演出用SE【金属的な斬撃】</t>
  </si>
  <si>
    <t>https://audiostock.jp/audio/889519</t>
  </si>
  <si>
    <t>DELIGHT：SSE_052_30125</t>
  </si>
  <si>
    <t>必殺ワザ演出用SE【金属的な打撃（響く余韻）】</t>
  </si>
  <si>
    <t>https://audiostock.jp/audio/1005501</t>
  </si>
  <si>
    <t>必殺ワザ演出用SE【炎に使えるゴウ（単発用）】</t>
  </si>
  <si>
    <t>https://audiostock.jp/audio/1391669</t>
  </si>
  <si>
    <t>必殺ワザ演出用SE【炎に使えるゴウ（長め）】</t>
  </si>
  <si>
    <t>https://audiostock.jp/audio/1399221</t>
  </si>
  <si>
    <t>必殺ワザ演出用SE【予備動作に使えるリバースシンバル】</t>
  </si>
  <si>
    <t>https://audiostock.jp/audio/182632</t>
  </si>
  <si>
    <t>必殺ワザ演出用SE【汎用的な低音】</t>
  </si>
  <si>
    <t>https://audiostock.jp/audio/1288802</t>
  </si>
  <si>
    <t>必殺ワザ演出用SE【発砲音】</t>
  </si>
  <si>
    <t>https://audiostock.jp/audio/158090</t>
  </si>
  <si>
    <t>必殺ワザ演出用SE【キラキラ音】</t>
  </si>
  <si>
    <t>https://audiostock.jp/audio/1179468</t>
  </si>
  <si>
    <t>ランクマッチTOP画面遷移時にランクアイコンが表示される時</t>
  </si>
  <si>
    <t>https://audiostock.jp/audio/1298219</t>
  </si>
  <si>
    <t>2025/7/7</t>
  </si>
  <si>
    <t>相手ゲートが撃破された時</t>
  </si>
  <si>
    <t>https://audiostock.jp/audio/1096781</t>
  </si>
  <si>
    <t>ゲージが拮抗している時</t>
  </si>
  <si>
    <t>https://audiostock.jp/audio/1637540</t>
  </si>
  <si>
    <t>WIN表示</t>
  </si>
  <si>
    <t>https://audiostock.jp/audio/68473</t>
  </si>
  <si>
    <t>LOSE表示</t>
  </si>
  <si>
    <t>https://audiostock.jp/audio/161528</t>
  </si>
  <si>
    <t>ランクが降格する時</t>
  </si>
  <si>
    <t>https://audiostock.jp/audio/251951</t>
  </si>
  <si>
    <t>※ブロンズ2→ブロンズ1など</t>
  </si>
  <si>
    <t>相手JUMBLE RUSH発動前アラート時</t>
  </si>
  <si>
    <t>https://audiostock.jp/audio/913119</t>
  </si>
  <si>
    <t>相手JUMBLE RUSH発動前アラート時2</t>
  </si>
  <si>
    <t>https://audiostock.jp/audio/1174667</t>
  </si>
  <si>
    <t>相手JUMBLE RUSH発動前アラート時3</t>
  </si>
  <si>
    <t>https://audiostock.jp/audio/255497</t>
  </si>
  <si>
    <t>相手JUMBLE RUSH発動失敗時</t>
  </si>
  <si>
    <t>https://audiostock.jp/audio/1012583</t>
  </si>
  <si>
    <t>オブジェクト配置</t>
  </si>
  <si>
    <t>https://audiostock.jp/audio/249527</t>
  </si>
  <si>
    <t>DELIGHT：SSE_052_30544</t>
  </si>
  <si>
    <t>発生するオブジェクトの個数に関わらずオブジェクトの配置1回に対してSEを1回鳴らす</t>
  </si>
  <si>
    <t>SEステータス</t>
  </si>
  <si>
    <t>BGM発注</t>
  </si>
  <si>
    <t>使用画面ID</t>
  </si>
  <si>
    <t>BGM・SEの購入フローはこちら</t>
  </si>
  <si>
    <t>未発注</t>
  </si>
  <si>
    <t>common_se</t>
  </si>
  <si>
    <t>見積り依頼中</t>
  </si>
  <si>
    <t>adv_se</t>
  </si>
  <si>
    <t>WF申請中</t>
  </si>
  <si>
    <t>cycle_se</t>
  </si>
  <si>
    <t>サイクル</t>
  </si>
  <si>
    <t>WF申請完了</t>
  </si>
  <si>
    <t>発注済</t>
  </si>
  <si>
    <t>battle_se</t>
  </si>
  <si>
    <t>欠番</t>
  </si>
  <si>
    <t>skill_se</t>
  </si>
  <si>
    <t>メインクエスト・ステージ</t>
  </si>
  <si>
    <t>ショップ</t>
  </si>
  <si>
    <t>法務関連ダイアログ</t>
  </si>
  <si>
    <t>年齢確認</t>
  </si>
  <si>
    <t>探索</t>
  </si>
  <si>
    <t>メニュー（ホーム画面）</t>
  </si>
  <si>
    <t>メニュー（タイトル画面）</t>
  </si>
  <si>
    <t>共通</t>
  </si>
  <si>
    <t>連携</t>
  </si>
  <si>
    <t>その他 / 非画面など</t>
  </si>
  <si>
    <t>デバッグメニュー</t>
  </si>
  <si>
    <t>セキュリティ</t>
  </si>
  <si>
    <t>追加検討内容</t>
  </si>
  <si>
    <t>ブラッシュアップ</t>
  </si>
  <si>
    <t>バッファ</t>
  </si>
  <si>
    <t>ノーマル敵専用アイコン_ID（無属性）</t>
  </si>
  <si>
    <t>ノーマル敵専用アイコン_ID（赤属性）</t>
  </si>
  <si>
    <t>ノーマル敵専用アイコン_ID（青属性）</t>
  </si>
  <si>
    <t>ノーマル敵専用アイコン_ID（緑属性）</t>
  </si>
  <si>
    <t>ノーマル敵専用アイコン_ID（黄属性）</t>
  </si>
  <si>
    <t>enemy_icon_chara_spy_00001</t>
  </si>
  <si>
    <t>ポチタ</t>
  </si>
  <si>
    <t>enemy_icon_chara_mag_00001</t>
  </si>
  <si>
    <t>enemy_icon_chara_mag_00101</t>
  </si>
  <si>
    <t>強敵（BOSS）専用アイコン_ID（無属性）</t>
  </si>
  <si>
    <t>強敵（BOSS）専用アイコン_ID（赤属性）</t>
  </si>
  <si>
    <t>強敵（BOSS）専用アイコン_ID（青属性）</t>
  </si>
  <si>
    <t>強敵（BOSS）専用アイコン_ID（緑属性）</t>
  </si>
  <si>
    <t>強敵（BOSS）専用アイコン_ID（黄属性）</t>
  </si>
  <si>
    <t>boss_icon_chara_mag_00001</t>
  </si>
  <si>
    <t>boss_icon_chara_mag_00101</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</si>
</sst>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MM/dd"/>
    <numFmt numFmtId="165" formatCode="yyyy-mm-dd h:mm:ss"/>
    <numFmt numFmtId="166" formatCode="yyyy/m/d h:mm:ss"/>
    <numFmt numFmtId="167" formatCode="yyyy/mm/dd h:mm:ss"/>
    <numFmt numFmtId="168" formatCode="&quot;¥&quot;#,##0.0"/>
    <numFmt numFmtId="169" formatCode="&quot;¥&quot;#,##0.00"/>
    <numFmt numFmtId="170" formatCode="&quot;¥&quot;#,##0.000"/>
    <numFmt numFmtId="171" formatCode="yyyy/m/d"/>
    <numFmt numFmtId="172" formatCode="[$¥-411]#,##0"/>
    <numFmt numFmtId="173" formatCode="000"/>
  </numFmts>
  <fonts count="90">
    <font>
      <sz val="10.0"/>
      <color rgb="FF000000"/>
      <name val="Arial"/>
      <scheme val="minor"/>
    </font>
    <font>
      <sz val="8.0"/>
      <color theme="1"/>
      <name val="Arial"/>
      <scheme val="minor"/>
    </font>
    <font>
      <b/>
      <sz val="8.0"/>
      <color theme="1"/>
      <name val="Arial"/>
    </font>
    <font>
      <sz val="8.0"/>
      <color theme="1"/>
      <name val="Arial"/>
    </font>
    <font>
      <b/>
      <sz val="8.0"/>
      <color rgb="FFFF0000"/>
      <name val="Arial"/>
    </font>
    <font>
      <b/>
      <sz val="8.0"/>
      <color rgb="FF000000"/>
      <name val="Arial"/>
    </font>
    <font>
      <color theme="1"/>
      <name val="Arial"/>
      <scheme val="minor"/>
    </font>
    <font>
      <color theme="1"/>
      <name val="Arial"/>
    </font>
    <font>
      <sz val="8.0"/>
      <color rgb="FF000000"/>
      <name val="Arial"/>
    </font>
    <font>
      <sz val="8.0"/>
      <color rgb="FFFF0000"/>
      <name val="Arial"/>
    </font>
    <font>
      <b/>
      <color theme="1"/>
      <name val="Arial"/>
      <scheme val="minor"/>
    </font>
    <font/>
    <font>
      <sz val="8.0"/>
      <color rgb="FF000000"/>
      <name val="Arial"/>
      <scheme val="minor"/>
    </font>
    <font>
      <sz val="8.0"/>
      <color rgb="FF0000FF"/>
      <name val="Arial"/>
    </font>
    <font>
      <sz val="10.0"/>
      <color rgb="FF000000"/>
      <name val="Arial"/>
    </font>
    <font>
      <u/>
      <sz val="8.0"/>
      <color rgb="FF000000"/>
      <name val="Arial"/>
    </font>
    <font>
      <sz val="10.0"/>
      <color theme="1"/>
      <name val="Arial"/>
      <scheme val="minor"/>
    </font>
    <font>
      <sz val="10.0"/>
      <color theme="1"/>
      <name val="Arial"/>
    </font>
    <font>
      <b/>
      <sz val="10.0"/>
      <color rgb="FFFF0000"/>
      <name val="Arial"/>
    </font>
    <font>
      <b/>
      <sz val="20.0"/>
      <color rgb="FFFFFFFF"/>
      <name val="Arial"/>
    </font>
    <font>
      <u/>
      <sz val="8.0"/>
      <color rgb="FF0000FF"/>
      <name val="Arial"/>
    </font>
    <font>
      <b/>
      <sz val="8.0"/>
      <color rgb="FFFF0000"/>
      <name val="Arial"/>
      <scheme val="minor"/>
    </font>
    <font>
      <sz val="8.0"/>
      <color rgb="FFFF0000"/>
      <name val="Arial"/>
      <scheme val="minor"/>
    </font>
    <font>
      <b/>
      <color rgb="FFFFFFFF"/>
      <name val="Arial"/>
      <scheme val="minor"/>
    </font>
    <font>
      <sz val="9.0"/>
      <color theme="1"/>
      <name val="Arial"/>
      <scheme val="minor"/>
    </font>
    <font>
      <b/>
      <sz val="8.0"/>
      <color rgb="FFFFFFFF"/>
      <name val="Arial"/>
    </font>
    <font>
      <b/>
      <sz val="8.0"/>
      <color theme="1"/>
      <name val="Arial"/>
      <scheme val="minor"/>
    </font>
    <font>
      <sz val="8.0"/>
      <color rgb="FFFFFFFF"/>
      <name val="Arial"/>
    </font>
    <font>
      <b/>
      <u/>
      <sz val="8.0"/>
      <color rgb="FF0000FF"/>
      <name val="Arial"/>
    </font>
    <font>
      <color rgb="FFFFFFFF"/>
      <name val="Arial"/>
      <scheme val="minor"/>
    </font>
    <font>
      <sz val="8.0"/>
      <color rgb="FF1F1F1F"/>
      <name val="Arial"/>
      <scheme val="minor"/>
    </font>
    <font>
      <u/>
      <sz val="8.0"/>
      <color rgb="FF0000FF"/>
    </font>
    <font>
      <u/>
      <sz val="8.0"/>
      <color rgb="FF0000FF"/>
      <name val="Arial"/>
    </font>
    <font>
      <u/>
      <sz val="8.0"/>
      <color rgb="FF0000FF"/>
    </font>
    <font>
      <u/>
      <sz val="8.0"/>
      <color theme="1"/>
      <name val="Arial"/>
    </font>
    <font>
      <b/>
      <sz val="10.0"/>
      <color rgb="FF000000"/>
      <name val="Arial"/>
    </font>
    <font>
      <u/>
      <sz val="8.0"/>
      <color rgb="FF1155CC"/>
      <name val="Arial"/>
    </font>
    <font>
      <b/>
      <sz val="10.0"/>
      <color rgb="FF000000"/>
      <name val="Arial"/>
      <scheme val="minor"/>
    </font>
    <font>
      <u/>
      <sz val="8.0"/>
      <color rgb="FF1155CC"/>
    </font>
    <font>
      <u/>
      <sz val="8.0"/>
      <color rgb="FF1155CC"/>
    </font>
    <font>
      <u/>
      <sz val="8.0"/>
      <color rgb="FF1155CC"/>
      <name val="Arial"/>
    </font>
    <font>
      <u/>
      <sz val="8.0"/>
      <color rgb="FF1155CC"/>
      <name val="Arial"/>
    </font>
    <font>
      <u/>
      <sz val="8.0"/>
      <color rgb="FF0000FF"/>
      <name val="Arial"/>
    </font>
    <font>
      <u/>
      <sz val="8.0"/>
      <color rgb="FF1155CC"/>
      <name val="Arial"/>
    </font>
    <font>
      <u/>
      <sz val="8.0"/>
      <color rgb="FF1155CC"/>
      <name val="Arial"/>
    </font>
    <font>
      <u/>
      <sz val="8.0"/>
      <color rgb="FF0000FF"/>
      <name val="Arial"/>
    </font>
    <font>
      <u/>
      <sz val="8.0"/>
      <color rgb="FF1155CC"/>
    </font>
    <font>
      <u/>
      <sz val="8.0"/>
      <color rgb="FF0000FF"/>
      <name val="Arial"/>
    </font>
    <font>
      <u/>
      <sz val="8.0"/>
      <color rgb="FF1155CC"/>
      <name val="Arial"/>
    </font>
    <font>
      <u/>
      <sz val="8.0"/>
      <color rgb="FF1155CC"/>
      <name val="Arial"/>
    </font>
    <font>
      <u/>
      <sz val="8.0"/>
      <color rgb="FF1155CC"/>
      <name val="Arial"/>
    </font>
    <font>
      <u/>
      <sz val="8.0"/>
      <color rgb="FF000000"/>
      <name val="Arial"/>
    </font>
    <font>
      <u/>
      <sz val="8.0"/>
      <color rgb="FF000000"/>
      <name val="Arial"/>
    </font>
    <font>
      <u/>
      <sz val="8.0"/>
      <color rgb="FF1155CC"/>
      <name val="Arial"/>
    </font>
    <font>
      <u/>
      <sz val="8.0"/>
      <color rgb="FF000000"/>
      <name val="Arial"/>
    </font>
    <font>
      <u/>
      <sz val="8.0"/>
      <color rgb="FF0000FF"/>
      <name val="Arial"/>
    </font>
    <font>
      <u/>
      <sz val="8.0"/>
      <color rgb="FF000000"/>
      <name val="Arial"/>
    </font>
    <font>
      <u/>
      <sz val="8.0"/>
      <color rgb="FF1155CC"/>
      <name val="Arial"/>
    </font>
    <font>
      <u/>
      <sz val="8.0"/>
      <color rgb="FF0000FF"/>
    </font>
    <font>
      <u/>
      <sz val="8.0"/>
      <color rgb="FF1155CC"/>
      <name val="Arial"/>
    </font>
    <font>
      <u/>
      <sz val="8.0"/>
      <color rgb="FF1155CC"/>
      <name val="Arial"/>
    </font>
    <font>
      <u/>
      <sz val="8.0"/>
      <color rgb="FF1155CC"/>
      <name val="Arial"/>
    </font>
    <font>
      <u/>
      <sz val="8.0"/>
      <color rgb="FF1155CC"/>
      <name val="Arial"/>
    </font>
    <font>
      <u/>
      <sz val="8.0"/>
      <color rgb="FF1155CC"/>
      <name val="Arial"/>
    </font>
    <font>
      <u/>
      <sz val="8.0"/>
      <color rgb="FF1155CC"/>
      <name val="Arial"/>
      <scheme val="minor"/>
    </font>
    <font>
      <u/>
      <sz val="8.0"/>
      <color rgb="FF1155CC"/>
      <name val="Arial"/>
    </font>
    <font>
      <u/>
      <sz val="8.0"/>
      <color rgb="FF1155CC"/>
      <name val="Arial"/>
    </font>
    <font>
      <u/>
      <sz val="8.0"/>
      <color rgb="FF1155CC"/>
      <name val="Arial"/>
    </font>
    <font>
      <u/>
      <sz val="8.0"/>
      <color rgb="FF1155CC"/>
      <name val="Arial"/>
    </font>
    <font>
      <u/>
      <sz val="8.0"/>
      <color rgb="FF1155CC"/>
      <name val="Arial"/>
    </font>
    <font>
      <u/>
      <sz val="8.0"/>
      <color rgb="FF1155CC"/>
      <name val="Arial"/>
    </font>
    <font>
      <color rgb="FF000000"/>
      <name val="Arial"/>
    </font>
    <font>
      <u/>
      <color rgb="FF1155CC"/>
      <name val="Arial"/>
    </font>
    <font>
      <u/>
      <color rgb="FF1155CC"/>
      <name val="Arial"/>
    </font>
    <font>
      <u/>
      <color rgb="FF1155CC"/>
      <name val="Arial"/>
    </font>
    <font>
      <color rgb="FF000000"/>
      <name val="Arial"/>
      <scheme val="minor"/>
    </font>
    <font>
      <u/>
      <color rgb="FF1155CC"/>
      <name val="Arial"/>
      <scheme val="minor"/>
    </font>
    <font>
      <u/>
      <sz val="8.0"/>
      <color rgb="FF1155CC"/>
      <name val="Arial"/>
    </font>
    <font>
      <u/>
      <color rgb="FF1155CC"/>
      <name val="Arial"/>
    </font>
    <font>
      <u/>
      <color rgb="FF1155CC"/>
      <name val="Arial"/>
      <scheme val="minor"/>
    </font>
    <font>
      <u/>
      <color rgb="FF1155CC"/>
      <name val="Arial"/>
    </font>
    <font>
      <u/>
      <color rgb="FF1155CC"/>
      <name val="Arial"/>
    </font>
    <font>
      <u/>
      <color rgb="FF1155CC"/>
      <name val="Arial"/>
      <scheme val="minor"/>
    </font>
    <font>
      <u/>
      <sz val="8.0"/>
      <color rgb="FF1155CC"/>
      <name val="Arial"/>
    </font>
    <font>
      <strike/>
      <sz val="8.0"/>
      <color rgb="FF000000"/>
      <name val="Arial"/>
    </font>
    <font>
      <u/>
      <sz val="8.0"/>
      <color rgb="FF1155CC"/>
      <name val="Arial"/>
    </font>
    <font>
      <u/>
      <sz val="8.0"/>
      <color rgb="FF1155CC"/>
      <name val="Arial"/>
    </font>
    <font>
      <u/>
      <sz val="8.0"/>
      <color rgb="FF1155CC"/>
      <name val="Arial"/>
    </font>
    <font>
      <u/>
      <sz val="8.0"/>
      <color rgb="FF1155CC"/>
      <name val="Arial"/>
    </font>
    <font>
      <u/>
      <sz val="8.0"/>
      <color rgb="FF0000FF"/>
    </font>
  </fonts>
  <fills count="23">
    <fill>
      <patternFill patternType="none"/>
    </fill>
    <fill>
      <patternFill patternType="lightGray"/>
    </fill>
    <fill>
      <patternFill patternType="solid">
        <fgColor rgb="FFD9D9D9"/>
        <bgColor rgb="FFD9D9D9"/>
      </patternFill>
    </fill>
    <fill>
      <patternFill patternType="solid">
        <fgColor rgb="FFC9DAF8"/>
        <bgColor rgb="FFC9DAF8"/>
      </patternFill>
    </fill>
    <fill>
      <patternFill patternType="solid">
        <fgColor rgb="FFB7B7B7"/>
        <bgColor rgb="FFB7B7B7"/>
      </patternFill>
    </fill>
    <fill>
      <patternFill patternType="solid">
        <fgColor rgb="FFCCCCCC"/>
        <bgColor rgb="FFCCCCCC"/>
      </patternFill>
    </fill>
    <fill>
      <patternFill patternType="solid">
        <fgColor rgb="FFCFE2F3"/>
        <bgColor rgb="FFCFE2F3"/>
      </patternFill>
    </fill>
    <fill>
      <patternFill patternType="solid">
        <fgColor rgb="FFFFFF00"/>
        <bgColor rgb="FFFFFF00"/>
      </patternFill>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D9D2E9"/>
        <bgColor rgb="FFD9D2E9"/>
      </patternFill>
    </fill>
    <fill>
      <patternFill patternType="solid">
        <fgColor theme="0"/>
        <bgColor theme="0"/>
      </patternFill>
    </fill>
    <fill>
      <patternFill patternType="solid">
        <fgColor rgb="FF000000"/>
        <bgColor rgb="FF000000"/>
      </patternFill>
    </fill>
    <fill>
      <patternFill patternType="solid">
        <fgColor rgb="FF999999"/>
        <bgColor rgb="FF999999"/>
      </patternFill>
    </fill>
    <fill>
      <patternFill patternType="solid">
        <fgColor rgb="FF666666"/>
        <bgColor rgb="FF666666"/>
      </patternFill>
    </fill>
    <fill>
      <patternFill patternType="solid">
        <fgColor rgb="FFEAD1DC"/>
        <bgColor rgb="FFEAD1DC"/>
      </patternFill>
    </fill>
    <fill>
      <patternFill patternType="solid">
        <fgColor rgb="FFC5D9F1"/>
        <bgColor rgb="FFC5D9F1"/>
      </patternFill>
    </fill>
    <fill>
      <patternFill patternType="solid">
        <fgColor rgb="FFF9CB9C"/>
        <bgColor rgb="FFF9CB9C"/>
      </patternFill>
    </fill>
    <fill>
      <patternFill patternType="solid">
        <fgColor rgb="FF1C4587"/>
        <bgColor rgb="FF1C4587"/>
      </patternFill>
    </fill>
  </fills>
  <borders count="49">
    <border/>
    <border>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FF0000"/>
      </bottom>
    </border>
    <border>
      <right style="thin">
        <color rgb="FF000000"/>
      </right>
      <bottom style="thin">
        <color rgb="FFFF0000"/>
      </bottom>
    </border>
    <border>
      <right style="thin">
        <color rgb="FF000000"/>
      </right>
      <top style="thin">
        <color rgb="FF000000"/>
      </top>
      <bottom style="thin">
        <color rgb="FFFF0000"/>
      </bottom>
    </border>
    <border>
      <bottom style="thin">
        <color rgb="FFFF0000"/>
      </bottom>
    </border>
    <border>
      <left style="thin">
        <color rgb="FF000000"/>
      </left>
      <right style="thin">
        <color rgb="FF000000"/>
      </right>
      <bottom style="thin">
        <color rgb="FFFF0000"/>
      </bottom>
    </border>
    <border>
      <left style="thin">
        <color rgb="FF000000"/>
      </left>
      <right style="thin">
        <color rgb="FF000000"/>
      </right>
      <top style="thin">
        <color rgb="FFFF0000"/>
      </top>
      <bottom style="thin">
        <color rgb="FFFF0000"/>
      </bottom>
    </border>
    <border>
      <right style="thin">
        <color rgb="FF000000"/>
      </right>
      <top style="thin">
        <color rgb="FFFF0000"/>
      </top>
      <bottom style="thin">
        <color rgb="FFFF0000"/>
      </bottom>
    </border>
    <border>
      <top style="thin">
        <color rgb="FFFF0000"/>
      </top>
      <bottom style="thin">
        <color rgb="FFFF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medium">
        <color rgb="FF000000"/>
      </bottom>
    </border>
    <border>
      <right style="medium">
        <color rgb="FF000000"/>
      </right>
      <bottom style="medium">
        <color rgb="FF000000"/>
      </bottom>
    </border>
    <border>
      <left style="medium">
        <color rgb="FF000000"/>
      </left>
      <right style="thin">
        <color rgb="FF000000"/>
      </right>
      <top style="thin">
        <color rgb="FF000000"/>
      </top>
    </border>
    <border>
      <right style="medium">
        <color rgb="FF000000"/>
      </right>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top style="thin">
        <color rgb="FF000000"/>
      </top>
    </border>
    <border>
      <right style="thin">
        <color rgb="FF000000"/>
      </right>
      <bottom style="dotted">
        <color rgb="FF000000"/>
      </bottom>
    </border>
    <border>
      <right style="thin">
        <color rgb="FF000000"/>
      </right>
      <top style="thin">
        <color rgb="FF000000"/>
      </top>
      <bottom style="dotted">
        <color rgb="FF000000"/>
      </bottom>
    </border>
    <border>
      <left style="thin">
        <color rgb="FF000000"/>
      </left>
      <right style="thin">
        <color rgb="FF000000"/>
      </right>
      <top style="thin">
        <color rgb="FF000000"/>
      </top>
      <bottom style="dotted">
        <color rgb="FF000000"/>
      </bottom>
    </border>
    <border>
      <right style="thin">
        <color rgb="FF000000"/>
      </right>
      <top style="dotted">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right style="thin">
        <color rgb="FF000000"/>
      </right>
      <top style="dotted">
        <color rgb="FF000000"/>
      </top>
      <bottom style="thin">
        <color rgb="FF000000"/>
      </bottom>
    </border>
    <border>
      <left style="thin">
        <color rgb="FF000000"/>
      </left>
      <top style="thin">
        <color rgb="FF000000"/>
      </top>
    </border>
    <border>
      <left style="thin">
        <color rgb="FF000000"/>
      </left>
    </border>
    <border>
      <left style="thin">
        <color rgb="FF000000"/>
      </left>
      <right style="thin">
        <color rgb="FF000000"/>
      </right>
    </border>
    <border>
      <left style="thin">
        <color rgb="FF000000"/>
      </left>
      <bottom style="thin">
        <color rgb="FF000000"/>
      </bottom>
    </border>
    <border>
      <left style="thin">
        <color rgb="FF000000"/>
      </left>
      <right style="thin">
        <color rgb="FF000000"/>
      </right>
      <top style="thin">
        <color rgb="FF000000"/>
      </top>
      <bottom style="double">
        <color rgb="FF000000"/>
      </bottom>
    </border>
    <border>
      <left style="thin">
        <color rgb="FF000000"/>
      </left>
      <right style="thin">
        <color rgb="FF000000"/>
      </right>
      <bottom style="double">
        <color rgb="FF000000"/>
      </bottom>
    </border>
  </borders>
  <cellStyleXfs count="1">
    <xf borderId="0" fillId="0" fontId="0" numFmtId="0" applyAlignment="1" applyFont="1"/>
  </cellStyleXfs>
  <cellXfs count="1150">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bottom" wrapText="0"/>
    </xf>
    <xf borderId="0" fillId="0" fontId="3" numFmtId="0" xfId="0" applyAlignment="1" applyFont="1">
      <alignment vertical="bottom"/>
    </xf>
    <xf borderId="1" fillId="0" fontId="4" numFmtId="0" xfId="0" applyAlignment="1" applyBorder="1" applyFont="1">
      <alignment readingOrder="0" vertical="bottom"/>
    </xf>
    <xf borderId="1" fillId="0" fontId="3" numFmtId="0" xfId="0" applyAlignment="1" applyBorder="1" applyFont="1">
      <alignment vertical="bottom"/>
    </xf>
    <xf borderId="0" fillId="0" fontId="3" numFmtId="0" xfId="0" applyFont="1"/>
    <xf borderId="2" fillId="0" fontId="3" numFmtId="0" xfId="0" applyBorder="1" applyFont="1"/>
    <xf borderId="3" fillId="2" fontId="3" numFmtId="0" xfId="0" applyAlignment="1" applyBorder="1" applyFill="1" applyFont="1">
      <alignment readingOrder="0"/>
    </xf>
    <xf borderId="3" fillId="2" fontId="3" numFmtId="0" xfId="0" applyBorder="1" applyFont="1"/>
    <xf borderId="3" fillId="0" fontId="3" numFmtId="0" xfId="0" applyBorder="1" applyFont="1"/>
    <xf borderId="3" fillId="0" fontId="3" numFmtId="0" xfId="0" applyAlignment="1" applyBorder="1" applyFont="1">
      <alignment readingOrder="0"/>
    </xf>
    <xf borderId="3" fillId="0" fontId="3" numFmtId="0" xfId="0" applyAlignment="1" applyBorder="1" applyFont="1">
      <alignment readingOrder="0"/>
    </xf>
    <xf borderId="3" fillId="0" fontId="3" numFmtId="0" xfId="0" applyAlignment="1" applyBorder="1" applyFont="1">
      <alignment readingOrder="0" vertical="bottom"/>
    </xf>
    <xf borderId="4" fillId="3" fontId="5" numFmtId="0" xfId="0" applyAlignment="1" applyBorder="1" applyFill="1" applyFont="1">
      <alignment horizontal="center" readingOrder="0"/>
    </xf>
    <xf borderId="5" fillId="3" fontId="5" numFmtId="0" xfId="0" applyAlignment="1" applyBorder="1" applyFont="1">
      <alignment horizontal="center" readingOrder="0"/>
    </xf>
    <xf borderId="5" fillId="3" fontId="5" numFmtId="0" xfId="0" applyAlignment="1" applyBorder="1" applyFont="1">
      <alignment horizontal="center"/>
    </xf>
    <xf borderId="5" fillId="3" fontId="2" numFmtId="0" xfId="0" applyAlignment="1" applyBorder="1" applyFont="1">
      <alignment horizontal="center"/>
    </xf>
    <xf borderId="5" fillId="3" fontId="5" numFmtId="49" xfId="0" applyAlignment="1" applyBorder="1" applyFont="1" applyNumberFormat="1">
      <alignment horizontal="center"/>
    </xf>
    <xf borderId="1" fillId="3" fontId="2" numFmtId="0" xfId="0" applyAlignment="1" applyBorder="1" applyFont="1">
      <alignment horizontal="center"/>
    </xf>
    <xf borderId="3" fillId="3" fontId="2" numFmtId="0" xfId="0" applyAlignment="1" applyBorder="1" applyFont="1">
      <alignment horizontal="center"/>
    </xf>
    <xf borderId="3" fillId="3" fontId="2" numFmtId="0" xfId="0" applyAlignment="1" applyBorder="1" applyFont="1">
      <alignment horizontal="center" readingOrder="0"/>
    </xf>
    <xf borderId="5" fillId="3" fontId="2" numFmtId="0" xfId="0" applyAlignment="1" applyBorder="1" applyFont="1">
      <alignment horizontal="center" readingOrder="0"/>
    </xf>
    <xf borderId="0" fillId="0" fontId="6" numFmtId="0" xfId="0" applyAlignment="1" applyFont="1">
      <alignment horizontal="center"/>
    </xf>
    <xf borderId="3" fillId="0" fontId="3" numFmtId="0" xfId="0" applyAlignment="1" applyBorder="1" applyFont="1">
      <alignment horizontal="center"/>
    </xf>
    <xf borderId="3" fillId="0" fontId="3" numFmtId="0" xfId="0" applyAlignment="1" applyBorder="1" applyFont="1">
      <alignment horizontal="center" readingOrder="0"/>
    </xf>
    <xf borderId="3" fillId="4" fontId="3" numFmtId="0" xfId="0" applyAlignment="1" applyBorder="1" applyFill="1" applyFont="1">
      <alignment horizontal="center" readingOrder="0"/>
    </xf>
    <xf borderId="3" fillId="0" fontId="7" numFmtId="0" xfId="0" applyAlignment="1" applyBorder="1" applyFont="1">
      <alignment horizontal="center" readingOrder="0"/>
    </xf>
    <xf borderId="3" fillId="0" fontId="3" numFmtId="49" xfId="0" applyAlignment="1" applyBorder="1" applyFont="1" applyNumberFormat="1">
      <alignment horizontal="center" readingOrder="0"/>
    </xf>
    <xf borderId="3" fillId="5" fontId="3" numFmtId="0" xfId="0" applyAlignment="1" applyBorder="1" applyFill="1" applyFont="1">
      <alignment horizontal="center" readingOrder="0"/>
    </xf>
    <xf borderId="3" fillId="0" fontId="7" numFmtId="0" xfId="0" applyAlignment="1" applyBorder="1" applyFont="1">
      <alignment horizontal="center"/>
    </xf>
    <xf borderId="3" fillId="0" fontId="1" numFmtId="0" xfId="0" applyAlignment="1" applyBorder="1" applyFont="1">
      <alignment horizontal="center" readingOrder="0"/>
    </xf>
    <xf borderId="3" fillId="4" fontId="1" numFmtId="0" xfId="0" applyAlignment="1" applyBorder="1" applyFont="1">
      <alignment horizontal="center" readingOrder="0"/>
    </xf>
    <xf borderId="4" fillId="0" fontId="1" numFmtId="0" xfId="0" applyAlignment="1" applyBorder="1" applyFont="1">
      <alignment horizontal="center" readingOrder="0"/>
    </xf>
    <xf borderId="3" fillId="0" fontId="8" numFmtId="0" xfId="0" applyAlignment="1" applyBorder="1" applyFont="1">
      <alignment horizontal="center" readingOrder="0"/>
    </xf>
    <xf borderId="0" fillId="0" fontId="6" numFmtId="49" xfId="0" applyAlignment="1" applyFont="1" applyNumberFormat="1">
      <alignment horizontal="center"/>
    </xf>
    <xf borderId="0" fillId="0" fontId="6" numFmtId="0" xfId="0" applyAlignment="1" applyFont="1">
      <alignment horizontal="left" readingOrder="0"/>
    </xf>
    <xf borderId="4" fillId="6" fontId="5" numFmtId="0" xfId="0" applyAlignment="1" applyBorder="1" applyFill="1" applyFont="1">
      <alignment horizontal="center" readingOrder="0" vertical="center"/>
    </xf>
    <xf borderId="5" fillId="6" fontId="5" numFmtId="0" xfId="0" applyAlignment="1" applyBorder="1" applyFont="1">
      <alignment horizontal="center" readingOrder="0" vertical="center"/>
    </xf>
    <xf borderId="5" fillId="6" fontId="5" numFmtId="49" xfId="0" applyAlignment="1" applyBorder="1" applyFont="1" applyNumberFormat="1">
      <alignment horizontal="center" readingOrder="0" vertical="center"/>
    </xf>
    <xf borderId="5" fillId="2" fontId="2" numFmtId="0" xfId="0" applyAlignment="1" applyBorder="1" applyFont="1">
      <alignment horizontal="center" readingOrder="0" vertical="center"/>
    </xf>
    <xf borderId="5" fillId="7" fontId="2" numFmtId="0" xfId="0" applyAlignment="1" applyBorder="1" applyFill="1" applyFont="1">
      <alignment horizontal="center" readingOrder="0" vertical="center"/>
    </xf>
    <xf borderId="5" fillId="6" fontId="5" numFmtId="164" xfId="0" applyAlignment="1" applyBorder="1" applyFont="1" applyNumberFormat="1">
      <alignment horizontal="center" vertical="center"/>
    </xf>
    <xf borderId="5" fillId="6" fontId="5" numFmtId="0" xfId="0" applyAlignment="1" applyBorder="1" applyFont="1">
      <alignment horizontal="center" vertical="center"/>
    </xf>
    <xf borderId="3" fillId="0" fontId="3" numFmtId="0" xfId="0" applyAlignment="1" applyBorder="1" applyFont="1">
      <alignment horizontal="center" vertical="center"/>
    </xf>
    <xf borderId="4" fillId="0" fontId="8" numFmtId="0" xfId="0" applyAlignment="1" applyBorder="1" applyFont="1">
      <alignment horizontal="center" readingOrder="0" vertical="center"/>
    </xf>
    <xf borderId="4" fillId="0" fontId="8" numFmtId="49" xfId="0" applyAlignment="1" applyBorder="1" applyFont="1" applyNumberFormat="1">
      <alignment horizontal="center" readingOrder="0" vertical="center"/>
    </xf>
    <xf borderId="4" fillId="8" fontId="3" numFmtId="0" xfId="0" applyAlignment="1" applyBorder="1" applyFill="1" applyFont="1">
      <alignment horizontal="center" readingOrder="0" shrinkToFit="0" vertical="center" wrapText="1"/>
    </xf>
    <xf borderId="4" fillId="0" fontId="8" numFmtId="0" xfId="0" applyAlignment="1" applyBorder="1" applyFont="1">
      <alignment horizontal="center" readingOrder="0" shrinkToFit="0" vertical="center" wrapText="1"/>
    </xf>
    <xf borderId="4" fillId="9" fontId="3" numFmtId="165" xfId="0" applyAlignment="1" applyBorder="1" applyFill="1" applyFont="1" applyNumberFormat="1">
      <alignment horizontal="center" readingOrder="0" vertical="center"/>
    </xf>
    <xf borderId="4" fillId="9" fontId="3" numFmtId="165" xfId="0" applyAlignment="1" applyBorder="1" applyFont="1" applyNumberFormat="1">
      <alignment horizontal="center" vertical="center"/>
    </xf>
    <xf borderId="3" fillId="0" fontId="8" numFmtId="0" xfId="0" applyAlignment="1" applyBorder="1" applyFont="1">
      <alignment horizontal="center" vertical="center"/>
    </xf>
    <xf borderId="4" fillId="0" fontId="8" numFmtId="0" xfId="0" applyAlignment="1" applyBorder="1" applyFont="1">
      <alignment horizontal="center" vertical="center"/>
    </xf>
    <xf borderId="4" fillId="0" fontId="1" numFmtId="0" xfId="0" applyAlignment="1" applyBorder="1" applyFont="1">
      <alignment horizontal="center" readingOrder="0" vertical="center"/>
    </xf>
    <xf borderId="4" fillId="0" fontId="6" numFmtId="0" xfId="0" applyAlignment="1" applyBorder="1" applyFont="1">
      <alignment horizontal="center" vertical="center"/>
    </xf>
    <xf borderId="3" fillId="0" fontId="3" numFmtId="0" xfId="0" applyAlignment="1" applyBorder="1" applyFont="1">
      <alignment horizontal="center" readingOrder="0" vertical="center"/>
    </xf>
    <xf borderId="0" fillId="0" fontId="6" numFmtId="0" xfId="0" applyAlignment="1" applyFont="1">
      <alignment horizontal="center" vertical="center"/>
    </xf>
    <xf borderId="4" fillId="8" fontId="8" numFmtId="49" xfId="0" applyAlignment="1" applyBorder="1" applyFont="1" applyNumberFormat="1">
      <alignment horizontal="center" readingOrder="0" vertical="center"/>
    </xf>
    <xf borderId="4" fillId="9" fontId="3" numFmtId="0" xfId="0" applyAlignment="1" applyBorder="1" applyFont="1">
      <alignment horizontal="center" readingOrder="0" vertical="center"/>
    </xf>
    <xf borderId="3" fillId="0" fontId="8" numFmtId="0" xfId="0" applyAlignment="1" applyBorder="1" applyFont="1">
      <alignment horizontal="center" readingOrder="0" vertical="center"/>
    </xf>
    <xf borderId="4" fillId="0" fontId="8" numFmtId="0" xfId="0" applyAlignment="1" applyBorder="1" applyFont="1">
      <alignment horizontal="left" readingOrder="0" vertical="center"/>
    </xf>
    <xf borderId="6" fillId="0" fontId="3" numFmtId="0" xfId="0" applyAlignment="1" applyBorder="1" applyFont="1">
      <alignment horizontal="center" readingOrder="0" vertical="center"/>
    </xf>
    <xf borderId="7" fillId="0" fontId="8" numFmtId="0" xfId="0" applyAlignment="1" applyBorder="1" applyFont="1">
      <alignment horizontal="center" readingOrder="0" vertical="center"/>
    </xf>
    <xf borderId="7" fillId="8" fontId="8" numFmtId="49" xfId="0" applyAlignment="1" applyBorder="1" applyFont="1" applyNumberFormat="1">
      <alignment horizontal="center" readingOrder="0" vertical="center"/>
    </xf>
    <xf borderId="7" fillId="8" fontId="3" numFmtId="0" xfId="0" applyAlignment="1" applyBorder="1" applyFont="1">
      <alignment horizontal="center" readingOrder="0" shrinkToFit="0" vertical="center" wrapText="1"/>
    </xf>
    <xf borderId="7" fillId="9" fontId="3" numFmtId="0" xfId="0" applyAlignment="1" applyBorder="1" applyFont="1">
      <alignment horizontal="center" readingOrder="0" vertical="center"/>
    </xf>
    <xf borderId="6" fillId="0" fontId="8" numFmtId="0" xfId="0" applyAlignment="1" applyBorder="1" applyFont="1">
      <alignment horizontal="center" readingOrder="0" vertical="center"/>
    </xf>
    <xf borderId="7" fillId="9" fontId="3" numFmtId="165" xfId="0" applyAlignment="1" applyBorder="1" applyFont="1" applyNumberFormat="1">
      <alignment horizontal="center" readingOrder="0" vertical="center"/>
    </xf>
    <xf borderId="7" fillId="9" fontId="3" numFmtId="165" xfId="0" applyAlignment="1" applyBorder="1" applyFont="1" applyNumberFormat="1">
      <alignment horizontal="center" vertical="center"/>
    </xf>
    <xf borderId="6" fillId="0" fontId="8" numFmtId="0" xfId="0" applyAlignment="1" applyBorder="1" applyFont="1">
      <alignment horizontal="center" vertical="center"/>
    </xf>
    <xf borderId="7" fillId="0" fontId="9" numFmtId="0" xfId="0" applyAlignment="1" applyBorder="1" applyFont="1">
      <alignment horizontal="left" readingOrder="0" vertical="center"/>
    </xf>
    <xf borderId="8" fillId="0" fontId="8" numFmtId="0" xfId="0" applyAlignment="1" applyBorder="1" applyFont="1">
      <alignment horizontal="center" readingOrder="0" vertical="center"/>
    </xf>
    <xf borderId="8" fillId="8" fontId="8" numFmtId="49" xfId="0" applyAlignment="1" applyBorder="1" applyFont="1" applyNumberFormat="1">
      <alignment horizontal="center" readingOrder="0" vertical="center"/>
    </xf>
    <xf borderId="8" fillId="8" fontId="3" numFmtId="0" xfId="0" applyAlignment="1" applyBorder="1" applyFont="1">
      <alignment horizontal="center" readingOrder="0" shrinkToFit="0" vertical="center" wrapText="1"/>
    </xf>
    <xf borderId="8" fillId="9" fontId="3" numFmtId="0" xfId="0" applyAlignment="1" applyBorder="1" applyFont="1">
      <alignment horizontal="center" readingOrder="0" vertical="center"/>
    </xf>
    <xf borderId="8" fillId="9" fontId="3" numFmtId="165" xfId="0" applyAlignment="1" applyBorder="1" applyFont="1" applyNumberFormat="1">
      <alignment horizontal="center" readingOrder="0" vertical="center"/>
    </xf>
    <xf borderId="8" fillId="9" fontId="3" numFmtId="165" xfId="0" applyAlignment="1" applyBorder="1" applyFont="1" applyNumberFormat="1">
      <alignment horizontal="center" vertical="center"/>
    </xf>
    <xf borderId="8" fillId="0" fontId="9" numFmtId="0" xfId="0" applyAlignment="1" applyBorder="1" applyFont="1">
      <alignment horizontal="left" readingOrder="0" vertical="center"/>
    </xf>
    <xf borderId="4" fillId="8" fontId="1" numFmtId="0" xfId="0" applyAlignment="1" applyBorder="1" applyFont="1">
      <alignment horizontal="center" readingOrder="0" vertical="center"/>
    </xf>
    <xf borderId="4" fillId="0" fontId="8" numFmtId="0" xfId="0" applyAlignment="1" applyBorder="1" applyFont="1">
      <alignment horizontal="left" vertical="center"/>
    </xf>
    <xf borderId="4" fillId="6" fontId="5" numFmtId="0" xfId="0" applyAlignment="1" applyBorder="1" applyFont="1">
      <alignment horizontal="center" readingOrder="0" vertical="center"/>
    </xf>
    <xf borderId="4" fillId="6" fontId="5" numFmtId="0" xfId="0" applyAlignment="1" applyBorder="1" applyFont="1">
      <alignment horizontal="center" vertical="center"/>
    </xf>
    <xf borderId="4" fillId="6" fontId="2" numFmtId="0" xfId="0" applyAlignment="1" applyBorder="1" applyFont="1">
      <alignment horizontal="center" readingOrder="0" vertical="center"/>
    </xf>
    <xf borderId="4" fillId="6" fontId="2" numFmtId="0" xfId="0" applyAlignment="1" applyBorder="1" applyFont="1">
      <alignment horizontal="center" vertical="center"/>
    </xf>
    <xf borderId="4" fillId="6" fontId="2" numFmtId="0" xfId="0" applyAlignment="1" applyBorder="1" applyFont="1">
      <alignment horizontal="center" readingOrder="0" shrinkToFit="0" vertical="center" wrapText="1"/>
    </xf>
    <xf borderId="0" fillId="0" fontId="1" numFmtId="0" xfId="0" applyAlignment="1" applyFont="1">
      <alignment horizontal="center" vertical="center"/>
    </xf>
    <xf borderId="9" fillId="4" fontId="10" numFmtId="0" xfId="0" applyAlignment="1" applyBorder="1" applyFont="1">
      <alignment horizontal="left" readingOrder="0" vertical="center"/>
    </xf>
    <xf borderId="10" fillId="0" fontId="11" numFmtId="0" xfId="0" applyBorder="1" applyFont="1"/>
    <xf borderId="5" fillId="0" fontId="11" numFmtId="0" xfId="0" applyBorder="1" applyFont="1"/>
    <xf borderId="4" fillId="0" fontId="3" numFmtId="0" xfId="0" applyAlignment="1" applyBorder="1" applyFont="1">
      <alignment horizontal="center" readingOrder="0" vertical="center"/>
    </xf>
    <xf borderId="4" fillId="8" fontId="12" numFmtId="0" xfId="0" applyAlignment="1" applyBorder="1" applyFont="1">
      <alignment horizontal="center" vertical="center"/>
    </xf>
    <xf borderId="4" fillId="9" fontId="8" numFmtId="0" xfId="0" applyAlignment="1" applyBorder="1" applyFont="1">
      <alignment horizontal="center" readingOrder="0"/>
    </xf>
    <xf borderId="4" fillId="9" fontId="1" numFmtId="0" xfId="0" applyAlignment="1" applyBorder="1" applyFont="1">
      <alignment horizontal="center" readingOrder="0" vertical="center"/>
    </xf>
    <xf borderId="4" fillId="10" fontId="1" numFmtId="0" xfId="0" applyAlignment="1" applyBorder="1" applyFill="1" applyFont="1">
      <alignment horizontal="center" readingOrder="0" vertical="center"/>
    </xf>
    <xf borderId="4" fillId="0" fontId="1" numFmtId="3" xfId="0" applyAlignment="1" applyBorder="1" applyFont="1" applyNumberFormat="1">
      <alignment horizontal="center" readingOrder="0" vertical="center"/>
    </xf>
    <xf borderId="4" fillId="0" fontId="1" numFmtId="0" xfId="0" applyAlignment="1" applyBorder="1" applyFont="1">
      <alignment horizontal="center" readingOrder="0" shrinkToFit="0" vertical="center" wrapText="1"/>
    </xf>
    <xf borderId="4" fillId="0" fontId="1" numFmtId="0" xfId="0" applyAlignment="1" applyBorder="1" applyFont="1">
      <alignment horizontal="left" readingOrder="0" shrinkToFit="0" vertical="center" wrapText="1"/>
    </xf>
    <xf borderId="4" fillId="0" fontId="1" numFmtId="166" xfId="0" applyAlignment="1" applyBorder="1" applyFont="1" applyNumberFormat="1">
      <alignment horizontal="center" readingOrder="0" vertical="center"/>
    </xf>
    <xf borderId="4" fillId="0" fontId="1" numFmtId="0" xfId="0" applyAlignment="1" applyBorder="1" applyFont="1">
      <alignment horizontal="center" vertical="center"/>
    </xf>
    <xf borderId="4" fillId="0" fontId="3" numFmtId="0" xfId="0" applyAlignment="1" applyBorder="1" applyFont="1">
      <alignment horizontal="center" vertical="center"/>
    </xf>
    <xf borderId="4" fillId="0" fontId="3" numFmtId="166" xfId="0" applyAlignment="1" applyBorder="1" applyFont="1" applyNumberFormat="1">
      <alignment horizontal="center"/>
    </xf>
    <xf borderId="4" fillId="0" fontId="3" numFmtId="0" xfId="0" applyAlignment="1" applyBorder="1" applyFont="1">
      <alignment horizontal="center"/>
    </xf>
    <xf borderId="4" fillId="7" fontId="3" numFmtId="0" xfId="0" applyAlignment="1" applyBorder="1" applyFont="1">
      <alignment horizontal="center" readingOrder="0" vertical="center"/>
    </xf>
    <xf borderId="4" fillId="7" fontId="1" numFmtId="0" xfId="0" applyAlignment="1" applyBorder="1" applyFont="1">
      <alignment horizontal="center" readingOrder="0" vertical="center"/>
    </xf>
    <xf borderId="4" fillId="7" fontId="1" numFmtId="3" xfId="0" applyAlignment="1" applyBorder="1" applyFont="1" applyNumberFormat="1">
      <alignment horizontal="center" readingOrder="0" vertical="center"/>
    </xf>
    <xf borderId="4" fillId="7" fontId="1"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1" numFmtId="165" xfId="0" applyAlignment="1" applyBorder="1" applyFont="1" applyNumberFormat="1">
      <alignment horizontal="center" readingOrder="0" vertical="center"/>
    </xf>
    <xf borderId="4" fillId="9" fontId="3" numFmtId="0" xfId="0" applyAlignment="1" applyBorder="1" applyFont="1">
      <alignment horizontal="center" readingOrder="0" shrinkToFit="0" vertical="center" wrapText="1"/>
    </xf>
    <xf borderId="4" fillId="9" fontId="8" numFmtId="0" xfId="0" applyAlignment="1" applyBorder="1" applyFont="1">
      <alignment horizontal="center"/>
    </xf>
    <xf borderId="4" fillId="0" fontId="1" numFmtId="0" xfId="0" applyAlignment="1" applyBorder="1" applyFont="1">
      <alignment horizontal="center" vertical="center"/>
    </xf>
    <xf borderId="4" fillId="0" fontId="1" numFmtId="3" xfId="0" applyAlignment="1" applyBorder="1" applyFont="1" applyNumberFormat="1">
      <alignment horizontal="center" vertical="center"/>
    </xf>
    <xf borderId="4" fillId="0" fontId="1" numFmtId="0" xfId="0" applyAlignment="1" applyBorder="1" applyFont="1">
      <alignment horizontal="left"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left" shrinkToFit="0" vertical="center" wrapText="1"/>
    </xf>
    <xf borderId="4" fillId="0" fontId="3" numFmtId="49" xfId="0" applyAlignment="1" applyBorder="1" applyFont="1" applyNumberFormat="1">
      <alignment horizontal="center" readingOrder="0" vertical="center"/>
    </xf>
    <xf borderId="4" fillId="9" fontId="13" numFmtId="0" xfId="0" applyAlignment="1" applyBorder="1" applyFont="1">
      <alignment horizontal="center" readingOrder="0" vertical="center"/>
    </xf>
    <xf borderId="4" fillId="4" fontId="1" numFmtId="0" xfId="0" applyAlignment="1" applyBorder="1" applyFont="1">
      <alignment horizontal="center" vertical="center"/>
    </xf>
    <xf borderId="9" fillId="4" fontId="6" numFmtId="0" xfId="0" applyAlignment="1" applyBorder="1" applyFont="1">
      <alignment horizontal="center" vertical="center"/>
    </xf>
    <xf borderId="5" fillId="11" fontId="5" numFmtId="49" xfId="0" applyAlignment="1" applyBorder="1" applyFill="1" applyFont="1" applyNumberFormat="1">
      <alignment horizontal="center" readingOrder="0" vertical="center"/>
    </xf>
    <xf borderId="5" fillId="12" fontId="5" numFmtId="49" xfId="0" applyAlignment="1" applyBorder="1" applyFill="1" applyFont="1" applyNumberFormat="1">
      <alignment horizontal="center" readingOrder="0" vertical="center"/>
    </xf>
    <xf borderId="5" fillId="6" fontId="2" numFmtId="0" xfId="0" applyAlignment="1" applyBorder="1" applyFont="1">
      <alignment horizontal="center" readingOrder="0" vertical="center"/>
    </xf>
    <xf borderId="4" fillId="6" fontId="2" numFmtId="0" xfId="0" applyAlignment="1" applyBorder="1" applyFont="1">
      <alignment horizontal="center" readingOrder="0" vertical="center"/>
    </xf>
    <xf borderId="0" fillId="6" fontId="5" numFmtId="0" xfId="0" applyAlignment="1" applyFont="1">
      <alignment horizontal="center" readingOrder="0" vertical="center"/>
    </xf>
    <xf borderId="4" fillId="8" fontId="8" numFmtId="0" xfId="0" applyAlignment="1" applyBorder="1" applyFont="1">
      <alignment horizontal="center" readingOrder="0" vertical="center"/>
    </xf>
    <xf borderId="3" fillId="0" fontId="8" numFmtId="49" xfId="0" applyAlignment="1" applyBorder="1" applyFont="1" applyNumberFormat="1">
      <alignment horizontal="center" readingOrder="0" vertical="center"/>
    </xf>
    <xf borderId="3" fillId="9" fontId="3" numFmtId="49" xfId="0" applyAlignment="1" applyBorder="1" applyFont="1" applyNumberFormat="1">
      <alignment horizontal="center" readingOrder="0" vertical="center"/>
    </xf>
    <xf borderId="3" fillId="7" fontId="8" numFmtId="0" xfId="0" applyAlignment="1" applyBorder="1" applyFont="1">
      <alignment horizontal="center" vertical="center"/>
    </xf>
    <xf borderId="5" fillId="8" fontId="3" numFmtId="0" xfId="0" applyBorder="1" applyFont="1"/>
    <xf borderId="3" fillId="4" fontId="8" numFmtId="0" xfId="0" applyAlignment="1" applyBorder="1" applyFont="1">
      <alignment horizontal="center" readingOrder="0" vertical="center"/>
    </xf>
    <xf borderId="3" fillId="0" fontId="14" numFmtId="0" xfId="0" applyAlignment="1" applyBorder="1" applyFont="1">
      <alignment horizontal="center" readingOrder="0" vertical="center"/>
    </xf>
    <xf borderId="3" fillId="0" fontId="3" numFmtId="0" xfId="0" applyAlignment="1" applyBorder="1" applyFont="1">
      <alignment horizontal="center" readingOrder="0" vertical="center"/>
    </xf>
    <xf borderId="4" fillId="0" fontId="3" numFmtId="0" xfId="0" applyAlignment="1" applyBorder="1" applyFont="1">
      <alignment horizontal="center" vertical="center"/>
    </xf>
    <xf borderId="4" fillId="0" fontId="15" numFmtId="0" xfId="0" applyAlignment="1" applyBorder="1" applyFont="1">
      <alignment horizontal="left" readingOrder="0" vertical="center"/>
    </xf>
    <xf borderId="4" fillId="0" fontId="7" numFmtId="0" xfId="0" applyAlignment="1" applyBorder="1" applyFont="1">
      <alignment horizontal="right" vertical="bottom"/>
    </xf>
    <xf borderId="0" fillId="0" fontId="7" numFmtId="0" xfId="0" applyAlignment="1" applyFont="1">
      <alignment horizontal="right" vertical="bottom"/>
    </xf>
    <xf borderId="4" fillId="13" fontId="8" numFmtId="0" xfId="0" applyAlignment="1" applyBorder="1" applyFill="1" applyFont="1">
      <alignment horizontal="center" readingOrder="0" vertical="center"/>
    </xf>
    <xf borderId="4" fillId="9" fontId="9" numFmtId="167" xfId="0" applyAlignment="1" applyBorder="1" applyFont="1" applyNumberFormat="1">
      <alignment horizontal="center" readingOrder="0" vertical="center"/>
    </xf>
    <xf borderId="4" fillId="0" fontId="7" numFmtId="0" xfId="0" applyAlignment="1" applyBorder="1" applyFont="1">
      <alignment horizontal="right" readingOrder="0" vertical="bottom"/>
    </xf>
    <xf borderId="0" fillId="0" fontId="7" numFmtId="0" xfId="0" applyAlignment="1" applyFont="1">
      <alignment horizontal="right" readingOrder="0" vertical="bottom"/>
    </xf>
    <xf borderId="4" fillId="14" fontId="3" numFmtId="49" xfId="0" applyAlignment="1" applyBorder="1" applyFill="1" applyFont="1" applyNumberFormat="1">
      <alignment horizontal="center" readingOrder="0" vertical="center"/>
    </xf>
    <xf borderId="3" fillId="14" fontId="3" numFmtId="49" xfId="0" applyAlignment="1" applyBorder="1" applyFont="1" applyNumberFormat="1">
      <alignment horizontal="center" readingOrder="0" vertical="center"/>
    </xf>
    <xf borderId="4" fillId="0" fontId="3" numFmtId="0" xfId="0" applyAlignment="1" applyBorder="1" applyFont="1">
      <alignment horizontal="center" readingOrder="0" vertical="center"/>
    </xf>
    <xf borderId="4" fillId="9" fontId="3" numFmtId="49" xfId="0" applyAlignment="1" applyBorder="1" applyFont="1" applyNumberFormat="1">
      <alignment horizontal="center" readingOrder="0" vertical="center"/>
    </xf>
    <xf borderId="5" fillId="0" fontId="1" numFmtId="0" xfId="0" applyAlignment="1" applyBorder="1" applyFont="1">
      <alignment horizontal="center" readingOrder="0" vertical="center"/>
    </xf>
    <xf borderId="4" fillId="0" fontId="16" numFmtId="0" xfId="0" applyAlignment="1" applyBorder="1" applyFont="1">
      <alignment horizontal="center" readingOrder="0" vertical="center"/>
    </xf>
    <xf borderId="3" fillId="0" fontId="3" numFmtId="0" xfId="0" applyAlignment="1" applyBorder="1" applyFont="1">
      <alignment horizontal="center" vertical="center"/>
    </xf>
    <xf borderId="4" fillId="8" fontId="3" numFmtId="0" xfId="0" applyAlignment="1" applyBorder="1" applyFont="1">
      <alignment horizontal="center" vertical="center"/>
    </xf>
    <xf borderId="4" fillId="8" fontId="3" numFmtId="0" xfId="0" applyAlignment="1" applyBorder="1" applyFont="1">
      <alignment horizontal="center" shrinkToFit="0" vertical="center" wrapText="1"/>
    </xf>
    <xf borderId="4" fillId="0" fontId="3" numFmtId="0" xfId="0" applyAlignment="1" applyBorder="1" applyFont="1">
      <alignment horizontal="center" vertical="center"/>
    </xf>
    <xf borderId="3" fillId="0" fontId="3" numFmtId="0" xfId="0" applyAlignment="1" applyBorder="1" applyFont="1">
      <alignment horizontal="center" readingOrder="0" vertical="center"/>
    </xf>
    <xf borderId="3" fillId="0" fontId="3" numFmtId="0" xfId="0" applyAlignment="1" applyBorder="1" applyFont="1">
      <alignment horizontal="center" vertical="center"/>
    </xf>
    <xf borderId="3" fillId="0" fontId="3" numFmtId="49" xfId="0" applyAlignment="1" applyBorder="1" applyFont="1" applyNumberFormat="1">
      <alignment horizontal="center" vertical="center"/>
    </xf>
    <xf borderId="5" fillId="8" fontId="3" numFmtId="0" xfId="0" applyAlignment="1" applyBorder="1" applyFont="1">
      <alignment vertical="center"/>
    </xf>
    <xf borderId="4" fillId="0" fontId="7" numFmtId="0" xfId="0" applyAlignment="1" applyBorder="1" applyFont="1">
      <alignment horizontal="center" readingOrder="0" vertical="center"/>
    </xf>
    <xf borderId="4" fillId="0" fontId="7" numFmtId="0" xfId="0" applyAlignment="1" applyBorder="1" applyFont="1">
      <alignment vertical="center"/>
    </xf>
    <xf borderId="3" fillId="4" fontId="3" numFmtId="0" xfId="0" applyAlignment="1" applyBorder="1" applyFont="1">
      <alignment horizontal="center" vertical="center"/>
    </xf>
    <xf borderId="4" fillId="4" fontId="8" numFmtId="0" xfId="0" applyAlignment="1" applyBorder="1" applyFont="1">
      <alignment horizontal="center" readingOrder="0" vertical="center"/>
    </xf>
    <xf borderId="4" fillId="4" fontId="8" numFmtId="49" xfId="0" applyAlignment="1" applyBorder="1" applyFont="1" applyNumberFormat="1">
      <alignment horizontal="center" readingOrder="0" vertical="center"/>
    </xf>
    <xf borderId="4" fillId="4" fontId="3" numFmtId="0" xfId="0" applyAlignment="1" applyBorder="1" applyFont="1">
      <alignment horizontal="center" readingOrder="0" shrinkToFit="0" vertical="center" wrapText="1"/>
    </xf>
    <xf borderId="3" fillId="4" fontId="3" numFmtId="0" xfId="0" applyAlignment="1" applyBorder="1" applyFont="1">
      <alignment horizontal="center" readingOrder="0" vertical="center"/>
    </xf>
    <xf borderId="3" fillId="4" fontId="8" numFmtId="49" xfId="0" applyAlignment="1" applyBorder="1" applyFont="1" applyNumberFormat="1">
      <alignment horizontal="center" readingOrder="0" vertical="center"/>
    </xf>
    <xf borderId="4" fillId="4" fontId="3" numFmtId="49" xfId="0" applyAlignment="1" applyBorder="1" applyFont="1" applyNumberFormat="1">
      <alignment horizontal="center" readingOrder="0" vertical="center"/>
    </xf>
    <xf borderId="4" fillId="4" fontId="9" numFmtId="167" xfId="0" applyAlignment="1" applyBorder="1" applyFont="1" applyNumberFormat="1">
      <alignment horizontal="center" readingOrder="0" vertical="center"/>
    </xf>
    <xf borderId="4" fillId="4" fontId="3" numFmtId="165" xfId="0" applyAlignment="1" applyBorder="1" applyFont="1" applyNumberFormat="1">
      <alignment horizontal="center" vertical="center"/>
    </xf>
    <xf borderId="3" fillId="4" fontId="8" numFmtId="0" xfId="0" applyAlignment="1" applyBorder="1" applyFont="1">
      <alignment horizontal="center" vertical="center"/>
    </xf>
    <xf borderId="5" fillId="4" fontId="3" numFmtId="0" xfId="0" applyBorder="1" applyFont="1"/>
    <xf borderId="5" fillId="4" fontId="1" numFmtId="0" xfId="0" applyAlignment="1" applyBorder="1" applyFont="1">
      <alignment horizontal="center" vertical="center"/>
    </xf>
    <xf borderId="4" fillId="4" fontId="16" numFmtId="0" xfId="0" applyAlignment="1" applyBorder="1" applyFont="1">
      <alignment horizontal="center" readingOrder="0" vertical="center"/>
    </xf>
    <xf borderId="4" fillId="4" fontId="1" numFmtId="0" xfId="0" applyAlignment="1" applyBorder="1" applyFont="1">
      <alignment horizontal="center" readingOrder="0" vertical="center"/>
    </xf>
    <xf borderId="4" fillId="4" fontId="6" numFmtId="0" xfId="0" applyAlignment="1" applyBorder="1" applyFont="1">
      <alignment horizontal="center" vertical="center"/>
    </xf>
    <xf borderId="4" fillId="4" fontId="8" numFmtId="0" xfId="0" applyAlignment="1" applyBorder="1" applyFont="1">
      <alignment horizontal="left" readingOrder="0" vertical="center"/>
    </xf>
    <xf borderId="5" fillId="0" fontId="1" numFmtId="0" xfId="0" applyAlignment="1" applyBorder="1" applyFont="1">
      <alignment horizontal="center" vertical="center"/>
    </xf>
    <xf borderId="4" fillId="13" fontId="3" numFmtId="49" xfId="0" applyAlignment="1" applyBorder="1" applyFont="1" applyNumberFormat="1">
      <alignment horizontal="center" readingOrder="0" vertical="center"/>
    </xf>
    <xf borderId="4" fillId="9" fontId="9" numFmtId="0" xfId="0" applyAlignment="1" applyBorder="1" applyFont="1">
      <alignment horizontal="center" readingOrder="0" vertical="center"/>
    </xf>
    <xf borderId="4" fillId="0" fontId="3" numFmtId="165" xfId="0" applyAlignment="1" applyBorder="1" applyFont="1" applyNumberFormat="1">
      <alignment horizontal="center" readingOrder="0" vertical="center"/>
    </xf>
    <xf borderId="4" fillId="0" fontId="3" numFmtId="165" xfId="0" applyAlignment="1" applyBorder="1" applyFont="1" applyNumberFormat="1">
      <alignment horizontal="center" vertical="center"/>
    </xf>
    <xf borderId="3" fillId="9" fontId="7" numFmtId="49" xfId="0" applyBorder="1" applyFont="1" applyNumberFormat="1"/>
    <xf borderId="4" fillId="8" fontId="3" numFmtId="0" xfId="0" applyAlignment="1" applyBorder="1" applyFont="1">
      <alignment horizontal="center"/>
    </xf>
    <xf borderId="3" fillId="0" fontId="3" numFmtId="49" xfId="0" applyAlignment="1" applyBorder="1" applyFont="1" applyNumberFormat="1">
      <alignment horizontal="center" readingOrder="0"/>
    </xf>
    <xf borderId="4" fillId="8" fontId="3" numFmtId="0" xfId="0" applyAlignment="1" applyBorder="1" applyFont="1">
      <alignment horizontal="center" shrinkToFit="0" wrapText="1"/>
    </xf>
    <xf borderId="3" fillId="8" fontId="3" numFmtId="0" xfId="0" applyAlignment="1" applyBorder="1" applyFont="1">
      <alignment horizontal="center" readingOrder="0" shrinkToFit="0" wrapText="1"/>
    </xf>
    <xf borderId="3" fillId="13" fontId="8" numFmtId="0" xfId="0" applyAlignment="1" applyBorder="1" applyFont="1">
      <alignment horizontal="center" readingOrder="0" vertical="center"/>
    </xf>
    <xf borderId="3" fillId="0" fontId="3" numFmtId="0" xfId="0" applyAlignment="1" applyBorder="1" applyFont="1">
      <alignment horizontal="center" readingOrder="0"/>
    </xf>
    <xf borderId="3" fillId="0" fontId="7" numFmtId="0" xfId="0" applyBorder="1" applyFont="1"/>
    <xf borderId="3" fillId="0" fontId="7" numFmtId="0" xfId="0" applyBorder="1" applyFont="1"/>
    <xf borderId="3" fillId="0" fontId="7" numFmtId="49" xfId="0" applyBorder="1" applyFont="1" applyNumberFormat="1"/>
    <xf borderId="3" fillId="9" fontId="9" numFmtId="0" xfId="0" applyAlignment="1" applyBorder="1" applyFont="1">
      <alignment horizontal="center" readingOrder="0" vertical="center"/>
    </xf>
    <xf borderId="3" fillId="9" fontId="3" numFmtId="165" xfId="0" applyAlignment="1" applyBorder="1" applyFont="1" applyNumberFormat="1">
      <alignment horizontal="center" vertical="center"/>
    </xf>
    <xf borderId="3" fillId="7" fontId="3" numFmtId="0" xfId="0" applyAlignment="1" applyBorder="1" applyFont="1">
      <alignment horizontal="center"/>
    </xf>
    <xf borderId="3" fillId="8" fontId="3" numFmtId="0" xfId="0" applyBorder="1" applyFont="1"/>
    <xf borderId="3" fillId="0" fontId="3" numFmtId="0" xfId="0" applyAlignment="1" applyBorder="1" applyFont="1">
      <alignment horizontal="center"/>
    </xf>
    <xf borderId="4" fillId="0" fontId="3" numFmtId="0" xfId="0" applyAlignment="1" applyBorder="1" applyFont="1">
      <alignment horizontal="center"/>
    </xf>
    <xf borderId="4" fillId="15" fontId="8" numFmtId="0" xfId="0" applyAlignment="1" applyBorder="1" applyFill="1" applyFont="1">
      <alignment horizontal="center" readingOrder="0" vertical="center"/>
    </xf>
    <xf borderId="3" fillId="0" fontId="3" numFmtId="0" xfId="0" applyAlignment="1" applyBorder="1" applyFont="1">
      <alignment horizontal="center"/>
    </xf>
    <xf borderId="4" fillId="0" fontId="3" numFmtId="49" xfId="0" applyAlignment="1" applyBorder="1" applyFont="1" applyNumberFormat="1">
      <alignment horizontal="center" readingOrder="0"/>
    </xf>
    <xf borderId="4" fillId="8" fontId="3" numFmtId="0" xfId="0" applyAlignment="1" applyBorder="1" applyFont="1">
      <alignment horizontal="center" readingOrder="0" shrinkToFit="0" wrapText="1"/>
    </xf>
    <xf borderId="3" fillId="0" fontId="3" numFmtId="0" xfId="0" applyAlignment="1" applyBorder="1" applyFont="1">
      <alignment horizontal="center" readingOrder="0"/>
    </xf>
    <xf borderId="3" fillId="0" fontId="3" numFmtId="0" xfId="0" applyAlignment="1" applyBorder="1" applyFont="1">
      <alignment horizontal="center"/>
    </xf>
    <xf borderId="3" fillId="0" fontId="3" numFmtId="49" xfId="0" applyAlignment="1" applyBorder="1" applyFont="1" applyNumberFormat="1">
      <alignment horizontal="center"/>
    </xf>
    <xf borderId="4" fillId="9" fontId="3" numFmtId="49" xfId="0" applyAlignment="1" applyBorder="1" applyFont="1" applyNumberFormat="1">
      <alignment horizontal="center" readingOrder="0"/>
    </xf>
    <xf borderId="4" fillId="9" fontId="3" numFmtId="165" xfId="0" applyAlignment="1" applyBorder="1" applyFont="1" applyNumberFormat="1">
      <alignment horizontal="center"/>
    </xf>
    <xf borderId="5" fillId="0" fontId="7" numFmtId="0" xfId="0" applyBorder="1" applyFont="1"/>
    <xf borderId="4" fillId="0" fontId="17" numFmtId="0" xfId="0" applyAlignment="1" applyBorder="1" applyFont="1">
      <alignment horizontal="center" readingOrder="0"/>
    </xf>
    <xf borderId="4" fillId="0" fontId="7" numFmtId="0" xfId="0" applyBorder="1" applyFont="1"/>
    <xf borderId="4" fillId="0" fontId="18" numFmtId="0" xfId="0" applyAlignment="1" applyBorder="1" applyFont="1">
      <alignment horizontal="center" readingOrder="0"/>
    </xf>
    <xf borderId="4" fillId="10" fontId="8" numFmtId="0" xfId="0" applyAlignment="1" applyBorder="1" applyFont="1">
      <alignment horizontal="center" readingOrder="0" vertical="center"/>
    </xf>
    <xf borderId="4" fillId="10" fontId="3" numFmtId="0" xfId="0" applyAlignment="1" applyBorder="1" applyFont="1">
      <alignment horizontal="center" readingOrder="0" shrinkToFit="0" vertical="center" wrapText="1"/>
    </xf>
    <xf borderId="5" fillId="0" fontId="3" numFmtId="0" xfId="0" applyBorder="1" applyFont="1"/>
    <xf borderId="4" fillId="9" fontId="9" numFmtId="165" xfId="0" applyAlignment="1" applyBorder="1" applyFont="1" applyNumberFormat="1">
      <alignment horizontal="center" readingOrder="0" vertical="center"/>
    </xf>
    <xf borderId="4" fillId="0" fontId="6" numFmtId="0" xfId="0" applyAlignment="1" applyBorder="1" applyFont="1">
      <alignment horizontal="center" readingOrder="0" vertical="center"/>
    </xf>
    <xf borderId="5" fillId="0" fontId="7" numFmtId="0" xfId="0" applyBorder="1" applyFont="1"/>
    <xf borderId="4" fillId="0" fontId="7" numFmtId="0" xfId="0" applyAlignment="1" applyBorder="1" applyFont="1">
      <alignment readingOrder="0"/>
    </xf>
    <xf borderId="4" fillId="9" fontId="7" numFmtId="49" xfId="0" applyAlignment="1" applyBorder="1" applyFont="1" applyNumberFormat="1">
      <alignment horizontal="center" readingOrder="0"/>
    </xf>
    <xf borderId="3" fillId="8" fontId="3" numFmtId="0" xfId="0" applyAlignment="1" applyBorder="1" applyFont="1">
      <alignment horizontal="center" readingOrder="0"/>
    </xf>
    <xf borderId="3" fillId="0" fontId="7" numFmtId="0" xfId="0" applyAlignment="1" applyBorder="1" applyFont="1">
      <alignment readingOrder="0"/>
    </xf>
    <xf borderId="3" fillId="9" fontId="3" numFmtId="49" xfId="0" applyAlignment="1" applyBorder="1" applyFont="1" applyNumberFormat="1">
      <alignment horizontal="center" readingOrder="0"/>
    </xf>
    <xf borderId="4" fillId="0" fontId="16" numFmtId="0" xfId="0" applyAlignment="1" applyBorder="1" applyFont="1">
      <alignment horizontal="left" readingOrder="0" shrinkToFit="0" vertical="center" wrapText="0"/>
    </xf>
    <xf borderId="3" fillId="9" fontId="3" numFmtId="49" xfId="0" applyAlignment="1" applyBorder="1" applyFont="1" applyNumberFormat="1">
      <alignment horizontal="center" vertical="bottom"/>
    </xf>
    <xf borderId="4" fillId="0" fontId="3" numFmtId="49" xfId="0" applyAlignment="1" applyBorder="1" applyFont="1" applyNumberFormat="1">
      <alignment horizontal="center"/>
    </xf>
    <xf borderId="4" fillId="9" fontId="3" numFmtId="49" xfId="0" applyAlignment="1" applyBorder="1" applyFont="1" applyNumberFormat="1">
      <alignment horizontal="center"/>
    </xf>
    <xf borderId="3" fillId="9" fontId="3" numFmtId="49" xfId="0" applyAlignment="1" applyBorder="1" applyFont="1" applyNumberFormat="1">
      <alignment horizontal="center" readingOrder="0" vertical="bottom"/>
    </xf>
    <xf borderId="3" fillId="0" fontId="3" numFmtId="0" xfId="0" applyAlignment="1" applyBorder="1" applyFont="1">
      <alignment horizontal="center" vertical="bottom"/>
    </xf>
    <xf borderId="3" fillId="8" fontId="3" numFmtId="0" xfId="0" applyAlignment="1" applyBorder="1" applyFont="1">
      <alignment horizontal="center"/>
    </xf>
    <xf borderId="3" fillId="9" fontId="7" numFmtId="165" xfId="0" applyBorder="1" applyFont="1" applyNumberFormat="1"/>
    <xf borderId="3" fillId="8" fontId="3" numFmtId="0" xfId="0" applyAlignment="1" applyBorder="1" applyFont="1">
      <alignment vertical="bottom"/>
    </xf>
    <xf borderId="0" fillId="0" fontId="3" numFmtId="0" xfId="0" applyAlignment="1" applyFont="1">
      <alignment horizontal="center"/>
    </xf>
    <xf borderId="0" fillId="16" fontId="19" numFmtId="0" xfId="0" applyAlignment="1" applyFill="1" applyFont="1">
      <alignment horizontal="center" readingOrder="0" vertical="center"/>
    </xf>
    <xf borderId="2" fillId="0" fontId="11" numFmtId="0" xfId="0" applyBorder="1" applyFont="1"/>
    <xf borderId="0" fillId="16" fontId="19" numFmtId="49" xfId="0" applyAlignment="1" applyFont="1" applyNumberFormat="1">
      <alignment horizontal="center" readingOrder="0" vertical="center"/>
    </xf>
    <xf borderId="4" fillId="16" fontId="3" numFmtId="0" xfId="0" applyAlignment="1" applyBorder="1" applyFont="1">
      <alignment horizontal="center"/>
    </xf>
    <xf borderId="0" fillId="16" fontId="3" numFmtId="0" xfId="0" applyAlignment="1" applyFont="1">
      <alignment horizontal="center"/>
    </xf>
    <xf borderId="1" fillId="0" fontId="11" numFmtId="0" xfId="0" applyBorder="1" applyFont="1"/>
    <xf borderId="3" fillId="0" fontId="11" numFmtId="0" xfId="0" applyBorder="1" applyFont="1"/>
    <xf borderId="3" fillId="0" fontId="3" numFmtId="0" xfId="0" applyAlignment="1" applyBorder="1" applyFont="1">
      <alignment horizontal="center"/>
    </xf>
    <xf borderId="4" fillId="0" fontId="16" numFmtId="0" xfId="0" applyAlignment="1" applyBorder="1" applyFont="1">
      <alignment horizontal="center" vertical="center"/>
    </xf>
    <xf borderId="3" fillId="0" fontId="3" numFmtId="0" xfId="0" applyAlignment="1" applyBorder="1" applyFont="1">
      <alignment horizontal="center" vertical="center"/>
    </xf>
    <xf borderId="3" fillId="17" fontId="3" numFmtId="0" xfId="0" applyAlignment="1" applyBorder="1" applyFill="1" applyFont="1">
      <alignment horizontal="center" vertical="center"/>
    </xf>
    <xf borderId="4" fillId="17" fontId="8" numFmtId="0" xfId="0" applyAlignment="1" applyBorder="1" applyFont="1">
      <alignment horizontal="center" readingOrder="0" vertical="center"/>
    </xf>
    <xf borderId="4" fillId="17" fontId="8" numFmtId="49" xfId="0" applyAlignment="1" applyBorder="1" applyFont="1" applyNumberFormat="1">
      <alignment horizontal="center" readingOrder="0" vertical="center"/>
    </xf>
    <xf borderId="4" fillId="17" fontId="3" numFmtId="0" xfId="0" applyAlignment="1" applyBorder="1" applyFont="1">
      <alignment horizontal="center" readingOrder="0" shrinkToFit="0" vertical="center" wrapText="1"/>
    </xf>
    <xf borderId="4" fillId="17" fontId="8" numFmtId="0" xfId="0" applyAlignment="1" applyBorder="1" applyFont="1">
      <alignment horizontal="center" vertical="center"/>
    </xf>
    <xf borderId="3" fillId="17" fontId="8" numFmtId="0" xfId="0" applyAlignment="1" applyBorder="1" applyFont="1">
      <alignment horizontal="center" readingOrder="0" vertical="center"/>
    </xf>
    <xf borderId="3" fillId="17" fontId="3" numFmtId="0" xfId="0" applyAlignment="1" applyBorder="1" applyFont="1">
      <alignment horizontal="center" readingOrder="0" vertical="center"/>
    </xf>
    <xf borderId="3" fillId="17" fontId="3" numFmtId="0" xfId="0" applyAlignment="1" applyBorder="1" applyFont="1">
      <alignment horizontal="center" readingOrder="0"/>
    </xf>
    <xf borderId="4" fillId="17" fontId="3" numFmtId="0" xfId="0" applyAlignment="1" applyBorder="1" applyFont="1">
      <alignment horizontal="center" vertical="center"/>
    </xf>
    <xf borderId="3" fillId="17" fontId="3" numFmtId="0" xfId="0" applyAlignment="1" applyBorder="1" applyFont="1">
      <alignment horizontal="center" vertical="center"/>
    </xf>
    <xf borderId="3" fillId="17" fontId="8" numFmtId="49" xfId="0" applyAlignment="1" applyBorder="1" applyFont="1" applyNumberFormat="1">
      <alignment horizontal="center" readingOrder="0" vertical="center"/>
    </xf>
    <xf borderId="4" fillId="17" fontId="3" numFmtId="49" xfId="0" applyAlignment="1" applyBorder="1" applyFont="1" applyNumberFormat="1">
      <alignment horizontal="center" readingOrder="0" vertical="center"/>
    </xf>
    <xf borderId="4" fillId="17" fontId="3" numFmtId="165" xfId="0" applyAlignment="1" applyBorder="1" applyFont="1" applyNumberFormat="1">
      <alignment horizontal="center" readingOrder="0" vertical="center"/>
    </xf>
    <xf borderId="4" fillId="17" fontId="3" numFmtId="165" xfId="0" applyAlignment="1" applyBorder="1" applyFont="1" applyNumberFormat="1">
      <alignment horizontal="center" vertical="center"/>
    </xf>
    <xf borderId="3" fillId="17" fontId="8" numFmtId="0" xfId="0" applyAlignment="1" applyBorder="1" applyFont="1">
      <alignment horizontal="center" vertical="center"/>
    </xf>
    <xf borderId="5" fillId="17" fontId="3" numFmtId="0" xfId="0" applyBorder="1" applyFont="1"/>
    <xf borderId="5" fillId="17" fontId="1" numFmtId="0" xfId="0" applyAlignment="1" applyBorder="1" applyFont="1">
      <alignment horizontal="center" vertical="center"/>
    </xf>
    <xf borderId="4" fillId="17" fontId="16" numFmtId="0" xfId="0" applyAlignment="1" applyBorder="1" applyFont="1">
      <alignment horizontal="center" readingOrder="0" vertical="center"/>
    </xf>
    <xf borderId="4" fillId="17" fontId="1" numFmtId="0" xfId="0" applyAlignment="1" applyBorder="1" applyFont="1">
      <alignment horizontal="center" readingOrder="0" vertical="center"/>
    </xf>
    <xf borderId="4" fillId="17" fontId="6" numFmtId="0" xfId="0" applyAlignment="1" applyBorder="1" applyFont="1">
      <alignment horizontal="center" vertical="center"/>
    </xf>
    <xf borderId="4" fillId="13" fontId="3" numFmtId="49" xfId="0" applyAlignment="1" applyBorder="1" applyFont="1" applyNumberFormat="1">
      <alignment horizontal="center" readingOrder="0"/>
    </xf>
    <xf borderId="4" fillId="9" fontId="7" numFmtId="49" xfId="0" applyBorder="1" applyFont="1" applyNumberFormat="1"/>
    <xf borderId="5" fillId="8" fontId="3" numFmtId="0" xfId="0" applyAlignment="1" applyBorder="1" applyFont="1">
      <alignment vertical="bottom"/>
    </xf>
    <xf borderId="5" fillId="0" fontId="3" numFmtId="0" xfId="0" applyAlignment="1" applyBorder="1" applyFont="1">
      <alignment horizontal="center" readingOrder="0"/>
    </xf>
    <xf borderId="5" fillId="0" fontId="3" numFmtId="49" xfId="0" applyAlignment="1" applyBorder="1" applyFont="1" applyNumberFormat="1">
      <alignment horizontal="center" readingOrder="0"/>
    </xf>
    <xf borderId="5" fillId="8" fontId="3" numFmtId="0" xfId="0" applyAlignment="1" applyBorder="1" applyFont="1">
      <alignment horizontal="center" shrinkToFit="0" wrapText="1"/>
    </xf>
    <xf borderId="5" fillId="8" fontId="3" numFmtId="0" xfId="0" applyAlignment="1" applyBorder="1" applyFont="1">
      <alignment horizontal="center" readingOrder="0" shrinkToFit="0" wrapText="1"/>
    </xf>
    <xf borderId="5" fillId="0" fontId="3" numFmtId="0" xfId="0" applyAlignment="1" applyBorder="1" applyFont="1">
      <alignment horizontal="center" readingOrder="0"/>
    </xf>
    <xf borderId="5" fillId="0" fontId="3" numFmtId="0" xfId="0" applyAlignment="1" applyBorder="1" applyFont="1">
      <alignment horizontal="center"/>
    </xf>
    <xf borderId="5" fillId="0" fontId="3" numFmtId="49" xfId="0" applyAlignment="1" applyBorder="1" applyFont="1" applyNumberFormat="1">
      <alignment horizontal="center"/>
    </xf>
    <xf borderId="5" fillId="9" fontId="3" numFmtId="165" xfId="0" applyAlignment="1" applyBorder="1" applyFont="1" applyNumberFormat="1">
      <alignment horizontal="center"/>
    </xf>
    <xf borderId="5" fillId="7" fontId="3" numFmtId="0" xfId="0" applyAlignment="1" applyBorder="1" applyFont="1">
      <alignment horizontal="center"/>
    </xf>
    <xf borderId="5" fillId="0" fontId="3" numFmtId="0" xfId="0" applyAlignment="1" applyBorder="1" applyFont="1">
      <alignment horizontal="center"/>
    </xf>
    <xf borderId="3" fillId="0" fontId="3" numFmtId="0" xfId="0" applyBorder="1" applyFont="1"/>
    <xf borderId="4" fillId="0" fontId="3" numFmtId="0" xfId="0" applyAlignment="1" applyBorder="1" applyFont="1">
      <alignment horizontal="center" readingOrder="0" vertical="bottom"/>
    </xf>
    <xf borderId="3" fillId="4" fontId="3" numFmtId="0" xfId="0" applyAlignment="1" applyBorder="1" applyFont="1">
      <alignment horizontal="center" readingOrder="0"/>
    </xf>
    <xf borderId="4" fillId="4" fontId="3" numFmtId="0" xfId="0" applyAlignment="1" applyBorder="1" applyFont="1">
      <alignment horizontal="center" vertical="center"/>
    </xf>
    <xf borderId="3" fillId="4" fontId="3" numFmtId="0" xfId="0" applyAlignment="1" applyBorder="1" applyFont="1">
      <alignment horizontal="center" vertical="center"/>
    </xf>
    <xf borderId="4" fillId="4" fontId="3" numFmtId="165" xfId="0" applyAlignment="1" applyBorder="1" applyFont="1" applyNumberFormat="1">
      <alignment horizontal="center" readingOrder="0" vertical="center"/>
    </xf>
    <xf borderId="5" fillId="4" fontId="1" numFmtId="0" xfId="0" applyAlignment="1" applyBorder="1" applyFont="1">
      <alignment horizontal="center" readingOrder="0" vertical="center"/>
    </xf>
    <xf borderId="4" fillId="4" fontId="16" numFmtId="0" xfId="0" applyAlignment="1" applyBorder="1" applyFont="1">
      <alignment horizontal="left" readingOrder="0" shrinkToFit="0" vertical="center" wrapText="0"/>
    </xf>
    <xf borderId="4" fillId="4" fontId="8" numFmtId="0" xfId="0" applyAlignment="1" applyBorder="1" applyFont="1">
      <alignment horizontal="center" vertical="center"/>
    </xf>
    <xf borderId="4" fillId="4" fontId="7" numFmtId="0" xfId="0" applyAlignment="1" applyBorder="1" applyFont="1">
      <alignment horizontal="right" readingOrder="0" vertical="bottom"/>
    </xf>
    <xf borderId="4" fillId="4" fontId="8" numFmtId="49" xfId="0" applyAlignment="1" applyBorder="1" applyFont="1" applyNumberFormat="1">
      <alignment horizontal="center" vertical="center"/>
    </xf>
    <xf borderId="4" fillId="4" fontId="8" numFmtId="0" xfId="0" applyAlignment="1" applyBorder="1" applyFont="1">
      <alignment horizontal="center" vertical="center"/>
    </xf>
    <xf borderId="3" fillId="4" fontId="8" numFmtId="0" xfId="0" applyAlignment="1" applyBorder="1" applyFont="1">
      <alignment horizontal="center" vertical="center"/>
    </xf>
    <xf borderId="3" fillId="4" fontId="3" numFmtId="0" xfId="0" applyAlignment="1" applyBorder="1" applyFont="1">
      <alignment horizontal="center" vertical="center"/>
    </xf>
    <xf borderId="3" fillId="4" fontId="3" numFmtId="0" xfId="0" applyAlignment="1" applyBorder="1" applyFont="1">
      <alignment horizontal="center"/>
    </xf>
    <xf borderId="3" fillId="4" fontId="8" numFmtId="49" xfId="0" applyAlignment="1" applyBorder="1" applyFont="1" applyNumberFormat="1">
      <alignment horizontal="center" vertical="center"/>
    </xf>
    <xf borderId="4" fillId="4" fontId="3" numFmtId="49" xfId="0" applyAlignment="1" applyBorder="1" applyFont="1" applyNumberFormat="1">
      <alignment horizontal="center" vertical="center"/>
    </xf>
    <xf borderId="5" fillId="4" fontId="1" numFmtId="0" xfId="0" applyAlignment="1" applyBorder="1" applyFont="1">
      <alignment horizontal="center" vertical="center"/>
    </xf>
    <xf borderId="4" fillId="4" fontId="1" numFmtId="0" xfId="0" applyAlignment="1" applyBorder="1" applyFont="1">
      <alignment horizontal="center" vertical="center"/>
    </xf>
    <xf borderId="4" fillId="0" fontId="8" numFmtId="0" xfId="0" applyAlignment="1" applyBorder="1" applyFont="1">
      <alignment horizontal="center" vertical="center"/>
    </xf>
    <xf borderId="3" fillId="0" fontId="8" numFmtId="0" xfId="0" applyAlignment="1" applyBorder="1" applyFont="1">
      <alignment horizontal="center" vertical="center"/>
    </xf>
    <xf borderId="3" fillId="0" fontId="3" numFmtId="0" xfId="0" applyAlignment="1" applyBorder="1" applyFont="1">
      <alignment horizontal="center" vertical="center"/>
    </xf>
    <xf borderId="3" fillId="0" fontId="8" numFmtId="49" xfId="0" applyAlignment="1" applyBorder="1" applyFont="1" applyNumberFormat="1">
      <alignment horizontal="center" vertical="center"/>
    </xf>
    <xf borderId="4" fillId="9" fontId="3" numFmtId="49" xfId="0" applyAlignment="1" applyBorder="1" applyFont="1" applyNumberFormat="1">
      <alignment horizontal="center" vertical="center"/>
    </xf>
    <xf borderId="5" fillId="0" fontId="1" numFmtId="0" xfId="0" applyAlignment="1" applyBorder="1" applyFont="1">
      <alignment horizontal="center" vertical="center"/>
    </xf>
    <xf borderId="4" fillId="0" fontId="8" numFmtId="49" xfId="0" applyAlignment="1" applyBorder="1" applyFont="1" applyNumberFormat="1">
      <alignment horizontal="center" vertical="center"/>
    </xf>
    <xf borderId="4" fillId="9" fontId="3" numFmtId="0" xfId="0" applyAlignment="1" applyBorder="1" applyFont="1">
      <alignment horizontal="left" readingOrder="0" vertical="center"/>
    </xf>
    <xf borderId="0" fillId="0" fontId="8" numFmtId="0" xfId="0" applyAlignment="1" applyFont="1">
      <alignment horizontal="center" vertical="center"/>
    </xf>
    <xf borderId="4" fillId="0" fontId="9" numFmtId="0" xfId="0" applyAlignment="1" applyBorder="1" applyFont="1">
      <alignment horizontal="center" readingOrder="0" vertical="center"/>
    </xf>
    <xf borderId="0" fillId="0" fontId="8" numFmtId="0" xfId="0" applyAlignment="1" applyFont="1">
      <alignment horizontal="center" readingOrder="0" vertical="center"/>
    </xf>
    <xf borderId="5" fillId="2" fontId="5" numFmtId="0" xfId="0" applyAlignment="1" applyBorder="1" applyFont="1">
      <alignment horizontal="center" vertical="center"/>
    </xf>
    <xf borderId="5" fillId="2" fontId="5" numFmtId="0" xfId="0" applyAlignment="1" applyBorder="1" applyFont="1">
      <alignment horizontal="center" readingOrder="0" vertical="center"/>
    </xf>
    <xf borderId="4" fillId="6" fontId="2" numFmtId="49" xfId="0" applyAlignment="1" applyBorder="1" applyFont="1" applyNumberFormat="1">
      <alignment horizontal="center" readingOrder="0" vertical="center"/>
    </xf>
    <xf borderId="5" fillId="6" fontId="5" numFmtId="0" xfId="0" applyAlignment="1" applyBorder="1" applyFont="1">
      <alignment horizontal="center" readingOrder="0" shrinkToFit="0" vertical="center" wrapText="1"/>
    </xf>
    <xf borderId="4" fillId="6" fontId="2" numFmtId="168" xfId="0" applyAlignment="1" applyBorder="1" applyFont="1" applyNumberFormat="1">
      <alignment horizontal="center" readingOrder="0" shrinkToFit="0" vertical="center" wrapText="1"/>
    </xf>
    <xf borderId="4" fillId="8" fontId="12" numFmtId="0" xfId="0" applyAlignment="1" applyBorder="1" applyFont="1">
      <alignment horizontal="center"/>
    </xf>
    <xf borderId="0" fillId="9" fontId="8" numFmtId="0" xfId="0" applyAlignment="1" applyFont="1">
      <alignment horizontal="center" readingOrder="0"/>
    </xf>
    <xf borderId="4" fillId="0" fontId="1" numFmtId="49" xfId="0" applyAlignment="1" applyBorder="1" applyFont="1" applyNumberFormat="1">
      <alignment horizontal="center" readingOrder="0" vertical="center"/>
    </xf>
    <xf borderId="4" fillId="13" fontId="3" numFmtId="0" xfId="0" applyAlignment="1" applyBorder="1" applyFont="1">
      <alignment horizontal="center" readingOrder="0" vertical="center"/>
    </xf>
    <xf borderId="4" fillId="0" fontId="9" numFmtId="3" xfId="0" applyAlignment="1" applyBorder="1" applyFont="1" applyNumberFormat="1">
      <alignment horizontal="center" readingOrder="0" vertical="center"/>
    </xf>
    <xf borderId="4" fillId="0" fontId="3" numFmtId="0" xfId="0" applyAlignment="1" applyBorder="1" applyFont="1">
      <alignment horizontal="left" readingOrder="0" shrinkToFit="0" vertical="center" wrapText="1"/>
    </xf>
    <xf borderId="4" fillId="0" fontId="3" numFmtId="0" xfId="0" applyAlignment="1" applyBorder="1" applyFont="1">
      <alignment horizontal="center" readingOrder="0" shrinkToFit="0" vertical="center" wrapText="1"/>
    </xf>
    <xf borderId="4" fillId="0" fontId="3" numFmtId="168" xfId="0" applyAlignment="1" applyBorder="1" applyFont="1" applyNumberFormat="1">
      <alignment horizontal="center" readingOrder="0" vertical="center"/>
    </xf>
    <xf borderId="4" fillId="0" fontId="3" numFmtId="0" xfId="0" applyAlignment="1" applyBorder="1" applyFont="1">
      <alignment horizontal="left" shrinkToFit="0" vertical="center" wrapText="1"/>
    </xf>
    <xf borderId="4" fillId="0" fontId="9" numFmtId="0" xfId="0" applyAlignment="1" applyBorder="1" applyFont="1">
      <alignment horizontal="center" readingOrder="0" vertical="center"/>
    </xf>
    <xf borderId="4" fillId="0" fontId="3" numFmtId="169" xfId="0" applyAlignment="1" applyBorder="1" applyFont="1" applyNumberFormat="1">
      <alignment horizontal="center" readingOrder="0" vertical="center"/>
    </xf>
    <xf borderId="4" fillId="0" fontId="3" numFmtId="168" xfId="0" applyAlignment="1" applyBorder="1" applyFont="1" applyNumberFormat="1">
      <alignment horizontal="center" vertical="center"/>
    </xf>
    <xf borderId="4" fillId="17" fontId="3" numFmtId="0" xfId="0" applyAlignment="1" applyBorder="1" applyFont="1">
      <alignment horizontal="center" vertical="center"/>
    </xf>
    <xf borderId="4" fillId="17" fontId="12" numFmtId="0" xfId="0" applyAlignment="1" applyBorder="1" applyFont="1">
      <alignment horizontal="center"/>
    </xf>
    <xf borderId="4" fillId="17" fontId="1" numFmtId="49" xfId="0" applyAlignment="1" applyBorder="1" applyFont="1" applyNumberFormat="1">
      <alignment horizontal="center" readingOrder="0" vertical="center"/>
    </xf>
    <xf borderId="4" fillId="17" fontId="3" numFmtId="0" xfId="0" applyAlignment="1" applyBorder="1" applyFont="1">
      <alignment horizontal="center" readingOrder="0" vertical="center"/>
    </xf>
    <xf borderId="4" fillId="17" fontId="3" numFmtId="0" xfId="0" applyAlignment="1" applyBorder="1" applyFont="1">
      <alignment horizontal="center" vertical="center"/>
    </xf>
    <xf borderId="4" fillId="17" fontId="1" numFmtId="3" xfId="0" applyAlignment="1" applyBorder="1" applyFont="1" applyNumberFormat="1">
      <alignment horizontal="center" readingOrder="0" vertical="center"/>
    </xf>
    <xf borderId="4" fillId="17" fontId="3" numFmtId="0" xfId="0" applyAlignment="1" applyBorder="1" applyFont="1">
      <alignment horizontal="left" readingOrder="0" shrinkToFit="0" vertical="center" wrapText="1"/>
    </xf>
    <xf borderId="4" fillId="17" fontId="20" numFmtId="0" xfId="0" applyAlignment="1" applyBorder="1" applyFont="1">
      <alignment horizontal="left" readingOrder="0" shrinkToFit="0" vertical="center" wrapText="1"/>
    </xf>
    <xf borderId="4" fillId="17" fontId="3" numFmtId="170" xfId="0" applyAlignment="1" applyBorder="1" applyFont="1" applyNumberFormat="1">
      <alignment horizontal="center" readingOrder="0" vertical="center"/>
    </xf>
    <xf borderId="4" fillId="17" fontId="3" numFmtId="170" xfId="0" applyAlignment="1" applyBorder="1" applyFont="1" applyNumberFormat="1">
      <alignment horizontal="center" vertical="center"/>
    </xf>
    <xf borderId="4" fillId="17" fontId="3" numFmtId="168" xfId="0" applyAlignment="1" applyBorder="1" applyFont="1" applyNumberFormat="1">
      <alignment horizontal="center" vertical="center"/>
    </xf>
    <xf borderId="0" fillId="17" fontId="1" numFmtId="0" xfId="0" applyAlignment="1" applyFont="1">
      <alignment horizontal="center" vertical="center"/>
    </xf>
    <xf borderId="4" fillId="0" fontId="3" numFmtId="0" xfId="0" applyAlignment="1" applyBorder="1" applyFont="1">
      <alignment horizontal="left" readingOrder="0" shrinkToFit="0" vertical="center" wrapText="1"/>
    </xf>
    <xf borderId="4" fillId="9" fontId="3" numFmtId="0" xfId="0" applyAlignment="1" applyBorder="1" applyFont="1">
      <alignment horizontal="center" vertical="center"/>
    </xf>
    <xf borderId="4" fillId="0" fontId="3" numFmtId="0" xfId="0" applyAlignment="1" applyBorder="1" applyFont="1">
      <alignment horizontal="center"/>
    </xf>
    <xf borderId="4" fillId="8" fontId="3" numFmtId="0" xfId="0" applyAlignment="1" applyBorder="1" applyFont="1">
      <alignment horizontal="center" vertical="bottom"/>
    </xf>
    <xf borderId="4" fillId="13" fontId="3" numFmtId="0" xfId="0" applyAlignment="1" applyBorder="1" applyFont="1">
      <alignment horizontal="center"/>
    </xf>
    <xf borderId="4" fillId="0" fontId="3" numFmtId="0" xfId="0" applyAlignment="1" applyBorder="1" applyFont="1">
      <alignment horizontal="center" readingOrder="0"/>
    </xf>
    <xf borderId="4" fillId="0" fontId="3" numFmtId="0" xfId="0" applyAlignment="1" applyBorder="1" applyFont="1">
      <alignment horizontal="center"/>
    </xf>
    <xf borderId="4" fillId="0" fontId="3" numFmtId="3" xfId="0" applyAlignment="1" applyBorder="1" applyFont="1" applyNumberFormat="1">
      <alignment horizontal="center"/>
    </xf>
    <xf borderId="4" fillId="0" fontId="3" numFmtId="0" xfId="0" applyAlignment="1" applyBorder="1" applyFont="1">
      <alignment readingOrder="0" shrinkToFit="0" wrapText="1"/>
    </xf>
    <xf borderId="4" fillId="0" fontId="3" numFmtId="0" xfId="0" applyAlignment="1" applyBorder="1" applyFont="1">
      <alignment horizontal="center" readingOrder="0" shrinkToFit="0" wrapText="1"/>
    </xf>
    <xf borderId="0" fillId="0" fontId="7" numFmtId="0" xfId="0" applyFont="1"/>
    <xf borderId="4" fillId="0" fontId="3" numFmtId="3" xfId="0" applyAlignment="1" applyBorder="1" applyFont="1" applyNumberFormat="1">
      <alignment horizontal="center" readingOrder="0"/>
    </xf>
    <xf borderId="4" fillId="0" fontId="3" numFmtId="0" xfId="0" applyAlignment="1" applyBorder="1" applyFont="1">
      <alignment readingOrder="0"/>
    </xf>
    <xf borderId="4" fillId="0" fontId="3" numFmtId="168" xfId="0" applyAlignment="1" applyBorder="1" applyFont="1" applyNumberFormat="1">
      <alignment horizontal="center" readingOrder="0"/>
    </xf>
    <xf borderId="4" fillId="8" fontId="3" numFmtId="0" xfId="0" applyAlignment="1" applyBorder="1" applyFont="1">
      <alignment horizontal="center" readingOrder="0" vertical="center"/>
    </xf>
    <xf borderId="4" fillId="0" fontId="3" numFmtId="170" xfId="0" applyAlignment="1" applyBorder="1" applyFont="1" applyNumberFormat="1">
      <alignment horizontal="center" vertical="center"/>
    </xf>
    <xf borderId="4" fillId="17" fontId="8" numFmtId="0" xfId="0" applyAlignment="1" applyBorder="1" applyFont="1">
      <alignment horizontal="center" readingOrder="0"/>
    </xf>
    <xf borderId="4" fillId="17" fontId="3" numFmtId="0" xfId="0" applyAlignment="1" applyBorder="1" applyFont="1">
      <alignment horizontal="center" readingOrder="0" vertical="center"/>
    </xf>
    <xf borderId="4" fillId="17" fontId="1" numFmtId="0" xfId="0" applyAlignment="1" applyBorder="1" applyFont="1">
      <alignment horizontal="left" readingOrder="0" shrinkToFit="0" vertical="center" wrapText="1"/>
    </xf>
    <xf borderId="4" fillId="17" fontId="1" numFmtId="0" xfId="0" applyAlignment="1" applyBorder="1" applyFont="1">
      <alignment horizontal="center" vertical="center"/>
    </xf>
    <xf borderId="4" fillId="4" fontId="6" numFmtId="49" xfId="0" applyAlignment="1" applyBorder="1" applyFont="1" applyNumberFormat="1">
      <alignment horizontal="center" vertical="center"/>
    </xf>
    <xf borderId="4" fillId="4" fontId="6" numFmtId="168" xfId="0" applyAlignment="1" applyBorder="1" applyFont="1" applyNumberFormat="1">
      <alignment horizontal="center" vertical="center"/>
    </xf>
    <xf borderId="4" fillId="11" fontId="3" numFmtId="0" xfId="0" applyAlignment="1" applyBorder="1" applyFont="1">
      <alignment horizontal="center" vertical="center"/>
    </xf>
    <xf borderId="4" fillId="11" fontId="1" numFmtId="0" xfId="0" applyAlignment="1" applyBorder="1" applyFont="1">
      <alignment horizontal="center" readingOrder="0" vertical="center"/>
    </xf>
    <xf borderId="4" fillId="11" fontId="3" numFmtId="0" xfId="0" applyAlignment="1" applyBorder="1" applyFont="1">
      <alignment horizontal="center" readingOrder="0" vertical="center"/>
    </xf>
    <xf borderId="4" fillId="11" fontId="1" numFmtId="3" xfId="0" applyAlignment="1" applyBorder="1" applyFont="1" applyNumberFormat="1">
      <alignment horizontal="center" readingOrder="0" vertical="center"/>
    </xf>
    <xf borderId="4" fillId="11" fontId="21" numFmtId="0" xfId="0" applyAlignment="1" applyBorder="1" applyFont="1">
      <alignment horizontal="left" readingOrder="0" shrinkToFit="0" vertical="center" wrapText="1"/>
    </xf>
    <xf borderId="4" fillId="11" fontId="1" numFmtId="0" xfId="0" applyAlignment="1" applyBorder="1" applyFont="1">
      <alignment horizontal="left" readingOrder="0" shrinkToFit="0" vertical="center" wrapText="1"/>
    </xf>
    <xf borderId="4" fillId="11" fontId="1" numFmtId="168" xfId="0" applyAlignment="1" applyBorder="1" applyFont="1" applyNumberFormat="1">
      <alignment horizontal="center" readingOrder="0" vertical="center"/>
    </xf>
    <xf borderId="4" fillId="0" fontId="22" numFmtId="165" xfId="0" applyAlignment="1" applyBorder="1" applyFont="1" applyNumberFormat="1">
      <alignment horizontal="center" readingOrder="0" vertical="center"/>
    </xf>
    <xf borderId="4" fillId="0" fontId="21" numFmtId="0" xfId="0" applyAlignment="1" applyBorder="1" applyFont="1">
      <alignment horizontal="center" readingOrder="0" vertical="center"/>
    </xf>
    <xf borderId="4" fillId="0" fontId="1" numFmtId="0" xfId="0" applyAlignment="1" applyBorder="1" applyFont="1">
      <alignment horizontal="left" readingOrder="0" vertical="center"/>
    </xf>
    <xf borderId="4" fillId="0" fontId="22" numFmtId="49" xfId="0" applyAlignment="1" applyBorder="1" applyFont="1" applyNumberFormat="1">
      <alignment horizontal="center" readingOrder="0" vertical="center"/>
    </xf>
    <xf borderId="5" fillId="8" fontId="3" numFmtId="0" xfId="0" applyAlignment="1" applyBorder="1" applyFont="1">
      <alignment horizontal="center" vertical="bottom"/>
    </xf>
    <xf borderId="5" fillId="9" fontId="3" numFmtId="0" xfId="0" applyAlignment="1" applyBorder="1" applyFont="1">
      <alignment horizontal="center" readingOrder="0" vertical="bottom"/>
    </xf>
    <xf borderId="5" fillId="8" fontId="3" numFmtId="0" xfId="0" applyAlignment="1" applyBorder="1" applyFont="1">
      <alignment horizontal="center"/>
    </xf>
    <xf borderId="5" fillId="8" fontId="3" numFmtId="49" xfId="0" applyAlignment="1" applyBorder="1" applyFont="1" applyNumberFormat="1">
      <alignment horizontal="center"/>
    </xf>
    <xf borderId="5" fillId="0" fontId="3" numFmtId="3" xfId="0" applyAlignment="1" applyBorder="1" applyFont="1" applyNumberFormat="1">
      <alignment horizontal="center" readingOrder="0"/>
    </xf>
    <xf borderId="5" fillId="0" fontId="3" numFmtId="168" xfId="0" applyAlignment="1" applyBorder="1" applyFont="1" applyNumberFormat="1">
      <alignment horizontal="center"/>
    </xf>
    <xf borderId="4" fillId="0" fontId="3" numFmtId="0" xfId="0" applyAlignment="1" applyBorder="1" applyFont="1">
      <alignment horizontal="center" vertical="center"/>
    </xf>
    <xf borderId="4" fillId="8" fontId="3" numFmtId="0" xfId="0" applyAlignment="1" applyBorder="1" applyFont="1">
      <alignment horizontal="center" vertical="center"/>
    </xf>
    <xf borderId="4" fillId="8" fontId="1" numFmtId="3" xfId="0" applyAlignment="1" applyBorder="1" applyFont="1" applyNumberFormat="1">
      <alignment horizontal="center" readingOrder="0" vertical="center"/>
    </xf>
    <xf borderId="4" fillId="8" fontId="1" numFmtId="0" xfId="0" applyAlignment="1" applyBorder="1" applyFont="1">
      <alignment horizontal="center" readingOrder="0" shrinkToFit="0" vertical="center" wrapText="1"/>
    </xf>
    <xf borderId="4" fillId="8" fontId="1" numFmtId="0" xfId="0" applyAlignment="1" applyBorder="1" applyFont="1">
      <alignment horizontal="center" shrinkToFit="0" vertical="center" wrapText="1"/>
    </xf>
    <xf borderId="4" fillId="8" fontId="1" numFmtId="0" xfId="0" applyAlignment="1" applyBorder="1" applyFont="1">
      <alignment horizontal="center" vertical="center"/>
    </xf>
    <xf borderId="4" fillId="8" fontId="3" numFmtId="168" xfId="0" applyAlignment="1" applyBorder="1" applyFont="1" applyNumberFormat="1">
      <alignment horizontal="center" vertical="center"/>
    </xf>
    <xf borderId="4" fillId="0" fontId="12" numFmtId="0" xfId="0" applyAlignment="1" applyBorder="1" applyFont="1">
      <alignment horizontal="center"/>
    </xf>
    <xf borderId="4" fillId="0" fontId="8" numFmtId="0" xfId="0" applyAlignment="1" applyBorder="1" applyFont="1">
      <alignment horizontal="center" readingOrder="0"/>
    </xf>
    <xf borderId="4" fillId="12" fontId="3" numFmtId="0" xfId="0" applyAlignment="1" applyBorder="1" applyFont="1">
      <alignment horizontal="center" readingOrder="0" vertical="center"/>
    </xf>
    <xf borderId="4" fillId="12" fontId="12" numFmtId="0" xfId="0" applyAlignment="1" applyBorder="1" applyFont="1">
      <alignment horizontal="center"/>
    </xf>
    <xf borderId="4" fillId="12" fontId="8" numFmtId="0" xfId="0" applyAlignment="1" applyBorder="1" applyFont="1">
      <alignment horizontal="center" readingOrder="0"/>
    </xf>
    <xf borderId="4" fillId="12" fontId="8" numFmtId="49" xfId="0" applyAlignment="1" applyBorder="1" applyFont="1" applyNumberFormat="1">
      <alignment horizontal="center" readingOrder="0" vertical="center"/>
    </xf>
    <xf borderId="4" fillId="12" fontId="1" numFmtId="0" xfId="0" applyAlignment="1" applyBorder="1" applyFont="1">
      <alignment horizontal="center" readingOrder="0" vertical="center"/>
    </xf>
    <xf borderId="4" fillId="12" fontId="1" numFmtId="3" xfId="0" applyAlignment="1" applyBorder="1" applyFont="1" applyNumberFormat="1">
      <alignment horizontal="center" readingOrder="0" vertical="center"/>
    </xf>
    <xf borderId="4" fillId="12" fontId="1" numFmtId="0" xfId="0" applyAlignment="1" applyBorder="1" applyFont="1">
      <alignment horizontal="center" readingOrder="0" shrinkToFit="0" vertical="center" wrapText="1"/>
    </xf>
    <xf borderId="4" fillId="12" fontId="1" numFmtId="0" xfId="0" applyAlignment="1" applyBorder="1" applyFont="1">
      <alignment horizontal="center" vertical="center"/>
    </xf>
    <xf borderId="4" fillId="12" fontId="3" numFmtId="168" xfId="0" applyAlignment="1" applyBorder="1" applyFont="1" applyNumberFormat="1">
      <alignment horizontal="center" vertical="center"/>
    </xf>
    <xf borderId="4" fillId="0" fontId="1" numFmtId="49" xfId="0" applyAlignment="1" applyBorder="1" applyFont="1" applyNumberFormat="1">
      <alignment horizontal="center" vertical="center"/>
    </xf>
    <xf borderId="4" fillId="0" fontId="1" numFmtId="168" xfId="0" applyAlignment="1" applyBorder="1" applyFont="1" applyNumberFormat="1">
      <alignment horizontal="center" vertical="center"/>
    </xf>
    <xf borderId="0" fillId="8" fontId="3" numFmtId="0" xfId="0" applyAlignment="1" applyFont="1">
      <alignment horizontal="center" vertical="center"/>
    </xf>
    <xf borderId="0" fillId="8" fontId="1" numFmtId="0" xfId="0" applyAlignment="1" applyFont="1">
      <alignment horizontal="center" readingOrder="0" vertical="center"/>
    </xf>
    <xf borderId="0" fillId="8" fontId="8" numFmtId="49" xfId="0" applyAlignment="1" applyFont="1" applyNumberFormat="1">
      <alignment horizontal="center" readingOrder="0" vertical="center"/>
    </xf>
    <xf borderId="0" fillId="13" fontId="3" numFmtId="0" xfId="0" applyAlignment="1" applyFont="1">
      <alignment horizontal="center" readingOrder="0" vertical="center"/>
    </xf>
    <xf borderId="0" fillId="8" fontId="1" numFmtId="3" xfId="0" applyAlignment="1" applyFont="1" applyNumberFormat="1">
      <alignment horizontal="center" readingOrder="0" vertical="center"/>
    </xf>
    <xf borderId="0" fillId="8" fontId="1" numFmtId="0" xfId="0" applyAlignment="1" applyFont="1">
      <alignment horizontal="center" readingOrder="0" shrinkToFit="0" vertical="center" wrapText="1"/>
    </xf>
    <xf borderId="0" fillId="8" fontId="1" numFmtId="0" xfId="0" applyAlignment="1" applyFont="1">
      <alignment horizontal="center" shrinkToFit="0" vertical="center" wrapText="1"/>
    </xf>
    <xf borderId="0" fillId="8" fontId="1" numFmtId="0" xfId="0" applyAlignment="1" applyFont="1">
      <alignment horizontal="center" vertical="center"/>
    </xf>
    <xf borderId="0" fillId="8" fontId="3" numFmtId="168" xfId="0" applyAlignment="1" applyFont="1" applyNumberFormat="1">
      <alignment horizontal="center" vertical="center"/>
    </xf>
    <xf borderId="4" fillId="2" fontId="2" numFmtId="0" xfId="0" applyAlignment="1" applyBorder="1" applyFont="1">
      <alignment horizontal="center" readingOrder="0" vertical="center"/>
    </xf>
    <xf borderId="4" fillId="3" fontId="2" numFmtId="0" xfId="0" applyAlignment="1" applyBorder="1" applyFont="1">
      <alignment horizontal="center" readingOrder="0" vertical="center"/>
    </xf>
    <xf borderId="0" fillId="0" fontId="10" numFmtId="0" xfId="0" applyAlignment="1" applyFont="1">
      <alignment horizontal="center" vertical="center"/>
    </xf>
    <xf borderId="11" fillId="0" fontId="3" numFmtId="0" xfId="0" applyAlignment="1" applyBorder="1" applyFont="1">
      <alignment horizontal="center" readingOrder="0" vertical="center"/>
    </xf>
    <xf borderId="11" fillId="0" fontId="8" numFmtId="49" xfId="0" applyAlignment="1" applyBorder="1" applyFont="1" applyNumberFormat="1">
      <alignment horizontal="center" readingOrder="0" vertical="center"/>
    </xf>
    <xf borderId="4" fillId="6" fontId="5" numFmtId="0" xfId="0" applyAlignment="1" applyBorder="1" applyFont="1">
      <alignment horizontal="center" readingOrder="0" shrinkToFit="0" vertical="center" wrapText="1"/>
    </xf>
    <xf borderId="5" fillId="11" fontId="5" numFmtId="49" xfId="0" applyAlignment="1" applyBorder="1" applyFont="1" applyNumberFormat="1">
      <alignment horizontal="center" readingOrder="0" shrinkToFit="0" vertical="center" wrapText="1"/>
    </xf>
    <xf borderId="5" fillId="8" fontId="5" numFmtId="49" xfId="0" applyAlignment="1" applyBorder="1" applyFont="1" applyNumberFormat="1">
      <alignment horizontal="center" readingOrder="0" shrinkToFit="0" vertical="center" wrapText="1"/>
    </xf>
    <xf borderId="5" fillId="8" fontId="2" numFmtId="0" xfId="0" applyAlignment="1" applyBorder="1" applyFont="1">
      <alignment horizontal="center" readingOrder="0" shrinkToFit="0" vertical="center" wrapText="1"/>
    </xf>
    <xf borderId="5" fillId="6" fontId="5" numFmtId="164" xfId="0" applyAlignment="1" applyBorder="1" applyFont="1" applyNumberFormat="1">
      <alignment horizontal="center" shrinkToFit="0" vertical="center" wrapText="1"/>
    </xf>
    <xf borderId="5" fillId="6" fontId="5"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4" fillId="2" fontId="1" numFmtId="0" xfId="0" applyAlignment="1" applyBorder="1" applyFont="1">
      <alignment horizontal="center" readingOrder="0" vertical="center"/>
    </xf>
    <xf borderId="4" fillId="8" fontId="8" numFmtId="0" xfId="0" applyAlignment="1" applyBorder="1" applyFont="1">
      <alignment horizontal="center" readingOrder="0" shrinkToFit="0" vertical="center" wrapText="1"/>
    </xf>
    <xf borderId="4" fillId="9" fontId="3" numFmtId="165" xfId="0" applyAlignment="1" applyBorder="1" applyFont="1" applyNumberFormat="1">
      <alignment horizontal="center" readingOrder="0" shrinkToFit="0" vertical="center" wrapText="1"/>
    </xf>
    <xf borderId="4" fillId="9" fontId="3" numFmtId="165" xfId="0" applyAlignment="1" applyBorder="1" applyFont="1" applyNumberFormat="1">
      <alignment horizontal="center" shrinkToFit="0" vertical="center" wrapText="1"/>
    </xf>
    <xf borderId="3" fillId="0" fontId="8" numFmtId="0" xfId="0" applyAlignment="1" applyBorder="1" applyFont="1">
      <alignment horizontal="center" shrinkToFit="0" vertical="center" wrapText="1"/>
    </xf>
    <xf borderId="4" fillId="8" fontId="8"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3" fillId="0" fontId="3" numFmtId="0" xfId="0" applyAlignment="1" applyBorder="1" applyFont="1">
      <alignment horizontal="center" readingOrder="0" shrinkToFit="0" vertical="center" wrapText="1"/>
    </xf>
    <xf borderId="0" fillId="0" fontId="6" numFmtId="0" xfId="0" applyAlignment="1" applyFont="1">
      <alignment horizontal="center" shrinkToFit="0" vertical="center" wrapText="1"/>
    </xf>
    <xf borderId="4" fillId="3" fontId="5" numFmtId="0" xfId="0" applyAlignment="1" applyBorder="1" applyFont="1">
      <alignment horizontal="center" readingOrder="0" vertical="center"/>
    </xf>
    <xf borderId="5" fillId="3" fontId="5" numFmtId="0" xfId="0" applyAlignment="1" applyBorder="1" applyFont="1">
      <alignment horizontal="center" vertical="center"/>
    </xf>
    <xf borderId="5" fillId="3" fontId="5" numFmtId="0" xfId="0" applyAlignment="1" applyBorder="1" applyFont="1">
      <alignment horizontal="center" readingOrder="0" vertical="center"/>
    </xf>
    <xf borderId="5" fillId="3" fontId="2" numFmtId="0" xfId="0" applyAlignment="1" applyBorder="1" applyFont="1">
      <alignment horizontal="center" vertical="center"/>
    </xf>
    <xf borderId="0" fillId="3" fontId="5" numFmtId="0" xfId="0" applyAlignment="1" applyFont="1">
      <alignment horizontal="center" readingOrder="0"/>
    </xf>
    <xf borderId="3" fillId="2" fontId="8" numFmtId="49" xfId="0" applyAlignment="1" applyBorder="1" applyFont="1" applyNumberFormat="1">
      <alignment horizontal="center" readingOrder="0" vertical="center"/>
    </xf>
    <xf borderId="12" fillId="0" fontId="8" numFmtId="0" xfId="0" applyAlignment="1" applyBorder="1" applyFont="1">
      <alignment horizontal="center" readingOrder="0" vertical="center"/>
    </xf>
    <xf borderId="5" fillId="0" fontId="8" numFmtId="0" xfId="0" applyAlignment="1" applyBorder="1" applyFont="1">
      <alignment horizontal="center" readingOrder="0" vertical="center"/>
    </xf>
    <xf borderId="5" fillId="0" fontId="3" numFmtId="49" xfId="0" applyAlignment="1" applyBorder="1" applyFont="1" applyNumberFormat="1">
      <alignment horizontal="center" readingOrder="0" vertical="center"/>
    </xf>
    <xf borderId="3" fillId="0" fontId="3" numFmtId="49" xfId="0" applyAlignment="1" applyBorder="1" applyFont="1" applyNumberFormat="1">
      <alignment horizontal="center" readingOrder="0" vertical="center"/>
    </xf>
    <xf borderId="12" fillId="0" fontId="8" numFmtId="0" xfId="0" applyAlignment="1" applyBorder="1" applyFont="1">
      <alignment horizontal="center" readingOrder="0" shrinkToFit="0" vertical="center" wrapText="1"/>
    </xf>
    <xf borderId="1" fillId="4" fontId="6" numFmtId="0" xfId="0" applyAlignment="1" applyBorder="1" applyFont="1">
      <alignment horizontal="center" vertical="center"/>
    </xf>
    <xf borderId="4" fillId="4" fontId="23" numFmtId="0" xfId="0" applyAlignment="1" applyBorder="1" applyFont="1">
      <alignment horizontal="left" readingOrder="0" vertical="center"/>
    </xf>
    <xf borderId="5" fillId="5" fontId="8" numFmtId="0" xfId="0" applyAlignment="1" applyBorder="1" applyFont="1">
      <alignment horizontal="center" readingOrder="0" vertical="center"/>
    </xf>
    <xf borderId="5" fillId="2" fontId="8" numFmtId="0" xfId="0" applyAlignment="1" applyBorder="1" applyFont="1">
      <alignment horizontal="center" readingOrder="0" vertical="center"/>
    </xf>
    <xf borderId="4" fillId="2" fontId="8" numFmtId="0" xfId="0" applyAlignment="1" applyBorder="1" applyFont="1">
      <alignment horizontal="center" readingOrder="0" vertical="center"/>
    </xf>
    <xf borderId="13" fillId="0" fontId="8" numFmtId="0" xfId="0" applyAlignment="1" applyBorder="1" applyFont="1">
      <alignment horizontal="center" readingOrder="0" vertical="center"/>
    </xf>
    <xf borderId="13" fillId="8" fontId="12" numFmtId="0" xfId="0" applyAlignment="1" applyBorder="1" applyFont="1">
      <alignment horizontal="center" vertical="center"/>
    </xf>
    <xf borderId="13" fillId="0" fontId="3" numFmtId="0" xfId="0" applyAlignment="1" applyBorder="1" applyFont="1">
      <alignment horizontal="center" readingOrder="0" vertical="center"/>
    </xf>
    <xf borderId="13" fillId="0" fontId="8" numFmtId="49" xfId="0" applyAlignment="1" applyBorder="1" applyFont="1" applyNumberFormat="1">
      <alignment horizontal="center" readingOrder="0" vertical="center"/>
    </xf>
    <xf borderId="14" fillId="2" fontId="8" numFmtId="49" xfId="0" applyAlignment="1" applyBorder="1" applyFont="1" applyNumberFormat="1">
      <alignment horizontal="center" readingOrder="0" vertical="center"/>
    </xf>
    <xf borderId="14" fillId="0" fontId="8" numFmtId="49" xfId="0" applyAlignment="1" applyBorder="1" applyFont="1" applyNumberFormat="1">
      <alignment horizontal="center" readingOrder="0" vertical="center"/>
    </xf>
    <xf borderId="15" fillId="5" fontId="8" numFmtId="0" xfId="0" applyAlignment="1" applyBorder="1" applyFont="1">
      <alignment horizontal="center" readingOrder="0" vertical="center"/>
    </xf>
    <xf borderId="15" fillId="2" fontId="8" numFmtId="0" xfId="0" applyAlignment="1" applyBorder="1" applyFont="1">
      <alignment horizontal="center" readingOrder="0" vertical="center"/>
    </xf>
    <xf borderId="13" fillId="2" fontId="8" numFmtId="0" xfId="0" applyAlignment="1" applyBorder="1" applyFont="1">
      <alignment horizontal="center" readingOrder="0" vertical="center"/>
    </xf>
    <xf borderId="13" fillId="0" fontId="3" numFmtId="49" xfId="0" applyAlignment="1" applyBorder="1" applyFont="1" applyNumberFormat="1">
      <alignment horizontal="center" readingOrder="0" vertical="center"/>
    </xf>
    <xf borderId="13" fillId="0" fontId="6" numFmtId="0" xfId="0" applyAlignment="1" applyBorder="1" applyFont="1">
      <alignment horizontal="center" readingOrder="0" vertical="center"/>
    </xf>
    <xf borderId="16" fillId="0" fontId="6" numFmtId="0" xfId="0" applyAlignment="1" applyBorder="1" applyFont="1">
      <alignment horizontal="center" vertical="center"/>
    </xf>
    <xf borderId="8" fillId="8" fontId="12" numFmtId="0" xfId="0" applyAlignment="1" applyBorder="1" applyFont="1">
      <alignment horizontal="center" vertical="center"/>
    </xf>
    <xf borderId="8" fillId="0" fontId="3" numFmtId="0" xfId="0" applyAlignment="1" applyBorder="1" applyFont="1">
      <alignment horizontal="center" readingOrder="0" vertical="center"/>
    </xf>
    <xf borderId="8" fillId="0" fontId="8" numFmtId="49" xfId="0" applyAlignment="1" applyBorder="1" applyFont="1" applyNumberFormat="1">
      <alignment horizontal="center" readingOrder="0" vertical="center"/>
    </xf>
    <xf borderId="3" fillId="5" fontId="8" numFmtId="0" xfId="0" applyAlignment="1" applyBorder="1" applyFont="1">
      <alignment horizontal="center" readingOrder="0" vertical="center"/>
    </xf>
    <xf borderId="3" fillId="2" fontId="8" numFmtId="0" xfId="0" applyAlignment="1" applyBorder="1" applyFont="1">
      <alignment horizontal="center" readingOrder="0" vertical="center"/>
    </xf>
    <xf borderId="8" fillId="2" fontId="8" numFmtId="0" xfId="0" applyAlignment="1" applyBorder="1" applyFont="1">
      <alignment horizontal="center" readingOrder="0" vertical="center"/>
    </xf>
    <xf borderId="8" fillId="0" fontId="3" numFmtId="49" xfId="0" applyAlignment="1" applyBorder="1" applyFont="1" applyNumberFormat="1">
      <alignment horizontal="center" readingOrder="0" vertical="center"/>
    </xf>
    <xf borderId="8" fillId="0" fontId="6" numFmtId="0" xfId="0" applyAlignment="1" applyBorder="1" applyFont="1">
      <alignment horizontal="center" readingOrder="0" vertical="center"/>
    </xf>
    <xf borderId="11" fillId="0" fontId="8" numFmtId="0" xfId="0" applyAlignment="1" applyBorder="1" applyFont="1">
      <alignment horizontal="center" readingOrder="0" vertical="center"/>
    </xf>
    <xf borderId="11" fillId="8" fontId="12" numFmtId="0" xfId="0" applyAlignment="1" applyBorder="1" applyFont="1">
      <alignment horizontal="center" vertical="center"/>
    </xf>
    <xf borderId="2" fillId="2" fontId="8" numFmtId="49" xfId="0" applyAlignment="1" applyBorder="1" applyFont="1" applyNumberFormat="1">
      <alignment horizontal="center" readingOrder="0" vertical="center"/>
    </xf>
    <xf borderId="2" fillId="0" fontId="8" numFmtId="49" xfId="0" applyAlignment="1" applyBorder="1" applyFont="1" applyNumberFormat="1">
      <alignment horizontal="center" readingOrder="0" vertical="center"/>
    </xf>
    <xf borderId="12" fillId="5" fontId="8" numFmtId="0" xfId="0" applyAlignment="1" applyBorder="1" applyFont="1">
      <alignment horizontal="center" readingOrder="0" vertical="center"/>
    </xf>
    <xf borderId="12" fillId="2" fontId="8" numFmtId="0" xfId="0" applyAlignment="1" applyBorder="1" applyFont="1">
      <alignment horizontal="center" readingOrder="0" vertical="center"/>
    </xf>
    <xf borderId="11" fillId="2" fontId="8" numFmtId="0" xfId="0" applyAlignment="1" applyBorder="1" applyFont="1">
      <alignment horizontal="center" readingOrder="0" vertical="center"/>
    </xf>
    <xf borderId="11" fillId="0" fontId="3" numFmtId="49" xfId="0" applyAlignment="1" applyBorder="1" applyFont="1" applyNumberFormat="1">
      <alignment horizontal="center" readingOrder="0" vertical="center"/>
    </xf>
    <xf borderId="11" fillId="0" fontId="6" numFmtId="0" xfId="0" applyAlignment="1" applyBorder="1" applyFont="1">
      <alignment horizontal="center" readingOrder="0" vertical="center"/>
    </xf>
    <xf borderId="4" fillId="2" fontId="8" numFmtId="49" xfId="0" applyAlignment="1" applyBorder="1" applyFont="1" applyNumberFormat="1">
      <alignment horizontal="center" readingOrder="0" vertical="center"/>
    </xf>
    <xf borderId="4" fillId="5" fontId="8" numFmtId="0" xfId="0" applyAlignment="1" applyBorder="1" applyFont="1">
      <alignment horizontal="center" readingOrder="0" vertical="center"/>
    </xf>
    <xf borderId="13" fillId="2" fontId="8" numFmtId="49" xfId="0" applyAlignment="1" applyBorder="1" applyFont="1" applyNumberFormat="1">
      <alignment horizontal="center" readingOrder="0" vertical="center"/>
    </xf>
    <xf borderId="13" fillId="5" fontId="8" numFmtId="0" xfId="0" applyAlignment="1" applyBorder="1" applyFont="1">
      <alignment horizontal="center" readingOrder="0" vertical="center"/>
    </xf>
    <xf borderId="17" fillId="0" fontId="8" numFmtId="49" xfId="0" applyAlignment="1" applyBorder="1" applyFont="1" applyNumberFormat="1">
      <alignment horizontal="center" readingOrder="0" vertical="center"/>
    </xf>
    <xf borderId="17" fillId="0" fontId="8" numFmtId="0" xfId="0" applyAlignment="1" applyBorder="1" applyFont="1">
      <alignment horizontal="center" readingOrder="0" vertical="center"/>
    </xf>
    <xf borderId="17" fillId="0" fontId="3" numFmtId="0" xfId="0" applyAlignment="1" applyBorder="1" applyFont="1">
      <alignment horizontal="center" readingOrder="0" vertical="center"/>
    </xf>
    <xf borderId="14" fillId="2" fontId="8" numFmtId="0" xfId="0" applyAlignment="1" applyBorder="1" applyFont="1">
      <alignment horizontal="center" readingOrder="0" vertical="center"/>
    </xf>
    <xf borderId="17" fillId="2" fontId="8" numFmtId="0" xfId="0" applyAlignment="1" applyBorder="1" applyFont="1">
      <alignment horizontal="center" readingOrder="0" vertical="center"/>
    </xf>
    <xf borderId="17" fillId="0" fontId="3" numFmtId="49" xfId="0" applyAlignment="1" applyBorder="1" applyFont="1" applyNumberFormat="1">
      <alignment horizontal="center" readingOrder="0" vertical="center"/>
    </xf>
    <xf borderId="17" fillId="0" fontId="6" numFmtId="0" xfId="0" applyAlignment="1" applyBorder="1" applyFont="1">
      <alignment horizontal="center" readingOrder="0" vertical="center"/>
    </xf>
    <xf borderId="18" fillId="0" fontId="8" numFmtId="0" xfId="0" applyAlignment="1" applyBorder="1" applyFont="1">
      <alignment horizontal="center" readingOrder="0" vertical="center"/>
    </xf>
    <xf borderId="18" fillId="8" fontId="12" numFmtId="0" xfId="0" applyAlignment="1" applyBorder="1" applyFont="1">
      <alignment horizontal="center" vertical="center"/>
    </xf>
    <xf borderId="18" fillId="0" fontId="3" numFmtId="0" xfId="0" applyAlignment="1" applyBorder="1" applyFont="1">
      <alignment horizontal="center" readingOrder="0" vertical="center"/>
    </xf>
    <xf borderId="18" fillId="0" fontId="8" numFmtId="49" xfId="0" applyAlignment="1" applyBorder="1" applyFont="1" applyNumberFormat="1">
      <alignment horizontal="center" readingOrder="0" vertical="center"/>
    </xf>
    <xf borderId="19" fillId="2" fontId="8" numFmtId="49" xfId="0" applyAlignment="1" applyBorder="1" applyFont="1" applyNumberFormat="1">
      <alignment horizontal="center" readingOrder="0" vertical="center"/>
    </xf>
    <xf borderId="19" fillId="0" fontId="8" numFmtId="49" xfId="0" applyAlignment="1" applyBorder="1" applyFont="1" applyNumberFormat="1">
      <alignment horizontal="center" readingOrder="0" vertical="center"/>
    </xf>
    <xf borderId="19" fillId="5" fontId="8" numFmtId="0" xfId="0" applyAlignment="1" applyBorder="1" applyFont="1">
      <alignment horizontal="center" readingOrder="0" vertical="center"/>
    </xf>
    <xf borderId="19" fillId="2" fontId="8" numFmtId="0" xfId="0" applyAlignment="1" applyBorder="1" applyFont="1">
      <alignment horizontal="center" readingOrder="0" vertical="center"/>
    </xf>
    <xf borderId="18" fillId="2" fontId="8" numFmtId="0" xfId="0" applyAlignment="1" applyBorder="1" applyFont="1">
      <alignment horizontal="center" readingOrder="0" vertical="center"/>
    </xf>
    <xf borderId="18" fillId="0" fontId="3" numFmtId="49" xfId="0" applyAlignment="1" applyBorder="1" applyFont="1" applyNumberFormat="1">
      <alignment horizontal="center" readingOrder="0" vertical="center"/>
    </xf>
    <xf borderId="18" fillId="0" fontId="6" numFmtId="0" xfId="0" applyAlignment="1" applyBorder="1" applyFont="1">
      <alignment horizontal="center" readingOrder="0" vertical="center"/>
    </xf>
    <xf borderId="20" fillId="0" fontId="6" numFmtId="0" xfId="0" applyAlignment="1" applyBorder="1" applyFont="1">
      <alignment horizontal="center" vertical="center"/>
    </xf>
    <xf borderId="8" fillId="0" fontId="24" numFmtId="0" xfId="0" applyAlignment="1" applyBorder="1" applyFont="1">
      <alignment horizontal="center" readingOrder="0" vertical="center"/>
    </xf>
    <xf borderId="1" fillId="0" fontId="8" numFmtId="0" xfId="0" applyAlignment="1" applyBorder="1" applyFont="1">
      <alignment horizontal="center" readingOrder="0" vertical="center"/>
    </xf>
    <xf borderId="1" fillId="0" fontId="3" numFmtId="49" xfId="0" applyAlignment="1" applyBorder="1" applyFont="1" applyNumberFormat="1">
      <alignment horizontal="center" readingOrder="0" vertical="center"/>
    </xf>
    <xf borderId="1" fillId="0" fontId="6" numFmtId="0" xfId="0" applyAlignment="1" applyBorder="1" applyFont="1">
      <alignment horizontal="center" readingOrder="0" vertical="center"/>
    </xf>
    <xf borderId="1" fillId="8" fontId="12" numFmtId="0" xfId="0" applyAlignment="1" applyBorder="1" applyFont="1">
      <alignment horizontal="center" vertical="center"/>
    </xf>
    <xf borderId="1" fillId="0" fontId="3" numFmtId="0" xfId="0" applyAlignment="1" applyBorder="1" applyFont="1">
      <alignment horizontal="center" readingOrder="0" vertical="center"/>
    </xf>
    <xf borderId="1" fillId="0" fontId="8" numFmtId="49" xfId="0" applyAlignment="1" applyBorder="1" applyFont="1" applyNumberFormat="1">
      <alignment horizontal="center" readingOrder="0" vertical="center"/>
    </xf>
    <xf borderId="1" fillId="2" fontId="8" numFmtId="49" xfId="0" applyAlignment="1" applyBorder="1" applyFont="1" applyNumberFormat="1">
      <alignment horizontal="center" readingOrder="0" vertical="center"/>
    </xf>
    <xf borderId="1" fillId="5" fontId="8" numFmtId="0" xfId="0" applyAlignment="1" applyBorder="1" applyFont="1">
      <alignment horizontal="center" readingOrder="0" vertical="center"/>
    </xf>
    <xf borderId="3" fillId="8" fontId="8" numFmtId="49" xfId="0" applyAlignment="1" applyBorder="1" applyFont="1" applyNumberFormat="1">
      <alignment horizontal="center" readingOrder="0" vertical="center"/>
    </xf>
    <xf borderId="4" fillId="0" fontId="6" numFmtId="0" xfId="0" applyAlignment="1" applyBorder="1" applyFont="1">
      <alignment horizontal="left" readingOrder="0" vertical="center"/>
    </xf>
    <xf borderId="0" fillId="18" fontId="25" numFmtId="0" xfId="0" applyAlignment="1" applyFill="1" applyFont="1">
      <alignment horizontal="left" readingOrder="0" vertical="center"/>
    </xf>
    <xf borderId="0" fillId="18" fontId="5" numFmtId="0" xfId="0" applyAlignment="1" applyFont="1">
      <alignment horizontal="center" readingOrder="0" vertical="center"/>
    </xf>
    <xf borderId="0" fillId="18" fontId="5" numFmtId="0" xfId="0" applyAlignment="1" applyFont="1">
      <alignment horizontal="center" vertical="center"/>
    </xf>
    <xf borderId="0" fillId="3" fontId="5" numFmtId="0" xfId="0" applyAlignment="1" applyFont="1">
      <alignment horizontal="center" readingOrder="0" vertical="center"/>
    </xf>
    <xf borderId="4" fillId="3" fontId="5" numFmtId="0" xfId="0" applyAlignment="1" applyBorder="1" applyFont="1">
      <alignment horizontal="center" vertical="center"/>
    </xf>
    <xf borderId="0" fillId="0" fontId="5" numFmtId="0" xfId="0" applyAlignment="1" applyFont="1">
      <alignment horizontal="center" vertical="center"/>
    </xf>
    <xf borderId="3" fillId="5" fontId="3" numFmtId="0" xfId="0" applyAlignment="1" applyBorder="1" applyFont="1">
      <alignment horizontal="left" readingOrder="0"/>
    </xf>
    <xf borderId="0" fillId="0" fontId="12" numFmtId="0" xfId="0" applyAlignment="1" applyFont="1">
      <alignment horizontal="center" vertical="center"/>
    </xf>
    <xf borderId="4" fillId="0" fontId="3" numFmtId="0" xfId="0" applyAlignment="1" applyBorder="1" applyFont="1">
      <alignment horizontal="center" readingOrder="0"/>
    </xf>
    <xf borderId="4" fillId="0" fontId="3" numFmtId="0" xfId="0" applyAlignment="1" applyBorder="1" applyFont="1">
      <alignment horizontal="center"/>
    </xf>
    <xf borderId="21" fillId="3" fontId="5" numFmtId="0" xfId="0" applyAlignment="1" applyBorder="1" applyFont="1">
      <alignment horizontal="center" readingOrder="0" vertical="center"/>
    </xf>
    <xf borderId="22" fillId="3" fontId="5" numFmtId="0" xfId="0" applyAlignment="1" applyBorder="1" applyFont="1">
      <alignment horizontal="left" readingOrder="0" vertical="center"/>
    </xf>
    <xf borderId="22" fillId="3" fontId="5" numFmtId="0" xfId="0" applyAlignment="1" applyBorder="1" applyFont="1">
      <alignment horizontal="center" readingOrder="0" vertical="center"/>
    </xf>
    <xf borderId="23" fillId="3" fontId="5" numFmtId="0" xfId="0" applyAlignment="1" applyBorder="1" applyFont="1">
      <alignment horizontal="center" readingOrder="0" vertical="center"/>
    </xf>
    <xf borderId="24" fillId="0" fontId="8" numFmtId="0" xfId="0" applyAlignment="1" applyBorder="1" applyFont="1">
      <alignment horizontal="center" readingOrder="0" vertical="center"/>
    </xf>
    <xf borderId="25" fillId="0" fontId="8" numFmtId="49" xfId="0" applyAlignment="1" applyBorder="1" applyFont="1" applyNumberFormat="1">
      <alignment horizontal="left" readingOrder="0" vertical="center"/>
    </xf>
    <xf borderId="25" fillId="8" fontId="12" numFmtId="0" xfId="0" applyAlignment="1" applyBorder="1" applyFont="1">
      <alignment horizontal="center" vertical="center"/>
    </xf>
    <xf borderId="26" fillId="5" fontId="3" numFmtId="0" xfId="0" applyAlignment="1" applyBorder="1" applyFont="1">
      <alignment horizontal="left" readingOrder="0"/>
    </xf>
    <xf borderId="27" fillId="0" fontId="8" numFmtId="0" xfId="0" applyAlignment="1" applyBorder="1" applyFont="1">
      <alignment horizontal="center" readingOrder="0" vertical="center"/>
    </xf>
    <xf borderId="4" fillId="0" fontId="8" numFmtId="49" xfId="0" applyAlignment="1" applyBorder="1" applyFont="1" applyNumberFormat="1">
      <alignment horizontal="left" readingOrder="0" vertical="center"/>
    </xf>
    <xf borderId="28" fillId="5" fontId="3" numFmtId="0" xfId="0" applyAlignment="1" applyBorder="1" applyFont="1">
      <alignment horizontal="left" readingOrder="0"/>
    </xf>
    <xf borderId="29" fillId="0" fontId="8" numFmtId="0" xfId="0" applyAlignment="1" applyBorder="1" applyFont="1">
      <alignment horizontal="center" readingOrder="0" vertical="center"/>
    </xf>
    <xf borderId="7" fillId="0" fontId="8" numFmtId="49" xfId="0" applyAlignment="1" applyBorder="1" applyFont="1" applyNumberFormat="1">
      <alignment horizontal="left" readingOrder="0" vertical="center"/>
    </xf>
    <xf borderId="7" fillId="8" fontId="12" numFmtId="0" xfId="0" applyAlignment="1" applyBorder="1" applyFont="1">
      <alignment horizontal="center" vertical="center"/>
    </xf>
    <xf borderId="30" fillId="5" fontId="3" numFmtId="0" xfId="0" applyAlignment="1" applyBorder="1" applyFont="1">
      <alignment horizontal="left" readingOrder="0"/>
    </xf>
    <xf borderId="27" fillId="0" fontId="3" numFmtId="0" xfId="0" applyAlignment="1" applyBorder="1" applyFont="1">
      <alignment horizontal="center" readingOrder="0"/>
    </xf>
    <xf borderId="29" fillId="0" fontId="3" numFmtId="0" xfId="0" applyAlignment="1" applyBorder="1" applyFont="1">
      <alignment horizontal="center" readingOrder="0"/>
    </xf>
    <xf borderId="24" fillId="0" fontId="3" numFmtId="0" xfId="0" applyAlignment="1" applyBorder="1" applyFont="1">
      <alignment horizontal="center" readingOrder="0"/>
    </xf>
    <xf borderId="25" fillId="0" fontId="8" numFmtId="49" xfId="0" applyAlignment="1" applyBorder="1" applyFont="1" applyNumberFormat="1">
      <alignment horizontal="center" readingOrder="0" vertical="center"/>
    </xf>
    <xf borderId="7" fillId="0" fontId="8" numFmtId="49" xfId="0" applyAlignment="1" applyBorder="1" applyFont="1" applyNumberFormat="1">
      <alignment horizontal="center" readingOrder="0" vertical="center"/>
    </xf>
    <xf borderId="31" fillId="0" fontId="8" numFmtId="0" xfId="0" applyAlignment="1" applyBorder="1" applyFont="1">
      <alignment horizontal="center" readingOrder="0" vertical="center"/>
    </xf>
    <xf borderId="32" fillId="5" fontId="3" numFmtId="0" xfId="0" applyAlignment="1" applyBorder="1" applyFont="1">
      <alignment horizontal="left" readingOrder="0"/>
    </xf>
    <xf borderId="33" fillId="5" fontId="3" numFmtId="0" xfId="0" applyAlignment="1" applyBorder="1" applyFont="1">
      <alignment horizontal="left" readingOrder="0"/>
    </xf>
    <xf borderId="34" fillId="5" fontId="3" numFmtId="0" xfId="0" applyAlignment="1" applyBorder="1" applyFont="1">
      <alignment horizontal="left" readingOrder="0"/>
    </xf>
    <xf borderId="0" fillId="0" fontId="6" numFmtId="0" xfId="0" applyAlignment="1" applyFont="1">
      <alignment readingOrder="0"/>
    </xf>
    <xf borderId="35" fillId="5" fontId="3" numFmtId="0" xfId="0" applyAlignment="1" applyBorder="1" applyFont="1">
      <alignment horizontal="left" readingOrder="0"/>
    </xf>
    <xf borderId="0" fillId="0" fontId="3" numFmtId="0" xfId="0" applyAlignment="1" applyFont="1">
      <alignment horizontal="center" readingOrder="0"/>
    </xf>
    <xf borderId="0" fillId="0" fontId="8" numFmtId="49" xfId="0" applyAlignment="1" applyFont="1" applyNumberFormat="1">
      <alignment horizontal="center" readingOrder="0" vertical="center"/>
    </xf>
    <xf borderId="0" fillId="8" fontId="12" numFmtId="0" xfId="0" applyAlignment="1" applyFont="1">
      <alignment horizontal="center" vertical="center"/>
    </xf>
    <xf borderId="0" fillId="5" fontId="3" numFmtId="0" xfId="0" applyAlignment="1" applyFont="1">
      <alignment horizontal="left" readingOrder="0"/>
    </xf>
    <xf borderId="4" fillId="8" fontId="12" numFmtId="0" xfId="0" applyAlignment="1" applyBorder="1" applyFont="1">
      <alignment horizontal="center" readingOrder="0" vertical="center"/>
    </xf>
    <xf borderId="3" fillId="19" fontId="3" numFmtId="0" xfId="0" applyAlignment="1" applyBorder="1" applyFill="1" applyFont="1">
      <alignment horizontal="center" readingOrder="0"/>
    </xf>
    <xf borderId="4" fillId="0" fontId="6" numFmtId="0" xfId="0" applyBorder="1" applyFont="1"/>
    <xf borderId="4" fillId="8" fontId="3" numFmtId="0" xfId="0" applyAlignment="1" applyBorder="1" applyFont="1">
      <alignment horizontal="center"/>
    </xf>
    <xf borderId="3" fillId="5" fontId="3" numFmtId="0" xfId="0" applyAlignment="1" applyBorder="1" applyFont="1">
      <alignment horizontal="center" vertical="bottom"/>
    </xf>
    <xf borderId="4" fillId="7" fontId="3" numFmtId="0" xfId="0" applyAlignment="1" applyBorder="1" applyFont="1">
      <alignment horizontal="center" readingOrder="0"/>
    </xf>
    <xf borderId="4" fillId="0" fontId="3" numFmtId="0" xfId="0" applyAlignment="1" applyBorder="1" applyFont="1">
      <alignment horizontal="center" vertical="bottom"/>
    </xf>
    <xf borderId="4" fillId="0" fontId="3" numFmtId="0" xfId="0" applyAlignment="1" applyBorder="1" applyFont="1">
      <alignment horizontal="center" vertical="bottom"/>
    </xf>
    <xf borderId="4" fillId="8" fontId="3" numFmtId="0" xfId="0" applyAlignment="1" applyBorder="1" applyFont="1">
      <alignment horizontal="center" vertical="bottom"/>
    </xf>
    <xf borderId="3" fillId="0" fontId="3" numFmtId="0" xfId="0" applyAlignment="1" applyBorder="1" applyFont="1">
      <alignment horizontal="center" readingOrder="0" vertical="bottom"/>
    </xf>
    <xf borderId="4" fillId="7" fontId="3" numFmtId="0" xfId="0" applyAlignment="1" applyBorder="1" applyFont="1">
      <alignment horizontal="center" readingOrder="0" vertical="bottom"/>
    </xf>
    <xf borderId="0" fillId="0" fontId="7" numFmtId="0" xfId="0" applyAlignment="1" applyFont="1">
      <alignment vertical="bottom"/>
    </xf>
    <xf borderId="4" fillId="0" fontId="7" numFmtId="0" xfId="0" applyAlignment="1" applyBorder="1" applyFont="1">
      <alignment vertical="bottom"/>
    </xf>
    <xf borderId="3" fillId="0" fontId="3" numFmtId="0" xfId="0" applyAlignment="1" applyBorder="1" applyFont="1">
      <alignment horizontal="center" vertical="bottom"/>
    </xf>
    <xf borderId="0" fillId="8" fontId="3" numFmtId="0" xfId="0" applyAlignment="1" applyFont="1">
      <alignment horizontal="center"/>
    </xf>
    <xf borderId="5" fillId="3" fontId="2" numFmtId="0" xfId="0" applyAlignment="1" applyBorder="1" applyFont="1">
      <alignment horizontal="center" readingOrder="0" vertical="center"/>
    </xf>
    <xf borderId="0" fillId="0" fontId="26" numFmtId="0" xfId="0" applyAlignment="1" applyFont="1">
      <alignment horizontal="center" vertical="center"/>
    </xf>
    <xf borderId="3" fillId="8" fontId="1" numFmtId="49" xfId="0" applyAlignment="1" applyBorder="1" applyFont="1" applyNumberFormat="1">
      <alignment horizontal="center" readingOrder="0"/>
    </xf>
    <xf borderId="4" fillId="0" fontId="1" numFmtId="49" xfId="0" applyAlignment="1" applyBorder="1" applyFont="1" applyNumberFormat="1">
      <alignment horizontal="center" readingOrder="0"/>
    </xf>
    <xf borderId="4" fillId="0" fontId="3" numFmtId="49" xfId="0" applyAlignment="1" applyBorder="1" applyFont="1" applyNumberFormat="1">
      <alignment horizontal="center" readingOrder="0" vertical="bottom"/>
    </xf>
    <xf borderId="0" fillId="0" fontId="3" numFmtId="0" xfId="0" applyAlignment="1" applyFont="1">
      <alignment horizontal="center"/>
    </xf>
    <xf borderId="4" fillId="0" fontId="3" numFmtId="49" xfId="0" applyAlignment="1" applyBorder="1" applyFont="1" applyNumberFormat="1">
      <alignment horizontal="center" readingOrder="0"/>
    </xf>
    <xf borderId="4" fillId="8" fontId="3" numFmtId="0" xfId="0" applyAlignment="1" applyBorder="1" applyFont="1">
      <alignment horizontal="center"/>
    </xf>
    <xf borderId="4" fillId="18" fontId="27" numFmtId="0" xfId="0" applyAlignment="1" applyBorder="1" applyFont="1">
      <alignment horizontal="left" readingOrder="0"/>
    </xf>
    <xf borderId="4" fillId="18" fontId="3" numFmtId="0" xfId="0" applyAlignment="1" applyBorder="1" applyFont="1">
      <alignment horizontal="center"/>
    </xf>
    <xf borderId="0" fillId="18" fontId="3" numFmtId="0" xfId="0" applyAlignment="1" applyFont="1">
      <alignment horizontal="center"/>
    </xf>
    <xf borderId="4" fillId="0" fontId="3" numFmtId="171" xfId="0" applyAlignment="1" applyBorder="1" applyFont="1" applyNumberFormat="1">
      <alignment horizontal="center" readingOrder="0"/>
    </xf>
    <xf borderId="4" fillId="3" fontId="5" numFmtId="0" xfId="0" applyAlignment="1" applyBorder="1" applyFont="1">
      <alignment horizontal="center" readingOrder="0"/>
    </xf>
    <xf borderId="5" fillId="3" fontId="5" numFmtId="0" xfId="0" applyAlignment="1" applyBorder="1" applyFont="1">
      <alignment horizontal="center" readingOrder="0"/>
    </xf>
    <xf borderId="5" fillId="3" fontId="5" numFmtId="49" xfId="0" applyAlignment="1" applyBorder="1" applyFont="1" applyNumberFormat="1">
      <alignment horizontal="center" readingOrder="0"/>
    </xf>
    <xf borderId="3" fillId="0" fontId="3" numFmtId="0" xfId="0" applyAlignment="1" applyBorder="1" applyFont="1">
      <alignment horizontal="left" readingOrder="0"/>
    </xf>
    <xf borderId="4" fillId="13" fontId="1" numFmtId="0" xfId="0" applyAlignment="1" applyBorder="1" applyFont="1">
      <alignment horizontal="center"/>
    </xf>
    <xf borderId="4" fillId="0" fontId="1" numFmtId="0" xfId="0" applyAlignment="1" applyBorder="1" applyFont="1">
      <alignment horizontal="left" readingOrder="0"/>
    </xf>
    <xf borderId="0" fillId="0" fontId="1" numFmtId="0" xfId="0" applyAlignment="1" applyFont="1">
      <alignment horizontal="left" readingOrder="0"/>
    </xf>
    <xf borderId="0" fillId="2" fontId="8" numFmtId="49" xfId="0" applyAlignment="1" applyFont="1" applyNumberFormat="1">
      <alignment horizontal="center" readingOrder="0" vertical="center"/>
    </xf>
    <xf borderId="0" fillId="13" fontId="1" numFmtId="0" xfId="0" applyAlignment="1" applyFont="1">
      <alignment horizontal="center"/>
    </xf>
    <xf borderId="5" fillId="3" fontId="5" numFmtId="164" xfId="0" applyAlignment="1" applyBorder="1" applyFont="1" applyNumberFormat="1">
      <alignment horizontal="center"/>
    </xf>
    <xf borderId="5" fillId="3" fontId="5" numFmtId="0" xfId="0" applyAlignment="1" applyBorder="1" applyFont="1">
      <alignment horizontal="center"/>
    </xf>
    <xf borderId="4" fillId="9" fontId="3" numFmtId="165" xfId="0" applyAlignment="1" applyBorder="1" applyFont="1" applyNumberFormat="1">
      <alignment horizontal="center" readingOrder="0" vertical="bottom"/>
    </xf>
    <xf borderId="4" fillId="9" fontId="3" numFmtId="165" xfId="0" applyAlignment="1" applyBorder="1" applyFont="1" applyNumberFormat="1">
      <alignment horizontal="center" vertical="bottom"/>
    </xf>
    <xf borderId="4" fillId="0" fontId="6" numFmtId="0" xfId="0" applyAlignment="1" applyBorder="1" applyFont="1">
      <alignment horizontal="center"/>
    </xf>
    <xf borderId="2" fillId="0" fontId="3" numFmtId="0" xfId="0" applyAlignment="1" applyBorder="1" applyFont="1">
      <alignment horizontal="center"/>
    </xf>
    <xf borderId="11" fillId="0" fontId="1" numFmtId="0" xfId="0" applyAlignment="1" applyBorder="1" applyFont="1">
      <alignment horizontal="center" readingOrder="0"/>
    </xf>
    <xf borderId="11" fillId="9" fontId="3" numFmtId="165" xfId="0" applyAlignment="1" applyBorder="1" applyFont="1" applyNumberFormat="1">
      <alignment horizontal="center" readingOrder="0" vertical="bottom"/>
    </xf>
    <xf borderId="11" fillId="9" fontId="3" numFmtId="165" xfId="0" applyAlignment="1" applyBorder="1" applyFont="1" applyNumberFormat="1">
      <alignment horizontal="center" vertical="bottom"/>
    </xf>
    <xf borderId="11" fillId="0" fontId="6" numFmtId="0" xfId="0" applyAlignment="1" applyBorder="1" applyFont="1">
      <alignment horizontal="center"/>
    </xf>
    <xf borderId="0" fillId="0" fontId="9" numFmtId="49" xfId="0" applyAlignment="1" applyFont="1" applyNumberFormat="1">
      <alignment horizontal="left" readingOrder="0"/>
    </xf>
    <xf borderId="0" fillId="0" fontId="5" numFmtId="0" xfId="0" applyAlignment="1" applyFont="1">
      <alignment horizontal="center" readingOrder="0"/>
    </xf>
    <xf borderId="0" fillId="0" fontId="5" numFmtId="49" xfId="0" applyAlignment="1" applyFont="1" applyNumberFormat="1">
      <alignment horizontal="left" readingOrder="0"/>
    </xf>
    <xf borderId="5" fillId="3" fontId="5" numFmtId="49" xfId="0" applyAlignment="1" applyBorder="1" applyFont="1" applyNumberFormat="1">
      <alignment horizontal="left" readingOrder="0"/>
    </xf>
    <xf borderId="3" fillId="2" fontId="3" numFmtId="0" xfId="0" applyAlignment="1" applyBorder="1" applyFont="1">
      <alignment horizontal="center" readingOrder="0"/>
    </xf>
    <xf borderId="3" fillId="2" fontId="3" numFmtId="49" xfId="0" applyAlignment="1" applyBorder="1" applyFont="1" applyNumberFormat="1">
      <alignment horizontal="left" readingOrder="0"/>
    </xf>
    <xf borderId="5" fillId="0" fontId="1" numFmtId="0" xfId="0" applyAlignment="1" applyBorder="1" applyFont="1">
      <alignment horizontal="left" readingOrder="0"/>
    </xf>
    <xf borderId="3" fillId="2" fontId="8" numFmtId="0" xfId="0" applyAlignment="1" applyBorder="1" applyFont="1">
      <alignment horizontal="left" readingOrder="0" vertical="center"/>
    </xf>
    <xf borderId="3" fillId="0" fontId="8" numFmtId="49" xfId="0" applyAlignment="1" applyBorder="1" applyFont="1" applyNumberFormat="1">
      <alignment horizontal="left" readingOrder="0" vertical="center"/>
    </xf>
    <xf borderId="4" fillId="0" fontId="1" numFmtId="0" xfId="0" applyAlignment="1" applyBorder="1" applyFont="1">
      <alignment horizontal="left"/>
    </xf>
    <xf borderId="0" fillId="0" fontId="1" numFmtId="0" xfId="0" applyAlignment="1" applyFont="1">
      <alignment horizontal="left"/>
    </xf>
    <xf borderId="4" fillId="0" fontId="6" numFmtId="0" xfId="0" applyAlignment="1" applyBorder="1" applyFont="1">
      <alignment horizontal="left" readingOrder="0"/>
    </xf>
    <xf borderId="4" fillId="0" fontId="6" numFmtId="0" xfId="0" applyAlignment="1" applyBorder="1" applyFont="1">
      <alignment horizontal="left"/>
    </xf>
    <xf borderId="0" fillId="0" fontId="6" numFmtId="0" xfId="0" applyAlignment="1" applyFont="1">
      <alignment horizontal="left"/>
    </xf>
    <xf borderId="4" fillId="3" fontId="5" numFmtId="49" xfId="0" applyAlignment="1" applyBorder="1" applyFont="1" applyNumberFormat="1">
      <alignment horizontal="left" readingOrder="0"/>
    </xf>
    <xf borderId="0" fillId="0" fontId="5" numFmtId="0" xfId="0" applyAlignment="1" applyFont="1">
      <alignment horizontal="left" readingOrder="0"/>
    </xf>
    <xf borderId="3" fillId="2" fontId="8" numFmtId="49" xfId="0" applyAlignment="1" applyBorder="1" applyFont="1" applyNumberFormat="1">
      <alignment horizontal="left" readingOrder="0" vertical="center"/>
    </xf>
    <xf borderId="0" fillId="0" fontId="3" numFmtId="0" xfId="0" applyAlignment="1" applyFont="1">
      <alignment horizontal="left" readingOrder="0"/>
    </xf>
    <xf borderId="4" fillId="0" fontId="3" numFmtId="0" xfId="0" applyAlignment="1" applyBorder="1" applyFont="1">
      <alignment horizontal="left" readingOrder="0"/>
    </xf>
    <xf borderId="3" fillId="13" fontId="3" numFmtId="0" xfId="0" applyAlignment="1" applyBorder="1" applyFont="1">
      <alignment horizontal="center" readingOrder="0"/>
    </xf>
    <xf borderId="4" fillId="13" fontId="3" numFmtId="0" xfId="0" applyAlignment="1" applyBorder="1" applyFont="1">
      <alignment horizontal="center" readingOrder="0"/>
    </xf>
    <xf borderId="4" fillId="18" fontId="3" numFmtId="0" xfId="0" applyAlignment="1" applyBorder="1" applyFont="1">
      <alignment horizontal="left" readingOrder="0"/>
    </xf>
    <xf borderId="4" fillId="18" fontId="3" numFmtId="0" xfId="0" applyAlignment="1" applyBorder="1" applyFont="1">
      <alignment horizontal="center" readingOrder="0"/>
    </xf>
    <xf borderId="3" fillId="18" fontId="8" numFmtId="49" xfId="0" applyAlignment="1" applyBorder="1" applyFont="1" applyNumberFormat="1">
      <alignment horizontal="center" readingOrder="0" vertical="center"/>
    </xf>
    <xf borderId="3" fillId="18" fontId="3" numFmtId="0" xfId="0" applyAlignment="1" applyBorder="1" applyFont="1">
      <alignment horizontal="center" readingOrder="0"/>
    </xf>
    <xf borderId="3" fillId="8" fontId="3" numFmtId="0" xfId="0" applyAlignment="1" applyBorder="1" applyFont="1">
      <alignment horizontal="center" readingOrder="0" vertical="bottom"/>
    </xf>
    <xf borderId="4" fillId="0" fontId="8" numFmtId="0" xfId="0" applyAlignment="1" applyBorder="1" applyFont="1">
      <alignment horizontal="left" readingOrder="0" shrinkToFit="0" vertical="center" wrapText="1"/>
    </xf>
    <xf borderId="3" fillId="5" fontId="3" numFmtId="0" xfId="0" applyAlignment="1" applyBorder="1" applyFont="1">
      <alignment horizontal="center" readingOrder="0" vertical="bottom"/>
    </xf>
    <xf borderId="4" fillId="0" fontId="1" numFmtId="0" xfId="0" applyBorder="1" applyFont="1"/>
    <xf borderId="4" fillId="0" fontId="1" numFmtId="0" xfId="0" applyAlignment="1" applyBorder="1" applyFont="1">
      <alignment readingOrder="0"/>
    </xf>
    <xf borderId="4" fillId="5" fontId="8" numFmtId="0" xfId="0" applyAlignment="1" applyBorder="1" applyFont="1">
      <alignment horizontal="left" readingOrder="0" vertical="center"/>
    </xf>
    <xf borderId="4" fillId="5" fontId="3" numFmtId="0" xfId="0" applyAlignment="1" applyBorder="1" applyFont="1">
      <alignment horizontal="center" readingOrder="0"/>
    </xf>
    <xf borderId="4" fillId="5" fontId="3" numFmtId="0" xfId="0" applyBorder="1" applyFont="1"/>
    <xf borderId="3" fillId="5" fontId="3" numFmtId="0" xfId="0" applyAlignment="1" applyBorder="1" applyFont="1">
      <alignment horizontal="center" vertical="bottom"/>
    </xf>
    <xf borderId="3" fillId="9" fontId="3" numFmtId="0" xfId="0" applyAlignment="1" applyBorder="1" applyFont="1">
      <alignment horizontal="center" readingOrder="0" vertical="bottom"/>
    </xf>
    <xf borderId="3" fillId="0" fontId="3" numFmtId="0" xfId="0" applyAlignment="1" applyBorder="1" applyFont="1">
      <alignment horizontal="center" readingOrder="0" vertical="bottom"/>
    </xf>
    <xf borderId="3" fillId="4" fontId="3" numFmtId="0" xfId="0" applyAlignment="1" applyBorder="1" applyFont="1">
      <alignment horizontal="center" readingOrder="0" vertical="bottom"/>
    </xf>
    <xf borderId="4" fillId="8" fontId="3" numFmtId="0" xfId="0" applyAlignment="1" applyBorder="1" applyFont="1">
      <alignment horizontal="center" readingOrder="0" vertical="bottom"/>
    </xf>
    <xf borderId="4" fillId="0" fontId="8" numFmtId="0" xfId="0" applyAlignment="1" applyBorder="1" applyFont="1">
      <alignment horizontal="left" vertical="center"/>
    </xf>
    <xf borderId="11" fillId="0" fontId="8" numFmtId="0" xfId="0" applyAlignment="1" applyBorder="1" applyFont="1">
      <alignment horizontal="left" readingOrder="0" vertical="center"/>
    </xf>
    <xf borderId="11" fillId="0" fontId="3" numFmtId="0" xfId="0" applyAlignment="1" applyBorder="1" applyFont="1">
      <alignment horizontal="center" readingOrder="0"/>
    </xf>
    <xf borderId="1" fillId="0" fontId="6" numFmtId="0" xfId="0" applyBorder="1" applyFont="1"/>
    <xf borderId="0" fillId="0" fontId="5"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5" numFmtId="164" xfId="0" applyAlignment="1" applyFont="1" applyNumberFormat="1">
      <alignment horizontal="center" shrinkToFit="0" vertical="center" wrapText="1"/>
    </xf>
    <xf borderId="0" fillId="0" fontId="5" numFmtId="0" xfId="0" applyAlignment="1" applyFont="1">
      <alignment horizontal="center" shrinkToFit="0" vertical="center" wrapText="1"/>
    </xf>
    <xf borderId="0" fillId="0" fontId="28" numFmtId="0" xfId="0" applyAlignment="1" applyFont="1">
      <alignment horizontal="left" readingOrder="0" shrinkToFit="0" vertical="center" wrapText="0"/>
    </xf>
    <xf borderId="0" fillId="0" fontId="5" numFmtId="49" xfId="0" applyAlignment="1" applyFont="1" applyNumberFormat="1">
      <alignment horizontal="center" readingOrder="0" shrinkToFit="0" vertical="center" wrapText="1"/>
    </xf>
    <xf borderId="5" fillId="20" fontId="5" numFmtId="0" xfId="0" applyAlignment="1" applyBorder="1" applyFill="1" applyFont="1">
      <alignment horizontal="center" readingOrder="0" vertical="center"/>
    </xf>
    <xf borderId="5" fillId="11" fontId="5" numFmtId="0" xfId="0" applyAlignment="1" applyBorder="1" applyFont="1">
      <alignment horizontal="center" readingOrder="0" vertical="center"/>
    </xf>
    <xf borderId="8" fillId="0" fontId="3" numFmtId="0" xfId="0" applyAlignment="1" applyBorder="1" applyFont="1">
      <alignment horizontal="center" readingOrder="0" shrinkToFit="0" vertical="center" wrapText="1"/>
    </xf>
    <xf borderId="3" fillId="0" fontId="3" numFmtId="0" xfId="0" applyAlignment="1" applyBorder="1" applyFont="1">
      <alignment horizontal="center" readingOrder="0" shrinkToFit="0" vertical="center" wrapText="1"/>
    </xf>
    <xf borderId="3" fillId="0" fontId="3" numFmtId="0" xfId="0" applyAlignment="1" applyBorder="1" applyFont="1">
      <alignment horizontal="center" shrinkToFit="0" vertical="center" wrapText="1"/>
    </xf>
    <xf borderId="4" fillId="13" fontId="12" numFmtId="0" xfId="0" applyAlignment="1" applyBorder="1" applyFont="1">
      <alignment horizontal="center" vertical="center"/>
    </xf>
    <xf borderId="5" fillId="0" fontId="3" numFmtId="0" xfId="0" applyAlignment="1" applyBorder="1" applyFont="1">
      <alignment horizontal="center" readingOrder="0" vertical="center"/>
    </xf>
    <xf borderId="4" fillId="4" fontId="3" numFmtId="165" xfId="0" applyAlignment="1" applyBorder="1" applyFont="1" applyNumberFormat="1">
      <alignment horizontal="center" readingOrder="0" vertical="bottom"/>
    </xf>
    <xf borderId="4" fillId="4" fontId="3" numFmtId="165" xfId="0" applyAlignment="1" applyBorder="1" applyFont="1" applyNumberFormat="1">
      <alignment horizontal="center" vertical="bottom"/>
    </xf>
    <xf borderId="5" fillId="0" fontId="8" numFmtId="49" xfId="0" applyAlignment="1" applyBorder="1" applyFont="1" applyNumberFormat="1">
      <alignment horizontal="center" readingOrder="0" vertical="center"/>
    </xf>
    <xf borderId="4" fillId="9" fontId="3" numFmtId="0" xfId="0" applyAlignment="1" applyBorder="1" applyFont="1">
      <alignment horizontal="center" readingOrder="0" vertical="bottom"/>
    </xf>
    <xf borderId="2" fillId="0" fontId="3" numFmtId="0" xfId="0" applyAlignment="1" applyBorder="1" applyFont="1">
      <alignment horizontal="center" shrinkToFit="0" vertical="center" wrapText="1"/>
    </xf>
    <xf borderId="10" fillId="4" fontId="29" numFmtId="0" xfId="0" applyAlignment="1" applyBorder="1" applyFont="1">
      <alignment horizontal="left" readingOrder="0" vertical="center"/>
    </xf>
    <xf borderId="5" fillId="4" fontId="29" numFmtId="0" xfId="0" applyAlignment="1" applyBorder="1" applyFont="1">
      <alignment horizontal="left" readingOrder="0" vertical="center"/>
    </xf>
    <xf borderId="4" fillId="0" fontId="3" numFmtId="0" xfId="0" applyAlignment="1" applyBorder="1" applyFont="1">
      <alignment horizontal="center" readingOrder="0" shrinkToFit="0" vertical="center" wrapText="1"/>
    </xf>
    <xf borderId="5" fillId="0" fontId="8" numFmtId="0" xfId="0" applyAlignment="1" applyBorder="1" applyFont="1">
      <alignment horizontal="center" vertical="center"/>
    </xf>
    <xf borderId="36" fillId="0" fontId="3" numFmtId="0" xfId="0" applyAlignment="1" applyBorder="1" applyFont="1">
      <alignment horizontal="center" readingOrder="0" shrinkToFit="0" vertical="center" wrapText="1"/>
    </xf>
    <xf borderId="10" fillId="0" fontId="3" numFmtId="0" xfId="0" applyAlignment="1" applyBorder="1" applyFont="1">
      <alignment horizontal="center" readingOrder="0" shrinkToFit="0" vertical="center" wrapText="1"/>
    </xf>
    <xf borderId="10" fillId="0" fontId="8" numFmtId="0" xfId="0" applyAlignment="1" applyBorder="1" applyFont="1">
      <alignment horizontal="center" vertical="center"/>
    </xf>
    <xf borderId="1" fillId="0" fontId="3" numFmtId="0" xfId="0" applyAlignment="1" applyBorder="1" applyFont="1">
      <alignment horizontal="center" vertical="center"/>
    </xf>
    <xf borderId="10" fillId="0" fontId="3" numFmtId="0" xfId="0" applyAlignment="1" applyBorder="1" applyFont="1">
      <alignment horizontal="center" vertical="center"/>
    </xf>
    <xf borderId="10" fillId="4" fontId="3" numFmtId="0" xfId="0" applyAlignment="1" applyBorder="1" applyFont="1">
      <alignment horizontal="center" vertical="center"/>
    </xf>
    <xf borderId="10" fillId="0" fontId="3" numFmtId="0" xfId="0" applyAlignment="1" applyBorder="1" applyFont="1">
      <alignment horizontal="center" readingOrder="0" vertical="center"/>
    </xf>
    <xf borderId="5" fillId="0" fontId="3" numFmtId="0" xfId="0" applyAlignment="1" applyBorder="1" applyFont="1">
      <alignment horizontal="center" vertical="center"/>
    </xf>
    <xf borderId="10" fillId="4" fontId="6" numFmtId="0" xfId="0" applyAlignment="1" applyBorder="1" applyFont="1">
      <alignment horizontal="center" vertical="center"/>
    </xf>
    <xf borderId="5" fillId="4" fontId="6" numFmtId="0" xfId="0" applyAlignment="1" applyBorder="1" applyFont="1">
      <alignment horizontal="center" vertical="center"/>
    </xf>
    <xf borderId="4" fillId="0" fontId="4" numFmtId="0" xfId="0" applyAlignment="1" applyBorder="1" applyFont="1">
      <alignment horizontal="center" readingOrder="0" vertical="center"/>
    </xf>
    <xf borderId="4" fillId="0" fontId="3" numFmtId="0" xfId="0" applyAlignment="1" applyBorder="1" applyFont="1">
      <alignment horizontal="center" shrinkToFit="0" vertical="center" wrapText="1"/>
    </xf>
    <xf borderId="4" fillId="0" fontId="3" numFmtId="0" xfId="0" applyAlignment="1" applyBorder="1" applyFont="1">
      <alignment horizontal="center" readingOrder="0" shrinkToFit="0" wrapText="1"/>
    </xf>
    <xf borderId="4" fillId="2" fontId="3" numFmtId="49" xfId="0" applyAlignment="1" applyBorder="1" applyFont="1" applyNumberFormat="1">
      <alignment horizontal="center"/>
    </xf>
    <xf borderId="4" fillId="4" fontId="7" numFmtId="0" xfId="0" applyBorder="1" applyFont="1"/>
    <xf borderId="9" fillId="0" fontId="7" numFmtId="0" xfId="0" applyBorder="1" applyFont="1"/>
    <xf borderId="9" fillId="0" fontId="3" numFmtId="0" xfId="0" applyAlignment="1" applyBorder="1" applyFont="1">
      <alignment horizontal="center" readingOrder="0" shrinkToFit="0" wrapText="1"/>
    </xf>
    <xf borderId="10" fillId="0" fontId="3" numFmtId="0" xfId="0" applyAlignment="1" applyBorder="1" applyFont="1">
      <alignment horizontal="center"/>
    </xf>
    <xf borderId="10" fillId="0" fontId="3" numFmtId="49" xfId="0" applyAlignment="1" applyBorder="1" applyFont="1" applyNumberFormat="1">
      <alignment horizontal="center"/>
    </xf>
    <xf borderId="10" fillId="0" fontId="3" numFmtId="0" xfId="0" applyAlignment="1" applyBorder="1" applyFont="1">
      <alignment horizontal="center" readingOrder="0"/>
    </xf>
    <xf borderId="10" fillId="4" fontId="7" numFmtId="0" xfId="0" applyBorder="1" applyFont="1"/>
    <xf borderId="10" fillId="0" fontId="3" numFmtId="0" xfId="0" applyAlignment="1" applyBorder="1" applyFont="1">
      <alignment horizontal="center"/>
    </xf>
    <xf borderId="9" fillId="0" fontId="3" numFmtId="0" xfId="0" applyAlignment="1" applyBorder="1" applyFont="1">
      <alignment horizontal="center" shrinkToFit="0" vertical="center" wrapText="1"/>
    </xf>
    <xf borderId="10" fillId="0" fontId="8" numFmtId="0" xfId="0" applyAlignment="1" applyBorder="1" applyFont="1">
      <alignment horizontal="center" readingOrder="0" vertical="center"/>
    </xf>
    <xf borderId="10" fillId="0" fontId="8" numFmtId="49" xfId="0" applyAlignment="1" applyBorder="1" applyFont="1" applyNumberFormat="1">
      <alignment horizontal="center" readingOrder="0" vertical="center"/>
    </xf>
    <xf borderId="0" fillId="0" fontId="3" numFmtId="0" xfId="0" applyAlignment="1" applyFont="1">
      <alignment horizontal="center" shrinkToFit="0" vertical="center" wrapText="1"/>
    </xf>
    <xf borderId="0" fillId="0" fontId="3" numFmtId="0" xfId="0" applyAlignment="1" applyFont="1">
      <alignment horizontal="center" vertical="center"/>
    </xf>
    <xf borderId="0" fillId="0" fontId="3" numFmtId="49" xfId="0" applyAlignment="1" applyFont="1" applyNumberFormat="1">
      <alignment horizontal="center" readingOrder="0" shrinkToFit="0" vertical="center" wrapText="1"/>
    </xf>
    <xf borderId="5" fillId="6" fontId="5" numFmtId="0" xfId="0" applyAlignment="1" applyBorder="1" applyFont="1">
      <alignment horizontal="center" readingOrder="0" vertical="center"/>
    </xf>
    <xf borderId="3" fillId="6" fontId="2" numFmtId="0" xfId="0" applyAlignment="1" applyBorder="1" applyFont="1">
      <alignment horizontal="center" vertical="center"/>
    </xf>
    <xf borderId="3" fillId="6" fontId="5" numFmtId="0" xfId="0" applyAlignment="1" applyBorder="1" applyFont="1">
      <alignment horizontal="center" readingOrder="0" shrinkToFit="0" vertical="center" wrapText="1"/>
    </xf>
    <xf borderId="37" fillId="9" fontId="3" numFmtId="0" xfId="0" applyAlignment="1" applyBorder="1" applyFont="1">
      <alignment horizontal="center" vertical="center"/>
    </xf>
    <xf borderId="37" fillId="9" fontId="3" numFmtId="0" xfId="0" applyAlignment="1" applyBorder="1" applyFont="1">
      <alignment horizontal="left" readingOrder="0" vertical="center"/>
    </xf>
    <xf borderId="37" fillId="9" fontId="8" numFmtId="49" xfId="0" applyAlignment="1" applyBorder="1" applyFont="1" applyNumberFormat="1">
      <alignment horizontal="left" readingOrder="0" vertical="center"/>
    </xf>
    <xf borderId="38" fillId="9" fontId="1" numFmtId="0" xfId="0" applyAlignment="1" applyBorder="1" applyFont="1">
      <alignment readingOrder="0" vertical="bottom"/>
    </xf>
    <xf borderId="37" fillId="9" fontId="22" numFmtId="0" xfId="0" applyAlignment="1" applyBorder="1" applyFont="1">
      <alignment horizontal="center" readingOrder="0" vertical="center"/>
    </xf>
    <xf borderId="39" fillId="9" fontId="1" numFmtId="0" xfId="0" applyAlignment="1" applyBorder="1" applyFont="1">
      <alignment horizontal="center" readingOrder="0" vertical="center"/>
    </xf>
    <xf borderId="37" fillId="9" fontId="1" numFmtId="0" xfId="0" applyAlignment="1" applyBorder="1" applyFont="1">
      <alignment horizontal="center" readingOrder="0" vertical="center"/>
    </xf>
    <xf borderId="37" fillId="9" fontId="1" numFmtId="0" xfId="0" applyAlignment="1" applyBorder="1" applyFont="1">
      <alignment horizontal="center" vertical="center"/>
    </xf>
    <xf borderId="40" fillId="10" fontId="3" numFmtId="0" xfId="0" applyAlignment="1" applyBorder="1" applyFont="1">
      <alignment horizontal="center" vertical="center"/>
    </xf>
    <xf borderId="40" fillId="10" fontId="3" numFmtId="0" xfId="0" applyAlignment="1" applyBorder="1" applyFont="1">
      <alignment horizontal="left" readingOrder="0" vertical="center"/>
    </xf>
    <xf borderId="40" fillId="10" fontId="8" numFmtId="49" xfId="0" applyAlignment="1" applyBorder="1" applyFont="1" applyNumberFormat="1">
      <alignment horizontal="left" readingOrder="0" vertical="center"/>
    </xf>
    <xf borderId="40" fillId="10" fontId="30" numFmtId="0" xfId="0" applyAlignment="1" applyBorder="1" applyFont="1">
      <alignment vertical="bottom"/>
    </xf>
    <xf borderId="40" fillId="10" fontId="22" numFmtId="0" xfId="0" applyAlignment="1" applyBorder="1" applyFont="1">
      <alignment horizontal="center" readingOrder="0" vertical="center"/>
    </xf>
    <xf borderId="41" fillId="10" fontId="1" numFmtId="0" xfId="0" applyAlignment="1" applyBorder="1" applyFont="1">
      <alignment horizontal="center" readingOrder="0" vertical="center"/>
    </xf>
    <xf borderId="40" fillId="10" fontId="1" numFmtId="0" xfId="0" applyAlignment="1" applyBorder="1" applyFont="1">
      <alignment horizontal="center" readingOrder="0" vertical="center"/>
    </xf>
    <xf borderId="40" fillId="10" fontId="1" numFmtId="0" xfId="0" applyAlignment="1" applyBorder="1" applyFont="1">
      <alignment horizontal="center" vertical="center"/>
    </xf>
    <xf borderId="39" fillId="10" fontId="1" numFmtId="0" xfId="0" applyAlignment="1" applyBorder="1" applyFont="1">
      <alignment horizontal="center" readingOrder="0" vertical="center"/>
    </xf>
    <xf borderId="40" fillId="9" fontId="3" numFmtId="0" xfId="0" applyAlignment="1" applyBorder="1" applyFont="1">
      <alignment horizontal="center" vertical="center"/>
    </xf>
    <xf borderId="40" fillId="9" fontId="3" numFmtId="0" xfId="0" applyAlignment="1" applyBorder="1" applyFont="1">
      <alignment horizontal="left" readingOrder="0" vertical="center"/>
    </xf>
    <xf borderId="40" fillId="9" fontId="8" numFmtId="49" xfId="0" applyAlignment="1" applyBorder="1" applyFont="1" applyNumberFormat="1">
      <alignment horizontal="left" readingOrder="0" vertical="center"/>
    </xf>
    <xf borderId="40" fillId="9" fontId="1" numFmtId="0" xfId="0" applyAlignment="1" applyBorder="1" applyFont="1">
      <alignment vertical="bottom"/>
    </xf>
    <xf borderId="40" fillId="9" fontId="22" numFmtId="0" xfId="0" applyAlignment="1" applyBorder="1" applyFont="1">
      <alignment horizontal="center" readingOrder="0" vertical="center"/>
    </xf>
    <xf borderId="41" fillId="9" fontId="1" numFmtId="0" xfId="0" applyAlignment="1" applyBorder="1" applyFont="1">
      <alignment horizontal="center" readingOrder="0" vertical="center"/>
    </xf>
    <xf borderId="40" fillId="9" fontId="1" numFmtId="0" xfId="0" applyAlignment="1" applyBorder="1" applyFont="1">
      <alignment horizontal="center" readingOrder="0" vertical="center"/>
    </xf>
    <xf borderId="40" fillId="9" fontId="1" numFmtId="0" xfId="0" applyAlignment="1" applyBorder="1" applyFont="1">
      <alignment horizontal="center" vertical="center"/>
    </xf>
    <xf borderId="40" fillId="10" fontId="1" numFmtId="0" xfId="0" applyAlignment="1" applyBorder="1" applyFont="1">
      <alignment vertical="bottom"/>
    </xf>
    <xf borderId="40" fillId="9" fontId="1" numFmtId="0" xfId="0" applyAlignment="1" applyBorder="1" applyFont="1">
      <alignment readingOrder="0" vertical="bottom"/>
    </xf>
    <xf borderId="40" fillId="10" fontId="1" numFmtId="0" xfId="0" applyAlignment="1" applyBorder="1" applyFont="1">
      <alignment readingOrder="0" vertical="bottom"/>
    </xf>
    <xf borderId="40" fillId="9" fontId="3" numFmtId="0" xfId="0" applyAlignment="1" applyBorder="1" applyFont="1">
      <alignment horizontal="left" vertical="center"/>
    </xf>
    <xf borderId="41" fillId="9" fontId="1" numFmtId="0" xfId="0" applyAlignment="1" applyBorder="1" applyFont="1">
      <alignment horizontal="center" vertical="center"/>
    </xf>
    <xf borderId="41" fillId="10" fontId="1" numFmtId="0" xfId="0" applyAlignment="1" applyBorder="1" applyFont="1">
      <alignment horizontal="left" vertical="center"/>
    </xf>
    <xf borderId="41" fillId="10" fontId="1" numFmtId="0" xfId="0" applyAlignment="1" applyBorder="1" applyFont="1">
      <alignment horizontal="left" readingOrder="0" vertical="center"/>
    </xf>
    <xf borderId="41" fillId="10" fontId="1" numFmtId="0" xfId="0" applyAlignment="1" applyBorder="1" applyFont="1">
      <alignment horizontal="center" vertical="center"/>
    </xf>
    <xf borderId="41" fillId="9" fontId="1" numFmtId="0" xfId="0" applyAlignment="1" applyBorder="1" applyFont="1">
      <alignment horizontal="left" vertical="center"/>
    </xf>
    <xf borderId="41" fillId="9" fontId="1" numFmtId="0" xfId="0" applyAlignment="1" applyBorder="1" applyFont="1">
      <alignment horizontal="left" readingOrder="0" vertical="center"/>
    </xf>
    <xf borderId="40" fillId="10" fontId="3" numFmtId="0" xfId="0" applyAlignment="1" applyBorder="1" applyFont="1">
      <alignment horizontal="center" readingOrder="0" vertical="center"/>
    </xf>
    <xf borderId="40" fillId="9" fontId="3" numFmtId="0" xfId="0" applyAlignment="1" applyBorder="1" applyFont="1">
      <alignment horizontal="center" readingOrder="0" vertical="center"/>
    </xf>
    <xf borderId="40" fillId="9" fontId="1" numFmtId="0" xfId="0" applyAlignment="1" applyBorder="1" applyFont="1">
      <alignment horizontal="left" readingOrder="0" vertical="center"/>
    </xf>
    <xf borderId="40" fillId="10" fontId="1" numFmtId="0" xfId="0" applyAlignment="1" applyBorder="1" applyFont="1">
      <alignment horizontal="left" readingOrder="0" vertical="center"/>
    </xf>
    <xf borderId="40" fillId="10" fontId="3" numFmtId="0" xfId="0" applyAlignment="1" applyBorder="1" applyFont="1">
      <alignment horizontal="left" vertical="center"/>
    </xf>
    <xf borderId="41" fillId="9" fontId="3" numFmtId="0" xfId="0" applyAlignment="1" applyBorder="1" applyFont="1">
      <alignment horizontal="left" readingOrder="0"/>
    </xf>
    <xf borderId="41" fillId="10" fontId="3" numFmtId="0" xfId="0" applyAlignment="1" applyBorder="1" applyFont="1">
      <alignment horizontal="left" readingOrder="0" vertical="center"/>
    </xf>
    <xf borderId="41" fillId="13" fontId="1" numFmtId="0" xfId="0" applyAlignment="1" applyBorder="1" applyFont="1">
      <alignment horizontal="center" readingOrder="0" vertical="center"/>
    </xf>
    <xf borderId="41" fillId="9" fontId="3" numFmtId="0" xfId="0" applyAlignment="1" applyBorder="1" applyFont="1">
      <alignment horizontal="left" readingOrder="0" vertical="center"/>
    </xf>
    <xf borderId="41" fillId="9" fontId="22" numFmtId="0" xfId="0" applyAlignment="1" applyBorder="1" applyFont="1">
      <alignment horizontal="center" readingOrder="0" vertical="center"/>
    </xf>
    <xf borderId="41" fillId="10" fontId="22" numFmtId="0" xfId="0" applyAlignment="1" applyBorder="1" applyFont="1">
      <alignment horizontal="center" readingOrder="0" vertical="center"/>
    </xf>
    <xf borderId="41" fillId="2" fontId="1" numFmtId="0" xfId="0" applyAlignment="1" applyBorder="1" applyFont="1">
      <alignment horizontal="left" readingOrder="0" vertical="center"/>
    </xf>
    <xf borderId="41" fillId="2" fontId="1" numFmtId="0" xfId="0" applyAlignment="1" applyBorder="1" applyFont="1">
      <alignment horizontal="center" readingOrder="0" vertical="center"/>
    </xf>
    <xf borderId="41" fillId="21" fontId="1" numFmtId="0" xfId="0" applyAlignment="1" applyBorder="1" applyFill="1" applyFont="1">
      <alignment horizontal="center" readingOrder="0" shrinkToFit="0" vertical="center" wrapText="1"/>
    </xf>
    <xf borderId="41" fillId="9" fontId="1" numFmtId="0" xfId="0" applyAlignment="1" applyBorder="1" applyFont="1">
      <alignment horizontal="left" readingOrder="0" shrinkToFit="0" vertical="center" wrapText="1"/>
    </xf>
    <xf borderId="42" fillId="9" fontId="1" numFmtId="0" xfId="0" applyAlignment="1" applyBorder="1" applyFont="1">
      <alignment horizontal="center" vertical="center"/>
    </xf>
    <xf borderId="42" fillId="9" fontId="1" numFmtId="0" xfId="0" applyAlignment="1" applyBorder="1" applyFont="1">
      <alignment horizontal="left" vertical="center"/>
    </xf>
    <xf borderId="4" fillId="3" fontId="5" numFmtId="0" xfId="0" applyAlignment="1" applyBorder="1" applyFont="1">
      <alignment horizontal="center" readingOrder="0" vertical="center"/>
    </xf>
    <xf borderId="5" fillId="3" fontId="5" numFmtId="0" xfId="0" applyAlignment="1" applyBorder="1" applyFont="1">
      <alignment horizontal="center" vertical="center"/>
    </xf>
    <xf borderId="5" fillId="3" fontId="5" numFmtId="0" xfId="0" applyAlignment="1" applyBorder="1" applyFont="1">
      <alignment horizontal="center" readingOrder="0" vertical="center"/>
    </xf>
    <xf borderId="3" fillId="0" fontId="1" numFmtId="0" xfId="0" applyAlignment="1" applyBorder="1" applyFont="1">
      <alignment horizontal="center" readingOrder="0" vertical="center"/>
    </xf>
    <xf borderId="9" fillId="4" fontId="1" numFmtId="0" xfId="0" applyAlignment="1" applyBorder="1" applyFont="1">
      <alignment horizontal="center" vertical="center"/>
    </xf>
    <xf borderId="5" fillId="6" fontId="5" numFmtId="0" xfId="0" applyAlignment="1" applyBorder="1" applyFont="1">
      <alignment horizontal="center" readingOrder="0" vertical="center"/>
    </xf>
    <xf borderId="5" fillId="6" fontId="5" numFmtId="0" xfId="0" applyAlignment="1" applyBorder="1" applyFont="1">
      <alignment horizontal="left" readingOrder="0" vertical="center"/>
    </xf>
    <xf borderId="4" fillId="6" fontId="5" numFmtId="0" xfId="0" applyAlignment="1" applyBorder="1" applyFont="1">
      <alignment horizontal="center" readingOrder="0" vertical="center"/>
    </xf>
    <xf borderId="5" fillId="6" fontId="5" numFmtId="0" xfId="0" applyAlignment="1" applyBorder="1" applyFont="1">
      <alignment horizontal="left" readingOrder="0" vertical="center"/>
    </xf>
    <xf borderId="3" fillId="6" fontId="5" numFmtId="0" xfId="0" applyAlignment="1" applyBorder="1" applyFont="1">
      <alignment horizontal="left" readingOrder="0" shrinkToFit="0" vertical="center" wrapText="1"/>
    </xf>
    <xf borderId="3" fillId="6" fontId="5" numFmtId="0" xfId="0" applyAlignment="1" applyBorder="1" applyFont="1">
      <alignment horizontal="center" readingOrder="0" vertical="center"/>
    </xf>
    <xf borderId="3" fillId="17" fontId="17" numFmtId="0" xfId="0" applyAlignment="1" applyBorder="1" applyFont="1">
      <alignment horizontal="center" vertical="center"/>
    </xf>
    <xf borderId="3" fillId="17" fontId="8" numFmtId="49" xfId="0" applyAlignment="1" applyBorder="1" applyFont="1" applyNumberFormat="1">
      <alignment horizontal="left" readingOrder="0" vertical="center"/>
    </xf>
    <xf borderId="3" fillId="17" fontId="3" numFmtId="0" xfId="0" applyAlignment="1" applyBorder="1" applyFont="1">
      <alignment horizontal="left" readingOrder="0" vertical="center"/>
    </xf>
    <xf borderId="3" fillId="17" fontId="27" numFmtId="49" xfId="0" applyAlignment="1" applyBorder="1" applyFont="1" applyNumberFormat="1">
      <alignment horizontal="left" readingOrder="0" vertical="center"/>
    </xf>
    <xf borderId="3" fillId="17" fontId="1" numFmtId="0" xfId="0" applyAlignment="1" applyBorder="1" applyFont="1">
      <alignment horizontal="left" vertical="center"/>
    </xf>
    <xf borderId="3" fillId="17" fontId="1" numFmtId="0" xfId="0" applyAlignment="1" applyBorder="1" applyFont="1">
      <alignment horizontal="center" vertical="center"/>
    </xf>
    <xf borderId="3" fillId="0" fontId="17" numFmtId="0" xfId="0" applyAlignment="1" applyBorder="1" applyFont="1">
      <alignment horizontal="center" readingOrder="0" vertical="center"/>
    </xf>
    <xf borderId="3" fillId="0" fontId="8" numFmtId="49" xfId="0" applyAlignment="1" applyBorder="1" applyFont="1" applyNumberFormat="1">
      <alignment horizontal="left" readingOrder="0" vertical="center"/>
    </xf>
    <xf borderId="3" fillId="0" fontId="3" numFmtId="0" xfId="0" applyAlignment="1" applyBorder="1" applyFont="1">
      <alignment horizontal="center" readingOrder="0" vertical="center"/>
    </xf>
    <xf borderId="3" fillId="2" fontId="3" numFmtId="0" xfId="0" applyAlignment="1" applyBorder="1" applyFont="1">
      <alignment horizontal="left" readingOrder="0" vertical="center"/>
    </xf>
    <xf borderId="3" fillId="2" fontId="3" numFmtId="0" xfId="0" applyAlignment="1" applyBorder="1" applyFont="1">
      <alignment horizontal="center" readingOrder="0" vertical="center"/>
    </xf>
    <xf borderId="3" fillId="0" fontId="1" numFmtId="0" xfId="0" applyAlignment="1" applyBorder="1" applyFont="1">
      <alignment horizontal="left" readingOrder="0" vertical="center"/>
    </xf>
    <xf borderId="4" fillId="0" fontId="1" numFmtId="0" xfId="0" applyAlignment="1" applyBorder="1" applyFont="1">
      <alignment horizontal="left" readingOrder="0" vertical="center"/>
    </xf>
    <xf borderId="4" fillId="0" fontId="1" numFmtId="0" xfId="0" applyAlignment="1" applyBorder="1" applyFont="1">
      <alignment horizontal="center" vertical="center"/>
    </xf>
    <xf borderId="4" fillId="0" fontId="8" numFmtId="49" xfId="0" applyAlignment="1" applyBorder="1" applyFont="1" applyNumberFormat="1">
      <alignment horizontal="left" readingOrder="0" vertical="center"/>
    </xf>
    <xf borderId="4" fillId="0" fontId="3" numFmtId="0" xfId="0" applyAlignment="1" applyBorder="1" applyFont="1">
      <alignment horizontal="center" readingOrder="0" vertical="center"/>
    </xf>
    <xf borderId="3" fillId="0" fontId="1" numFmtId="0" xfId="0" applyAlignment="1" applyBorder="1" applyFont="1">
      <alignment horizontal="center" vertical="center"/>
    </xf>
    <xf borderId="3" fillId="9" fontId="3" numFmtId="49" xfId="0" applyBorder="1" applyFont="1" applyNumberFormat="1"/>
    <xf borderId="3" fillId="10" fontId="3" numFmtId="49" xfId="0" applyBorder="1" applyFont="1" applyNumberFormat="1"/>
    <xf borderId="4" fillId="7" fontId="17" numFmtId="0" xfId="0" applyAlignment="1" applyBorder="1" applyFont="1">
      <alignment horizontal="center" readingOrder="0" vertical="center"/>
    </xf>
    <xf borderId="4" fillId="2" fontId="8" numFmtId="49" xfId="0" applyAlignment="1" applyBorder="1" applyFont="1" applyNumberFormat="1">
      <alignment horizontal="left" readingOrder="0" vertical="center"/>
    </xf>
    <xf borderId="4" fillId="0" fontId="17" numFmtId="0" xfId="0" applyAlignment="1" applyBorder="1" applyFont="1">
      <alignment horizontal="center" readingOrder="0" vertical="center"/>
    </xf>
    <xf borderId="4" fillId="10" fontId="3" numFmtId="49" xfId="0" applyBorder="1" applyFont="1" applyNumberFormat="1"/>
    <xf borderId="4" fillId="9" fontId="3" numFmtId="49" xfId="0" applyBorder="1" applyFont="1" applyNumberFormat="1"/>
    <xf borderId="3" fillId="0" fontId="1" numFmtId="0" xfId="0" applyAlignment="1" applyBorder="1" applyFont="1">
      <alignment horizontal="left" vertical="center"/>
    </xf>
    <xf borderId="4" fillId="0" fontId="1" numFmtId="0" xfId="0" applyAlignment="1" applyBorder="1" applyFont="1">
      <alignment horizontal="left" vertical="center"/>
    </xf>
    <xf borderId="4" fillId="2" fontId="3" numFmtId="0" xfId="0" applyAlignment="1" applyBorder="1" applyFont="1">
      <alignment horizontal="left" readingOrder="0" vertical="center"/>
    </xf>
    <xf borderId="3" fillId="22" fontId="17" numFmtId="0" xfId="0" applyAlignment="1" applyBorder="1" applyFill="1" applyFont="1">
      <alignment horizontal="center" vertical="center"/>
    </xf>
    <xf borderId="3" fillId="22" fontId="8" numFmtId="49" xfId="0" applyAlignment="1" applyBorder="1" applyFont="1" applyNumberFormat="1">
      <alignment horizontal="left" readingOrder="0" vertical="center"/>
    </xf>
    <xf borderId="3" fillId="22" fontId="3" numFmtId="0" xfId="0" applyAlignment="1" applyBorder="1" applyFont="1">
      <alignment horizontal="center" vertical="center"/>
    </xf>
    <xf borderId="3" fillId="22" fontId="27" numFmtId="0" xfId="0" applyAlignment="1" applyBorder="1" applyFont="1">
      <alignment horizontal="left" readingOrder="0" vertical="center"/>
    </xf>
    <xf borderId="3" fillId="22" fontId="8" numFmtId="49" xfId="0" applyAlignment="1" applyBorder="1" applyFont="1" applyNumberFormat="1">
      <alignment horizontal="center" readingOrder="0" vertical="center"/>
    </xf>
    <xf borderId="3" fillId="22" fontId="1" numFmtId="0" xfId="0" applyAlignment="1" applyBorder="1" applyFont="1">
      <alignment horizontal="left" vertical="center"/>
    </xf>
    <xf borderId="3" fillId="22" fontId="1" numFmtId="0" xfId="0" applyAlignment="1" applyBorder="1" applyFont="1">
      <alignment horizontal="center" vertical="center"/>
    </xf>
    <xf borderId="4" fillId="22" fontId="1" numFmtId="0" xfId="0" applyAlignment="1" applyBorder="1" applyFont="1">
      <alignment horizontal="center" vertical="center"/>
    </xf>
    <xf borderId="4" fillId="2" fontId="3" numFmtId="0" xfId="0" applyAlignment="1" applyBorder="1" applyFont="1">
      <alignment horizontal="center" readingOrder="0" vertical="center"/>
    </xf>
    <xf borderId="0" fillId="0" fontId="17" numFmtId="0" xfId="0" applyAlignment="1" applyFont="1">
      <alignment horizontal="center" readingOrder="0" vertical="center"/>
    </xf>
    <xf borderId="0" fillId="0" fontId="8" numFmtId="49" xfId="0" applyAlignment="1" applyFont="1" applyNumberFormat="1">
      <alignment horizontal="left" readingOrder="0" vertical="center"/>
    </xf>
    <xf borderId="0" fillId="0" fontId="3" numFmtId="0" xfId="0" applyAlignment="1" applyFont="1">
      <alignment horizontal="center" readingOrder="0" vertical="center"/>
    </xf>
    <xf borderId="0" fillId="2" fontId="3" numFmtId="0" xfId="0" applyAlignment="1" applyFont="1">
      <alignment horizontal="left" readingOrder="0" vertical="center"/>
    </xf>
    <xf borderId="0" fillId="2" fontId="3" numFmtId="0" xfId="0" applyAlignment="1" applyFont="1">
      <alignment horizontal="center" readingOrder="0" vertical="center"/>
    </xf>
    <xf borderId="0" fillId="2" fontId="8" numFmtId="49" xfId="0" applyAlignment="1" applyFont="1" applyNumberFormat="1">
      <alignment horizontal="left" readingOrder="0" vertical="center"/>
    </xf>
    <xf borderId="0" fillId="0" fontId="1" numFmtId="0" xfId="0" applyAlignment="1" applyFont="1">
      <alignment horizontal="left" readingOrder="0" vertical="center"/>
    </xf>
    <xf borderId="0" fillId="0" fontId="1" numFmtId="0" xfId="0" applyAlignment="1" applyFont="1">
      <alignment horizontal="left" vertical="center"/>
    </xf>
    <xf borderId="0" fillId="0" fontId="1" numFmtId="0" xfId="0" applyAlignment="1" applyFont="1">
      <alignment horizontal="center" vertical="center"/>
    </xf>
    <xf borderId="0" fillId="0" fontId="31" numFmtId="0" xfId="0" applyAlignment="1" applyFont="1">
      <alignment horizontal="center" readingOrder="0" vertical="center"/>
    </xf>
    <xf borderId="0" fillId="9" fontId="3" numFmtId="0" xfId="0" applyAlignment="1" applyFont="1">
      <alignment horizontal="center" readingOrder="0" vertical="bottom"/>
    </xf>
    <xf borderId="0" fillId="9" fontId="3" numFmtId="0" xfId="0" applyAlignment="1" applyFont="1">
      <alignment horizontal="center" vertical="bottom"/>
    </xf>
    <xf borderId="0" fillId="9" fontId="3" numFmtId="0" xfId="0" applyAlignment="1" applyFont="1">
      <alignment horizontal="left" shrinkToFit="0" vertical="bottom" wrapText="1"/>
    </xf>
    <xf borderId="0" fillId="9" fontId="3" numFmtId="0" xfId="0" applyAlignment="1" applyFont="1">
      <alignment horizontal="left" readingOrder="0" shrinkToFit="0" vertical="center" wrapText="1"/>
    </xf>
    <xf borderId="0" fillId="9" fontId="8" numFmtId="0" xfId="0" applyAlignment="1" applyFont="1">
      <alignment horizontal="center" readingOrder="0" vertical="center"/>
    </xf>
    <xf borderId="0" fillId="9" fontId="1" numFmtId="0" xfId="0" applyAlignment="1" applyFont="1">
      <alignment horizontal="center" vertical="center"/>
    </xf>
    <xf borderId="12" fillId="3" fontId="3" numFmtId="0" xfId="0" applyAlignment="1" applyBorder="1" applyFont="1">
      <alignment horizontal="center" vertical="center"/>
    </xf>
    <xf borderId="12" fillId="3" fontId="3" numFmtId="0" xfId="0" applyAlignment="1" applyBorder="1" applyFont="1">
      <alignment horizontal="center" readingOrder="0" vertical="center"/>
    </xf>
    <xf borderId="10" fillId="3" fontId="3" numFmtId="0" xfId="0" applyAlignment="1" applyBorder="1" applyFont="1">
      <alignment horizontal="center" vertical="center"/>
    </xf>
    <xf borderId="12" fillId="3" fontId="3" numFmtId="0" xfId="0" applyAlignment="1" applyBorder="1" applyFont="1">
      <alignment horizontal="left" shrinkToFit="0" vertical="center" wrapText="1"/>
    </xf>
    <xf borderId="12" fillId="3" fontId="3" numFmtId="0" xfId="0" applyAlignment="1" applyBorder="1" applyFont="1">
      <alignment horizontal="left" readingOrder="0" shrinkToFit="0" vertical="center" wrapText="1"/>
    </xf>
    <xf borderId="11" fillId="3" fontId="8" numFmtId="0" xfId="0" applyAlignment="1" applyBorder="1" applyFont="1">
      <alignment horizontal="center" readingOrder="0" vertical="center"/>
    </xf>
    <xf borderId="3" fillId="3" fontId="3" numFmtId="0" xfId="0" applyAlignment="1" applyBorder="1" applyFont="1">
      <alignment horizontal="center" vertical="center"/>
    </xf>
    <xf borderId="8" fillId="0" fontId="11" numFmtId="0" xfId="0" applyBorder="1" applyFont="1"/>
    <xf borderId="3" fillId="13" fontId="3" numFmtId="0" xfId="0" applyAlignment="1" applyBorder="1" applyFont="1">
      <alignment horizontal="center" vertical="bottom"/>
    </xf>
    <xf borderId="3" fillId="2" fontId="3" numFmtId="0" xfId="0" applyAlignment="1" applyBorder="1" applyFont="1">
      <alignment horizontal="center" readingOrder="0" vertical="bottom"/>
    </xf>
    <xf borderId="3" fillId="10" fontId="3" numFmtId="0" xfId="0" applyAlignment="1" applyBorder="1" applyFont="1">
      <alignment horizontal="center" vertical="bottom"/>
    </xf>
    <xf borderId="3" fillId="10" fontId="3" numFmtId="0" xfId="0" applyAlignment="1" applyBorder="1" applyFont="1">
      <alignment horizontal="center" vertical="bottom"/>
    </xf>
    <xf borderId="3" fillId="10" fontId="3" numFmtId="0" xfId="0" applyAlignment="1" applyBorder="1" applyFont="1">
      <alignment horizontal="left" shrinkToFit="0" vertical="bottom" wrapText="1"/>
    </xf>
    <xf borderId="3" fillId="10" fontId="3" numFmtId="0" xfId="0" applyAlignment="1" applyBorder="1" applyFont="1">
      <alignment horizontal="left" shrinkToFit="0" vertical="bottom" wrapText="0"/>
    </xf>
    <xf borderId="3" fillId="0" fontId="3" numFmtId="0" xfId="0" applyAlignment="1" applyBorder="1" applyFont="1">
      <alignment horizontal="left" shrinkToFit="0" vertical="center" wrapText="1"/>
    </xf>
    <xf borderId="3" fillId="13" fontId="3" numFmtId="0" xfId="0" applyAlignment="1" applyBorder="1" applyFont="1">
      <alignment horizontal="center" vertical="bottom"/>
    </xf>
    <xf borderId="3" fillId="10" fontId="3" numFmtId="0" xfId="0" applyAlignment="1" applyBorder="1" applyFont="1">
      <alignment horizontal="left" shrinkToFit="0" vertical="bottom" wrapText="1"/>
    </xf>
    <xf borderId="3" fillId="10" fontId="3" numFmtId="0" xfId="0" applyAlignment="1" applyBorder="1" applyFont="1">
      <alignment horizontal="left" shrinkToFit="0" vertical="bottom" wrapText="0"/>
    </xf>
    <xf borderId="3" fillId="0" fontId="3" numFmtId="0" xfId="0" applyAlignment="1" applyBorder="1" applyFont="1">
      <alignment horizontal="left" shrinkToFit="0" vertical="center" wrapText="1"/>
    </xf>
    <xf borderId="3" fillId="2" fontId="3" numFmtId="0" xfId="0" applyAlignment="1" applyBorder="1" applyFont="1">
      <alignment horizontal="center" vertical="bottom"/>
    </xf>
    <xf borderId="3" fillId="0" fontId="3" numFmtId="0" xfId="0" applyAlignment="1" applyBorder="1" applyFont="1">
      <alignment horizontal="left" readingOrder="0" shrinkToFit="0" vertical="center" wrapText="1"/>
    </xf>
    <xf borderId="3" fillId="18" fontId="3" numFmtId="0" xfId="0" applyAlignment="1" applyBorder="1" applyFont="1">
      <alignment horizontal="center" vertical="bottom"/>
    </xf>
    <xf borderId="3" fillId="18" fontId="3" numFmtId="0" xfId="0" applyAlignment="1" applyBorder="1" applyFont="1">
      <alignment horizontal="center" vertical="bottom"/>
    </xf>
    <xf borderId="3" fillId="18" fontId="3" numFmtId="0" xfId="0" applyAlignment="1" applyBorder="1" applyFont="1">
      <alignment horizontal="left" shrinkToFit="0" vertical="bottom" wrapText="1"/>
    </xf>
    <xf borderId="3" fillId="18" fontId="3" numFmtId="0" xfId="0" applyAlignment="1" applyBorder="1" applyFont="1">
      <alignment horizontal="left" shrinkToFit="0" vertical="bottom" wrapText="0"/>
    </xf>
    <xf borderId="3" fillId="18" fontId="4" numFmtId="0" xfId="0" applyAlignment="1" applyBorder="1" applyFont="1">
      <alignment horizontal="left" readingOrder="0" shrinkToFit="0" vertical="center" wrapText="1"/>
    </xf>
    <xf borderId="4" fillId="18" fontId="1" numFmtId="0" xfId="0" applyAlignment="1" applyBorder="1" applyFont="1">
      <alignment horizontal="center" readingOrder="0" vertical="center"/>
    </xf>
    <xf borderId="3" fillId="10" fontId="3" numFmtId="0" xfId="0" applyAlignment="1" applyBorder="1" applyFont="1">
      <alignment horizontal="center"/>
    </xf>
    <xf borderId="3" fillId="10" fontId="3" numFmtId="0" xfId="0" applyAlignment="1" applyBorder="1" applyFont="1">
      <alignment horizontal="left" shrinkToFit="0" wrapText="1"/>
    </xf>
    <xf borderId="3" fillId="10" fontId="3" numFmtId="0" xfId="0" applyAlignment="1" applyBorder="1" applyFont="1">
      <alignment horizontal="left" shrinkToFit="0" wrapText="0"/>
    </xf>
    <xf borderId="3" fillId="10" fontId="32" numFmtId="0" xfId="0" applyAlignment="1" applyBorder="1" applyFont="1">
      <alignment horizontal="left" shrinkToFit="0" vertical="bottom" wrapText="0"/>
    </xf>
    <xf borderId="4" fillId="13" fontId="1" numFmtId="0" xfId="0" applyAlignment="1" applyBorder="1" applyFont="1">
      <alignment horizontal="center" vertical="center"/>
    </xf>
    <xf borderId="4" fillId="2" fontId="1" numFmtId="0" xfId="0" applyAlignment="1" applyBorder="1" applyFont="1">
      <alignment horizontal="center" vertical="center"/>
    </xf>
    <xf borderId="4" fillId="10" fontId="1" numFmtId="0" xfId="0" applyAlignment="1" applyBorder="1" applyFont="1">
      <alignment horizontal="center" vertical="center"/>
    </xf>
    <xf borderId="4" fillId="10" fontId="1" numFmtId="0" xfId="0" applyAlignment="1" applyBorder="1" applyFont="1">
      <alignment horizontal="left" shrinkToFit="0" vertical="center" wrapText="1"/>
    </xf>
    <xf borderId="4" fillId="10" fontId="33" numFmtId="0" xfId="0" applyAlignment="1" applyBorder="1" applyFont="1">
      <alignment horizontal="left" shrinkToFit="0" vertical="center" wrapText="0"/>
    </xf>
    <xf borderId="4" fillId="13" fontId="1" numFmtId="0" xfId="0" applyBorder="1" applyFont="1"/>
    <xf borderId="4" fillId="10" fontId="1" numFmtId="0" xfId="0" applyAlignment="1" applyBorder="1" applyFont="1">
      <alignment horizontal="left" shrinkToFit="0" vertical="center" wrapText="0"/>
    </xf>
    <xf borderId="0" fillId="0" fontId="1" numFmtId="0" xfId="0" applyAlignment="1" applyFont="1">
      <alignment horizontal="left" shrinkToFit="0" vertical="center" wrapText="1"/>
    </xf>
    <xf borderId="0" fillId="0" fontId="1" numFmtId="0" xfId="0" applyAlignment="1" applyFont="1">
      <alignment horizontal="center" readingOrder="0" vertical="center"/>
    </xf>
    <xf borderId="0" fillId="2" fontId="12" numFmtId="0" xfId="0" applyAlignment="1" applyFont="1">
      <alignment readingOrder="0"/>
    </xf>
    <xf borderId="11" fillId="2" fontId="3" numFmtId="0" xfId="0" applyAlignment="1" applyBorder="1" applyFont="1">
      <alignment horizontal="left" readingOrder="0" vertical="center"/>
    </xf>
    <xf borderId="43" fillId="2" fontId="3" numFmtId="0" xfId="0" applyAlignment="1" applyBorder="1" applyFont="1">
      <alignment horizontal="left" readingOrder="0" vertical="center"/>
    </xf>
    <xf borderId="12" fillId="2" fontId="3" numFmtId="0" xfId="0" applyAlignment="1" applyBorder="1" applyFont="1">
      <alignment horizontal="left" readingOrder="0" vertical="center"/>
    </xf>
    <xf borderId="36" fillId="2" fontId="3" numFmtId="0" xfId="0" applyAlignment="1" applyBorder="1" applyFont="1">
      <alignment horizontal="left" readingOrder="0" vertical="center"/>
    </xf>
    <xf borderId="43" fillId="2" fontId="34" numFmtId="0" xfId="0" applyAlignment="1" applyBorder="1" applyFont="1">
      <alignment horizontal="left" readingOrder="0" vertical="center"/>
    </xf>
    <xf borderId="43" fillId="2" fontId="3" numFmtId="0" xfId="0" applyAlignment="1" applyBorder="1" applyFont="1">
      <alignment horizontal="left" vertical="center"/>
    </xf>
    <xf borderId="43" fillId="2" fontId="3" numFmtId="0" xfId="0" applyAlignment="1" applyBorder="1" applyFont="1">
      <alignment horizontal="left" shrinkToFit="0" vertical="center" wrapText="0"/>
    </xf>
    <xf borderId="43" fillId="2" fontId="8" numFmtId="0" xfId="0" applyAlignment="1" applyBorder="1" applyFont="1">
      <alignment horizontal="left" shrinkToFit="0" vertical="center" wrapText="0"/>
    </xf>
    <xf borderId="44" fillId="2" fontId="3" numFmtId="0" xfId="0" applyAlignment="1" applyBorder="1" applyFont="1">
      <alignment horizontal="left" readingOrder="0" vertical="center"/>
    </xf>
    <xf borderId="9" fillId="12" fontId="2" numFmtId="0" xfId="0" applyAlignment="1" applyBorder="1" applyFont="1">
      <alignment horizontal="left" readingOrder="0" vertical="center"/>
    </xf>
    <xf borderId="9" fillId="3" fontId="3" numFmtId="0" xfId="0" applyAlignment="1" applyBorder="1" applyFont="1">
      <alignment horizontal="left" readingOrder="0" vertical="center"/>
    </xf>
    <xf borderId="10" fillId="3" fontId="3" numFmtId="0" xfId="0" applyAlignment="1" applyBorder="1" applyFont="1">
      <alignment horizontal="left" readingOrder="0" vertical="center"/>
    </xf>
    <xf borderId="5" fillId="3" fontId="3" numFmtId="0" xfId="0" applyAlignment="1" applyBorder="1" applyFont="1">
      <alignment horizontal="left" readingOrder="0" vertical="center"/>
    </xf>
    <xf borderId="45" fillId="2" fontId="3" numFmtId="0" xfId="0" applyAlignment="1" applyBorder="1" applyFont="1">
      <alignment horizontal="left" readingOrder="0" vertical="center"/>
    </xf>
    <xf borderId="46" fillId="2" fontId="3" numFmtId="0" xfId="0" applyAlignment="1" applyBorder="1" applyFont="1">
      <alignment horizontal="left" readingOrder="0" vertical="center"/>
    </xf>
    <xf borderId="44" fillId="2" fontId="3" numFmtId="0" xfId="0" applyAlignment="1" applyBorder="1" applyFont="1">
      <alignment horizontal="left" readingOrder="0" shrinkToFit="0" vertical="center" wrapText="0"/>
    </xf>
    <xf borderId="44" fillId="2" fontId="8" numFmtId="0" xfId="0" applyAlignment="1" applyBorder="1" applyFont="1">
      <alignment horizontal="left" readingOrder="0" shrinkToFit="0" vertical="center" wrapText="0"/>
    </xf>
    <xf borderId="44" fillId="12" fontId="2" numFmtId="0" xfId="0" applyAlignment="1" applyBorder="1" applyFont="1">
      <alignment horizontal="left" readingOrder="0" vertical="center"/>
    </xf>
    <xf borderId="9" fillId="3" fontId="8" numFmtId="3" xfId="0" applyAlignment="1" applyBorder="1" applyFont="1" applyNumberFormat="1">
      <alignment horizontal="left" readingOrder="0" shrinkToFit="0" vertical="center" wrapText="0"/>
    </xf>
    <xf borderId="5" fillId="3" fontId="8" numFmtId="3" xfId="0" applyAlignment="1" applyBorder="1" applyFont="1" applyNumberFormat="1">
      <alignment horizontal="left" readingOrder="0" shrinkToFit="0" vertical="center" wrapText="0"/>
    </xf>
    <xf borderId="8" fillId="2" fontId="3" numFmtId="0" xfId="0" applyAlignment="1" applyBorder="1" applyFont="1">
      <alignment horizontal="left" readingOrder="0" vertical="center"/>
    </xf>
    <xf borderId="8" fillId="2" fontId="3" numFmtId="0" xfId="0" applyAlignment="1" applyBorder="1" applyFont="1">
      <alignment horizontal="left" readingOrder="0" shrinkToFit="0" vertical="center" wrapText="0"/>
    </xf>
    <xf borderId="8" fillId="2" fontId="8" numFmtId="0" xfId="0" applyAlignment="1" applyBorder="1" applyFont="1">
      <alignment horizontal="left" readingOrder="0" shrinkToFit="0" vertical="center" wrapText="0"/>
    </xf>
    <xf borderId="8" fillId="12" fontId="2" numFmtId="0" xfId="0" applyAlignment="1" applyBorder="1" applyFont="1">
      <alignment horizontal="left" readingOrder="0" vertical="center"/>
    </xf>
    <xf borderId="4" fillId="3" fontId="3" numFmtId="0" xfId="0" applyAlignment="1" applyBorder="1" applyFont="1">
      <alignment horizontal="left" readingOrder="0" vertical="center"/>
    </xf>
    <xf borderId="4" fillId="3" fontId="5" numFmtId="3" xfId="0" applyAlignment="1" applyBorder="1" applyFont="1" applyNumberFormat="1">
      <alignment horizontal="left" readingOrder="0" shrinkToFit="0" vertical="center" wrapText="0"/>
    </xf>
    <xf borderId="4" fillId="10" fontId="3" numFmtId="0" xfId="0" applyAlignment="1" applyBorder="1" applyFont="1">
      <alignment horizontal="left" readingOrder="0" vertical="bottom"/>
    </xf>
    <xf borderId="4" fillId="9" fontId="8" numFmtId="0" xfId="0" applyAlignment="1" applyBorder="1" applyFont="1">
      <alignment readingOrder="0" shrinkToFit="0" vertical="center" wrapText="0"/>
    </xf>
    <xf borderId="4" fillId="9" fontId="8" numFmtId="172" xfId="0" applyAlignment="1" applyBorder="1" applyFont="1" applyNumberFormat="1">
      <alignment horizontal="left" readingOrder="0" shrinkToFit="0" vertical="center" wrapText="0"/>
    </xf>
    <xf borderId="11" fillId="9" fontId="35" numFmtId="172" xfId="0" applyAlignment="1" applyBorder="1" applyFont="1" applyNumberFormat="1">
      <alignment horizontal="center" readingOrder="0" shrinkToFit="0" vertical="center" wrapText="0"/>
    </xf>
    <xf borderId="11" fillId="9" fontId="36" numFmtId="172" xfId="0" applyAlignment="1" applyBorder="1" applyFont="1" applyNumberFormat="1">
      <alignment horizontal="left" readingOrder="0" shrinkToFit="0" vertical="center" wrapText="0"/>
    </xf>
    <xf borderId="11" fillId="9" fontId="8" numFmtId="172" xfId="0" applyAlignment="1" applyBorder="1" applyFont="1" applyNumberFormat="1">
      <alignment horizontal="left" readingOrder="0" shrinkToFit="0" vertical="center" wrapText="0"/>
    </xf>
    <xf borderId="11" fillId="9" fontId="3" numFmtId="172" xfId="0" applyAlignment="1" applyBorder="1" applyFont="1" applyNumberFormat="1">
      <alignment horizontal="left" readingOrder="0" shrinkToFit="0" vertical="center" wrapText="0"/>
    </xf>
    <xf borderId="11" fillId="9" fontId="8" numFmtId="172" xfId="0" applyAlignment="1" applyBorder="1" applyFont="1" applyNumberFormat="1">
      <alignment horizontal="left" readingOrder="0" shrinkToFit="0" vertical="center" wrapText="1"/>
    </xf>
    <xf borderId="4" fillId="9" fontId="8" numFmtId="172" xfId="0" applyAlignment="1" applyBorder="1" applyFont="1" applyNumberFormat="1">
      <alignment horizontal="center" readingOrder="0" shrinkToFit="0" vertical="center" wrapText="0"/>
    </xf>
    <xf borderId="4" fillId="9" fontId="3" numFmtId="172" xfId="0" applyAlignment="1" applyBorder="1" applyFont="1" applyNumberFormat="1">
      <alignment horizontal="left" readingOrder="0" vertical="center"/>
    </xf>
    <xf borderId="8" fillId="9" fontId="3" numFmtId="172" xfId="0" applyAlignment="1" applyBorder="1" applyFont="1" applyNumberFormat="1">
      <alignment horizontal="left" readingOrder="0" vertical="center"/>
    </xf>
    <xf borderId="9" fillId="9" fontId="8" numFmtId="172" xfId="0" applyAlignment="1" applyBorder="1" applyFont="1" applyNumberFormat="1">
      <alignment horizontal="left" readingOrder="0" shrinkToFit="0" vertical="center" wrapText="0"/>
    </xf>
    <xf borderId="9" fillId="0" fontId="37" numFmtId="0" xfId="0" applyAlignment="1" applyBorder="1" applyFont="1">
      <alignment horizontal="center" readingOrder="0" shrinkToFit="0" wrapText="0"/>
    </xf>
    <xf borderId="9" fillId="0" fontId="38" numFmtId="0" xfId="0" applyAlignment="1" applyBorder="1" applyFont="1">
      <alignment readingOrder="0" shrinkToFit="0" wrapText="0"/>
    </xf>
    <xf borderId="9" fillId="0" fontId="12" numFmtId="0" xfId="0" applyAlignment="1" applyBorder="1" applyFont="1">
      <alignment readingOrder="0" shrinkToFit="0" wrapText="0"/>
    </xf>
    <xf borderId="4" fillId="0" fontId="1" numFmtId="0" xfId="0" applyAlignment="1" applyBorder="1" applyFont="1">
      <alignment readingOrder="0"/>
    </xf>
    <xf borderId="5" fillId="9" fontId="8" numFmtId="172" xfId="0" applyAlignment="1" applyBorder="1" applyFont="1" applyNumberFormat="1">
      <alignment horizontal="left" readingOrder="0" shrinkToFit="0" vertical="center" wrapText="1"/>
    </xf>
    <xf borderId="9" fillId="9" fontId="37" numFmtId="0" xfId="0" applyAlignment="1" applyBorder="1" applyFont="1">
      <alignment horizontal="center" readingOrder="0" shrinkToFit="0" wrapText="0"/>
    </xf>
    <xf borderId="9" fillId="9" fontId="39" numFmtId="0" xfId="0" applyAlignment="1" applyBorder="1" applyFont="1">
      <alignment readingOrder="0" shrinkToFit="0" wrapText="0"/>
    </xf>
    <xf borderId="4" fillId="2" fontId="3" numFmtId="0" xfId="0" applyAlignment="1" applyBorder="1" applyFont="1">
      <alignment horizontal="left" readingOrder="0" vertical="bottom"/>
    </xf>
    <xf borderId="4" fillId="2" fontId="8" numFmtId="0" xfId="0" applyAlignment="1" applyBorder="1" applyFont="1">
      <alignment readingOrder="0" shrinkToFit="0" vertical="center" wrapText="0"/>
    </xf>
    <xf borderId="9" fillId="2" fontId="8" numFmtId="172" xfId="0" applyAlignment="1" applyBorder="1" applyFont="1" applyNumberFormat="1">
      <alignment horizontal="left" readingOrder="0" shrinkToFit="0" vertical="center" wrapText="0"/>
    </xf>
    <xf borderId="9" fillId="2" fontId="35" numFmtId="172" xfId="0" applyAlignment="1" applyBorder="1" applyFont="1" applyNumberFormat="1">
      <alignment horizontal="center" readingOrder="0" shrinkToFit="0" vertical="center" wrapText="0"/>
    </xf>
    <xf borderId="9" fillId="2" fontId="40" numFmtId="172" xfId="0" applyAlignment="1" applyBorder="1" applyFont="1" applyNumberFormat="1">
      <alignment horizontal="left" readingOrder="0" shrinkToFit="0" vertical="center" wrapText="0"/>
    </xf>
    <xf borderId="9" fillId="2" fontId="8" numFmtId="172" xfId="0" applyAlignment="1" applyBorder="1" applyFont="1" applyNumberFormat="1">
      <alignment horizontal="left" readingOrder="0" shrinkToFit="0" vertical="center" wrapText="0"/>
    </xf>
    <xf borderId="4" fillId="2" fontId="3" numFmtId="172" xfId="0" applyAlignment="1" applyBorder="1" applyFont="1" applyNumberFormat="1">
      <alignment horizontal="left" readingOrder="0" shrinkToFit="0" vertical="center" wrapText="0"/>
    </xf>
    <xf borderId="5" fillId="2" fontId="8" numFmtId="172" xfId="0" applyAlignment="1" applyBorder="1" applyFont="1" applyNumberFormat="1">
      <alignment horizontal="left" readingOrder="0" shrinkToFit="0" vertical="center" wrapText="1"/>
    </xf>
    <xf borderId="5" fillId="2" fontId="8" numFmtId="172" xfId="0" applyAlignment="1" applyBorder="1" applyFont="1" applyNumberFormat="1">
      <alignment horizontal="center" readingOrder="0" shrinkToFit="0" vertical="center" wrapText="0"/>
    </xf>
    <xf borderId="4" fillId="2" fontId="8" numFmtId="172" xfId="0" applyAlignment="1" applyBorder="1" applyFont="1" applyNumberFormat="1">
      <alignment horizontal="center" readingOrder="0" shrinkToFit="0" vertical="center" wrapText="0"/>
    </xf>
    <xf borderId="4" fillId="2" fontId="3" numFmtId="172" xfId="0" applyAlignment="1" applyBorder="1" applyFont="1" applyNumberFormat="1">
      <alignment horizontal="left" readingOrder="0" vertical="center"/>
    </xf>
    <xf borderId="4" fillId="2" fontId="3" numFmtId="49" xfId="0" applyAlignment="1" applyBorder="1" applyFont="1" applyNumberFormat="1">
      <alignment horizontal="center" readingOrder="0" vertical="center"/>
    </xf>
    <xf borderId="9" fillId="9" fontId="35" numFmtId="172" xfId="0" applyAlignment="1" applyBorder="1" applyFont="1" applyNumberFormat="1">
      <alignment horizontal="center" readingOrder="0" shrinkToFit="0" vertical="center" wrapText="0"/>
    </xf>
    <xf borderId="9" fillId="9" fontId="41" numFmtId="172" xfId="0" applyAlignment="1" applyBorder="1" applyFont="1" applyNumberFormat="1">
      <alignment horizontal="left" readingOrder="0" shrinkToFit="0" vertical="center" wrapText="0"/>
    </xf>
    <xf borderId="9" fillId="9" fontId="8" numFmtId="172" xfId="0" applyAlignment="1" applyBorder="1" applyFont="1" applyNumberFormat="1">
      <alignment horizontal="left" readingOrder="0" shrinkToFit="0" vertical="center" wrapText="0"/>
    </xf>
    <xf borderId="4" fillId="9" fontId="3" numFmtId="172" xfId="0" applyAlignment="1" applyBorder="1" applyFont="1" applyNumberFormat="1">
      <alignment horizontal="left" readingOrder="0" shrinkToFit="0" vertical="center" wrapText="0"/>
    </xf>
    <xf borderId="5" fillId="9" fontId="8" numFmtId="172" xfId="0" applyAlignment="1" applyBorder="1" applyFont="1" applyNumberFormat="1">
      <alignment horizontal="center" readingOrder="0" shrinkToFit="0" vertical="center" wrapText="0"/>
    </xf>
    <xf borderId="8" fillId="9" fontId="35" numFmtId="172" xfId="0" applyAlignment="1" applyBorder="1" applyFont="1" applyNumberFormat="1">
      <alignment horizontal="center" readingOrder="0" shrinkToFit="0" vertical="center" wrapText="0"/>
    </xf>
    <xf borderId="8" fillId="9" fontId="42" numFmtId="172" xfId="0" applyAlignment="1" applyBorder="1" applyFont="1" applyNumberFormat="1">
      <alignment horizontal="left" readingOrder="0" shrinkToFit="0" vertical="center" wrapText="0"/>
    </xf>
    <xf borderId="8" fillId="9" fontId="8" numFmtId="172" xfId="0" applyAlignment="1" applyBorder="1" applyFont="1" applyNumberFormat="1">
      <alignment horizontal="left" readingOrder="0" shrinkToFit="0" vertical="center" wrapText="0"/>
    </xf>
    <xf borderId="8" fillId="9" fontId="8" numFmtId="172" xfId="0" applyAlignment="1" applyBorder="1" applyFont="1" applyNumberFormat="1">
      <alignment horizontal="left" readingOrder="0" shrinkToFit="0" vertical="center" wrapText="0"/>
    </xf>
    <xf borderId="8" fillId="9" fontId="8" numFmtId="172" xfId="0" applyAlignment="1" applyBorder="1" applyFont="1" applyNumberFormat="1">
      <alignment horizontal="left" readingOrder="0" shrinkToFit="0" vertical="center" wrapText="1"/>
    </xf>
    <xf borderId="4" fillId="9" fontId="35" numFmtId="172" xfId="0" applyAlignment="1" applyBorder="1" applyFont="1" applyNumberFormat="1">
      <alignment horizontal="center" readingOrder="0" shrinkToFit="0" vertical="center" wrapText="0"/>
    </xf>
    <xf borderId="4" fillId="9" fontId="43" numFmtId="172" xfId="0" applyAlignment="1" applyBorder="1" applyFont="1" applyNumberFormat="1">
      <alignment horizontal="left" readingOrder="0" shrinkToFit="0" vertical="center" wrapText="0"/>
    </xf>
    <xf borderId="4" fillId="9" fontId="8" numFmtId="172" xfId="0" applyAlignment="1" applyBorder="1" applyFont="1" applyNumberFormat="1">
      <alignment horizontal="left" readingOrder="0" shrinkToFit="0" vertical="center" wrapText="0"/>
    </xf>
    <xf borderId="4" fillId="9" fontId="8" numFmtId="172" xfId="0" applyAlignment="1" applyBorder="1" applyFont="1" applyNumberFormat="1">
      <alignment horizontal="left" readingOrder="0" shrinkToFit="0" vertical="center" wrapText="1"/>
    </xf>
    <xf borderId="4" fillId="17" fontId="3" numFmtId="0" xfId="0" applyAlignment="1" applyBorder="1" applyFont="1">
      <alignment horizontal="left" readingOrder="0" vertical="bottom"/>
    </xf>
    <xf borderId="4" fillId="2" fontId="8" numFmtId="172" xfId="0" applyAlignment="1" applyBorder="1" applyFont="1" applyNumberFormat="1">
      <alignment horizontal="left" readingOrder="0" shrinkToFit="0" vertical="center" wrapText="0"/>
    </xf>
    <xf borderId="4" fillId="2" fontId="35" numFmtId="172" xfId="0" applyAlignment="1" applyBorder="1" applyFont="1" applyNumberFormat="1">
      <alignment horizontal="center" readingOrder="0" shrinkToFit="0" vertical="center" wrapText="0"/>
    </xf>
    <xf borderId="4" fillId="2" fontId="44" numFmtId="172" xfId="0" applyAlignment="1" applyBorder="1" applyFont="1" applyNumberFormat="1">
      <alignment horizontal="left" readingOrder="0" shrinkToFit="0" vertical="center" wrapText="0"/>
    </xf>
    <xf borderId="4" fillId="2" fontId="8" numFmtId="172" xfId="0" applyAlignment="1" applyBorder="1" applyFont="1" applyNumberFormat="1">
      <alignment horizontal="left" readingOrder="0" shrinkToFit="0" vertical="center" wrapText="0"/>
    </xf>
    <xf borderId="4" fillId="2" fontId="8" numFmtId="172" xfId="0" applyAlignment="1" applyBorder="1" applyFont="1" applyNumberFormat="1">
      <alignment horizontal="left" readingOrder="0" shrinkToFit="0" vertical="center" wrapText="1"/>
    </xf>
    <xf borderId="4" fillId="9" fontId="45" numFmtId="172" xfId="0" applyAlignment="1" applyBorder="1" applyFont="1" applyNumberFormat="1">
      <alignment horizontal="left" readingOrder="0" shrinkToFit="0" vertical="center" wrapText="0"/>
    </xf>
    <xf borderId="4" fillId="0" fontId="37" numFmtId="0" xfId="0" applyAlignment="1" applyBorder="1" applyFont="1">
      <alignment horizontal="center" readingOrder="0" shrinkToFit="0" wrapText="0"/>
    </xf>
    <xf borderId="4" fillId="0" fontId="46" numFmtId="0" xfId="0" applyAlignment="1" applyBorder="1" applyFont="1">
      <alignment readingOrder="0" shrinkToFit="0" wrapText="0"/>
    </xf>
    <xf borderId="0" fillId="9" fontId="8" numFmtId="172" xfId="0" applyAlignment="1" applyFont="1" applyNumberFormat="1">
      <alignment horizontal="left" readingOrder="0" shrinkToFit="0" vertical="center" wrapText="1"/>
    </xf>
    <xf borderId="47" fillId="10" fontId="3" numFmtId="0" xfId="0" applyAlignment="1" applyBorder="1" applyFont="1">
      <alignment horizontal="left" readingOrder="0" vertical="bottom"/>
    </xf>
    <xf borderId="47" fillId="9" fontId="8" numFmtId="0" xfId="0" applyAlignment="1" applyBorder="1" applyFont="1">
      <alignment readingOrder="0" shrinkToFit="0" vertical="center" wrapText="0"/>
    </xf>
    <xf borderId="47" fillId="9" fontId="8" numFmtId="172" xfId="0" applyAlignment="1" applyBorder="1" applyFont="1" applyNumberFormat="1">
      <alignment horizontal="left" readingOrder="0" shrinkToFit="0" vertical="center" wrapText="0"/>
    </xf>
    <xf borderId="47" fillId="9" fontId="35" numFmtId="172" xfId="0" applyAlignment="1" applyBorder="1" applyFont="1" applyNumberFormat="1">
      <alignment horizontal="center" readingOrder="0" shrinkToFit="0" vertical="center" wrapText="0"/>
    </xf>
    <xf borderId="47" fillId="9" fontId="47" numFmtId="172" xfId="0" applyAlignment="1" applyBorder="1" applyFont="1" applyNumberFormat="1">
      <alignment horizontal="left" readingOrder="0" shrinkToFit="0" vertical="center" wrapText="0"/>
    </xf>
    <xf borderId="47" fillId="9" fontId="8" numFmtId="172" xfId="0" applyAlignment="1" applyBorder="1" applyFont="1" applyNumberFormat="1">
      <alignment horizontal="left" readingOrder="0" shrinkToFit="0" vertical="center" wrapText="0"/>
    </xf>
    <xf borderId="47" fillId="9" fontId="3" numFmtId="172" xfId="0" applyAlignment="1" applyBorder="1" applyFont="1" applyNumberFormat="1">
      <alignment horizontal="left" readingOrder="0" shrinkToFit="0" vertical="center" wrapText="0"/>
    </xf>
    <xf borderId="47" fillId="9" fontId="8" numFmtId="172" xfId="0" applyAlignment="1" applyBorder="1" applyFont="1" applyNumberFormat="1">
      <alignment horizontal="left" readingOrder="0" shrinkToFit="0" vertical="center" wrapText="1"/>
    </xf>
    <xf borderId="47" fillId="9" fontId="8" numFmtId="172" xfId="0" applyAlignment="1" applyBorder="1" applyFont="1" applyNumberFormat="1">
      <alignment horizontal="center" readingOrder="0" shrinkToFit="0" vertical="center" wrapText="0"/>
    </xf>
    <xf borderId="47" fillId="9" fontId="3" numFmtId="172" xfId="0" applyAlignment="1" applyBorder="1" applyFont="1" applyNumberFormat="1">
      <alignment horizontal="left" readingOrder="0" vertical="center"/>
    </xf>
    <xf borderId="47" fillId="9" fontId="3" numFmtId="49" xfId="0" applyAlignment="1" applyBorder="1" applyFont="1" applyNumberFormat="1">
      <alignment horizontal="center" readingOrder="0" vertical="center"/>
    </xf>
    <xf borderId="8" fillId="10" fontId="3" numFmtId="0" xfId="0" applyAlignment="1" applyBorder="1" applyFont="1">
      <alignment horizontal="left" readingOrder="0" vertical="bottom"/>
    </xf>
    <xf borderId="8" fillId="9" fontId="8" numFmtId="0" xfId="0" applyAlignment="1" applyBorder="1" applyFont="1">
      <alignment readingOrder="0" shrinkToFit="0" vertical="center" wrapText="0"/>
    </xf>
    <xf borderId="8" fillId="9" fontId="48" numFmtId="172" xfId="0" applyAlignment="1" applyBorder="1" applyFont="1" applyNumberFormat="1">
      <alignment horizontal="left" readingOrder="0" shrinkToFit="0" vertical="center" wrapText="0"/>
    </xf>
    <xf borderId="8" fillId="9" fontId="3" numFmtId="172" xfId="0" applyAlignment="1" applyBorder="1" applyFont="1" applyNumberFormat="1">
      <alignment horizontal="left" readingOrder="0" shrinkToFit="0" vertical="center" wrapText="0"/>
    </xf>
    <xf borderId="8" fillId="9" fontId="8" numFmtId="172" xfId="0" applyAlignment="1" applyBorder="1" applyFont="1" applyNumberFormat="1">
      <alignment horizontal="center" readingOrder="0" shrinkToFit="0" vertical="center" wrapText="0"/>
    </xf>
    <xf borderId="8" fillId="9" fontId="3" numFmtId="49" xfId="0" applyAlignment="1" applyBorder="1" applyFont="1" applyNumberFormat="1">
      <alignment horizontal="center" readingOrder="0" vertical="center"/>
    </xf>
    <xf borderId="11" fillId="2" fontId="8" numFmtId="172" xfId="0" applyAlignment="1" applyBorder="1" applyFont="1" applyNumberFormat="1">
      <alignment horizontal="left" readingOrder="0" shrinkToFit="0" vertical="center" wrapText="0"/>
    </xf>
    <xf borderId="4" fillId="2" fontId="49" numFmtId="172" xfId="0" applyAlignment="1" applyBorder="1" applyFont="1" applyNumberFormat="1">
      <alignment horizontal="left" readingOrder="0" shrinkToFit="0" vertical="center" wrapText="0"/>
    </xf>
    <xf borderId="4" fillId="9" fontId="50" numFmtId="172" xfId="0" applyAlignment="1" applyBorder="1" applyFont="1" applyNumberFormat="1">
      <alignment horizontal="left" readingOrder="0" shrinkToFit="0" vertical="center" wrapText="0"/>
    </xf>
    <xf borderId="4" fillId="9" fontId="51" numFmtId="172" xfId="0" applyAlignment="1" applyBorder="1" applyFont="1" applyNumberFormat="1">
      <alignment horizontal="left" readingOrder="0" shrinkToFit="0" vertical="center" wrapText="0"/>
    </xf>
    <xf borderId="47" fillId="9" fontId="52" numFmtId="172" xfId="0" applyAlignment="1" applyBorder="1" applyFont="1" applyNumberFormat="1">
      <alignment horizontal="left" readingOrder="0" shrinkToFit="0" vertical="center" wrapText="0"/>
    </xf>
    <xf borderId="8" fillId="9" fontId="8" numFmtId="172" xfId="0" applyAlignment="1" applyBorder="1" applyFont="1" applyNumberFormat="1">
      <alignment horizontal="left" readingOrder="0" shrinkToFit="0" vertical="center" wrapText="0"/>
    </xf>
    <xf borderId="4" fillId="9" fontId="8" numFmtId="172" xfId="0" applyAlignment="1" applyBorder="1" applyFont="1" applyNumberFormat="1">
      <alignment horizontal="left" readingOrder="0" shrinkToFit="0" vertical="center" wrapText="0"/>
    </xf>
    <xf borderId="47" fillId="9" fontId="53" numFmtId="172" xfId="0" applyAlignment="1" applyBorder="1" applyFont="1" applyNumberFormat="1">
      <alignment horizontal="left" readingOrder="0" shrinkToFit="0" vertical="center" wrapText="0"/>
    </xf>
    <xf borderId="47" fillId="9" fontId="8" numFmtId="172" xfId="0" applyAlignment="1" applyBorder="1" applyFont="1" applyNumberFormat="1">
      <alignment horizontal="left" readingOrder="0" shrinkToFit="0" vertical="center" wrapText="0"/>
    </xf>
    <xf borderId="8" fillId="9" fontId="54" numFmtId="172" xfId="0" applyAlignment="1" applyBorder="1" applyFont="1" applyNumberFormat="1">
      <alignment horizontal="left" readingOrder="0" shrinkToFit="0" vertical="center" wrapText="0"/>
    </xf>
    <xf borderId="4" fillId="9" fontId="8" numFmtId="172" xfId="0" applyAlignment="1" applyBorder="1" applyFont="1" applyNumberFormat="1">
      <alignment horizontal="left" readingOrder="0" shrinkToFit="0" vertical="center" wrapText="0"/>
    </xf>
    <xf borderId="48" fillId="10" fontId="3" numFmtId="0" xfId="0" applyAlignment="1" applyBorder="1" applyFont="1">
      <alignment horizontal="left" readingOrder="0" vertical="bottom"/>
    </xf>
    <xf borderId="8" fillId="9" fontId="9" numFmtId="0" xfId="0" applyAlignment="1" applyBorder="1" applyFont="1">
      <alignment readingOrder="0" shrinkToFit="0" vertical="center" wrapText="0"/>
    </xf>
    <xf borderId="4" fillId="9" fontId="9" numFmtId="0" xfId="0" applyAlignment="1" applyBorder="1" applyFont="1">
      <alignment readingOrder="0" shrinkToFit="0" vertical="center" wrapText="0"/>
    </xf>
    <xf borderId="4" fillId="0" fontId="3" numFmtId="172" xfId="0" applyAlignment="1" applyBorder="1" applyFont="1" applyNumberFormat="1">
      <alignment vertical="bottom"/>
    </xf>
    <xf borderId="4" fillId="9" fontId="8" numFmtId="172" xfId="0" applyAlignment="1" applyBorder="1" applyFont="1" applyNumberFormat="1">
      <alignment horizontal="left" shrinkToFit="0" vertical="center" wrapText="1"/>
    </xf>
    <xf borderId="4" fillId="9" fontId="9" numFmtId="172" xfId="0" applyAlignment="1" applyBorder="1" applyFont="1" applyNumberFormat="1">
      <alignment horizontal="left" readingOrder="0" shrinkToFit="0" vertical="center" wrapText="1"/>
    </xf>
    <xf borderId="4" fillId="0" fontId="3" numFmtId="0" xfId="0" applyAlignment="1" applyBorder="1" applyFont="1">
      <alignment readingOrder="0" vertical="bottom"/>
    </xf>
    <xf borderId="11" fillId="9" fontId="8" numFmtId="0" xfId="0" applyAlignment="1" applyBorder="1" applyFont="1">
      <alignment readingOrder="0" shrinkToFit="0" vertical="center" wrapText="0"/>
    </xf>
    <xf borderId="4" fillId="9" fontId="22" numFmtId="0" xfId="0" applyAlignment="1" applyBorder="1" applyFont="1">
      <alignment readingOrder="0"/>
    </xf>
    <xf borderId="5" fillId="9" fontId="8" numFmtId="172" xfId="0" applyAlignment="1" applyBorder="1" applyFont="1" applyNumberFormat="1">
      <alignment horizontal="left" readingOrder="0" shrinkToFit="0" vertical="center" wrapText="0"/>
    </xf>
    <xf borderId="5" fillId="9" fontId="35" numFmtId="172" xfId="0" applyAlignment="1" applyBorder="1" applyFont="1" applyNumberFormat="1">
      <alignment horizontal="center" readingOrder="0" shrinkToFit="0" vertical="center" wrapText="0"/>
    </xf>
    <xf borderId="4" fillId="9" fontId="8" numFmtId="0" xfId="0" applyAlignment="1" applyBorder="1" applyFont="1">
      <alignment horizontal="left" readingOrder="0" shrinkToFit="0" vertical="center" wrapText="1"/>
    </xf>
    <xf borderId="4" fillId="18" fontId="3" numFmtId="0" xfId="0" applyAlignment="1" applyBorder="1" applyFont="1">
      <alignment horizontal="left" readingOrder="0" vertical="bottom"/>
    </xf>
    <xf borderId="4" fillId="0" fontId="3" numFmtId="0" xfId="0" applyAlignment="1" applyBorder="1" applyFont="1">
      <alignment vertical="bottom"/>
    </xf>
    <xf borderId="4" fillId="9" fontId="9" numFmtId="0" xfId="0" applyAlignment="1" applyBorder="1" applyFont="1">
      <alignment vertical="bottom"/>
    </xf>
    <xf borderId="11" fillId="10" fontId="3" numFmtId="0" xfId="0" applyAlignment="1" applyBorder="1" applyFont="1">
      <alignment horizontal="left" readingOrder="0" vertical="bottom"/>
    </xf>
    <xf borderId="11" fillId="9" fontId="8" numFmtId="172" xfId="0" applyAlignment="1" applyBorder="1" applyFont="1" applyNumberFormat="1">
      <alignment horizontal="left" readingOrder="0" shrinkToFit="0" vertical="center" wrapText="0"/>
    </xf>
    <xf borderId="11" fillId="9" fontId="55" numFmtId="172" xfId="0" applyAlignment="1" applyBorder="1" applyFont="1" applyNumberFormat="1">
      <alignment horizontal="left" readingOrder="0" shrinkToFit="0" vertical="center" wrapText="0"/>
    </xf>
    <xf borderId="11" fillId="9" fontId="56" numFmtId="172" xfId="0" applyAlignment="1" applyBorder="1" applyFont="1" applyNumberFormat="1">
      <alignment horizontal="left" readingOrder="0" shrinkToFit="0" vertical="center" wrapText="0"/>
    </xf>
    <xf borderId="11" fillId="9" fontId="3" numFmtId="172" xfId="0" applyAlignment="1" applyBorder="1" applyFont="1" applyNumberFormat="1">
      <alignment horizontal="left" readingOrder="0" vertical="center"/>
    </xf>
    <xf borderId="8" fillId="5" fontId="3" numFmtId="0" xfId="0" applyAlignment="1" applyBorder="1" applyFont="1">
      <alignment horizontal="left" readingOrder="0" vertical="bottom"/>
    </xf>
    <xf borderId="4" fillId="5" fontId="3" numFmtId="0" xfId="0" applyAlignment="1" applyBorder="1" applyFont="1">
      <alignment horizontal="left" readingOrder="0" vertical="bottom"/>
    </xf>
    <xf borderId="11" fillId="5" fontId="8" numFmtId="0" xfId="0" applyAlignment="1" applyBorder="1" applyFont="1">
      <alignment readingOrder="0" shrinkToFit="0" vertical="center" wrapText="0"/>
    </xf>
    <xf borderId="4" fillId="5" fontId="8" numFmtId="0" xfId="0" applyAlignment="1" applyBorder="1" applyFont="1">
      <alignment readingOrder="0" shrinkToFit="0" vertical="center" wrapText="0"/>
    </xf>
    <xf borderId="4" fillId="5" fontId="8" numFmtId="172" xfId="0" applyAlignment="1" applyBorder="1" applyFont="1" applyNumberFormat="1">
      <alignment horizontal="left" readingOrder="0" shrinkToFit="0" vertical="center" wrapText="0"/>
    </xf>
    <xf borderId="4" fillId="5" fontId="35" numFmtId="172" xfId="0" applyAlignment="1" applyBorder="1" applyFont="1" applyNumberFormat="1">
      <alignment horizontal="center" readingOrder="0" shrinkToFit="0" vertical="center" wrapText="0"/>
    </xf>
    <xf borderId="4" fillId="5" fontId="57" numFmtId="172" xfId="0" applyAlignment="1" applyBorder="1" applyFont="1" applyNumberFormat="1">
      <alignment horizontal="left" readingOrder="0" shrinkToFit="0" vertical="center" wrapText="0"/>
    </xf>
    <xf borderId="4" fillId="5" fontId="8" numFmtId="172" xfId="0" applyAlignment="1" applyBorder="1" applyFont="1" applyNumberFormat="1">
      <alignment horizontal="left" readingOrder="0" shrinkToFit="0" vertical="center" wrapText="0"/>
    </xf>
    <xf borderId="4" fillId="5" fontId="8" numFmtId="172" xfId="0" applyAlignment="1" applyBorder="1" applyFont="1" applyNumberFormat="1">
      <alignment horizontal="left" readingOrder="0" shrinkToFit="0" vertical="center" wrapText="1"/>
    </xf>
    <xf borderId="4" fillId="5" fontId="8" numFmtId="172" xfId="0" applyAlignment="1" applyBorder="1" applyFont="1" applyNumberFormat="1">
      <alignment horizontal="center" readingOrder="0" shrinkToFit="0" vertical="center" wrapText="0"/>
    </xf>
    <xf borderId="4" fillId="5" fontId="3" numFmtId="172" xfId="0" applyAlignment="1" applyBorder="1" applyFont="1" applyNumberFormat="1">
      <alignment horizontal="left" readingOrder="0" vertical="center"/>
    </xf>
    <xf borderId="4" fillId="5" fontId="3" numFmtId="49" xfId="0" applyAlignment="1" applyBorder="1" applyFont="1" applyNumberFormat="1">
      <alignment horizontal="center" readingOrder="0" vertical="center"/>
    </xf>
    <xf borderId="4" fillId="5" fontId="8" numFmtId="172" xfId="0" applyAlignment="1" applyBorder="1" applyFont="1" applyNumberFormat="1">
      <alignment horizontal="left" readingOrder="0" shrinkToFit="0" vertical="center" wrapText="0"/>
    </xf>
    <xf borderId="4" fillId="9" fontId="8" numFmtId="0" xfId="0" applyAlignment="1" applyBorder="1" applyFont="1">
      <alignment horizontal="left" readingOrder="0"/>
    </xf>
    <xf borderId="4" fillId="9" fontId="58" numFmtId="0" xfId="0" applyAlignment="1" applyBorder="1" applyFont="1">
      <alignment readingOrder="0" shrinkToFit="0" wrapText="0"/>
    </xf>
    <xf borderId="4" fillId="9" fontId="12" numFmtId="0" xfId="0" applyAlignment="1" applyBorder="1" applyFont="1">
      <alignment readingOrder="0"/>
    </xf>
    <xf borderId="4" fillId="9" fontId="8" numFmtId="172" xfId="0" applyAlignment="1" applyBorder="1" applyFont="1" applyNumberFormat="1">
      <alignment horizontal="left" shrinkToFit="0" vertical="center" wrapText="0"/>
    </xf>
    <xf borderId="4" fillId="9" fontId="35" numFmtId="172" xfId="0" applyAlignment="1" applyBorder="1" applyFont="1" applyNumberFormat="1">
      <alignment horizontal="center" shrinkToFit="0" vertical="center" wrapText="0"/>
    </xf>
    <xf borderId="4" fillId="9" fontId="59" numFmtId="172" xfId="0" applyAlignment="1" applyBorder="1" applyFont="1" applyNumberFormat="1">
      <alignment horizontal="left" shrinkToFit="0" vertical="center" wrapText="0"/>
    </xf>
    <xf borderId="4" fillId="9" fontId="8" numFmtId="172" xfId="0" applyAlignment="1" applyBorder="1" applyFont="1" applyNumberFormat="1">
      <alignment horizontal="left" shrinkToFit="0" vertical="center" wrapText="0"/>
    </xf>
    <xf borderId="4" fillId="9" fontId="3" numFmtId="172" xfId="0" applyAlignment="1" applyBorder="1" applyFont="1" applyNumberFormat="1">
      <alignment readingOrder="0" vertical="center"/>
    </xf>
    <xf borderId="5" fillId="10" fontId="3" numFmtId="0" xfId="0" applyAlignment="1" applyBorder="1" applyFont="1">
      <alignment horizontal="left" readingOrder="0" vertical="bottom"/>
    </xf>
    <xf borderId="5" fillId="9" fontId="8" numFmtId="0" xfId="0" applyBorder="1" applyFont="1"/>
    <xf borderId="5" fillId="9" fontId="8" numFmtId="0" xfId="0" applyAlignment="1" applyBorder="1" applyFont="1">
      <alignment vertical="bottom"/>
    </xf>
    <xf borderId="0" fillId="9" fontId="8" numFmtId="172" xfId="0" applyAlignment="1" applyFont="1" applyNumberFormat="1">
      <alignment horizontal="left" readingOrder="0"/>
    </xf>
    <xf borderId="0" fillId="9" fontId="35" numFmtId="172" xfId="0" applyAlignment="1" applyFont="1" applyNumberFormat="1">
      <alignment horizontal="center" readingOrder="0" shrinkToFit="0" wrapText="0"/>
    </xf>
    <xf borderId="0" fillId="9" fontId="60" numFmtId="172" xfId="0" applyAlignment="1" applyFont="1" applyNumberFormat="1">
      <alignment horizontal="left" readingOrder="0" shrinkToFit="0" wrapText="0"/>
    </xf>
    <xf borderId="0" fillId="9" fontId="8" numFmtId="172" xfId="0" applyAlignment="1" applyFont="1" applyNumberFormat="1">
      <alignment horizontal="left" readingOrder="0" shrinkToFit="0" wrapText="0"/>
    </xf>
    <xf borderId="4" fillId="9" fontId="8" numFmtId="0" xfId="0" applyAlignment="1" applyBorder="1" applyFont="1">
      <alignment horizontal="left" readingOrder="0" vertical="bottom"/>
    </xf>
    <xf borderId="4" fillId="9" fontId="35" numFmtId="0" xfId="0" applyAlignment="1" applyBorder="1" applyFont="1">
      <alignment horizontal="center" readingOrder="0" shrinkToFit="0" vertical="bottom" wrapText="0"/>
    </xf>
    <xf borderId="4" fillId="9" fontId="61" numFmtId="0" xfId="0" applyAlignment="1" applyBorder="1" applyFont="1">
      <alignment horizontal="left" readingOrder="0" shrinkToFit="0" vertical="bottom" wrapText="0"/>
    </xf>
    <xf borderId="4" fillId="9" fontId="8" numFmtId="0" xfId="0" applyAlignment="1" applyBorder="1" applyFont="1">
      <alignment horizontal="left" readingOrder="0" shrinkToFit="0" vertical="bottom" wrapText="0"/>
    </xf>
    <xf borderId="1" fillId="9" fontId="8" numFmtId="172" xfId="0" applyAlignment="1" applyBorder="1" applyFont="1" applyNumberFormat="1">
      <alignment horizontal="left" readingOrder="0"/>
    </xf>
    <xf borderId="1" fillId="9" fontId="35" numFmtId="172" xfId="0" applyAlignment="1" applyBorder="1" applyFont="1" applyNumberFormat="1">
      <alignment horizontal="center" readingOrder="0" shrinkToFit="0" wrapText="0"/>
    </xf>
    <xf borderId="1" fillId="9" fontId="62" numFmtId="172" xfId="0" applyAlignment="1" applyBorder="1" applyFont="1" applyNumberFormat="1">
      <alignment horizontal="left" readingOrder="0" shrinkToFit="0" wrapText="0"/>
    </xf>
    <xf borderId="1" fillId="9" fontId="8" numFmtId="172" xfId="0" applyAlignment="1" applyBorder="1" applyFont="1" applyNumberFormat="1">
      <alignment horizontal="left" readingOrder="0" shrinkToFit="0" wrapText="0"/>
    </xf>
    <xf borderId="1" fillId="9" fontId="8" numFmtId="172" xfId="0" applyAlignment="1" applyBorder="1" applyFont="1" applyNumberFormat="1">
      <alignment horizontal="left" readingOrder="0" shrinkToFit="0" vertical="center" wrapText="1"/>
    </xf>
    <xf borderId="5" fillId="9" fontId="8" numFmtId="0" xfId="0" applyAlignment="1" applyBorder="1" applyFont="1">
      <alignment readingOrder="0"/>
    </xf>
    <xf borderId="5" fillId="9" fontId="63" numFmtId="172" xfId="0" applyAlignment="1" applyBorder="1" applyFont="1" applyNumberFormat="1">
      <alignment horizontal="left" readingOrder="0" shrinkToFit="0" vertical="center" wrapText="0"/>
    </xf>
    <xf borderId="5" fillId="9" fontId="8" numFmtId="172" xfId="0" applyAlignment="1" applyBorder="1" applyFont="1" applyNumberFormat="1">
      <alignment horizontal="left" readingOrder="0" shrinkToFit="0" vertical="center" wrapText="0"/>
    </xf>
    <xf borderId="5" fillId="9" fontId="3" numFmtId="172" xfId="0" applyBorder="1" applyFont="1" applyNumberFormat="1"/>
    <xf borderId="4" fillId="9" fontId="8" numFmtId="172" xfId="0" applyAlignment="1" applyBorder="1" applyFont="1" applyNumberFormat="1">
      <alignment horizontal="left" readingOrder="0"/>
    </xf>
    <xf borderId="0" fillId="9" fontId="12" numFmtId="0" xfId="0" applyFont="1"/>
    <xf borderId="0" fillId="9" fontId="37" numFmtId="0" xfId="0" applyAlignment="1" applyFont="1">
      <alignment horizontal="center" shrinkToFit="0" wrapText="0"/>
    </xf>
    <xf borderId="0" fillId="9" fontId="64" numFmtId="0" xfId="0" applyAlignment="1" applyFont="1">
      <alignment shrinkToFit="0" wrapText="0"/>
    </xf>
    <xf borderId="0" fillId="9" fontId="12" numFmtId="0" xfId="0" applyAlignment="1" applyFont="1">
      <alignment shrinkToFit="0" wrapText="0"/>
    </xf>
    <xf borderId="0" fillId="9" fontId="8" numFmtId="172" xfId="0" applyAlignment="1" applyFont="1" applyNumberFormat="1">
      <alignment horizontal="left" readingOrder="0"/>
    </xf>
    <xf borderId="5" fillId="9" fontId="8" numFmtId="172" xfId="0" applyBorder="1" applyFont="1" applyNumberFormat="1"/>
    <xf borderId="5" fillId="9" fontId="35" numFmtId="172" xfId="0" applyAlignment="1" applyBorder="1" applyFont="1" applyNumberFormat="1">
      <alignment horizontal="center" shrinkToFit="0" wrapText="0"/>
    </xf>
    <xf borderId="5" fillId="9" fontId="65" numFmtId="172" xfId="0" applyAlignment="1" applyBorder="1" applyFont="1" applyNumberFormat="1">
      <alignment shrinkToFit="0" wrapText="0"/>
    </xf>
    <xf borderId="5" fillId="9" fontId="8" numFmtId="172" xfId="0" applyAlignment="1" applyBorder="1" applyFont="1" applyNumberFormat="1">
      <alignment shrinkToFit="0" wrapText="0"/>
    </xf>
    <xf borderId="5" fillId="9" fontId="8" numFmtId="172" xfId="0" applyAlignment="1" applyBorder="1" applyFont="1" applyNumberFormat="1">
      <alignment horizontal="center"/>
    </xf>
    <xf borderId="5" fillId="9" fontId="3" numFmtId="49" xfId="0" applyBorder="1" applyFont="1" applyNumberFormat="1"/>
    <xf borderId="3" fillId="10" fontId="3" numFmtId="0" xfId="0" applyAlignment="1" applyBorder="1" applyFont="1">
      <alignment horizontal="left" readingOrder="0" vertical="bottom"/>
    </xf>
    <xf borderId="3" fillId="9" fontId="8" numFmtId="0" xfId="0" applyBorder="1" applyFont="1"/>
    <xf borderId="3" fillId="9" fontId="8" numFmtId="0" xfId="0" applyAlignment="1" applyBorder="1" applyFont="1">
      <alignment vertical="bottom"/>
    </xf>
    <xf borderId="3" fillId="9" fontId="8" numFmtId="0" xfId="0" applyAlignment="1" applyBorder="1" applyFont="1">
      <alignment readingOrder="0"/>
    </xf>
    <xf borderId="3" fillId="9" fontId="8" numFmtId="172" xfId="0" applyAlignment="1" applyBorder="1" applyFont="1" applyNumberFormat="1">
      <alignment readingOrder="0"/>
    </xf>
    <xf borderId="3" fillId="9" fontId="35" numFmtId="172" xfId="0" applyAlignment="1" applyBorder="1" applyFont="1" applyNumberFormat="1">
      <alignment horizontal="center" readingOrder="0" shrinkToFit="0" wrapText="0"/>
    </xf>
    <xf borderId="3" fillId="9" fontId="66" numFmtId="172" xfId="0" applyAlignment="1" applyBorder="1" applyFont="1" applyNumberFormat="1">
      <alignment readingOrder="0" shrinkToFit="0" wrapText="0"/>
    </xf>
    <xf borderId="3" fillId="9" fontId="8" numFmtId="172" xfId="0" applyAlignment="1" applyBorder="1" applyFont="1" applyNumberFormat="1">
      <alignment readingOrder="0" shrinkToFit="0" wrapText="0"/>
    </xf>
    <xf borderId="3" fillId="9" fontId="8" numFmtId="172" xfId="0" applyAlignment="1" applyBorder="1" applyFont="1" applyNumberFormat="1">
      <alignment horizontal="left" readingOrder="0" shrinkToFit="0" vertical="center" wrapText="1"/>
    </xf>
    <xf borderId="3" fillId="9" fontId="8" numFmtId="172" xfId="0" applyAlignment="1" applyBorder="1" applyFont="1" applyNumberFormat="1">
      <alignment horizontal="center"/>
    </xf>
    <xf borderId="3" fillId="9" fontId="3" numFmtId="172" xfId="0" applyBorder="1" applyFont="1" applyNumberFormat="1"/>
    <xf borderId="3" fillId="9" fontId="3" numFmtId="49" xfId="0" applyBorder="1" applyFont="1" applyNumberFormat="1"/>
    <xf borderId="3" fillId="9" fontId="8" numFmtId="172" xfId="0" applyBorder="1" applyFont="1" applyNumberFormat="1"/>
    <xf borderId="3" fillId="9" fontId="35" numFmtId="172" xfId="0" applyAlignment="1" applyBorder="1" applyFont="1" applyNumberFormat="1">
      <alignment horizontal="center" shrinkToFit="0" wrapText="0"/>
    </xf>
    <xf borderId="3" fillId="9" fontId="67" numFmtId="172" xfId="0" applyAlignment="1" applyBorder="1" applyFont="1" applyNumberFormat="1">
      <alignment shrinkToFit="0" wrapText="0"/>
    </xf>
    <xf borderId="3" fillId="9" fontId="8" numFmtId="172" xfId="0" applyAlignment="1" applyBorder="1" applyFont="1" applyNumberFormat="1">
      <alignment shrinkToFit="0" wrapText="0"/>
    </xf>
    <xf borderId="3" fillId="9" fontId="8" numFmtId="172" xfId="0" applyAlignment="1" applyBorder="1" applyFont="1" applyNumberFormat="1">
      <alignment horizontal="center" readingOrder="0"/>
    </xf>
    <xf borderId="3" fillId="9" fontId="3" numFmtId="172" xfId="0" applyAlignment="1" applyBorder="1" applyFont="1" applyNumberFormat="1">
      <alignment readingOrder="0"/>
    </xf>
    <xf borderId="3" fillId="9" fontId="3" numFmtId="49" xfId="0" applyAlignment="1" applyBorder="1" applyFont="1" applyNumberFormat="1">
      <alignment readingOrder="0"/>
    </xf>
    <xf borderId="3" fillId="9" fontId="8" numFmtId="172" xfId="0" applyAlignment="1" applyBorder="1" applyFont="1" applyNumberFormat="1">
      <alignment readingOrder="0"/>
    </xf>
    <xf borderId="3" fillId="9" fontId="35" numFmtId="172" xfId="0" applyAlignment="1" applyBorder="1" applyFont="1" applyNumberFormat="1">
      <alignment horizontal="center" readingOrder="0" shrinkToFit="0" wrapText="0"/>
    </xf>
    <xf borderId="3" fillId="9" fontId="68" numFmtId="172" xfId="0" applyAlignment="1" applyBorder="1" applyFont="1" applyNumberFormat="1">
      <alignment readingOrder="0" shrinkToFit="0" wrapText="0"/>
    </xf>
    <xf borderId="3" fillId="9" fontId="8" numFmtId="172" xfId="0" applyAlignment="1" applyBorder="1" applyFont="1" applyNumberFormat="1">
      <alignment readingOrder="0" shrinkToFit="0" wrapText="0"/>
    </xf>
    <xf borderId="3" fillId="9" fontId="3" numFmtId="172" xfId="0" applyAlignment="1" applyBorder="1" applyFont="1" applyNumberFormat="1">
      <alignment horizontal="left" readingOrder="0" vertical="center"/>
    </xf>
    <xf borderId="3" fillId="9" fontId="8" numFmtId="0" xfId="0" applyAlignment="1" applyBorder="1" applyFont="1">
      <alignment readingOrder="0" shrinkToFit="0" vertical="center" wrapText="0"/>
    </xf>
    <xf borderId="3" fillId="9" fontId="8" numFmtId="172" xfId="0" applyAlignment="1" applyBorder="1" applyFont="1" applyNumberFormat="1">
      <alignment horizontal="left" readingOrder="0" shrinkToFit="0" vertical="center" wrapText="0"/>
    </xf>
    <xf borderId="3" fillId="9" fontId="35" numFmtId="172" xfId="0" applyAlignment="1" applyBorder="1" applyFont="1" applyNumberFormat="1">
      <alignment horizontal="center" readingOrder="0" shrinkToFit="0" vertical="center" wrapText="0"/>
    </xf>
    <xf borderId="3" fillId="9" fontId="69" numFmtId="172" xfId="0" applyAlignment="1" applyBorder="1" applyFont="1" applyNumberFormat="1">
      <alignment horizontal="left" readingOrder="0" shrinkToFit="0" vertical="center" wrapText="0"/>
    </xf>
    <xf borderId="3" fillId="9" fontId="8" numFmtId="172" xfId="0" applyAlignment="1" applyBorder="1" applyFont="1" applyNumberFormat="1">
      <alignment horizontal="left" readingOrder="0" shrinkToFit="0" vertical="center" wrapText="0"/>
    </xf>
    <xf borderId="3" fillId="9" fontId="8" numFmtId="172" xfId="0" applyAlignment="1" applyBorder="1" applyFont="1" applyNumberFormat="1">
      <alignment horizontal="left" vertical="bottom"/>
    </xf>
    <xf borderId="3" fillId="9" fontId="35" numFmtId="172" xfId="0" applyAlignment="1" applyBorder="1" applyFont="1" applyNumberFormat="1">
      <alignment horizontal="center" shrinkToFit="0" vertical="bottom" wrapText="0"/>
    </xf>
    <xf borderId="3" fillId="9" fontId="70" numFmtId="172" xfId="0" applyAlignment="1" applyBorder="1" applyFont="1" applyNumberFormat="1">
      <alignment horizontal="left" shrinkToFit="0" vertical="bottom" wrapText="0"/>
    </xf>
    <xf borderId="3" fillId="9" fontId="8" numFmtId="172" xfId="0" applyAlignment="1" applyBorder="1" applyFont="1" applyNumberFormat="1">
      <alignment horizontal="left" shrinkToFit="0" vertical="bottom" wrapText="0"/>
    </xf>
    <xf borderId="4" fillId="9" fontId="8" numFmtId="172" xfId="0" applyAlignment="1" applyBorder="1" applyFont="1" applyNumberFormat="1">
      <alignment horizontal="left" vertical="bottom"/>
    </xf>
    <xf borderId="4" fillId="9" fontId="1" numFmtId="0" xfId="0" applyAlignment="1" applyBorder="1" applyFont="1">
      <alignment readingOrder="0"/>
    </xf>
    <xf borderId="3" fillId="9" fontId="71" numFmtId="0" xfId="0" applyAlignment="1" applyBorder="1" applyFont="1">
      <alignment horizontal="right" vertical="bottom"/>
    </xf>
    <xf borderId="3" fillId="9" fontId="35" numFmtId="0" xfId="0" applyAlignment="1" applyBorder="1" applyFont="1">
      <alignment horizontal="center" shrinkToFit="0" vertical="bottom" wrapText="0"/>
    </xf>
    <xf borderId="3" fillId="9" fontId="72" numFmtId="0" xfId="0" applyAlignment="1" applyBorder="1" applyFont="1">
      <alignment horizontal="right" shrinkToFit="0" vertical="bottom" wrapText="0"/>
    </xf>
    <xf borderId="3" fillId="9" fontId="71" numFmtId="0" xfId="0" applyAlignment="1" applyBorder="1" applyFont="1">
      <alignment horizontal="right" shrinkToFit="0" vertical="bottom" wrapText="0"/>
    </xf>
    <xf borderId="4" fillId="9" fontId="71" numFmtId="0" xfId="0" applyAlignment="1" applyBorder="1" applyFont="1">
      <alignment horizontal="right" vertical="bottom"/>
    </xf>
    <xf borderId="3" fillId="9" fontId="71" numFmtId="172" xfId="0" applyAlignment="1" applyBorder="1" applyFont="1" applyNumberFormat="1">
      <alignment horizontal="right" readingOrder="0" vertical="bottom"/>
    </xf>
    <xf borderId="3" fillId="9" fontId="35" numFmtId="172" xfId="0" applyAlignment="1" applyBorder="1" applyFont="1" applyNumberFormat="1">
      <alignment horizontal="center" readingOrder="0" shrinkToFit="0" vertical="bottom" wrapText="0"/>
    </xf>
    <xf borderId="3" fillId="9" fontId="73" numFmtId="172" xfId="0" applyAlignment="1" applyBorder="1" applyFont="1" applyNumberFormat="1">
      <alignment horizontal="right" readingOrder="0" shrinkToFit="0" vertical="bottom" wrapText="0"/>
    </xf>
    <xf borderId="3" fillId="9" fontId="71" numFmtId="172" xfId="0" applyAlignment="1" applyBorder="1" applyFont="1" applyNumberFormat="1">
      <alignment horizontal="right" readingOrder="0" shrinkToFit="0" vertical="bottom" wrapText="0"/>
    </xf>
    <xf borderId="8" fillId="9" fontId="71" numFmtId="172" xfId="0" applyAlignment="1" applyBorder="1" applyFont="1" applyNumberFormat="1">
      <alignment horizontal="right" readingOrder="0" vertical="bottom"/>
    </xf>
    <xf borderId="3" fillId="9" fontId="71" numFmtId="172" xfId="0" applyAlignment="1" applyBorder="1" applyFont="1" applyNumberFormat="1">
      <alignment horizontal="right" vertical="bottom"/>
    </xf>
    <xf borderId="3" fillId="9" fontId="35" numFmtId="172" xfId="0" applyAlignment="1" applyBorder="1" applyFont="1" applyNumberFormat="1">
      <alignment horizontal="center" shrinkToFit="0" vertical="bottom" wrapText="0"/>
    </xf>
    <xf borderId="3" fillId="9" fontId="74" numFmtId="172" xfId="0" applyAlignment="1" applyBorder="1" applyFont="1" applyNumberFormat="1">
      <alignment horizontal="right" shrinkToFit="0" vertical="bottom" wrapText="0"/>
    </xf>
    <xf borderId="3" fillId="9" fontId="71" numFmtId="172" xfId="0" applyAlignment="1" applyBorder="1" applyFont="1" applyNumberFormat="1">
      <alignment horizontal="right" shrinkToFit="0" vertical="bottom" wrapText="0"/>
    </xf>
    <xf borderId="4" fillId="9" fontId="71" numFmtId="172" xfId="0" applyAlignment="1" applyBorder="1" applyFont="1" applyNumberFormat="1">
      <alignment horizontal="right" vertical="bottom"/>
    </xf>
    <xf borderId="8" fillId="9" fontId="71" numFmtId="172" xfId="0" applyAlignment="1" applyBorder="1" applyFont="1" applyNumberFormat="1">
      <alignment horizontal="right" vertical="bottom"/>
    </xf>
    <xf borderId="3" fillId="9" fontId="75" numFmtId="0" xfId="0" applyAlignment="1" applyBorder="1" applyFont="1">
      <alignment horizontal="right" readingOrder="0"/>
    </xf>
    <xf borderId="3" fillId="9" fontId="37" numFmtId="0" xfId="0" applyAlignment="1" applyBorder="1" applyFont="1">
      <alignment horizontal="center" readingOrder="0" shrinkToFit="0" wrapText="0"/>
    </xf>
    <xf borderId="3" fillId="9" fontId="76" numFmtId="0" xfId="0" applyAlignment="1" applyBorder="1" applyFont="1">
      <alignment horizontal="right" readingOrder="0" shrinkToFit="0" wrapText="0"/>
    </xf>
    <xf borderId="3" fillId="9" fontId="75" numFmtId="0" xfId="0" applyAlignment="1" applyBorder="1" applyFont="1">
      <alignment horizontal="right" readingOrder="0" shrinkToFit="0" wrapText="0"/>
    </xf>
    <xf borderId="4" fillId="9" fontId="75" numFmtId="0" xfId="0" applyAlignment="1" applyBorder="1" applyFont="1">
      <alignment horizontal="right" readingOrder="0"/>
    </xf>
    <xf borderId="5" fillId="9" fontId="8" numFmtId="172" xfId="0" applyBorder="1" applyFont="1" applyNumberFormat="1"/>
    <xf borderId="5" fillId="9" fontId="35" numFmtId="172" xfId="0" applyAlignment="1" applyBorder="1" applyFont="1" applyNumberFormat="1">
      <alignment horizontal="center" shrinkToFit="0" wrapText="0"/>
    </xf>
    <xf borderId="5" fillId="9" fontId="77" numFmtId="172" xfId="0" applyAlignment="1" applyBorder="1" applyFont="1" applyNumberFormat="1">
      <alignment shrinkToFit="0" wrapText="0"/>
    </xf>
    <xf borderId="5" fillId="9" fontId="8" numFmtId="172" xfId="0" applyAlignment="1" applyBorder="1" applyFont="1" applyNumberFormat="1">
      <alignment shrinkToFit="0" wrapText="0"/>
    </xf>
    <xf borderId="5" fillId="9" fontId="8" numFmtId="172" xfId="0" applyAlignment="1" applyBorder="1" applyFont="1" applyNumberFormat="1">
      <alignment horizontal="center" vertical="bottom"/>
    </xf>
    <xf borderId="5" fillId="9" fontId="7" numFmtId="172" xfId="0" applyBorder="1" applyFont="1" applyNumberFormat="1"/>
    <xf borderId="5" fillId="9" fontId="7" numFmtId="49" xfId="0" applyBorder="1" applyFont="1" applyNumberFormat="1"/>
    <xf borderId="5" fillId="9" fontId="3" numFmtId="172" xfId="0" applyBorder="1" applyFont="1" applyNumberFormat="1"/>
    <xf borderId="3" fillId="9" fontId="71" numFmtId="0" xfId="0" applyAlignment="1" applyBorder="1" applyFont="1">
      <alignment readingOrder="0" vertical="bottom"/>
    </xf>
    <xf borderId="3" fillId="9" fontId="35" numFmtId="0" xfId="0" applyAlignment="1" applyBorder="1" applyFont="1">
      <alignment horizontal="center" readingOrder="0" shrinkToFit="0" vertical="bottom" wrapText="0"/>
    </xf>
    <xf borderId="3" fillId="9" fontId="78" numFmtId="0" xfId="0" applyAlignment="1" applyBorder="1" applyFont="1">
      <alignment readingOrder="0" shrinkToFit="0" vertical="bottom" wrapText="0"/>
    </xf>
    <xf borderId="3" fillId="9" fontId="71" numFmtId="0" xfId="0" applyAlignment="1" applyBorder="1" applyFont="1">
      <alignment readingOrder="0" shrinkToFit="0" vertical="bottom" wrapText="0"/>
    </xf>
    <xf borderId="5" fillId="9" fontId="71" numFmtId="0" xfId="0" applyAlignment="1" applyBorder="1" applyFont="1">
      <alignment readingOrder="0" vertical="bottom"/>
    </xf>
    <xf borderId="3" fillId="9" fontId="75" numFmtId="0" xfId="0" applyAlignment="1" applyBorder="1" applyFont="1">
      <alignment horizontal="left" readingOrder="0" vertical="center"/>
    </xf>
    <xf borderId="3" fillId="9" fontId="37" numFmtId="0" xfId="0" applyAlignment="1" applyBorder="1" applyFont="1">
      <alignment horizontal="center" readingOrder="0" shrinkToFit="0" vertical="center" wrapText="0"/>
    </xf>
    <xf borderId="3" fillId="9" fontId="79" numFmtId="0" xfId="0" applyAlignment="1" applyBorder="1" applyFont="1">
      <alignment horizontal="left" readingOrder="0" shrinkToFit="0" vertical="center" wrapText="0"/>
    </xf>
    <xf borderId="3" fillId="9" fontId="75" numFmtId="0" xfId="0" applyAlignment="1" applyBorder="1" applyFont="1">
      <alignment horizontal="left" readingOrder="0" shrinkToFit="0" vertical="center" wrapText="0"/>
    </xf>
    <xf borderId="4" fillId="9" fontId="75" numFmtId="0" xfId="0" applyAlignment="1" applyBorder="1" applyFont="1">
      <alignment horizontal="left" readingOrder="0" vertical="center"/>
    </xf>
    <xf borderId="3" fillId="9" fontId="71" numFmtId="172" xfId="0" applyAlignment="1" applyBorder="1" applyFont="1" applyNumberFormat="1">
      <alignment horizontal="right" readingOrder="0"/>
    </xf>
    <xf borderId="3" fillId="9" fontId="35" numFmtId="172" xfId="0" applyAlignment="1" applyBorder="1" applyFont="1" applyNumberFormat="1">
      <alignment horizontal="center" readingOrder="0" shrinkToFit="0" wrapText="0"/>
    </xf>
    <xf borderId="3" fillId="9" fontId="80" numFmtId="172" xfId="0" applyAlignment="1" applyBorder="1" applyFont="1" applyNumberFormat="1">
      <alignment horizontal="right" readingOrder="0" shrinkToFit="0" wrapText="0"/>
    </xf>
    <xf borderId="3" fillId="9" fontId="71" numFmtId="172" xfId="0" applyAlignment="1" applyBorder="1" applyFont="1" applyNumberFormat="1">
      <alignment horizontal="right" readingOrder="0" shrinkToFit="0" wrapText="0"/>
    </xf>
    <xf borderId="3" fillId="9" fontId="8" numFmtId="172" xfId="0" applyAlignment="1" applyBorder="1" applyFont="1" applyNumberFormat="1">
      <alignment horizontal="left" readingOrder="0"/>
    </xf>
    <xf borderId="4" fillId="9" fontId="71" numFmtId="172" xfId="0" applyAlignment="1" applyBorder="1" applyFont="1" applyNumberFormat="1">
      <alignment horizontal="right" readingOrder="0"/>
    </xf>
    <xf borderId="8" fillId="9" fontId="71" numFmtId="172" xfId="0" applyAlignment="1" applyBorder="1" applyFont="1" applyNumberFormat="1">
      <alignment horizontal="right" readingOrder="0"/>
    </xf>
    <xf borderId="3" fillId="9" fontId="71" numFmtId="0" xfId="0" applyAlignment="1" applyBorder="1" applyFont="1">
      <alignment horizontal="right" readingOrder="0" vertical="bottom"/>
    </xf>
    <xf borderId="3" fillId="9" fontId="35" numFmtId="0" xfId="0" applyAlignment="1" applyBorder="1" applyFont="1">
      <alignment horizontal="center" readingOrder="0" shrinkToFit="0" vertical="bottom" wrapText="0"/>
    </xf>
    <xf borderId="3" fillId="9" fontId="81" numFmtId="0" xfId="0" applyAlignment="1" applyBorder="1" applyFont="1">
      <alignment horizontal="right" readingOrder="0" shrinkToFit="0" vertical="bottom" wrapText="0"/>
    </xf>
    <xf borderId="3" fillId="9" fontId="71" numFmtId="0" xfId="0" applyAlignment="1" applyBorder="1" applyFont="1">
      <alignment horizontal="right" readingOrder="0" shrinkToFit="0" vertical="bottom" wrapText="0"/>
    </xf>
    <xf borderId="4" fillId="9" fontId="71" numFmtId="0" xfId="0" applyAlignment="1" applyBorder="1" applyFont="1">
      <alignment horizontal="right" readingOrder="0" vertical="bottom"/>
    </xf>
    <xf borderId="3" fillId="9" fontId="75" numFmtId="0" xfId="0" applyAlignment="1" applyBorder="1" applyFont="1">
      <alignment horizontal="right" readingOrder="0"/>
    </xf>
    <xf borderId="3" fillId="9" fontId="37" numFmtId="0" xfId="0" applyAlignment="1" applyBorder="1" applyFont="1">
      <alignment horizontal="center" readingOrder="0" shrinkToFit="0" wrapText="0"/>
    </xf>
    <xf borderId="3" fillId="9" fontId="82" numFmtId="0" xfId="0" applyAlignment="1" applyBorder="1" applyFont="1">
      <alignment horizontal="right" readingOrder="0" shrinkToFit="0" wrapText="0"/>
    </xf>
    <xf borderId="3" fillId="9" fontId="75" numFmtId="0" xfId="0" applyAlignment="1" applyBorder="1" applyFont="1">
      <alignment horizontal="right" readingOrder="0" shrinkToFit="0" wrapText="0"/>
    </xf>
    <xf borderId="4" fillId="9" fontId="75" numFmtId="0" xfId="0" applyAlignment="1" applyBorder="1" applyFont="1">
      <alignment horizontal="right" readingOrder="0"/>
    </xf>
    <xf borderId="3" fillId="9" fontId="8" numFmtId="172" xfId="0" applyAlignment="1" applyBorder="1" applyFont="1" applyNumberFormat="1">
      <alignment horizontal="left" shrinkToFit="0" wrapText="1"/>
    </xf>
    <xf borderId="0" fillId="9" fontId="8" numFmtId="172" xfId="0" applyAlignment="1" applyFont="1" applyNumberFormat="1">
      <alignment horizontal="left" readingOrder="0" shrinkToFit="0" vertical="center" wrapText="0"/>
    </xf>
    <xf borderId="0" fillId="9" fontId="35" numFmtId="172" xfId="0" applyAlignment="1" applyFont="1" applyNumberFormat="1">
      <alignment horizontal="center" readingOrder="0" shrinkToFit="0" vertical="center" wrapText="0"/>
    </xf>
    <xf borderId="0" fillId="9" fontId="83" numFmtId="172" xfId="0" applyAlignment="1" applyFont="1" applyNumberFormat="1">
      <alignment horizontal="left" readingOrder="0" shrinkToFit="0" vertical="center" wrapText="0"/>
    </xf>
    <xf borderId="0" fillId="9" fontId="8" numFmtId="172" xfId="0" applyAlignment="1" applyFont="1" applyNumberFormat="1">
      <alignment horizontal="left" readingOrder="0" shrinkToFit="0" vertical="center" wrapText="0"/>
    </xf>
    <xf borderId="0" fillId="9" fontId="8" numFmtId="172" xfId="0" applyAlignment="1" applyFont="1" applyNumberFormat="1">
      <alignment horizontal="left" shrinkToFit="0" wrapText="1"/>
    </xf>
    <xf borderId="4" fillId="9" fontId="84" numFmtId="172" xfId="0" applyAlignment="1" applyBorder="1" applyFont="1" applyNumberFormat="1">
      <alignment horizontal="left" readingOrder="0" shrinkToFit="0" vertical="center" wrapText="0"/>
    </xf>
    <xf borderId="4" fillId="9" fontId="8" numFmtId="172" xfId="0" applyAlignment="1" applyBorder="1" applyFont="1" applyNumberFormat="1">
      <alignment horizontal="left" readingOrder="0" vertical="center"/>
    </xf>
    <xf borderId="4" fillId="9" fontId="1" numFmtId="0" xfId="0" applyAlignment="1" applyBorder="1" applyFont="1">
      <alignment readingOrder="0" vertical="center"/>
    </xf>
    <xf borderId="4" fillId="9" fontId="3" numFmtId="0" xfId="0" applyAlignment="1" applyBorder="1" applyFont="1">
      <alignment readingOrder="0"/>
    </xf>
    <xf borderId="8" fillId="9" fontId="3" numFmtId="0" xfId="0" applyAlignment="1" applyBorder="1" applyFont="1">
      <alignment readingOrder="0"/>
    </xf>
    <xf borderId="5" fillId="9" fontId="8" numFmtId="172" xfId="0" applyAlignment="1" applyBorder="1" applyFont="1" applyNumberFormat="1">
      <alignment readingOrder="0"/>
    </xf>
    <xf borderId="5" fillId="9" fontId="35" numFmtId="172" xfId="0" applyAlignment="1" applyBorder="1" applyFont="1" applyNumberFormat="1">
      <alignment horizontal="center" readingOrder="0" shrinkToFit="0" wrapText="0"/>
    </xf>
    <xf borderId="5" fillId="9" fontId="85" numFmtId="172" xfId="0" applyAlignment="1" applyBorder="1" applyFont="1" applyNumberFormat="1">
      <alignment readingOrder="0" shrinkToFit="0" wrapText="0"/>
    </xf>
    <xf borderId="5" fillId="9" fontId="8" numFmtId="172" xfId="0" applyAlignment="1" applyBorder="1" applyFont="1" applyNumberFormat="1">
      <alignment readingOrder="0" shrinkToFit="0" wrapText="0"/>
    </xf>
    <xf borderId="5" fillId="9" fontId="3" numFmtId="172" xfId="0" applyAlignment="1" applyBorder="1" applyFont="1" applyNumberFormat="1">
      <alignment horizontal="left" readingOrder="0" vertical="center"/>
    </xf>
    <xf borderId="4" fillId="9" fontId="8" numFmtId="0" xfId="0" applyBorder="1" applyFont="1"/>
    <xf borderId="4" fillId="9" fontId="8" numFmtId="0" xfId="0" applyAlignment="1" applyBorder="1" applyFont="1">
      <alignment horizontal="left"/>
    </xf>
    <xf borderId="4" fillId="9" fontId="8" numFmtId="0" xfId="0" applyAlignment="1" applyBorder="1" applyFont="1">
      <alignment horizontal="left" readingOrder="0" shrinkToFit="0" vertical="center" wrapText="0"/>
    </xf>
    <xf borderId="4" fillId="9" fontId="3" numFmtId="172" xfId="0" applyAlignment="1" applyBorder="1" applyFont="1" applyNumberFormat="1">
      <alignment horizontal="left" readingOrder="0" vertical="center"/>
    </xf>
    <xf borderId="4" fillId="9" fontId="8" numFmtId="172" xfId="0" applyAlignment="1" applyBorder="1" applyFont="1" applyNumberFormat="1">
      <alignment horizontal="left" readingOrder="0" vertical="center"/>
    </xf>
    <xf borderId="4" fillId="9" fontId="86" numFmtId="172" xfId="0" applyAlignment="1" applyBorder="1" applyFont="1" applyNumberFormat="1">
      <alignment horizontal="left" readingOrder="0" shrinkToFit="0" vertical="center" wrapText="0"/>
    </xf>
    <xf borderId="4" fillId="9" fontId="8" numFmtId="172" xfId="0" applyAlignment="1" applyBorder="1" applyFont="1" applyNumberFormat="1">
      <alignment horizontal="left" readingOrder="0" shrinkToFit="0" vertical="center" wrapText="0"/>
    </xf>
    <xf borderId="4" fillId="9" fontId="8" numFmtId="172" xfId="0" applyBorder="1" applyFont="1" applyNumberFormat="1"/>
    <xf borderId="4" fillId="9" fontId="35" numFmtId="172" xfId="0" applyAlignment="1" applyBorder="1" applyFont="1" applyNumberFormat="1">
      <alignment horizontal="center" shrinkToFit="0" wrapText="0"/>
    </xf>
    <xf borderId="4" fillId="9" fontId="87" numFmtId="172" xfId="0" applyAlignment="1" applyBorder="1" applyFont="1" applyNumberFormat="1">
      <alignment shrinkToFit="0" wrapText="0"/>
    </xf>
    <xf borderId="4" fillId="9" fontId="8" numFmtId="172" xfId="0" applyAlignment="1" applyBorder="1" applyFont="1" applyNumberFormat="1">
      <alignment shrinkToFit="0" wrapText="0"/>
    </xf>
    <xf borderId="4" fillId="9" fontId="8" numFmtId="172" xfId="0" applyAlignment="1" applyBorder="1" applyFont="1" applyNumberFormat="1">
      <alignment readingOrder="0"/>
    </xf>
    <xf borderId="4" fillId="9" fontId="35" numFmtId="172" xfId="0" applyAlignment="1" applyBorder="1" applyFont="1" applyNumberFormat="1">
      <alignment horizontal="center" readingOrder="0" shrinkToFit="0" wrapText="0"/>
    </xf>
    <xf borderId="4" fillId="9" fontId="88" numFmtId="172" xfId="0" applyAlignment="1" applyBorder="1" applyFont="1" applyNumberFormat="1">
      <alignment readingOrder="0" shrinkToFit="0" wrapText="0"/>
    </xf>
    <xf borderId="4" fillId="9" fontId="8" numFmtId="172" xfId="0" applyAlignment="1" applyBorder="1" applyFont="1" applyNumberFormat="1">
      <alignment readingOrder="0" shrinkToFit="0" wrapText="0"/>
    </xf>
    <xf borderId="4" fillId="9" fontId="8" numFmtId="172" xfId="0" applyAlignment="1" applyBorder="1" applyFont="1" applyNumberFormat="1">
      <alignment horizontal="left" readingOrder="0" shrinkToFit="0" vertical="center" wrapText="0"/>
    </xf>
    <xf borderId="0" fillId="0" fontId="3" numFmtId="0" xfId="0" applyAlignment="1" applyFont="1">
      <alignment horizontal="left" vertical="center"/>
    </xf>
    <xf borderId="0" fillId="0" fontId="3" numFmtId="0" xfId="0" applyAlignment="1" applyFont="1">
      <alignment horizontal="left" shrinkToFit="0" vertical="center" wrapText="0"/>
    </xf>
    <xf borderId="0" fillId="0" fontId="8" numFmtId="0" xfId="0" applyAlignment="1" applyFont="1">
      <alignment horizontal="left" shrinkToFit="0" vertical="center" wrapText="0"/>
    </xf>
    <xf borderId="0" fillId="0" fontId="3" numFmtId="172" xfId="0" applyAlignment="1" applyFont="1" applyNumberFormat="1">
      <alignment horizontal="left" vertical="center"/>
    </xf>
    <xf borderId="0" fillId="0" fontId="3" numFmtId="49" xfId="0" applyAlignment="1" applyFont="1" applyNumberFormat="1">
      <alignment horizontal="left" vertical="center"/>
    </xf>
    <xf borderId="0" fillId="0" fontId="3" numFmtId="49" xfId="0" applyAlignment="1" applyFont="1" applyNumberFormat="1">
      <alignment horizontal="left" readingOrder="0" vertical="center"/>
    </xf>
    <xf borderId="0" fillId="0" fontId="3" numFmtId="0" xfId="0" applyAlignment="1" applyFont="1">
      <alignment horizontal="left" readingOrder="0" vertical="center"/>
    </xf>
    <xf borderId="0" fillId="0" fontId="3" numFmtId="0" xfId="0" applyAlignment="1" applyFont="1">
      <alignment horizontal="left" readingOrder="0" shrinkToFit="0" vertical="center" wrapText="0"/>
    </xf>
    <xf borderId="0" fillId="0" fontId="8" numFmtId="0" xfId="0" applyAlignment="1" applyFont="1">
      <alignment horizontal="left" readingOrder="0" shrinkToFit="0" vertical="center" wrapText="0"/>
    </xf>
    <xf borderId="0" fillId="7" fontId="89" numFmtId="0" xfId="0" applyAlignment="1" applyFont="1">
      <alignment readingOrder="0"/>
    </xf>
    <xf borderId="0" fillId="0" fontId="6" numFmtId="173" xfId="0" applyAlignment="1" applyFont="1" applyNumberFormat="1">
      <alignment readingOrder="0"/>
    </xf>
  </cellXfs>
  <cellStyles count="1">
    <cellStyle xfId="0" name="Normal" builtinId="0"/>
  </cellStyles>
  <dxfs count="17">
    <dxf>
      <font>
        <color rgb="FFFF0000"/>
      </font>
      <fill>
        <patternFill patternType="none"/>
      </fill>
      <border/>
    </dxf>
    <dxf>
      <font/>
      <fill>
        <patternFill patternType="solid">
          <fgColor rgb="FFF3F3F3"/>
          <bgColor rgb="FFF3F3F3"/>
        </patternFill>
      </fill>
      <border/>
    </dxf>
    <dxf>
      <font>
        <color rgb="FF000000"/>
      </font>
      <fill>
        <patternFill patternType="solid">
          <fgColor rgb="FFE6B8AF"/>
          <bgColor rgb="FFE6B8AF"/>
        </patternFill>
      </fill>
      <border/>
    </dxf>
    <dxf>
      <font/>
      <fill>
        <patternFill patternType="none"/>
      </fill>
      <border/>
    </dxf>
    <dxf>
      <font/>
      <fill>
        <patternFill patternType="solid">
          <fgColor rgb="FFCFE2F3"/>
          <bgColor rgb="FFCFE2F3"/>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C9DAF8"/>
          <bgColor rgb="FFC9DAF8"/>
        </patternFill>
      </fill>
      <border/>
    </dxf>
    <dxf>
      <font/>
      <fill>
        <patternFill patternType="solid">
          <fgColor rgb="FFFFF2CC"/>
          <bgColor rgb="FFFFF2CC"/>
        </patternFill>
      </fill>
      <border/>
    </dxf>
    <dxf>
      <font/>
      <fill>
        <patternFill patternType="solid">
          <fgColor rgb="FFFF0000"/>
          <bgColor rgb="FFFF0000"/>
        </patternFill>
      </fill>
      <border/>
    </dxf>
    <dxf>
      <font/>
      <fill>
        <patternFill patternType="solid">
          <fgColor rgb="FFF4C7C3"/>
          <bgColor rgb="FFF4C7C3"/>
        </patternFill>
      </fill>
      <border/>
    </dxf>
    <dxf>
      <font/>
      <fill>
        <patternFill patternType="solid">
          <fgColor rgb="FFD9D2E9"/>
          <bgColor rgb="FFD9D2E9"/>
        </patternFill>
      </fill>
      <border/>
    </dxf>
    <dxf>
      <font/>
      <fill>
        <patternFill patternType="solid">
          <fgColor rgb="FFD9D9D9"/>
          <bgColor rgb="FFD9D9D9"/>
        </patternFill>
      </fill>
      <border/>
    </dxf>
    <dxf>
      <font/>
      <fill>
        <patternFill patternType="solid">
          <fgColor rgb="FFFFFF00"/>
          <bgColor rgb="FFFFFF00"/>
        </patternFill>
      </fill>
      <border/>
    </dxf>
    <dxf>
      <font>
        <color rgb="FF000000"/>
      </font>
      <fill>
        <patternFill patternType="solid">
          <fgColor rgb="FFB7E1CD"/>
          <bgColor rgb="FFB7E1CD"/>
        </patternFill>
      </fill>
      <border/>
    </dxf>
    <dxf>
      <font/>
      <fill>
        <patternFill patternType="solid">
          <fgColor rgb="FFF4CCCC"/>
          <bgColor rgb="FFF4CCCC"/>
        </patternFill>
      </fill>
      <border/>
    </dxf>
    <dxf>
      <font/>
      <fill>
        <patternFill patternType="solid">
          <fgColor rgb="FFFCE5CD"/>
          <bgColor rgb="FFFCE5CD"/>
        </patternFill>
      </fill>
      <border/>
    </dxf>
  </dxfs>
  <tableStyles count="1">
    <tableStyle count="3" pivot="0" name="原画&amp;セリフ演出-style">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1" Type="http://schemas.openxmlformats.org/officeDocument/2006/relationships/worksheet" Target="worksheets/sheet38.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T1494" displayName="Table_1" name="Table_1" id="1">
  <tableColumns count="20">
    <tableColumn name="設定可" id="1"/>
    <tableColumn name="使用クエスト" id="2"/>
    <tableColumn name="作品_id" id="3"/>
    <tableColumn name="作品名" id="4"/>
    <tableColumn name="クエストカテゴリ" id="5"/>
    <tableColumn name="クエスト区分" id="6"/>
    <tableColumn name="クエスト番号" id="7"/>
    <tableColumn name="ステージ番号" id="8"/>
    <tableColumn name="演出種類" id="9"/>
    <tableColumn name="表示タイミング" id="10"/>
    <tableColumn name="名称追加" id="11"/>
    <tableColumn name="種類区別" id="12"/>
    <tableColumn name="表示区別" id="13"/>
    <tableColumn name="演出_asset_key ※設定ID併用" id="14"/>
    <tableColumn name="プレハブ名" id="15"/>
    <tableColumn name="使用場所" id="16"/>
    <tableColumn name="原作場面" id="17"/>
    <tableColumn name="監修通過の有無" id="18"/>
    <tableColumn name="psd差し替え" id="19"/>
    <tableColumn name="デプロイ" id="20"/>
  </tableColumns>
  <tableStyleInfo name="原画&amp;セリフ演出-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40" Type="http://schemas.openxmlformats.org/officeDocument/2006/relationships/hyperlink" Target="https://docs.google.com/spreadsheets/d/1IkiS0rrzjKzg8ddE1n44RBj_Mg3ZABH1D_62pIGQTJg/edit?gid=2146475190" TargetMode="External"/><Relationship Id="rId42" Type="http://schemas.openxmlformats.org/officeDocument/2006/relationships/hyperlink" Target="https://docs.google.com/spreadsheets/d/1IkiS0rrzjKzg8ddE1n44RBj_Mg3ZABH1D_62pIGQTJg/edit?gid=2146475190" TargetMode="External"/><Relationship Id="rId41" Type="http://schemas.openxmlformats.org/officeDocument/2006/relationships/hyperlink" Target="https://docs.google.com/spreadsheets/d/1IkiS0rrzjKzg8ddE1n44RBj_Mg3ZABH1D_62pIGQTJg/edit?gid=2146475190" TargetMode="External"/><Relationship Id="rId44" Type="http://schemas.openxmlformats.org/officeDocument/2006/relationships/hyperlink" Target="https://docs.google.com/spreadsheets/d/1IkiS0rrzjKzg8ddE1n44RBj_Mg3ZABH1D_62pIGQTJg/edit?gid=2146475190" TargetMode="External"/><Relationship Id="rId43" Type="http://schemas.openxmlformats.org/officeDocument/2006/relationships/hyperlink" Target="https://docs.google.com/spreadsheets/d/1IkiS0rrzjKzg8ddE1n44RBj_Mg3ZABH1D_62pIGQTJg/edit?gid=2146475190" TargetMode="External"/><Relationship Id="rId46" Type="http://schemas.openxmlformats.org/officeDocument/2006/relationships/hyperlink" Target="https://docs.google.com/spreadsheets/d/1IkiS0rrzjKzg8ddE1n44RBj_Mg3ZABH1D_62pIGQTJg/edit?gid=2146475190" TargetMode="External"/><Relationship Id="rId45" Type="http://schemas.openxmlformats.org/officeDocument/2006/relationships/hyperlink" Target="https://docs.google.com/spreadsheets/d/1IkiS0rrzjKzg8ddE1n44RBj_Mg3ZABH1D_62pIGQTJg/edit?gid=2146475190" TargetMode="External"/><Relationship Id="rId107" Type="http://schemas.openxmlformats.org/officeDocument/2006/relationships/hyperlink" Target="https://docs.google.com/spreadsheets/d/1IkiS0rrzjKzg8ddE1n44RBj_Mg3ZABH1D_62pIGQTJg/edit?gid=384572633" TargetMode="External"/><Relationship Id="rId106" Type="http://schemas.openxmlformats.org/officeDocument/2006/relationships/hyperlink" Target="https://docs.google.com/spreadsheets/d/1IkiS0rrzjKzg8ddE1n44RBj_Mg3ZABH1D_62pIGQTJg/edit?gid=384572633" TargetMode="External"/><Relationship Id="rId105" Type="http://schemas.openxmlformats.org/officeDocument/2006/relationships/hyperlink" Target="https://docs.google.com/spreadsheets/d/1IkiS0rrzjKzg8ddE1n44RBj_Mg3ZABH1D_62pIGQTJg/edit?gid=384572633" TargetMode="External"/><Relationship Id="rId104" Type="http://schemas.openxmlformats.org/officeDocument/2006/relationships/hyperlink" Target="https://docs.google.com/spreadsheets/d/1IkiS0rrzjKzg8ddE1n44RBj_Mg3ZABH1D_62pIGQTJg/edit?gid=384572633" TargetMode="External"/><Relationship Id="rId109" Type="http://schemas.openxmlformats.org/officeDocument/2006/relationships/hyperlink" Target="https://docs.google.com/spreadsheets/d/1IkiS0rrzjKzg8ddE1n44RBj_Mg3ZABH1D_62pIGQTJg/edit?gid=384572633" TargetMode="External"/><Relationship Id="rId108" Type="http://schemas.openxmlformats.org/officeDocument/2006/relationships/hyperlink" Target="https://docs.google.com/spreadsheets/d/1IkiS0rrzjKzg8ddE1n44RBj_Mg3ZABH1D_62pIGQTJg/edit?gid=384572633" TargetMode="External"/><Relationship Id="rId48" Type="http://schemas.openxmlformats.org/officeDocument/2006/relationships/hyperlink" Target="https://docs.google.com/spreadsheets/d/1IkiS0rrzjKzg8ddE1n44RBj_Mg3ZABH1D_62pIGQTJg/edit?gid=2146475190" TargetMode="External"/><Relationship Id="rId47" Type="http://schemas.openxmlformats.org/officeDocument/2006/relationships/hyperlink" Target="https://docs.google.com/spreadsheets/d/1IkiS0rrzjKzg8ddE1n44RBj_Mg3ZABH1D_62pIGQTJg/edit?gid=2146475190" TargetMode="External"/><Relationship Id="rId49" Type="http://schemas.openxmlformats.org/officeDocument/2006/relationships/hyperlink" Target="https://docs.google.com/spreadsheets/d/1IkiS0rrzjKzg8ddE1n44RBj_Mg3ZABH1D_62pIGQTJg/edit?gid=2146475190" TargetMode="External"/><Relationship Id="rId103" Type="http://schemas.openxmlformats.org/officeDocument/2006/relationships/hyperlink" Target="https://docs.google.com/spreadsheets/d/1IkiS0rrzjKzg8ddE1n44RBj_Mg3ZABH1D_62pIGQTJg/edit?gid=384572633" TargetMode="External"/><Relationship Id="rId102" Type="http://schemas.openxmlformats.org/officeDocument/2006/relationships/hyperlink" Target="https://docs.google.com/spreadsheets/d/1IkiS0rrzjKzg8ddE1n44RBj_Mg3ZABH1D_62pIGQTJg/edit?gid=384572633" TargetMode="External"/><Relationship Id="rId101" Type="http://schemas.openxmlformats.org/officeDocument/2006/relationships/hyperlink" Target="https://docs.google.com/spreadsheets/d/1IkiS0rrzjKzg8ddE1n44RBj_Mg3ZABH1D_62pIGQTJg/edit?gid=384572633" TargetMode="External"/><Relationship Id="rId100" Type="http://schemas.openxmlformats.org/officeDocument/2006/relationships/hyperlink" Target="https://docs.google.com/spreadsheets/d/1IkiS0rrzjKzg8ddE1n44RBj_Mg3ZABH1D_62pIGQTJg/edit?gid=384572633" TargetMode="External"/><Relationship Id="rId31" Type="http://schemas.openxmlformats.org/officeDocument/2006/relationships/hyperlink" Target="https://docs.google.com/spreadsheets/d/1IkiS0rrzjKzg8ddE1n44RBj_Mg3ZABH1D_62pIGQTJg/edit?gid=2146475190" TargetMode="External"/><Relationship Id="rId30" Type="http://schemas.openxmlformats.org/officeDocument/2006/relationships/hyperlink" Target="https://docs.google.com/spreadsheets/d/1IkiS0rrzjKzg8ddE1n44RBj_Mg3ZABH1D_62pIGQTJg/edit?gid=2146475190" TargetMode="External"/><Relationship Id="rId33" Type="http://schemas.openxmlformats.org/officeDocument/2006/relationships/hyperlink" Target="https://docs.google.com/spreadsheets/d/1IkiS0rrzjKzg8ddE1n44RBj_Mg3ZABH1D_62pIGQTJg/edit?gid=2146475190" TargetMode="External"/><Relationship Id="rId32" Type="http://schemas.openxmlformats.org/officeDocument/2006/relationships/hyperlink" Target="https://docs.google.com/spreadsheets/d/1IkiS0rrzjKzg8ddE1n44RBj_Mg3ZABH1D_62pIGQTJg/edit?gid=2146475190" TargetMode="External"/><Relationship Id="rId35" Type="http://schemas.openxmlformats.org/officeDocument/2006/relationships/hyperlink" Target="https://docs.google.com/spreadsheets/d/1IkiS0rrzjKzg8ddE1n44RBj_Mg3ZABH1D_62pIGQTJg/edit?gid=2146475190" TargetMode="External"/><Relationship Id="rId34" Type="http://schemas.openxmlformats.org/officeDocument/2006/relationships/hyperlink" Target="https://docs.google.com/spreadsheets/d/1IkiS0rrzjKzg8ddE1n44RBj_Mg3ZABH1D_62pIGQTJg/edit?gid=2146475190" TargetMode="External"/><Relationship Id="rId37" Type="http://schemas.openxmlformats.org/officeDocument/2006/relationships/hyperlink" Target="https://docs.google.com/spreadsheets/d/1IkiS0rrzjKzg8ddE1n44RBj_Mg3ZABH1D_62pIGQTJg/edit?gid=2146475190" TargetMode="External"/><Relationship Id="rId36" Type="http://schemas.openxmlformats.org/officeDocument/2006/relationships/hyperlink" Target="https://docs.google.com/spreadsheets/d/1IkiS0rrzjKzg8ddE1n44RBj_Mg3ZABH1D_62pIGQTJg/edit?gid=2146475190" TargetMode="External"/><Relationship Id="rId39" Type="http://schemas.openxmlformats.org/officeDocument/2006/relationships/hyperlink" Target="https://docs.google.com/spreadsheets/d/1IkiS0rrzjKzg8ddE1n44RBj_Mg3ZABH1D_62pIGQTJg/edit?gid=2146475190" TargetMode="External"/><Relationship Id="rId38" Type="http://schemas.openxmlformats.org/officeDocument/2006/relationships/hyperlink" Target="https://docs.google.com/spreadsheets/d/1IkiS0rrzjKzg8ddE1n44RBj_Mg3ZABH1D_62pIGQTJg/edit?gid=2146475190" TargetMode="External"/><Relationship Id="rId20" Type="http://schemas.openxmlformats.org/officeDocument/2006/relationships/hyperlink" Target="https://docs.google.com/spreadsheets/d/1IkiS0rrzjKzg8ddE1n44RBj_Mg3ZABH1D_62pIGQTJg/edit?gid=2146475190" TargetMode="External"/><Relationship Id="rId22" Type="http://schemas.openxmlformats.org/officeDocument/2006/relationships/hyperlink" Target="https://docs.google.com/spreadsheets/d/1IkiS0rrzjKzg8ddE1n44RBj_Mg3ZABH1D_62pIGQTJg/edit?gid=2146475190" TargetMode="External"/><Relationship Id="rId21" Type="http://schemas.openxmlformats.org/officeDocument/2006/relationships/hyperlink" Target="https://docs.google.com/spreadsheets/d/1IkiS0rrzjKzg8ddE1n44RBj_Mg3ZABH1D_62pIGQTJg/edit?gid=2146475190" TargetMode="External"/><Relationship Id="rId24" Type="http://schemas.openxmlformats.org/officeDocument/2006/relationships/hyperlink" Target="https://docs.google.com/spreadsheets/d/1IkiS0rrzjKzg8ddE1n44RBj_Mg3ZABH1D_62pIGQTJg/edit?gid=2146475190" TargetMode="External"/><Relationship Id="rId23" Type="http://schemas.openxmlformats.org/officeDocument/2006/relationships/hyperlink" Target="https://docs.google.com/spreadsheets/d/1IkiS0rrzjKzg8ddE1n44RBj_Mg3ZABH1D_62pIGQTJg/edit?gid=2146475190" TargetMode="External"/><Relationship Id="rId26" Type="http://schemas.openxmlformats.org/officeDocument/2006/relationships/hyperlink" Target="https://docs.google.com/spreadsheets/d/1IkiS0rrzjKzg8ddE1n44RBj_Mg3ZABH1D_62pIGQTJg/edit?gid=2146475190" TargetMode="External"/><Relationship Id="rId25" Type="http://schemas.openxmlformats.org/officeDocument/2006/relationships/hyperlink" Target="https://docs.google.com/spreadsheets/d/1IkiS0rrzjKzg8ddE1n44RBj_Mg3ZABH1D_62pIGQTJg/edit?gid=2146475190" TargetMode="External"/><Relationship Id="rId28" Type="http://schemas.openxmlformats.org/officeDocument/2006/relationships/hyperlink" Target="https://docs.google.com/spreadsheets/d/1IkiS0rrzjKzg8ddE1n44RBj_Mg3ZABH1D_62pIGQTJg/edit?gid=2146475190" TargetMode="External"/><Relationship Id="rId27" Type="http://schemas.openxmlformats.org/officeDocument/2006/relationships/hyperlink" Target="https://docs.google.com/spreadsheets/d/1IkiS0rrzjKzg8ddE1n44RBj_Mg3ZABH1D_62pIGQTJg/edit?gid=2146475190" TargetMode="External"/><Relationship Id="rId29" Type="http://schemas.openxmlformats.org/officeDocument/2006/relationships/hyperlink" Target="https://docs.google.com/spreadsheets/d/1IkiS0rrzjKzg8ddE1n44RBj_Mg3ZABH1D_62pIGQTJg/edit?gid=2146475190" TargetMode="External"/><Relationship Id="rId95" Type="http://schemas.openxmlformats.org/officeDocument/2006/relationships/hyperlink" Target="https://docs.google.com/spreadsheets/d/1IkiS0rrzjKzg8ddE1n44RBj_Mg3ZABH1D_62pIGQTJg/edit?gid=384572633" TargetMode="External"/><Relationship Id="rId94" Type="http://schemas.openxmlformats.org/officeDocument/2006/relationships/hyperlink" Target="https://docs.google.com/spreadsheets/d/1IkiS0rrzjKzg8ddE1n44RBj_Mg3ZABH1D_62pIGQTJg/edit?gid=384572633" TargetMode="External"/><Relationship Id="rId97" Type="http://schemas.openxmlformats.org/officeDocument/2006/relationships/hyperlink" Target="https://docs.google.com/spreadsheets/d/1IkiS0rrzjKzg8ddE1n44RBj_Mg3ZABH1D_62pIGQTJg/edit?gid=384572633" TargetMode="External"/><Relationship Id="rId96" Type="http://schemas.openxmlformats.org/officeDocument/2006/relationships/hyperlink" Target="https://docs.google.com/spreadsheets/d/1IkiS0rrzjKzg8ddE1n44RBj_Mg3ZABH1D_62pIGQTJg/edit?gid=384572633" TargetMode="External"/><Relationship Id="rId11" Type="http://schemas.openxmlformats.org/officeDocument/2006/relationships/hyperlink" Target="https://docs.google.com/spreadsheets/d/1IkiS0rrzjKzg8ddE1n44RBj_Mg3ZABH1D_62pIGQTJg/edit?gid=2146475190" TargetMode="External"/><Relationship Id="rId99" Type="http://schemas.openxmlformats.org/officeDocument/2006/relationships/hyperlink" Target="https://docs.google.com/spreadsheets/d/1IkiS0rrzjKzg8ddE1n44RBj_Mg3ZABH1D_62pIGQTJg/edit?gid=384572633" TargetMode="External"/><Relationship Id="rId10" Type="http://schemas.openxmlformats.org/officeDocument/2006/relationships/hyperlink" Target="https://docs.google.com/spreadsheets/d/1IkiS0rrzjKzg8ddE1n44RBj_Mg3ZABH1D_62pIGQTJg/edit?gid=2146475190" TargetMode="External"/><Relationship Id="rId98" Type="http://schemas.openxmlformats.org/officeDocument/2006/relationships/hyperlink" Target="https://docs.google.com/spreadsheets/d/1IkiS0rrzjKzg8ddE1n44RBj_Mg3ZABH1D_62pIGQTJg/edit?gid=384572633" TargetMode="External"/><Relationship Id="rId13" Type="http://schemas.openxmlformats.org/officeDocument/2006/relationships/hyperlink" Target="https://docs.google.com/spreadsheets/d/1IkiS0rrzjKzg8ddE1n44RBj_Mg3ZABH1D_62pIGQTJg/edit?gid=2146475190" TargetMode="External"/><Relationship Id="rId12" Type="http://schemas.openxmlformats.org/officeDocument/2006/relationships/hyperlink" Target="https://docs.google.com/spreadsheets/d/1IkiS0rrzjKzg8ddE1n44RBj_Mg3ZABH1D_62pIGQTJg/edit?gid=2146475190" TargetMode="External"/><Relationship Id="rId91" Type="http://schemas.openxmlformats.org/officeDocument/2006/relationships/hyperlink" Target="https://docs.google.com/spreadsheets/d/1IkiS0rrzjKzg8ddE1n44RBj_Mg3ZABH1D_62pIGQTJg/edit?gid=384572633" TargetMode="External"/><Relationship Id="rId90" Type="http://schemas.openxmlformats.org/officeDocument/2006/relationships/hyperlink" Target="https://docs.google.com/spreadsheets/d/1IkiS0rrzjKzg8ddE1n44RBj_Mg3ZABH1D_62pIGQTJg/edit?gid=384572633" TargetMode="External"/><Relationship Id="rId93" Type="http://schemas.openxmlformats.org/officeDocument/2006/relationships/hyperlink" Target="https://docs.google.com/spreadsheets/d/1IkiS0rrzjKzg8ddE1n44RBj_Mg3ZABH1D_62pIGQTJg/edit?gid=384572633" TargetMode="External"/><Relationship Id="rId92" Type="http://schemas.openxmlformats.org/officeDocument/2006/relationships/hyperlink" Target="https://docs.google.com/spreadsheets/d/1IkiS0rrzjKzg8ddE1n44RBj_Mg3ZABH1D_62pIGQTJg/edit?gid=384572633" TargetMode="External"/><Relationship Id="rId15" Type="http://schemas.openxmlformats.org/officeDocument/2006/relationships/hyperlink" Target="https://docs.google.com/spreadsheets/d/1IkiS0rrzjKzg8ddE1n44RBj_Mg3ZABH1D_62pIGQTJg/edit?gid=2146475190" TargetMode="External"/><Relationship Id="rId110" Type="http://schemas.openxmlformats.org/officeDocument/2006/relationships/drawing" Target="../drawings/drawing6.xml"/><Relationship Id="rId14" Type="http://schemas.openxmlformats.org/officeDocument/2006/relationships/hyperlink" Target="https://docs.google.com/spreadsheets/d/1IkiS0rrzjKzg8ddE1n44RBj_Mg3ZABH1D_62pIGQTJg/edit?gid=2146475190" TargetMode="External"/><Relationship Id="rId17" Type="http://schemas.openxmlformats.org/officeDocument/2006/relationships/hyperlink" Target="https://docs.google.com/spreadsheets/d/1IkiS0rrzjKzg8ddE1n44RBj_Mg3ZABH1D_62pIGQTJg/edit?gid=2146475190" TargetMode="External"/><Relationship Id="rId16" Type="http://schemas.openxmlformats.org/officeDocument/2006/relationships/hyperlink" Target="https://docs.google.com/spreadsheets/d/1IkiS0rrzjKzg8ddE1n44RBj_Mg3ZABH1D_62pIGQTJg/edit?gid=2146475190" TargetMode="External"/><Relationship Id="rId19" Type="http://schemas.openxmlformats.org/officeDocument/2006/relationships/hyperlink" Target="https://docs.google.com/spreadsheets/d/1IkiS0rrzjKzg8ddE1n44RBj_Mg3ZABH1D_62pIGQTJg/edit?gid=2146475190" TargetMode="External"/><Relationship Id="rId18" Type="http://schemas.openxmlformats.org/officeDocument/2006/relationships/hyperlink" Target="https://docs.google.com/spreadsheets/d/1IkiS0rrzjKzg8ddE1n44RBj_Mg3ZABH1D_62pIGQTJg/edit?gid=2146475190" TargetMode="External"/><Relationship Id="rId111" Type="http://schemas.openxmlformats.org/officeDocument/2006/relationships/vmlDrawing" Target="../drawings/vmlDrawing4.vml"/><Relationship Id="rId84" Type="http://schemas.openxmlformats.org/officeDocument/2006/relationships/hyperlink" Target="https://docs.google.com/spreadsheets/d/1IkiS0rrzjKzg8ddE1n44RBj_Mg3ZABH1D_62pIGQTJg/edit?gid=384572633" TargetMode="External"/><Relationship Id="rId83" Type="http://schemas.openxmlformats.org/officeDocument/2006/relationships/hyperlink" Target="https://docs.google.com/spreadsheets/d/1IkiS0rrzjKzg8ddE1n44RBj_Mg3ZABH1D_62pIGQTJg/edit?gid=384572633" TargetMode="External"/><Relationship Id="rId86" Type="http://schemas.openxmlformats.org/officeDocument/2006/relationships/hyperlink" Target="https://docs.google.com/spreadsheets/d/1IkiS0rrzjKzg8ddE1n44RBj_Mg3ZABH1D_62pIGQTJg/edit?gid=384572633" TargetMode="External"/><Relationship Id="rId85" Type="http://schemas.openxmlformats.org/officeDocument/2006/relationships/hyperlink" Target="https://docs.google.com/spreadsheets/d/1IkiS0rrzjKzg8ddE1n44RBj_Mg3ZABH1D_62pIGQTJg/edit?gid=384572633" TargetMode="External"/><Relationship Id="rId88" Type="http://schemas.openxmlformats.org/officeDocument/2006/relationships/hyperlink" Target="https://docs.google.com/spreadsheets/d/1IkiS0rrzjKzg8ddE1n44RBj_Mg3ZABH1D_62pIGQTJg/edit?gid=384572633" TargetMode="External"/><Relationship Id="rId87" Type="http://schemas.openxmlformats.org/officeDocument/2006/relationships/hyperlink" Target="https://docs.google.com/spreadsheets/d/1IkiS0rrzjKzg8ddE1n44RBj_Mg3ZABH1D_62pIGQTJg/edit?gid=384572633" TargetMode="External"/><Relationship Id="rId89" Type="http://schemas.openxmlformats.org/officeDocument/2006/relationships/hyperlink" Target="https://docs.google.com/spreadsheets/d/1IkiS0rrzjKzg8ddE1n44RBj_Mg3ZABH1D_62pIGQTJg/edit?gid=384572633" TargetMode="External"/><Relationship Id="rId80" Type="http://schemas.openxmlformats.org/officeDocument/2006/relationships/hyperlink" Target="https://docs.google.com/spreadsheets/d/1IkiS0rrzjKzg8ddE1n44RBj_Mg3ZABH1D_62pIGQTJg/edit?gid=384572633" TargetMode="External"/><Relationship Id="rId82" Type="http://schemas.openxmlformats.org/officeDocument/2006/relationships/hyperlink" Target="https://docs.google.com/spreadsheets/d/1IkiS0rrzjKzg8ddE1n44RBj_Mg3ZABH1D_62pIGQTJg/edit?gid=384572633" TargetMode="External"/><Relationship Id="rId81" Type="http://schemas.openxmlformats.org/officeDocument/2006/relationships/hyperlink" Target="https://docs.google.com/spreadsheets/d/1IkiS0rrzjKzg8ddE1n44RBj_Mg3ZABH1D_62pIGQTJg/edit?gid=384572633" TargetMode="External"/><Relationship Id="rId1" Type="http://schemas.openxmlformats.org/officeDocument/2006/relationships/comments" Target="../comments4.xml"/><Relationship Id="rId2" Type="http://schemas.openxmlformats.org/officeDocument/2006/relationships/hyperlink" Target="https://docs.google.com/spreadsheets/d/1IkiS0rrzjKzg8ddE1n44RBj_Mg3ZABH1D_62pIGQTJg/edit?gid=2146475190" TargetMode="External"/><Relationship Id="rId3" Type="http://schemas.openxmlformats.org/officeDocument/2006/relationships/hyperlink" Target="https://docs.google.com/spreadsheets/d/1IkiS0rrzjKzg8ddE1n44RBj_Mg3ZABH1D_62pIGQTJg/edit?gid=2146475190" TargetMode="External"/><Relationship Id="rId4" Type="http://schemas.openxmlformats.org/officeDocument/2006/relationships/hyperlink" Target="https://docs.google.com/spreadsheets/d/1IkiS0rrzjKzg8ddE1n44RBj_Mg3ZABH1D_62pIGQTJg/edit?gid=2146475190" TargetMode="External"/><Relationship Id="rId9" Type="http://schemas.openxmlformats.org/officeDocument/2006/relationships/hyperlink" Target="https://docs.google.com/spreadsheets/d/1IkiS0rrzjKzg8ddE1n44RBj_Mg3ZABH1D_62pIGQTJg/edit?gid=2146475190" TargetMode="External"/><Relationship Id="rId5" Type="http://schemas.openxmlformats.org/officeDocument/2006/relationships/hyperlink" Target="https://docs.google.com/spreadsheets/d/1IkiS0rrzjKzg8ddE1n44RBj_Mg3ZABH1D_62pIGQTJg/edit?gid=2146475190" TargetMode="External"/><Relationship Id="rId6" Type="http://schemas.openxmlformats.org/officeDocument/2006/relationships/hyperlink" Target="https://docs.google.com/spreadsheets/d/1IkiS0rrzjKzg8ddE1n44RBj_Mg3ZABH1D_62pIGQTJg/edit?gid=2146475190" TargetMode="External"/><Relationship Id="rId7" Type="http://schemas.openxmlformats.org/officeDocument/2006/relationships/hyperlink" Target="https://docs.google.com/spreadsheets/d/1IkiS0rrzjKzg8ddE1n44RBj_Mg3ZABH1D_62pIGQTJg/edit?gid=2146475190" TargetMode="External"/><Relationship Id="rId8" Type="http://schemas.openxmlformats.org/officeDocument/2006/relationships/hyperlink" Target="https://docs.google.com/spreadsheets/d/1IkiS0rrzjKzg8ddE1n44RBj_Mg3ZABH1D_62pIGQTJg/edit?gid=2146475190" TargetMode="External"/><Relationship Id="rId73" Type="http://schemas.openxmlformats.org/officeDocument/2006/relationships/hyperlink" Target="https://docs.google.com/spreadsheets/d/1IkiS0rrzjKzg8ddE1n44RBj_Mg3ZABH1D_62pIGQTJg/edit?gid=384572633" TargetMode="External"/><Relationship Id="rId72" Type="http://schemas.openxmlformats.org/officeDocument/2006/relationships/hyperlink" Target="https://docs.google.com/spreadsheets/d/1IkiS0rrzjKzg8ddE1n44RBj_Mg3ZABH1D_62pIGQTJg/edit?gid=384572633" TargetMode="External"/><Relationship Id="rId75" Type="http://schemas.openxmlformats.org/officeDocument/2006/relationships/hyperlink" Target="https://docs.google.com/spreadsheets/d/1IkiS0rrzjKzg8ddE1n44RBj_Mg3ZABH1D_62pIGQTJg/edit?gid=384572633" TargetMode="External"/><Relationship Id="rId74" Type="http://schemas.openxmlformats.org/officeDocument/2006/relationships/hyperlink" Target="https://docs.google.com/spreadsheets/d/1IkiS0rrzjKzg8ddE1n44RBj_Mg3ZABH1D_62pIGQTJg/edit?gid=384572633" TargetMode="External"/><Relationship Id="rId77" Type="http://schemas.openxmlformats.org/officeDocument/2006/relationships/hyperlink" Target="https://docs.google.com/spreadsheets/d/1IkiS0rrzjKzg8ddE1n44RBj_Mg3ZABH1D_62pIGQTJg/edit?gid=384572633" TargetMode="External"/><Relationship Id="rId76" Type="http://schemas.openxmlformats.org/officeDocument/2006/relationships/hyperlink" Target="https://docs.google.com/spreadsheets/d/1IkiS0rrzjKzg8ddE1n44RBj_Mg3ZABH1D_62pIGQTJg/edit?gid=384572633" TargetMode="External"/><Relationship Id="rId79" Type="http://schemas.openxmlformats.org/officeDocument/2006/relationships/hyperlink" Target="https://docs.google.com/spreadsheets/d/1IkiS0rrzjKzg8ddE1n44RBj_Mg3ZABH1D_62pIGQTJg/edit?gid=384572633" TargetMode="External"/><Relationship Id="rId78" Type="http://schemas.openxmlformats.org/officeDocument/2006/relationships/hyperlink" Target="https://docs.google.com/spreadsheets/d/1IkiS0rrzjKzg8ddE1n44RBj_Mg3ZABH1D_62pIGQTJg/edit?gid=384572633" TargetMode="External"/><Relationship Id="rId71" Type="http://schemas.openxmlformats.org/officeDocument/2006/relationships/hyperlink" Target="https://docs.google.com/spreadsheets/d/1IkiS0rrzjKzg8ddE1n44RBj_Mg3ZABH1D_62pIGQTJg/edit?gid=384572633" TargetMode="External"/><Relationship Id="rId70" Type="http://schemas.openxmlformats.org/officeDocument/2006/relationships/hyperlink" Target="https://docs.google.com/spreadsheets/d/1IkiS0rrzjKzg8ddE1n44RBj_Mg3ZABH1D_62pIGQTJg/edit?gid=384572633" TargetMode="External"/><Relationship Id="rId62" Type="http://schemas.openxmlformats.org/officeDocument/2006/relationships/hyperlink" Target="https://docs.google.com/spreadsheets/d/1IkiS0rrzjKzg8ddE1n44RBj_Mg3ZABH1D_62pIGQTJg/edit?gid=2146475190" TargetMode="External"/><Relationship Id="rId61" Type="http://schemas.openxmlformats.org/officeDocument/2006/relationships/hyperlink" Target="https://docs.google.com/spreadsheets/d/1IkiS0rrzjKzg8ddE1n44RBj_Mg3ZABH1D_62pIGQTJg/edit?gid=2146475190" TargetMode="External"/><Relationship Id="rId64" Type="http://schemas.openxmlformats.org/officeDocument/2006/relationships/hyperlink" Target="https://docs.google.com/spreadsheets/d/1IkiS0rrzjKzg8ddE1n44RBj_Mg3ZABH1D_62pIGQTJg/edit?gid=2146475190" TargetMode="External"/><Relationship Id="rId63" Type="http://schemas.openxmlformats.org/officeDocument/2006/relationships/hyperlink" Target="https://docs.google.com/spreadsheets/d/1IkiS0rrzjKzg8ddE1n44RBj_Mg3ZABH1D_62pIGQTJg/edit?gid=2146475190" TargetMode="External"/><Relationship Id="rId66" Type="http://schemas.openxmlformats.org/officeDocument/2006/relationships/hyperlink" Target="https://docs.google.com/spreadsheets/d/1IkiS0rrzjKzg8ddE1n44RBj_Mg3ZABH1D_62pIGQTJg/edit?gid=2146475190" TargetMode="External"/><Relationship Id="rId65" Type="http://schemas.openxmlformats.org/officeDocument/2006/relationships/hyperlink" Target="https://docs.google.com/spreadsheets/d/1IkiS0rrzjKzg8ddE1n44RBj_Mg3ZABH1D_62pIGQTJg/edit?gid=2146475190" TargetMode="External"/><Relationship Id="rId68" Type="http://schemas.openxmlformats.org/officeDocument/2006/relationships/hyperlink" Target="https://docs.google.com/spreadsheets/d/1IkiS0rrzjKzg8ddE1n44RBj_Mg3ZABH1D_62pIGQTJg/edit?gid=384572633" TargetMode="External"/><Relationship Id="rId67" Type="http://schemas.openxmlformats.org/officeDocument/2006/relationships/hyperlink" Target="https://docs.google.com/spreadsheets/d/1IkiS0rrzjKzg8ddE1n44RBj_Mg3ZABH1D_62pIGQTJg/edit?gid=384572633" TargetMode="External"/><Relationship Id="rId60" Type="http://schemas.openxmlformats.org/officeDocument/2006/relationships/hyperlink" Target="https://docs.google.com/spreadsheets/d/1IkiS0rrzjKzg8ddE1n44RBj_Mg3ZABH1D_62pIGQTJg/edit?gid=2146475190" TargetMode="External"/><Relationship Id="rId69" Type="http://schemas.openxmlformats.org/officeDocument/2006/relationships/hyperlink" Target="https://docs.google.com/spreadsheets/d/1IkiS0rrzjKzg8ddE1n44RBj_Mg3ZABH1D_62pIGQTJg/edit?gid=384572633" TargetMode="External"/><Relationship Id="rId51" Type="http://schemas.openxmlformats.org/officeDocument/2006/relationships/hyperlink" Target="https://docs.google.com/spreadsheets/d/1IkiS0rrzjKzg8ddE1n44RBj_Mg3ZABH1D_62pIGQTJg/edit?gid=2146475190" TargetMode="External"/><Relationship Id="rId50" Type="http://schemas.openxmlformats.org/officeDocument/2006/relationships/hyperlink" Target="https://docs.google.com/spreadsheets/d/1IkiS0rrzjKzg8ddE1n44RBj_Mg3ZABH1D_62pIGQTJg/edit?gid=2146475190" TargetMode="External"/><Relationship Id="rId53" Type="http://schemas.openxmlformats.org/officeDocument/2006/relationships/hyperlink" Target="https://docs.google.com/spreadsheets/d/1IkiS0rrzjKzg8ddE1n44RBj_Mg3ZABH1D_62pIGQTJg/edit?gid=2146475190" TargetMode="External"/><Relationship Id="rId52" Type="http://schemas.openxmlformats.org/officeDocument/2006/relationships/hyperlink" Target="https://docs.google.com/spreadsheets/d/1IkiS0rrzjKzg8ddE1n44RBj_Mg3ZABH1D_62pIGQTJg/edit?gid=2146475190" TargetMode="External"/><Relationship Id="rId55" Type="http://schemas.openxmlformats.org/officeDocument/2006/relationships/hyperlink" Target="https://docs.google.com/spreadsheets/d/1IkiS0rrzjKzg8ddE1n44RBj_Mg3ZABH1D_62pIGQTJg/edit?gid=2146475190" TargetMode="External"/><Relationship Id="rId54" Type="http://schemas.openxmlformats.org/officeDocument/2006/relationships/hyperlink" Target="https://docs.google.com/spreadsheets/d/1IkiS0rrzjKzg8ddE1n44RBj_Mg3ZABH1D_62pIGQTJg/edit?gid=2146475190" TargetMode="External"/><Relationship Id="rId57" Type="http://schemas.openxmlformats.org/officeDocument/2006/relationships/hyperlink" Target="https://docs.google.com/spreadsheets/d/1IkiS0rrzjKzg8ddE1n44RBj_Mg3ZABH1D_62pIGQTJg/edit?gid=2146475190" TargetMode="External"/><Relationship Id="rId56" Type="http://schemas.openxmlformats.org/officeDocument/2006/relationships/hyperlink" Target="https://docs.google.com/spreadsheets/d/1IkiS0rrzjKzg8ddE1n44RBj_Mg3ZABH1D_62pIGQTJg/edit?gid=2146475190" TargetMode="External"/><Relationship Id="rId59" Type="http://schemas.openxmlformats.org/officeDocument/2006/relationships/hyperlink" Target="https://docs.google.com/spreadsheets/d/1IkiS0rrzjKzg8ddE1n44RBj_Mg3ZABH1D_62pIGQTJg/edit?gid=2146475190" TargetMode="External"/><Relationship Id="rId58" Type="http://schemas.openxmlformats.org/officeDocument/2006/relationships/hyperlink" Target="https://docs.google.com/spreadsheets/d/1IkiS0rrzjKzg8ddE1n44RBj_Mg3ZABH1D_62pIGQTJg/edit?gid=2146475190"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onderplanet.atlassian.net/wiki/spaces/GLOW/pages/344622597" TargetMode="External"/><Relationship Id="rId3" Type="http://schemas.openxmlformats.org/officeDocument/2006/relationships/drawing" Target="../drawings/drawing8.xml"/><Relationship Id="rId4"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1.xml"/><Relationship Id="rId3"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4.xml"/><Relationship Id="rId3"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9.xml"/><Relationship Id="rId3" Type="http://schemas.openxmlformats.org/officeDocument/2006/relationships/vmlDrawing" Target="../drawings/vmlDrawing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0.xml"/><Relationship Id="rId3" Type="http://schemas.openxmlformats.org/officeDocument/2006/relationships/vmlDrawing" Target="../drawings/vmlDrawing9.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wonderplanet.atlassian.net/wiki/spaces/GLOW/pages/292127891/WIP+API" TargetMode="External"/><Relationship Id="rId3" Type="http://schemas.openxmlformats.org/officeDocument/2006/relationships/drawing" Target="../drawings/drawing29.xml"/><Relationship Id="rId4" Type="http://schemas.openxmlformats.org/officeDocument/2006/relationships/vmlDrawing" Target="../drawings/vmlDrawing10.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30.xml"/><Relationship Id="rId3" Type="http://schemas.openxmlformats.org/officeDocument/2006/relationships/vmlDrawing" Target="../drawings/vmlDrawing11.v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3" Type="http://schemas.openxmlformats.org/officeDocument/2006/relationships/table" Target="../tables/table1.xml"/></Relationships>
</file>

<file path=xl/worksheets/_rels/sheet33.xml.rels><?xml version="1.0" encoding="UTF-8" standalone="yes"?><Relationships xmlns="http://schemas.openxmlformats.org/package/2006/relationships"><Relationship Id="rId11" Type="http://schemas.openxmlformats.org/officeDocument/2006/relationships/hyperlink" Target="https://app.box.com/file/1721214030733" TargetMode="External"/><Relationship Id="rId10" Type="http://schemas.openxmlformats.org/officeDocument/2006/relationships/hyperlink" Target="https://app.box.com/file/1721214030733" TargetMode="External"/><Relationship Id="rId13" Type="http://schemas.openxmlformats.org/officeDocument/2006/relationships/vmlDrawing" Target="../drawings/vmlDrawing12.vml"/><Relationship Id="rId12" Type="http://schemas.openxmlformats.org/officeDocument/2006/relationships/drawing" Target="../drawings/drawing33.xml"/><Relationship Id="rId1" Type="http://schemas.openxmlformats.org/officeDocument/2006/relationships/comments" Target="../comments12.xml"/><Relationship Id="rId2" Type="http://schemas.openxmlformats.org/officeDocument/2006/relationships/hyperlink" Target="https://docs.google.com/spreadsheets/d/1OVgANnEkSS9Dd3iKO7u5ZnWhJVOR3TMtpICDCcZLx48/edit?gid=1002293455" TargetMode="External"/><Relationship Id="rId3" Type="http://schemas.openxmlformats.org/officeDocument/2006/relationships/hyperlink" Target="https://app.box.com/folder/303904861699" TargetMode="External"/><Relationship Id="rId4" Type="http://schemas.openxmlformats.org/officeDocument/2006/relationships/hyperlink" Target="https://app.box.com/folder/313090384535" TargetMode="External"/><Relationship Id="rId9" Type="http://schemas.openxmlformats.org/officeDocument/2006/relationships/hyperlink" Target="https://app.box.com/folder/313090384535" TargetMode="External"/><Relationship Id="rId5" Type="http://schemas.openxmlformats.org/officeDocument/2006/relationships/hyperlink" Target="https://app.box.com/folder/313090384535" TargetMode="External"/><Relationship Id="rId6" Type="http://schemas.openxmlformats.org/officeDocument/2006/relationships/hyperlink" Target="https://app.box.com/folder/307822120496" TargetMode="External"/><Relationship Id="rId7" Type="http://schemas.openxmlformats.org/officeDocument/2006/relationships/hyperlink" Target="https://app.box.com/folder/309364595927" TargetMode="External"/><Relationship Id="rId8" Type="http://schemas.openxmlformats.org/officeDocument/2006/relationships/hyperlink" Target="https://app.box.com/folder/309364595927" TargetMode="External"/></Relationships>
</file>

<file path=xl/worksheets/_rels/sheet34.xml.rels><?xml version="1.0" encoding="UTF-8" standalone="yes"?><Relationships xmlns="http://schemas.openxmlformats.org/package/2006/relationships"><Relationship Id="rId40" Type="http://schemas.openxmlformats.org/officeDocument/2006/relationships/hyperlink" Target="https://audiostock.jp/audio/399712" TargetMode="External"/><Relationship Id="rId42" Type="http://schemas.openxmlformats.org/officeDocument/2006/relationships/hyperlink" Target="https://audiostock.jp/audio/801174" TargetMode="External"/><Relationship Id="rId41" Type="http://schemas.openxmlformats.org/officeDocument/2006/relationships/hyperlink" Target="https://audiostock.jp/audio/5658" TargetMode="External"/><Relationship Id="rId44" Type="http://schemas.openxmlformats.org/officeDocument/2006/relationships/hyperlink" Target="https://audiostock.jp/audio/110589" TargetMode="External"/><Relationship Id="rId43" Type="http://schemas.openxmlformats.org/officeDocument/2006/relationships/hyperlink" Target="https://audiostock.jp/audio/167276" TargetMode="External"/><Relationship Id="rId46" Type="http://schemas.openxmlformats.org/officeDocument/2006/relationships/hyperlink" Target="https://audiostock.jp/audio/1215959" TargetMode="External"/><Relationship Id="rId45" Type="http://schemas.openxmlformats.org/officeDocument/2006/relationships/hyperlink" Target="https://audiostock.jp/audio/935848" TargetMode="External"/><Relationship Id="rId107" Type="http://schemas.openxmlformats.org/officeDocument/2006/relationships/hyperlink" Target="https://audiostock.jp/audio/126645" TargetMode="External"/><Relationship Id="rId106" Type="http://schemas.openxmlformats.org/officeDocument/2006/relationships/hyperlink" Target="https://audiostock.jp/audio/1462423" TargetMode="External"/><Relationship Id="rId105" Type="http://schemas.openxmlformats.org/officeDocument/2006/relationships/hyperlink" Target="https://audiostock.jp/audio/1462424" TargetMode="External"/><Relationship Id="rId104" Type="http://schemas.openxmlformats.org/officeDocument/2006/relationships/hyperlink" Target="https://audiostock.jp/audio/1096779" TargetMode="External"/><Relationship Id="rId109" Type="http://schemas.openxmlformats.org/officeDocument/2006/relationships/hyperlink" Target="https://audiostock.jp/audio/390295" TargetMode="External"/><Relationship Id="rId108" Type="http://schemas.openxmlformats.org/officeDocument/2006/relationships/hyperlink" Target="https://audiostock.jp/audio/126645" TargetMode="External"/><Relationship Id="rId48" Type="http://schemas.openxmlformats.org/officeDocument/2006/relationships/hyperlink" Target="https://audiostock.jp/audio/109845" TargetMode="External"/><Relationship Id="rId47" Type="http://schemas.openxmlformats.org/officeDocument/2006/relationships/hyperlink" Target="https://audiostock.jp/audio/190564" TargetMode="External"/><Relationship Id="rId49" Type="http://schemas.openxmlformats.org/officeDocument/2006/relationships/hyperlink" Target="https://audiostock.jp/audio/1413400" TargetMode="External"/><Relationship Id="rId103" Type="http://schemas.openxmlformats.org/officeDocument/2006/relationships/hyperlink" Target="https://audiostock.jp/audio/813252" TargetMode="External"/><Relationship Id="rId102" Type="http://schemas.openxmlformats.org/officeDocument/2006/relationships/hyperlink" Target="https://audiostock.jp/audio/799387" TargetMode="External"/><Relationship Id="rId101" Type="http://schemas.openxmlformats.org/officeDocument/2006/relationships/hyperlink" Target="https://audiostock.jp/audio/105100" TargetMode="External"/><Relationship Id="rId100" Type="http://schemas.openxmlformats.org/officeDocument/2006/relationships/hyperlink" Target="https://audiostock.jp/audio/254244" TargetMode="External"/><Relationship Id="rId31" Type="http://schemas.openxmlformats.org/officeDocument/2006/relationships/hyperlink" Target="https://audiostock.jp/audio/131142" TargetMode="External"/><Relationship Id="rId30" Type="http://schemas.openxmlformats.org/officeDocument/2006/relationships/hyperlink" Target="https://audiostock.jp/audio/830363" TargetMode="External"/><Relationship Id="rId33" Type="http://schemas.openxmlformats.org/officeDocument/2006/relationships/hyperlink" Target="https://audiostock.jp/audio/399712" TargetMode="External"/><Relationship Id="rId32" Type="http://schemas.openxmlformats.org/officeDocument/2006/relationships/hyperlink" Target="https://audiostock.jp/audio/830363" TargetMode="External"/><Relationship Id="rId35" Type="http://schemas.openxmlformats.org/officeDocument/2006/relationships/hyperlink" Target="https://audiostock.jp/audio/1314322" TargetMode="External"/><Relationship Id="rId34" Type="http://schemas.openxmlformats.org/officeDocument/2006/relationships/hyperlink" Target="https://audiostock.jp/audio/870009" TargetMode="External"/><Relationship Id="rId37" Type="http://schemas.openxmlformats.org/officeDocument/2006/relationships/hyperlink" Target="https://audiostock.jp/audio/105202" TargetMode="External"/><Relationship Id="rId176" Type="http://schemas.openxmlformats.org/officeDocument/2006/relationships/vmlDrawing" Target="../drawings/vmlDrawing13.vml"/><Relationship Id="rId36" Type="http://schemas.openxmlformats.org/officeDocument/2006/relationships/hyperlink" Target="https://audiostock.jp/audio/1248248" TargetMode="External"/><Relationship Id="rId175" Type="http://schemas.openxmlformats.org/officeDocument/2006/relationships/drawing" Target="../drawings/drawing34.xml"/><Relationship Id="rId39" Type="http://schemas.openxmlformats.org/officeDocument/2006/relationships/hyperlink" Target="https://audiostock.jp/audio/884512" TargetMode="External"/><Relationship Id="rId174" Type="http://schemas.openxmlformats.org/officeDocument/2006/relationships/hyperlink" Target="https://audiostock.jp/audio/249527" TargetMode="External"/><Relationship Id="rId38" Type="http://schemas.openxmlformats.org/officeDocument/2006/relationships/hyperlink" Target="https://audiostock.jp/audio/1473895" TargetMode="External"/><Relationship Id="rId173" Type="http://schemas.openxmlformats.org/officeDocument/2006/relationships/hyperlink" Target="https://audiostock.jp/audio/1012583" TargetMode="External"/><Relationship Id="rId20" Type="http://schemas.openxmlformats.org/officeDocument/2006/relationships/hyperlink" Target="https://audiostock.jp/audio/884512" TargetMode="External"/><Relationship Id="rId22" Type="http://schemas.openxmlformats.org/officeDocument/2006/relationships/hyperlink" Target="https://audiostock.jp/audio/52448" TargetMode="External"/><Relationship Id="rId21" Type="http://schemas.openxmlformats.org/officeDocument/2006/relationships/hyperlink" Target="https://audiostock.jp/audio/1077177" TargetMode="External"/><Relationship Id="rId24" Type="http://schemas.openxmlformats.org/officeDocument/2006/relationships/hyperlink" Target="https://audiostock.jp/audio/56324" TargetMode="External"/><Relationship Id="rId23" Type="http://schemas.openxmlformats.org/officeDocument/2006/relationships/hyperlink" Target="https://audiostock.jp/audio/206672" TargetMode="External"/><Relationship Id="rId129" Type="http://schemas.openxmlformats.org/officeDocument/2006/relationships/hyperlink" Target="https://audiostock.jp/audio/884446" TargetMode="External"/><Relationship Id="rId128" Type="http://schemas.openxmlformats.org/officeDocument/2006/relationships/hyperlink" Target="https://audiostock.jp/audio/884446" TargetMode="External"/><Relationship Id="rId127" Type="http://schemas.openxmlformats.org/officeDocument/2006/relationships/hyperlink" Target="https://audiostock.jp/audio/260005" TargetMode="External"/><Relationship Id="rId126" Type="http://schemas.openxmlformats.org/officeDocument/2006/relationships/hyperlink" Target="https://audiostock.jp/audio/876061" TargetMode="External"/><Relationship Id="rId26" Type="http://schemas.openxmlformats.org/officeDocument/2006/relationships/hyperlink" Target="https://audiostock.jp/audio/1016523" TargetMode="External"/><Relationship Id="rId121" Type="http://schemas.openxmlformats.org/officeDocument/2006/relationships/hyperlink" Target="https://audiostock.jp/audio/1462423" TargetMode="External"/><Relationship Id="rId25" Type="http://schemas.openxmlformats.org/officeDocument/2006/relationships/hyperlink" Target="https://audiostock.jp/audio/1496189" TargetMode="External"/><Relationship Id="rId120" Type="http://schemas.openxmlformats.org/officeDocument/2006/relationships/hyperlink" Target="https://audiostock.jp/audio/100412" TargetMode="External"/><Relationship Id="rId28" Type="http://schemas.openxmlformats.org/officeDocument/2006/relationships/hyperlink" Target="https://audiostock.jp/audio/476674" TargetMode="External"/><Relationship Id="rId27" Type="http://schemas.openxmlformats.org/officeDocument/2006/relationships/hyperlink" Target="https://audiostock.jp/audio/1285213" TargetMode="External"/><Relationship Id="rId125" Type="http://schemas.openxmlformats.org/officeDocument/2006/relationships/hyperlink" Target="https://audiostock.jp/audio/1612292" TargetMode="External"/><Relationship Id="rId29" Type="http://schemas.openxmlformats.org/officeDocument/2006/relationships/hyperlink" Target="https://audiostock.jp/audio/1077177" TargetMode="External"/><Relationship Id="rId124" Type="http://schemas.openxmlformats.org/officeDocument/2006/relationships/hyperlink" Target="https://audiostock.jp/audio/1396458" TargetMode="External"/><Relationship Id="rId123" Type="http://schemas.openxmlformats.org/officeDocument/2006/relationships/hyperlink" Target="https://audiostock.jp/audio/185273" TargetMode="External"/><Relationship Id="rId122" Type="http://schemas.openxmlformats.org/officeDocument/2006/relationships/hyperlink" Target="https://audiostock.jp/audio/254244" TargetMode="External"/><Relationship Id="rId95" Type="http://schemas.openxmlformats.org/officeDocument/2006/relationships/hyperlink" Target="https://audiostock.jp/audio/179464" TargetMode="External"/><Relationship Id="rId94" Type="http://schemas.openxmlformats.org/officeDocument/2006/relationships/hyperlink" Target="https://audiostock.jp/audio/1159408" TargetMode="External"/><Relationship Id="rId97" Type="http://schemas.openxmlformats.org/officeDocument/2006/relationships/hyperlink" Target="https://audiostock.jp/audio/1181984" TargetMode="External"/><Relationship Id="rId96" Type="http://schemas.openxmlformats.org/officeDocument/2006/relationships/hyperlink" Target="https://audiostock.jp/audio/819720" TargetMode="External"/><Relationship Id="rId11" Type="http://schemas.openxmlformats.org/officeDocument/2006/relationships/hyperlink" Target="https://audiostock.jp/audio/968121" TargetMode="External"/><Relationship Id="rId99" Type="http://schemas.openxmlformats.org/officeDocument/2006/relationships/hyperlink" Target="https://audiostock.jp/audio/1462423" TargetMode="External"/><Relationship Id="rId10" Type="http://schemas.openxmlformats.org/officeDocument/2006/relationships/hyperlink" Target="https://audiostock.jp/audio/90171" TargetMode="External"/><Relationship Id="rId98" Type="http://schemas.openxmlformats.org/officeDocument/2006/relationships/hyperlink" Target="https://audiostock.jp/audio/1462424" TargetMode="External"/><Relationship Id="rId13" Type="http://schemas.openxmlformats.org/officeDocument/2006/relationships/hyperlink" Target="https://audiostock.jp/audio/52719" TargetMode="External"/><Relationship Id="rId12" Type="http://schemas.openxmlformats.org/officeDocument/2006/relationships/hyperlink" Target="https://audiostock.jp/audio/140671" TargetMode="External"/><Relationship Id="rId91" Type="http://schemas.openxmlformats.org/officeDocument/2006/relationships/hyperlink" Target="https://audiostock.jp/audio/1505360" TargetMode="External"/><Relationship Id="rId90" Type="http://schemas.openxmlformats.org/officeDocument/2006/relationships/hyperlink" Target="https://audiostock.jp/audio/1393141" TargetMode="External"/><Relationship Id="rId93" Type="http://schemas.openxmlformats.org/officeDocument/2006/relationships/hyperlink" Target="https://audiostock.jp/audio/1510815" TargetMode="External"/><Relationship Id="rId92" Type="http://schemas.openxmlformats.org/officeDocument/2006/relationships/hyperlink" Target="https://audiostock.jp/audio/901624" TargetMode="External"/><Relationship Id="rId118" Type="http://schemas.openxmlformats.org/officeDocument/2006/relationships/hyperlink" Target="https://audiostock.jp/audio/172947" TargetMode="External"/><Relationship Id="rId117" Type="http://schemas.openxmlformats.org/officeDocument/2006/relationships/hyperlink" Target="https://audiostock.jp/audio/1396458" TargetMode="External"/><Relationship Id="rId116" Type="http://schemas.openxmlformats.org/officeDocument/2006/relationships/hyperlink" Target="https://audiostock.jp/audio/100412" TargetMode="External"/><Relationship Id="rId115" Type="http://schemas.openxmlformats.org/officeDocument/2006/relationships/hyperlink" Target="https://audiostock.jp/audio/931631" TargetMode="External"/><Relationship Id="rId119" Type="http://schemas.openxmlformats.org/officeDocument/2006/relationships/hyperlink" Target="https://audiostock.jp/audio/1510815" TargetMode="External"/><Relationship Id="rId15" Type="http://schemas.openxmlformats.org/officeDocument/2006/relationships/hyperlink" Target="https://audiostock.jp/audio/140671" TargetMode="External"/><Relationship Id="rId110" Type="http://schemas.openxmlformats.org/officeDocument/2006/relationships/hyperlink" Target="https://audiostock.jp/audio/167358" TargetMode="External"/><Relationship Id="rId14" Type="http://schemas.openxmlformats.org/officeDocument/2006/relationships/hyperlink" Target="https://audiostock.jp/audio/1477620" TargetMode="External"/><Relationship Id="rId17" Type="http://schemas.openxmlformats.org/officeDocument/2006/relationships/hyperlink" Target="https://audiostock.jp/audio/1108512" TargetMode="External"/><Relationship Id="rId16" Type="http://schemas.openxmlformats.org/officeDocument/2006/relationships/hyperlink" Target="https://audiostock.jp/audio/827632" TargetMode="External"/><Relationship Id="rId19" Type="http://schemas.openxmlformats.org/officeDocument/2006/relationships/hyperlink" Target="https://audiostock.jp/audio/204748" TargetMode="External"/><Relationship Id="rId114" Type="http://schemas.openxmlformats.org/officeDocument/2006/relationships/hyperlink" Target="https://audiostock.jp/audio/126645" TargetMode="External"/><Relationship Id="rId18" Type="http://schemas.openxmlformats.org/officeDocument/2006/relationships/hyperlink" Target="https://audiostock.jp/audio/893413" TargetMode="External"/><Relationship Id="rId113" Type="http://schemas.openxmlformats.org/officeDocument/2006/relationships/hyperlink" Target="https://audiostock.jp/audio/828894" TargetMode="External"/><Relationship Id="rId112" Type="http://schemas.openxmlformats.org/officeDocument/2006/relationships/hyperlink" Target="https://audiostock.jp/audio/827609" TargetMode="External"/><Relationship Id="rId111" Type="http://schemas.openxmlformats.org/officeDocument/2006/relationships/hyperlink" Target="https://audiostock.jp/audio/1072409" TargetMode="External"/><Relationship Id="rId84" Type="http://schemas.openxmlformats.org/officeDocument/2006/relationships/hyperlink" Target="https://audiostock.jp/audio/884446" TargetMode="External"/><Relationship Id="rId83" Type="http://schemas.openxmlformats.org/officeDocument/2006/relationships/hyperlink" Target="https://audiostock.jp/audio/1089190" TargetMode="External"/><Relationship Id="rId86" Type="http://schemas.openxmlformats.org/officeDocument/2006/relationships/hyperlink" Target="https://audiostock.jp/audio/103206" TargetMode="External"/><Relationship Id="rId85" Type="http://schemas.openxmlformats.org/officeDocument/2006/relationships/hyperlink" Target="https://audiostock.jp/audio/1462423" TargetMode="External"/><Relationship Id="rId88" Type="http://schemas.openxmlformats.org/officeDocument/2006/relationships/hyperlink" Target="https://audiostock.jp/audio/1462424" TargetMode="External"/><Relationship Id="rId150" Type="http://schemas.openxmlformats.org/officeDocument/2006/relationships/hyperlink" Target="https://audiostock.jp/audio/1403235" TargetMode="External"/><Relationship Id="rId87" Type="http://schemas.openxmlformats.org/officeDocument/2006/relationships/hyperlink" Target="https://audiostock.jp/audio/1505360" TargetMode="External"/><Relationship Id="rId89" Type="http://schemas.openxmlformats.org/officeDocument/2006/relationships/hyperlink" Target="https://audiostock.jp/audio/1462423" TargetMode="External"/><Relationship Id="rId80" Type="http://schemas.openxmlformats.org/officeDocument/2006/relationships/hyperlink" Target="https://audiostock.jp/audio/1505360" TargetMode="External"/><Relationship Id="rId82" Type="http://schemas.openxmlformats.org/officeDocument/2006/relationships/hyperlink" Target="https://audiostock.jp/audio/1609359" TargetMode="External"/><Relationship Id="rId81" Type="http://schemas.openxmlformats.org/officeDocument/2006/relationships/hyperlink" Target="https://audiostock.jp/audio/1496194" TargetMode="External"/><Relationship Id="rId1" Type="http://schemas.openxmlformats.org/officeDocument/2006/relationships/comments" Target="../comments13.xml"/><Relationship Id="rId2" Type="http://schemas.openxmlformats.org/officeDocument/2006/relationships/hyperlink" Target="https://docs.google.com/spreadsheets/d/1gx8y4FcYSfpKUjulVDtAIKI_UqAzuBYLCKrezDFQDMM/edit?gid=0" TargetMode="External"/><Relationship Id="rId3" Type="http://schemas.openxmlformats.org/officeDocument/2006/relationships/hyperlink" Target="https://audiostock.jp/audio/884512" TargetMode="External"/><Relationship Id="rId149" Type="http://schemas.openxmlformats.org/officeDocument/2006/relationships/hyperlink" Target="https://audiostock.jp/audio/224294" TargetMode="External"/><Relationship Id="rId4" Type="http://schemas.openxmlformats.org/officeDocument/2006/relationships/hyperlink" Target="https://audiostock.jp/audio/107926" TargetMode="External"/><Relationship Id="rId148" Type="http://schemas.openxmlformats.org/officeDocument/2006/relationships/hyperlink" Target="https://audiostock.jp/audio/187801" TargetMode="External"/><Relationship Id="rId9" Type="http://schemas.openxmlformats.org/officeDocument/2006/relationships/hyperlink" Target="https://audiostock.jp/audio/994366" TargetMode="External"/><Relationship Id="rId143" Type="http://schemas.openxmlformats.org/officeDocument/2006/relationships/hyperlink" Target="https://audiostock.jp/audio/898820" TargetMode="External"/><Relationship Id="rId142" Type="http://schemas.openxmlformats.org/officeDocument/2006/relationships/hyperlink" Target="https://audiostock.jp/audio/97542" TargetMode="External"/><Relationship Id="rId141" Type="http://schemas.openxmlformats.org/officeDocument/2006/relationships/hyperlink" Target="https://audiostock.jp/audio/209506" TargetMode="External"/><Relationship Id="rId140" Type="http://schemas.openxmlformats.org/officeDocument/2006/relationships/hyperlink" Target="https://audiostock.jp/audio/1096201" TargetMode="External"/><Relationship Id="rId5" Type="http://schemas.openxmlformats.org/officeDocument/2006/relationships/hyperlink" Target="https://audiostock.jp/audio/60461" TargetMode="External"/><Relationship Id="rId147" Type="http://schemas.openxmlformats.org/officeDocument/2006/relationships/hyperlink" Target="https://audiostock.jp/audio/1309115" TargetMode="External"/><Relationship Id="rId6" Type="http://schemas.openxmlformats.org/officeDocument/2006/relationships/hyperlink" Target="https://audiostock.jp/audio/5658" TargetMode="External"/><Relationship Id="rId146" Type="http://schemas.openxmlformats.org/officeDocument/2006/relationships/hyperlink" Target="https://audiostock.jp/audio/1167390" TargetMode="External"/><Relationship Id="rId7" Type="http://schemas.openxmlformats.org/officeDocument/2006/relationships/hyperlink" Target="https://audiostock.jp/audio/269359" TargetMode="External"/><Relationship Id="rId145" Type="http://schemas.openxmlformats.org/officeDocument/2006/relationships/hyperlink" Target="https://audiostock.jp/audio/1098306" TargetMode="External"/><Relationship Id="rId8" Type="http://schemas.openxmlformats.org/officeDocument/2006/relationships/hyperlink" Target="https://audiostock.jp/audio/211598" TargetMode="External"/><Relationship Id="rId144" Type="http://schemas.openxmlformats.org/officeDocument/2006/relationships/hyperlink" Target="https://audiostock.jp/audio/1494016" TargetMode="External"/><Relationship Id="rId73" Type="http://schemas.openxmlformats.org/officeDocument/2006/relationships/hyperlink" Target="https://audiostock.jp/audio/160611" TargetMode="External"/><Relationship Id="rId72" Type="http://schemas.openxmlformats.org/officeDocument/2006/relationships/hyperlink" Target="https://audiostock.jp/audio/1086563" TargetMode="External"/><Relationship Id="rId75" Type="http://schemas.openxmlformats.org/officeDocument/2006/relationships/hyperlink" Target="https://audiostock.jp/audio/160611" TargetMode="External"/><Relationship Id="rId74" Type="http://schemas.openxmlformats.org/officeDocument/2006/relationships/hyperlink" Target="https://audiostock.jp/audio/1089190" TargetMode="External"/><Relationship Id="rId77" Type="http://schemas.openxmlformats.org/officeDocument/2006/relationships/hyperlink" Target="https://audiostock.jp/audio/1309734" TargetMode="External"/><Relationship Id="rId76" Type="http://schemas.openxmlformats.org/officeDocument/2006/relationships/hyperlink" Target="https://audiostock.jp/audio/1396458" TargetMode="External"/><Relationship Id="rId79" Type="http://schemas.openxmlformats.org/officeDocument/2006/relationships/hyperlink" Target="https://audiostock.jp/audio/1393141" TargetMode="External"/><Relationship Id="rId78" Type="http://schemas.openxmlformats.org/officeDocument/2006/relationships/hyperlink" Target="https://audiostock.jp/audio/1393141" TargetMode="External"/><Relationship Id="rId71" Type="http://schemas.openxmlformats.org/officeDocument/2006/relationships/hyperlink" Target="https://audiostock.jp/audio/160611" TargetMode="External"/><Relationship Id="rId70" Type="http://schemas.openxmlformats.org/officeDocument/2006/relationships/hyperlink" Target="https://audiostock.jp/audio/1036505" TargetMode="External"/><Relationship Id="rId139" Type="http://schemas.openxmlformats.org/officeDocument/2006/relationships/hyperlink" Target="https://audiostock.jp/audio/890895" TargetMode="External"/><Relationship Id="rId138" Type="http://schemas.openxmlformats.org/officeDocument/2006/relationships/hyperlink" Target="https://audiostock.jp/audio/1306229" TargetMode="External"/><Relationship Id="rId137" Type="http://schemas.openxmlformats.org/officeDocument/2006/relationships/hyperlink" Target="https://audiostock.jp/audio/204748" TargetMode="External"/><Relationship Id="rId132" Type="http://schemas.openxmlformats.org/officeDocument/2006/relationships/hyperlink" Target="https://audiostock.jp/audio/884446" TargetMode="External"/><Relationship Id="rId131" Type="http://schemas.openxmlformats.org/officeDocument/2006/relationships/hyperlink" Target="https://audiostock.jp/audio/884446" TargetMode="External"/><Relationship Id="rId130" Type="http://schemas.openxmlformats.org/officeDocument/2006/relationships/hyperlink" Target="https://audiostock.jp/audio/1196063" TargetMode="External"/><Relationship Id="rId136" Type="http://schemas.openxmlformats.org/officeDocument/2006/relationships/hyperlink" Target="https://audiostock.jp/audio/1462424" TargetMode="External"/><Relationship Id="rId135" Type="http://schemas.openxmlformats.org/officeDocument/2006/relationships/hyperlink" Target="https://audiostock.jp/audio/59425" TargetMode="External"/><Relationship Id="rId134" Type="http://schemas.openxmlformats.org/officeDocument/2006/relationships/hyperlink" Target="https://audiostock.jp/audio/18129" TargetMode="External"/><Relationship Id="rId133" Type="http://schemas.openxmlformats.org/officeDocument/2006/relationships/hyperlink" Target="https://audiostock.jp/audio/884446" TargetMode="External"/><Relationship Id="rId62" Type="http://schemas.openxmlformats.org/officeDocument/2006/relationships/hyperlink" Target="https://audiostock.jp/audio/151432" TargetMode="External"/><Relationship Id="rId61" Type="http://schemas.openxmlformats.org/officeDocument/2006/relationships/hyperlink" Target="https://audiostock.jp/audio/1295152" TargetMode="External"/><Relationship Id="rId64" Type="http://schemas.openxmlformats.org/officeDocument/2006/relationships/hyperlink" Target="https://audiostock.jp/audio/269387" TargetMode="External"/><Relationship Id="rId63" Type="http://schemas.openxmlformats.org/officeDocument/2006/relationships/hyperlink" Target="https://audiostock.jp/audio/165559" TargetMode="External"/><Relationship Id="rId66" Type="http://schemas.openxmlformats.org/officeDocument/2006/relationships/hyperlink" Target="https://audiostock.jp/audio/1586071" TargetMode="External"/><Relationship Id="rId172" Type="http://schemas.openxmlformats.org/officeDocument/2006/relationships/hyperlink" Target="https://audiostock.jp/audio/255497" TargetMode="External"/><Relationship Id="rId65" Type="http://schemas.openxmlformats.org/officeDocument/2006/relationships/hyperlink" Target="https://audiostock.jp/audio/1173242" TargetMode="External"/><Relationship Id="rId171" Type="http://schemas.openxmlformats.org/officeDocument/2006/relationships/hyperlink" Target="https://audiostock.jp/audio/1174667" TargetMode="External"/><Relationship Id="rId68" Type="http://schemas.openxmlformats.org/officeDocument/2006/relationships/hyperlink" Target="https://audiostock.jp/audio/1505360" TargetMode="External"/><Relationship Id="rId170" Type="http://schemas.openxmlformats.org/officeDocument/2006/relationships/hyperlink" Target="https://audiostock.jp/audio/913119" TargetMode="External"/><Relationship Id="rId67" Type="http://schemas.openxmlformats.org/officeDocument/2006/relationships/hyperlink" Target="https://audiostock.jp/audio/1196063" TargetMode="External"/><Relationship Id="rId60" Type="http://schemas.openxmlformats.org/officeDocument/2006/relationships/hyperlink" Target="https://audiostock.jp/audio/964454" TargetMode="External"/><Relationship Id="rId165" Type="http://schemas.openxmlformats.org/officeDocument/2006/relationships/hyperlink" Target="https://audiostock.jp/audio/1096781" TargetMode="External"/><Relationship Id="rId69" Type="http://schemas.openxmlformats.org/officeDocument/2006/relationships/hyperlink" Target="https://audiostock.jp/audio/1309734" TargetMode="External"/><Relationship Id="rId164" Type="http://schemas.openxmlformats.org/officeDocument/2006/relationships/hyperlink" Target="https://audiostock.jp/audio/1298219" TargetMode="External"/><Relationship Id="rId163" Type="http://schemas.openxmlformats.org/officeDocument/2006/relationships/hyperlink" Target="https://audiostock.jp/audio/1179468" TargetMode="External"/><Relationship Id="rId162" Type="http://schemas.openxmlformats.org/officeDocument/2006/relationships/hyperlink" Target="https://audiostock.jp/audio/158090" TargetMode="External"/><Relationship Id="rId169" Type="http://schemas.openxmlformats.org/officeDocument/2006/relationships/hyperlink" Target="https://audiostock.jp/audio/251951" TargetMode="External"/><Relationship Id="rId168" Type="http://schemas.openxmlformats.org/officeDocument/2006/relationships/hyperlink" Target="https://audiostock.jp/audio/161528" TargetMode="External"/><Relationship Id="rId167" Type="http://schemas.openxmlformats.org/officeDocument/2006/relationships/hyperlink" Target="https://audiostock.jp/audio/68473" TargetMode="External"/><Relationship Id="rId166" Type="http://schemas.openxmlformats.org/officeDocument/2006/relationships/hyperlink" Target="https://audiostock.jp/audio/1637540" TargetMode="External"/><Relationship Id="rId51" Type="http://schemas.openxmlformats.org/officeDocument/2006/relationships/hyperlink" Target="https://audiostock.jp/audio/1068964" TargetMode="External"/><Relationship Id="rId50" Type="http://schemas.openxmlformats.org/officeDocument/2006/relationships/hyperlink" Target="https://audiostock.jp/audio/190564" TargetMode="External"/><Relationship Id="rId53" Type="http://schemas.openxmlformats.org/officeDocument/2006/relationships/hyperlink" Target="https://audiostock.jp/audio/1460131" TargetMode="External"/><Relationship Id="rId52" Type="http://schemas.openxmlformats.org/officeDocument/2006/relationships/hyperlink" Target="https://audiostock.jp/audio/1531506" TargetMode="External"/><Relationship Id="rId55" Type="http://schemas.openxmlformats.org/officeDocument/2006/relationships/hyperlink" Target="https://audiostock.jp/audio/1387397" TargetMode="External"/><Relationship Id="rId161" Type="http://schemas.openxmlformats.org/officeDocument/2006/relationships/hyperlink" Target="https://audiostock.jp/audio/1288802" TargetMode="External"/><Relationship Id="rId54" Type="http://schemas.openxmlformats.org/officeDocument/2006/relationships/hyperlink" Target="https://audiostock.jp/audio/78550" TargetMode="External"/><Relationship Id="rId160" Type="http://schemas.openxmlformats.org/officeDocument/2006/relationships/hyperlink" Target="https://audiostock.jp/audio/182632" TargetMode="External"/><Relationship Id="rId57" Type="http://schemas.openxmlformats.org/officeDocument/2006/relationships/hyperlink" Target="https://audiostock.jp/audio/78446" TargetMode="External"/><Relationship Id="rId56" Type="http://schemas.openxmlformats.org/officeDocument/2006/relationships/hyperlink" Target="https://audiostock.jp/audio/821628" TargetMode="External"/><Relationship Id="rId159" Type="http://schemas.openxmlformats.org/officeDocument/2006/relationships/hyperlink" Target="https://audiostock.jp/audio/1399221" TargetMode="External"/><Relationship Id="rId59" Type="http://schemas.openxmlformats.org/officeDocument/2006/relationships/hyperlink" Target="https://audiostock.jp/audio/1139881" TargetMode="External"/><Relationship Id="rId154" Type="http://schemas.openxmlformats.org/officeDocument/2006/relationships/hyperlink" Target="https://audiostock.jp/audio/1402853" TargetMode="External"/><Relationship Id="rId58" Type="http://schemas.openxmlformats.org/officeDocument/2006/relationships/hyperlink" Target="https://audiostock.jp/audio/860121" TargetMode="External"/><Relationship Id="rId153" Type="http://schemas.openxmlformats.org/officeDocument/2006/relationships/hyperlink" Target="https://audiostock.jp/audio/122350" TargetMode="External"/><Relationship Id="rId152" Type="http://schemas.openxmlformats.org/officeDocument/2006/relationships/hyperlink" Target="https://audiostock.jp/audio/1530743" TargetMode="External"/><Relationship Id="rId151" Type="http://schemas.openxmlformats.org/officeDocument/2006/relationships/hyperlink" Target="https://audiostock.jp/audio/1285317" TargetMode="External"/><Relationship Id="rId158" Type="http://schemas.openxmlformats.org/officeDocument/2006/relationships/hyperlink" Target="https://audiostock.jp/audio/1391669" TargetMode="External"/><Relationship Id="rId157" Type="http://schemas.openxmlformats.org/officeDocument/2006/relationships/hyperlink" Target="https://audiostock.jp/audio/1005501" TargetMode="External"/><Relationship Id="rId156" Type="http://schemas.openxmlformats.org/officeDocument/2006/relationships/hyperlink" Target="https://audiostock.jp/audio/889519" TargetMode="External"/><Relationship Id="rId155" Type="http://schemas.openxmlformats.org/officeDocument/2006/relationships/hyperlink" Target="https://audiostock.jp/audio/1386974"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wp-delight.esa.io/posts/2061"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3.38"/>
    <col customWidth="1" min="4" max="4" width="95.0"/>
  </cols>
  <sheetData>
    <row r="1">
      <c r="A1" s="1"/>
      <c r="B1" s="1"/>
      <c r="C1" s="1"/>
      <c r="D1" s="1"/>
      <c r="E1" s="1"/>
      <c r="F1" s="1"/>
    </row>
    <row r="2">
      <c r="A2" s="2" t="s">
        <v>0</v>
      </c>
      <c r="B2" s="3"/>
      <c r="C2" s="3"/>
      <c r="D2" s="3"/>
      <c r="E2" s="3"/>
      <c r="F2" s="1"/>
    </row>
    <row r="3">
      <c r="A3" s="3"/>
      <c r="B3" s="3"/>
      <c r="C3" s="4" t="s">
        <v>1</v>
      </c>
      <c r="E3" s="5"/>
      <c r="F3" s="1"/>
    </row>
    <row r="4">
      <c r="A4" s="6"/>
      <c r="B4" s="7"/>
      <c r="C4" s="8" t="s">
        <v>2</v>
      </c>
      <c r="D4" s="9" t="s">
        <v>3</v>
      </c>
      <c r="E4" s="8" t="s">
        <v>4</v>
      </c>
      <c r="F4" s="1"/>
    </row>
    <row r="5">
      <c r="A5" s="6"/>
      <c r="B5" s="7"/>
      <c r="C5" s="10" t="s">
        <v>5</v>
      </c>
      <c r="D5" s="11" t="s">
        <v>6</v>
      </c>
      <c r="E5" s="10" t="s">
        <v>7</v>
      </c>
      <c r="F5" s="1"/>
    </row>
    <row r="6">
      <c r="A6" s="6"/>
      <c r="B6" s="7"/>
      <c r="C6" s="11" t="s">
        <v>8</v>
      </c>
      <c r="D6" s="12" t="s">
        <v>9</v>
      </c>
      <c r="E6" s="11" t="s">
        <v>10</v>
      </c>
      <c r="F6" s="1"/>
    </row>
    <row r="7">
      <c r="A7" s="6"/>
      <c r="B7" s="7"/>
      <c r="C7" s="11" t="s">
        <v>11</v>
      </c>
      <c r="D7" s="11" t="s">
        <v>12</v>
      </c>
      <c r="E7" s="11" t="s">
        <v>13</v>
      </c>
      <c r="F7" s="1"/>
    </row>
    <row r="8">
      <c r="A8" s="6"/>
      <c r="B8" s="7"/>
      <c r="C8" s="11" t="s">
        <v>14</v>
      </c>
      <c r="D8" s="11" t="s">
        <v>15</v>
      </c>
      <c r="E8" s="11" t="s">
        <v>16</v>
      </c>
      <c r="F8" s="1"/>
    </row>
    <row r="9">
      <c r="A9" s="6"/>
      <c r="B9" s="7"/>
      <c r="C9" s="11" t="s">
        <v>17</v>
      </c>
      <c r="D9" s="11" t="s">
        <v>18</v>
      </c>
      <c r="E9" s="11" t="s">
        <v>19</v>
      </c>
      <c r="F9" s="1"/>
    </row>
    <row r="10">
      <c r="A10" s="6"/>
      <c r="B10" s="7"/>
      <c r="C10" s="11" t="s">
        <v>20</v>
      </c>
      <c r="D10" s="11" t="s">
        <v>21</v>
      </c>
      <c r="E10" s="11" t="s">
        <v>22</v>
      </c>
      <c r="F10" s="1"/>
    </row>
    <row r="11">
      <c r="A11" s="6"/>
      <c r="B11" s="7"/>
      <c r="C11" s="11" t="s">
        <v>23</v>
      </c>
      <c r="D11" s="11" t="s">
        <v>24</v>
      </c>
      <c r="E11" s="11" t="s">
        <v>25</v>
      </c>
      <c r="F11" s="1"/>
    </row>
    <row r="12">
      <c r="A12" s="6"/>
      <c r="B12" s="7"/>
      <c r="C12" s="11" t="s">
        <v>26</v>
      </c>
      <c r="D12" s="11" t="s">
        <v>27</v>
      </c>
      <c r="E12" s="11" t="s">
        <v>28</v>
      </c>
      <c r="F12" s="1"/>
    </row>
    <row r="13">
      <c r="A13" s="6"/>
      <c r="B13" s="7"/>
      <c r="C13" s="11" t="s">
        <v>29</v>
      </c>
      <c r="D13" s="11" t="s">
        <v>30</v>
      </c>
      <c r="E13" s="11" t="s">
        <v>25</v>
      </c>
      <c r="F13" s="1"/>
    </row>
    <row r="14">
      <c r="A14" s="6"/>
      <c r="B14" s="7"/>
      <c r="C14" s="11" t="s">
        <v>31</v>
      </c>
      <c r="D14" s="13" t="s">
        <v>32</v>
      </c>
      <c r="E14" s="11" t="s">
        <v>33</v>
      </c>
      <c r="F14" s="1"/>
    </row>
    <row r="15">
      <c r="A15" s="6"/>
      <c r="B15" s="7"/>
      <c r="C15" s="11" t="s">
        <v>34</v>
      </c>
      <c r="D15" s="11" t="s">
        <v>35</v>
      </c>
      <c r="E15" s="11" t="s">
        <v>36</v>
      </c>
      <c r="F15" s="1"/>
    </row>
    <row r="16">
      <c r="A16" s="6"/>
      <c r="B16" s="7"/>
      <c r="C16" s="11" t="s">
        <v>37</v>
      </c>
      <c r="D16" s="13" t="s">
        <v>38</v>
      </c>
      <c r="E16" s="11" t="s">
        <v>39</v>
      </c>
      <c r="F16" s="1"/>
    </row>
    <row r="17">
      <c r="A17" s="6"/>
      <c r="B17" s="7"/>
      <c r="C17" s="10"/>
      <c r="D17" s="10"/>
      <c r="E17" s="10"/>
      <c r="F17" s="1"/>
    </row>
    <row r="18">
      <c r="A18" s="6"/>
      <c r="B18" s="7"/>
      <c r="C18" s="10"/>
      <c r="D18" s="10"/>
      <c r="E18" s="10"/>
      <c r="F18" s="1"/>
    </row>
    <row r="19">
      <c r="A19" s="6"/>
      <c r="B19" s="7"/>
      <c r="C19" s="10"/>
      <c r="D19" s="10"/>
      <c r="E19" s="10"/>
      <c r="F19" s="1"/>
    </row>
    <row r="20">
      <c r="A20" s="6"/>
      <c r="B20" s="6"/>
      <c r="C20" s="6"/>
      <c r="D20" s="6"/>
      <c r="E20" s="6"/>
      <c r="F20" s="1"/>
    </row>
    <row r="21">
      <c r="A21" s="1"/>
      <c r="B21" s="1"/>
      <c r="C21" s="1"/>
      <c r="D21" s="1"/>
      <c r="E21" s="1"/>
      <c r="F21"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8.63"/>
    <col customWidth="1" min="2" max="2" width="18.13"/>
    <col customWidth="1" min="3" max="3" width="11.13"/>
    <col customWidth="1" min="4" max="4" width="32.13"/>
    <col customWidth="1" min="8" max="8" width="26.5"/>
    <col customWidth="1" min="14" max="17" width="18.88"/>
    <col customWidth="1" min="18" max="21" width="14.38"/>
  </cols>
  <sheetData>
    <row r="1">
      <c r="A1" s="14" t="s">
        <v>40</v>
      </c>
      <c r="B1" s="15" t="s">
        <v>41</v>
      </c>
      <c r="C1" s="15" t="s">
        <v>42</v>
      </c>
      <c r="D1" s="16" t="s">
        <v>43</v>
      </c>
      <c r="E1" s="15" t="s">
        <v>44</v>
      </c>
      <c r="F1" s="16" t="s">
        <v>45</v>
      </c>
      <c r="G1" s="16" t="s">
        <v>46</v>
      </c>
      <c r="H1" s="17" t="s">
        <v>47</v>
      </c>
      <c r="I1" s="18" t="s">
        <v>48</v>
      </c>
      <c r="J1" s="16" t="s">
        <v>49</v>
      </c>
      <c r="K1" s="19" t="s">
        <v>50</v>
      </c>
      <c r="L1" s="19" t="s">
        <v>51</v>
      </c>
      <c r="M1" s="20" t="s">
        <v>52</v>
      </c>
      <c r="N1" s="15" t="s">
        <v>53</v>
      </c>
      <c r="O1" s="15" t="s">
        <v>54</v>
      </c>
      <c r="P1" s="15" t="s">
        <v>55</v>
      </c>
      <c r="Q1" s="15" t="s">
        <v>55</v>
      </c>
      <c r="R1" s="21" t="s">
        <v>56</v>
      </c>
      <c r="S1" s="21" t="s">
        <v>57</v>
      </c>
      <c r="T1" s="21" t="s">
        <v>58</v>
      </c>
      <c r="U1" s="22" t="s">
        <v>59</v>
      </c>
      <c r="V1" s="23"/>
    </row>
    <row r="2">
      <c r="A2" s="24" t="s">
        <v>60</v>
      </c>
      <c r="B2" s="25" t="str">
        <f t="shared" ref="B2:B43" si="1">CONCATENATE("series_banner_",A2)</f>
        <v>series_banner_spy</v>
      </c>
      <c r="C2" s="26" t="s">
        <v>61</v>
      </c>
      <c r="D2" s="25" t="s">
        <v>62</v>
      </c>
      <c r="E2" s="25" t="s">
        <v>63</v>
      </c>
      <c r="F2" s="27" t="s">
        <v>64</v>
      </c>
      <c r="G2" s="27"/>
      <c r="H2" s="24" t="str">
        <f t="shared" ref="H2:H21" si="2">if(G2="",D2,if(G2="後ろ",D2&amp;" "&amp;F2,F2&amp;" "&amp;D2))</f>
        <v>SPY×FAMILY</v>
      </c>
      <c r="I2" s="28" t="s">
        <v>65</v>
      </c>
      <c r="J2" s="25" t="s">
        <v>60</v>
      </c>
      <c r="K2" s="24" t="str">
        <f t="shared" ref="K2:K20" si="3">left(J2,1)</f>
        <v>s</v>
      </c>
      <c r="L2" s="24" t="str">
        <f t="shared" ref="L2:L20" si="4">left(J2,2)</f>
        <v>sp</v>
      </c>
      <c r="M2" s="24" t="str">
        <f t="shared" ref="M2:M7" si="5">left(J2,3)</f>
        <v>spy</v>
      </c>
      <c r="N2" s="29" t="str">
        <f t="shared" ref="N2:N41" si="6">"quest_image_"&amp;A2&amp;"_"&amp;"01"</f>
        <v>quest_image_spy_01</v>
      </c>
      <c r="O2" s="24"/>
      <c r="P2" s="24"/>
      <c r="Q2" s="24"/>
      <c r="R2" s="25" t="s">
        <v>66</v>
      </c>
      <c r="S2" s="25" t="s">
        <v>67</v>
      </c>
      <c r="T2" s="24"/>
      <c r="U2" s="24"/>
      <c r="V2" s="23"/>
    </row>
    <row r="3">
      <c r="A3" s="24" t="s">
        <v>68</v>
      </c>
      <c r="B3" s="25" t="str">
        <f t="shared" si="1"/>
        <v>series_banner_aka</v>
      </c>
      <c r="C3" s="26" t="s">
        <v>69</v>
      </c>
      <c r="D3" s="25" t="s">
        <v>70</v>
      </c>
      <c r="E3" s="25" t="s">
        <v>63</v>
      </c>
      <c r="F3" s="27" t="s">
        <v>64</v>
      </c>
      <c r="G3" s="30" t="s">
        <v>71</v>
      </c>
      <c r="H3" s="24" t="str">
        <f t="shared" si="2"/>
        <v>ラーメン赤猫</v>
      </c>
      <c r="I3" s="28" t="s">
        <v>72</v>
      </c>
      <c r="J3" s="25" t="s">
        <v>73</v>
      </c>
      <c r="K3" s="24" t="str">
        <f t="shared" si="3"/>
        <v>a</v>
      </c>
      <c r="L3" s="24" t="str">
        <f t="shared" si="4"/>
        <v>ak</v>
      </c>
      <c r="M3" s="24" t="str">
        <f t="shared" si="5"/>
        <v>aka</v>
      </c>
      <c r="N3" s="29" t="str">
        <f t="shared" si="6"/>
        <v>quest_image_aka_01</v>
      </c>
      <c r="O3" s="24"/>
      <c r="P3" s="24"/>
      <c r="Q3" s="24"/>
      <c r="R3" s="25" t="s">
        <v>74</v>
      </c>
      <c r="S3" s="25" t="s">
        <v>67</v>
      </c>
      <c r="T3" s="24"/>
      <c r="U3" s="24"/>
      <c r="V3" s="23"/>
    </row>
    <row r="4">
      <c r="A4" s="24" t="s">
        <v>75</v>
      </c>
      <c r="B4" s="25" t="str">
        <f t="shared" si="1"/>
        <v>series_banner_rik</v>
      </c>
      <c r="C4" s="26" t="s">
        <v>76</v>
      </c>
      <c r="D4" s="25" t="s">
        <v>77</v>
      </c>
      <c r="E4" s="25" t="s">
        <v>63</v>
      </c>
      <c r="F4" s="27" t="s">
        <v>64</v>
      </c>
      <c r="G4" s="30" t="s">
        <v>71</v>
      </c>
      <c r="H4" s="24" t="str">
        <f t="shared" si="2"/>
        <v>トマトイプーのリコピン</v>
      </c>
      <c r="I4" s="28" t="s">
        <v>78</v>
      </c>
      <c r="J4" s="25" t="s">
        <v>79</v>
      </c>
      <c r="K4" s="24" t="str">
        <f t="shared" si="3"/>
        <v>r</v>
      </c>
      <c r="L4" s="24" t="str">
        <f t="shared" si="4"/>
        <v>ri</v>
      </c>
      <c r="M4" s="24" t="str">
        <f t="shared" si="5"/>
        <v>rik</v>
      </c>
      <c r="N4" s="29" t="str">
        <f t="shared" si="6"/>
        <v>quest_image_rik_01</v>
      </c>
      <c r="O4" s="24"/>
      <c r="P4" s="24"/>
      <c r="Q4" s="24"/>
      <c r="R4" s="25" t="s">
        <v>66</v>
      </c>
      <c r="S4" s="25" t="s">
        <v>67</v>
      </c>
      <c r="T4" s="24"/>
      <c r="U4" s="24"/>
      <c r="V4" s="23"/>
    </row>
    <row r="5">
      <c r="A5" s="24" t="s">
        <v>80</v>
      </c>
      <c r="B5" s="25" t="str">
        <f t="shared" si="1"/>
        <v>series_banner_dan</v>
      </c>
      <c r="C5" s="26" t="s">
        <v>81</v>
      </c>
      <c r="D5" s="25" t="s">
        <v>82</v>
      </c>
      <c r="E5" s="25" t="s">
        <v>83</v>
      </c>
      <c r="F5" s="27" t="s">
        <v>64</v>
      </c>
      <c r="G5" s="30" t="s">
        <v>71</v>
      </c>
      <c r="H5" s="24" t="str">
        <f t="shared" si="2"/>
        <v>ダンダダン</v>
      </c>
      <c r="I5" s="28" t="s">
        <v>84</v>
      </c>
      <c r="J5" s="25" t="s">
        <v>80</v>
      </c>
      <c r="K5" s="24" t="str">
        <f t="shared" si="3"/>
        <v>d</v>
      </c>
      <c r="L5" s="24" t="str">
        <f t="shared" si="4"/>
        <v>da</v>
      </c>
      <c r="M5" s="24" t="str">
        <f t="shared" si="5"/>
        <v>dan</v>
      </c>
      <c r="N5" s="29" t="str">
        <f t="shared" si="6"/>
        <v>quest_image_dan_01</v>
      </c>
      <c r="O5" s="24"/>
      <c r="P5" s="24"/>
      <c r="Q5" s="24"/>
      <c r="R5" s="25" t="s">
        <v>85</v>
      </c>
      <c r="S5" s="25" t="s">
        <v>86</v>
      </c>
      <c r="T5" s="24"/>
      <c r="U5" s="24"/>
      <c r="V5" s="23"/>
    </row>
    <row r="6">
      <c r="A6" s="24" t="s">
        <v>87</v>
      </c>
      <c r="B6" s="25" t="str">
        <f t="shared" si="1"/>
        <v>series_banner_gom</v>
      </c>
      <c r="C6" s="26" t="s">
        <v>88</v>
      </c>
      <c r="D6" s="25" t="s">
        <v>89</v>
      </c>
      <c r="E6" s="25" t="s">
        <v>83</v>
      </c>
      <c r="F6" s="27" t="s">
        <v>64</v>
      </c>
      <c r="G6" s="30" t="s">
        <v>71</v>
      </c>
      <c r="H6" s="24" t="str">
        <f t="shared" si="2"/>
        <v>姫様“拷問”の時間です</v>
      </c>
      <c r="I6" s="28" t="s">
        <v>90</v>
      </c>
      <c r="J6" s="25" t="s">
        <v>91</v>
      </c>
      <c r="K6" s="24" t="str">
        <f t="shared" si="3"/>
        <v>g</v>
      </c>
      <c r="L6" s="24" t="str">
        <f t="shared" si="4"/>
        <v>go</v>
      </c>
      <c r="M6" s="24" t="str">
        <f t="shared" si="5"/>
        <v>gom</v>
      </c>
      <c r="N6" s="29" t="str">
        <f t="shared" si="6"/>
        <v>quest_image_gom_01</v>
      </c>
      <c r="O6" s="24"/>
      <c r="P6" s="24"/>
      <c r="Q6" s="24"/>
      <c r="R6" s="25" t="s">
        <v>74</v>
      </c>
      <c r="S6" s="25" t="s">
        <v>67</v>
      </c>
      <c r="T6" s="24"/>
      <c r="U6" s="24"/>
      <c r="V6" s="23"/>
    </row>
    <row r="7">
      <c r="A7" s="24" t="s">
        <v>92</v>
      </c>
      <c r="B7" s="25" t="str">
        <f t="shared" si="1"/>
        <v>series_banner_chi</v>
      </c>
      <c r="C7" s="26" t="s">
        <v>93</v>
      </c>
      <c r="D7" s="25" t="s">
        <v>94</v>
      </c>
      <c r="E7" s="25" t="s">
        <v>95</v>
      </c>
      <c r="F7" s="27" t="s">
        <v>64</v>
      </c>
      <c r="G7" s="30" t="s">
        <v>71</v>
      </c>
      <c r="H7" s="24" t="str">
        <f t="shared" si="2"/>
        <v>チェンソーマン</v>
      </c>
      <c r="I7" s="28" t="s">
        <v>96</v>
      </c>
      <c r="J7" s="25" t="s">
        <v>97</v>
      </c>
      <c r="K7" s="24" t="str">
        <f t="shared" si="3"/>
        <v>c</v>
      </c>
      <c r="L7" s="24" t="str">
        <f t="shared" si="4"/>
        <v>ch</v>
      </c>
      <c r="M7" s="24" t="str">
        <f t="shared" si="5"/>
        <v>chi</v>
      </c>
      <c r="N7" s="29" t="str">
        <f t="shared" si="6"/>
        <v>quest_image_chi_01</v>
      </c>
      <c r="O7" s="24"/>
      <c r="P7" s="24"/>
      <c r="Q7" s="24"/>
      <c r="R7" s="25" t="s">
        <v>85</v>
      </c>
      <c r="S7" s="25" t="s">
        <v>86</v>
      </c>
      <c r="T7" s="24"/>
      <c r="U7" s="24"/>
      <c r="V7" s="23"/>
    </row>
    <row r="8">
      <c r="A8" s="25" t="s">
        <v>98</v>
      </c>
      <c r="B8" s="31" t="str">
        <f t="shared" si="1"/>
        <v>series_banner_mag</v>
      </c>
      <c r="C8" s="32" t="s">
        <v>99</v>
      </c>
      <c r="D8" s="33" t="s">
        <v>100</v>
      </c>
      <c r="E8" s="25" t="s">
        <v>95</v>
      </c>
      <c r="F8" s="27" t="s">
        <v>64</v>
      </c>
      <c r="G8" s="30" t="s">
        <v>71</v>
      </c>
      <c r="H8" s="24" t="str">
        <f t="shared" si="2"/>
        <v>株式会社マジルミエ</v>
      </c>
      <c r="I8" s="28" t="s">
        <v>101</v>
      </c>
      <c r="J8" s="25" t="s">
        <v>102</v>
      </c>
      <c r="K8" s="24" t="str">
        <f t="shared" si="3"/>
        <v>m</v>
      </c>
      <c r="L8" s="24" t="str">
        <f t="shared" si="4"/>
        <v>ma</v>
      </c>
      <c r="M8" s="25" t="s">
        <v>98</v>
      </c>
      <c r="N8" s="29" t="str">
        <f t="shared" si="6"/>
        <v>quest_image_mag_01</v>
      </c>
      <c r="O8" s="24"/>
      <c r="P8" s="24"/>
      <c r="Q8" s="24"/>
      <c r="R8" s="25" t="s">
        <v>85</v>
      </c>
      <c r="S8" s="25" t="s">
        <v>86</v>
      </c>
      <c r="T8" s="24"/>
      <c r="U8" s="24"/>
      <c r="V8" s="23"/>
    </row>
    <row r="9">
      <c r="A9" s="24" t="s">
        <v>103</v>
      </c>
      <c r="B9" s="31" t="str">
        <f t="shared" si="1"/>
        <v>series_banner_dos</v>
      </c>
      <c r="C9" s="32" t="s">
        <v>104</v>
      </c>
      <c r="D9" s="33" t="s">
        <v>105</v>
      </c>
      <c r="E9" s="25" t="s">
        <v>95</v>
      </c>
      <c r="F9" s="27" t="s">
        <v>64</v>
      </c>
      <c r="G9" s="30" t="s">
        <v>71</v>
      </c>
      <c r="H9" s="24" t="str">
        <f t="shared" si="2"/>
        <v>道産子ギャルはなまらめんこい</v>
      </c>
      <c r="I9" s="28" t="s">
        <v>106</v>
      </c>
      <c r="J9" s="25" t="s">
        <v>107</v>
      </c>
      <c r="K9" s="24" t="str">
        <f t="shared" si="3"/>
        <v>d</v>
      </c>
      <c r="L9" s="24" t="str">
        <f t="shared" si="4"/>
        <v>do</v>
      </c>
      <c r="M9" s="24" t="str">
        <f t="shared" ref="M9:M20" si="7">left(J9,3)</f>
        <v>dos</v>
      </c>
      <c r="N9" s="29" t="str">
        <f t="shared" si="6"/>
        <v>quest_image_dos_01</v>
      </c>
      <c r="O9" s="24"/>
      <c r="P9" s="24"/>
      <c r="Q9" s="24"/>
      <c r="R9" s="25" t="s">
        <v>108</v>
      </c>
      <c r="S9" s="25" t="s">
        <v>67</v>
      </c>
      <c r="T9" s="24"/>
      <c r="U9" s="24"/>
      <c r="V9" s="23"/>
    </row>
    <row r="10">
      <c r="A10" s="24" t="s">
        <v>109</v>
      </c>
      <c r="B10" s="25" t="str">
        <f t="shared" si="1"/>
        <v>series_banner_bat</v>
      </c>
      <c r="C10" s="26" t="s">
        <v>110</v>
      </c>
      <c r="D10" s="25" t="s">
        <v>111</v>
      </c>
      <c r="E10" s="25" t="s">
        <v>112</v>
      </c>
      <c r="F10" s="27" t="s">
        <v>64</v>
      </c>
      <c r="G10" s="30" t="s">
        <v>71</v>
      </c>
      <c r="H10" s="24" t="str">
        <f t="shared" si="2"/>
        <v>忘却バッテリー</v>
      </c>
      <c r="I10" s="28" t="s">
        <v>113</v>
      </c>
      <c r="J10" s="25" t="s">
        <v>114</v>
      </c>
      <c r="K10" s="24" t="str">
        <f t="shared" si="3"/>
        <v>b</v>
      </c>
      <c r="L10" s="24" t="str">
        <f t="shared" si="4"/>
        <v>ba</v>
      </c>
      <c r="M10" s="24" t="str">
        <f t="shared" si="7"/>
        <v>bat</v>
      </c>
      <c r="N10" s="29" t="str">
        <f t="shared" si="6"/>
        <v>quest_image_bat_01</v>
      </c>
      <c r="O10" s="24"/>
      <c r="P10" s="24"/>
      <c r="Q10" s="24"/>
      <c r="R10" s="25" t="s">
        <v>85</v>
      </c>
      <c r="S10" s="25" t="s">
        <v>67</v>
      </c>
      <c r="T10" s="24"/>
      <c r="U10" s="24"/>
      <c r="V10" s="23"/>
    </row>
    <row r="11">
      <c r="A11" s="24" t="s">
        <v>115</v>
      </c>
      <c r="B11" s="25" t="str">
        <f t="shared" si="1"/>
        <v>series_banner_kai</v>
      </c>
      <c r="C11" s="26" t="s">
        <v>116</v>
      </c>
      <c r="D11" s="25" t="s">
        <v>117</v>
      </c>
      <c r="E11" s="25" t="s">
        <v>118</v>
      </c>
      <c r="F11" s="27" t="s">
        <v>64</v>
      </c>
      <c r="G11" s="30" t="s">
        <v>71</v>
      </c>
      <c r="H11" s="24" t="str">
        <f t="shared" si="2"/>
        <v>怪獣８号</v>
      </c>
      <c r="I11" s="28" t="s">
        <v>119</v>
      </c>
      <c r="J11" s="25" t="s">
        <v>120</v>
      </c>
      <c r="K11" s="24" t="str">
        <f t="shared" si="3"/>
        <v>k</v>
      </c>
      <c r="L11" s="24" t="str">
        <f t="shared" si="4"/>
        <v>ka</v>
      </c>
      <c r="M11" s="24" t="str">
        <f t="shared" si="7"/>
        <v>kai</v>
      </c>
      <c r="N11" s="29" t="str">
        <f t="shared" si="6"/>
        <v>quest_image_kai_01</v>
      </c>
      <c r="O11" s="24"/>
      <c r="P11" s="24"/>
      <c r="Q11" s="24"/>
      <c r="R11" s="25" t="s">
        <v>85</v>
      </c>
      <c r="S11" s="25" t="s">
        <v>86</v>
      </c>
      <c r="T11" s="24"/>
      <c r="U11" s="24"/>
      <c r="V11" s="23"/>
    </row>
    <row r="12">
      <c r="A12" s="24" t="s">
        <v>121</v>
      </c>
      <c r="B12" s="25" t="str">
        <f t="shared" si="1"/>
        <v>series_banner_yuw</v>
      </c>
      <c r="C12" s="26" t="s">
        <v>122</v>
      </c>
      <c r="D12" s="25" t="s">
        <v>123</v>
      </c>
      <c r="E12" s="25" t="s">
        <v>124</v>
      </c>
      <c r="F12" s="27" t="s">
        <v>64</v>
      </c>
      <c r="G12" s="30" t="s">
        <v>71</v>
      </c>
      <c r="H12" s="24" t="str">
        <f t="shared" si="2"/>
        <v>2.5次元の誘惑</v>
      </c>
      <c r="I12" s="28" t="s">
        <v>125</v>
      </c>
      <c r="J12" s="25" t="s">
        <v>126</v>
      </c>
      <c r="K12" s="24" t="str">
        <f t="shared" si="3"/>
        <v>y</v>
      </c>
      <c r="L12" s="24" t="str">
        <f t="shared" si="4"/>
        <v>yu</v>
      </c>
      <c r="M12" s="24" t="str">
        <f t="shared" si="7"/>
        <v>yuw</v>
      </c>
      <c r="N12" s="29" t="str">
        <f t="shared" si="6"/>
        <v>quest_image_yuw_01</v>
      </c>
      <c r="O12" s="24"/>
      <c r="P12" s="24"/>
      <c r="Q12" s="24"/>
      <c r="R12" s="25" t="s">
        <v>74</v>
      </c>
      <c r="S12" s="25" t="s">
        <v>67</v>
      </c>
      <c r="T12" s="24"/>
      <c r="U12" s="24"/>
      <c r="V12" s="23"/>
    </row>
    <row r="13">
      <c r="A13" s="24" t="s">
        <v>127</v>
      </c>
      <c r="B13" s="25" t="str">
        <f t="shared" si="1"/>
        <v>series_banner_sur</v>
      </c>
      <c r="C13" s="26" t="s">
        <v>128</v>
      </c>
      <c r="D13" s="25" t="s">
        <v>129</v>
      </c>
      <c r="E13" s="25" t="s">
        <v>124</v>
      </c>
      <c r="F13" s="27" t="s">
        <v>64</v>
      </c>
      <c r="G13" s="30" t="s">
        <v>71</v>
      </c>
      <c r="H13" s="24" t="str">
        <f t="shared" si="2"/>
        <v>魔都精兵のスレイブ</v>
      </c>
      <c r="I13" s="28" t="s">
        <v>130</v>
      </c>
      <c r="J13" s="25" t="s">
        <v>131</v>
      </c>
      <c r="K13" s="24" t="str">
        <f t="shared" si="3"/>
        <v>s</v>
      </c>
      <c r="L13" s="24" t="str">
        <f t="shared" si="4"/>
        <v>su</v>
      </c>
      <c r="M13" s="24" t="str">
        <f t="shared" si="7"/>
        <v>sur</v>
      </c>
      <c r="N13" s="29" t="str">
        <f t="shared" si="6"/>
        <v>quest_image_sur_01</v>
      </c>
      <c r="O13" s="24"/>
      <c r="P13" s="24"/>
      <c r="Q13" s="24"/>
      <c r="R13" s="25" t="s">
        <v>85</v>
      </c>
      <c r="S13" s="25" t="s">
        <v>86</v>
      </c>
      <c r="T13" s="24"/>
      <c r="U13" s="24"/>
      <c r="V13" s="23"/>
    </row>
    <row r="14">
      <c r="A14" s="24" t="s">
        <v>132</v>
      </c>
      <c r="B14" s="25" t="str">
        <f t="shared" si="1"/>
        <v>series_banner_ron</v>
      </c>
      <c r="C14" s="26" t="s">
        <v>133</v>
      </c>
      <c r="D14" s="25" t="s">
        <v>134</v>
      </c>
      <c r="E14" s="25" t="s">
        <v>135</v>
      </c>
      <c r="F14" s="27" t="s">
        <v>64</v>
      </c>
      <c r="G14" s="25"/>
      <c r="H14" s="24" t="str">
        <f t="shared" si="2"/>
        <v>鴨乃橋ロンの禁断推理</v>
      </c>
      <c r="I14" s="28" t="s">
        <v>136</v>
      </c>
      <c r="J14" s="25" t="s">
        <v>132</v>
      </c>
      <c r="K14" s="24" t="str">
        <f t="shared" si="3"/>
        <v>r</v>
      </c>
      <c r="L14" s="24" t="str">
        <f t="shared" si="4"/>
        <v>ro</v>
      </c>
      <c r="M14" s="24" t="str">
        <f t="shared" si="7"/>
        <v>ron</v>
      </c>
      <c r="N14" s="29" t="str">
        <f t="shared" si="6"/>
        <v>quest_image_ron_01</v>
      </c>
      <c r="O14" s="24"/>
      <c r="P14" s="24"/>
      <c r="Q14" s="24"/>
      <c r="R14" s="25" t="s">
        <v>137</v>
      </c>
      <c r="S14" s="25" t="s">
        <v>67</v>
      </c>
      <c r="T14" s="24"/>
      <c r="U14" s="24"/>
      <c r="V14" s="23"/>
    </row>
    <row r="15">
      <c r="A15" s="24" t="s">
        <v>138</v>
      </c>
      <c r="B15" s="25" t="str">
        <f t="shared" si="1"/>
        <v>series_banner_aha</v>
      </c>
      <c r="C15" s="26" t="s">
        <v>139</v>
      </c>
      <c r="D15" s="25" t="s">
        <v>140</v>
      </c>
      <c r="E15" s="25" t="s">
        <v>64</v>
      </c>
      <c r="F15" s="27" t="s">
        <v>64</v>
      </c>
      <c r="G15" s="30" t="s">
        <v>71</v>
      </c>
      <c r="H15" s="24" t="str">
        <f t="shared" si="2"/>
        <v>阿波連さんははかれない</v>
      </c>
      <c r="I15" s="28" t="s">
        <v>141</v>
      </c>
      <c r="J15" s="25" t="s">
        <v>142</v>
      </c>
      <c r="K15" s="24" t="str">
        <f t="shared" si="3"/>
        <v>a</v>
      </c>
      <c r="L15" s="24" t="str">
        <f t="shared" si="4"/>
        <v>ah</v>
      </c>
      <c r="M15" s="24" t="str">
        <f t="shared" si="7"/>
        <v>aha</v>
      </c>
      <c r="N15" s="29" t="str">
        <f t="shared" si="6"/>
        <v>quest_image_aha_01</v>
      </c>
      <c r="O15" s="24"/>
      <c r="P15" s="24"/>
      <c r="Q15" s="24"/>
      <c r="R15" s="25" t="s">
        <v>74</v>
      </c>
      <c r="S15" s="25" t="s">
        <v>67</v>
      </c>
      <c r="T15" s="24"/>
      <c r="U15" s="24"/>
      <c r="V15" s="23"/>
    </row>
    <row r="16">
      <c r="A16" s="24" t="s">
        <v>143</v>
      </c>
      <c r="B16" s="31" t="str">
        <f t="shared" si="1"/>
        <v>series_banner_sum</v>
      </c>
      <c r="C16" s="32" t="s">
        <v>144</v>
      </c>
      <c r="D16" s="33" t="s">
        <v>145</v>
      </c>
      <c r="E16" s="25" t="s">
        <v>64</v>
      </c>
      <c r="F16" s="27" t="s">
        <v>64</v>
      </c>
      <c r="G16" s="30" t="s">
        <v>71</v>
      </c>
      <c r="H16" s="24" t="str">
        <f t="shared" si="2"/>
        <v>サマータイムレンダ</v>
      </c>
      <c r="I16" s="28" t="s">
        <v>146</v>
      </c>
      <c r="J16" s="25" t="s">
        <v>147</v>
      </c>
      <c r="K16" s="24" t="str">
        <f t="shared" si="3"/>
        <v>s</v>
      </c>
      <c r="L16" s="24" t="str">
        <f t="shared" si="4"/>
        <v>su</v>
      </c>
      <c r="M16" s="24" t="str">
        <f t="shared" si="7"/>
        <v>sum</v>
      </c>
      <c r="N16" s="29" t="str">
        <f t="shared" si="6"/>
        <v>quest_image_sum_01</v>
      </c>
      <c r="O16" s="24"/>
      <c r="P16" s="24"/>
      <c r="Q16" s="24"/>
      <c r="R16" s="25" t="s">
        <v>137</v>
      </c>
      <c r="S16" s="25" t="s">
        <v>86</v>
      </c>
      <c r="T16" s="24"/>
      <c r="U16" s="24"/>
      <c r="V16" s="23"/>
    </row>
    <row r="17">
      <c r="A17" s="24" t="s">
        <v>148</v>
      </c>
      <c r="B17" s="31" t="str">
        <f t="shared" si="1"/>
        <v>series_banner_jig</v>
      </c>
      <c r="C17" s="32" t="s">
        <v>149</v>
      </c>
      <c r="D17" s="25" t="s">
        <v>150</v>
      </c>
      <c r="E17" s="25" t="s">
        <v>64</v>
      </c>
      <c r="F17" s="27" t="s">
        <v>64</v>
      </c>
      <c r="G17" s="30" t="s">
        <v>71</v>
      </c>
      <c r="H17" s="24" t="str">
        <f t="shared" si="2"/>
        <v>地獄楽</v>
      </c>
      <c r="I17" s="28" t="s">
        <v>151</v>
      </c>
      <c r="J17" s="25" t="s">
        <v>152</v>
      </c>
      <c r="K17" s="24" t="str">
        <f t="shared" si="3"/>
        <v>j</v>
      </c>
      <c r="L17" s="24" t="str">
        <f t="shared" si="4"/>
        <v>ji</v>
      </c>
      <c r="M17" s="24" t="str">
        <f t="shared" si="7"/>
        <v>jig</v>
      </c>
      <c r="N17" s="29" t="str">
        <f t="shared" si="6"/>
        <v>quest_image_jig_01</v>
      </c>
      <c r="O17" s="24"/>
      <c r="P17" s="24"/>
      <c r="Q17" s="24"/>
      <c r="R17" s="25" t="s">
        <v>137</v>
      </c>
      <c r="S17" s="25" t="s">
        <v>86</v>
      </c>
      <c r="T17" s="24"/>
      <c r="U17" s="24"/>
      <c r="V17" s="23"/>
    </row>
    <row r="18">
      <c r="A18" s="24" t="s">
        <v>153</v>
      </c>
      <c r="B18" s="25" t="str">
        <f t="shared" si="1"/>
        <v>series_banner_tak</v>
      </c>
      <c r="C18" s="26" t="s">
        <v>154</v>
      </c>
      <c r="D18" s="25" t="s">
        <v>155</v>
      </c>
      <c r="E18" s="25" t="s">
        <v>64</v>
      </c>
      <c r="F18" s="27" t="s">
        <v>64</v>
      </c>
      <c r="G18" s="30" t="s">
        <v>71</v>
      </c>
      <c r="H18" s="24" t="str">
        <f t="shared" si="2"/>
        <v>タコピーの原罪</v>
      </c>
      <c r="I18" s="28" t="s">
        <v>156</v>
      </c>
      <c r="J18" s="25" t="s">
        <v>157</v>
      </c>
      <c r="K18" s="24" t="str">
        <f t="shared" si="3"/>
        <v>t</v>
      </c>
      <c r="L18" s="24" t="str">
        <f t="shared" si="4"/>
        <v>ta</v>
      </c>
      <c r="M18" s="24" t="str">
        <f t="shared" si="7"/>
        <v>tak</v>
      </c>
      <c r="N18" s="29" t="str">
        <f t="shared" si="6"/>
        <v>quest_image_tak_01</v>
      </c>
      <c r="O18" s="24"/>
      <c r="P18" s="24"/>
      <c r="Q18" s="24"/>
      <c r="R18" s="25" t="s">
        <v>66</v>
      </c>
      <c r="S18" s="25" t="s">
        <v>67</v>
      </c>
      <c r="T18" s="24"/>
      <c r="U18" s="24"/>
      <c r="V18" s="23"/>
    </row>
    <row r="19">
      <c r="A19" s="25" t="s">
        <v>158</v>
      </c>
      <c r="B19" s="25" t="str">
        <f t="shared" si="1"/>
        <v>series_banner_osh</v>
      </c>
      <c r="C19" s="26" t="s">
        <v>154</v>
      </c>
      <c r="D19" s="25" t="s">
        <v>159</v>
      </c>
      <c r="E19" s="25" t="s">
        <v>64</v>
      </c>
      <c r="F19" s="27" t="s">
        <v>64</v>
      </c>
      <c r="G19" s="30" t="s">
        <v>71</v>
      </c>
      <c r="H19" s="24" t="str">
        <f t="shared" si="2"/>
        <v>【推しの子】</v>
      </c>
      <c r="I19" s="28" t="s">
        <v>160</v>
      </c>
      <c r="J19" s="25" t="s">
        <v>161</v>
      </c>
      <c r="K19" s="24" t="str">
        <f t="shared" si="3"/>
        <v>o</v>
      </c>
      <c r="L19" s="24" t="str">
        <f t="shared" si="4"/>
        <v>os</v>
      </c>
      <c r="M19" s="24" t="str">
        <f t="shared" si="7"/>
        <v>osh</v>
      </c>
      <c r="N19" s="29" t="str">
        <f t="shared" si="6"/>
        <v>quest_image_osh_01</v>
      </c>
      <c r="O19" s="24"/>
      <c r="P19" s="24"/>
      <c r="Q19" s="24"/>
      <c r="R19" s="25" t="s">
        <v>108</v>
      </c>
      <c r="S19" s="25" t="s">
        <v>67</v>
      </c>
      <c r="T19" s="24"/>
      <c r="U19" s="24"/>
      <c r="V19" s="23"/>
    </row>
    <row r="20">
      <c r="A20" s="25" t="s">
        <v>162</v>
      </c>
      <c r="B20" s="25" t="str">
        <f t="shared" si="1"/>
        <v>series_banner_you</v>
      </c>
      <c r="C20" s="26" t="s">
        <v>154</v>
      </c>
      <c r="D20" s="25" t="s">
        <v>163</v>
      </c>
      <c r="E20" s="25" t="s">
        <v>112</v>
      </c>
      <c r="F20" s="27" t="s">
        <v>64</v>
      </c>
      <c r="G20" s="30" t="s">
        <v>71</v>
      </c>
      <c r="H20" s="24" t="str">
        <f t="shared" si="2"/>
        <v>幼稚園WARS</v>
      </c>
      <c r="I20" s="28" t="s">
        <v>164</v>
      </c>
      <c r="J20" s="25" t="s">
        <v>165</v>
      </c>
      <c r="K20" s="24" t="str">
        <f t="shared" si="3"/>
        <v>y</v>
      </c>
      <c r="L20" s="24" t="str">
        <f t="shared" si="4"/>
        <v>yo</v>
      </c>
      <c r="M20" s="24" t="str">
        <f t="shared" si="7"/>
        <v>you</v>
      </c>
      <c r="N20" s="29" t="str">
        <f t="shared" si="6"/>
        <v>quest_image_you_01</v>
      </c>
      <c r="O20" s="24"/>
      <c r="P20" s="24"/>
      <c r="Q20" s="24"/>
      <c r="R20" s="25" t="s">
        <v>74</v>
      </c>
      <c r="S20" s="25" t="s">
        <v>86</v>
      </c>
      <c r="T20" s="24"/>
      <c r="U20" s="24"/>
      <c r="V20" s="23"/>
    </row>
    <row r="21">
      <c r="A21" s="25" t="s">
        <v>166</v>
      </c>
      <c r="B21" s="25" t="str">
        <f t="shared" si="1"/>
        <v>series_banner_kim</v>
      </c>
      <c r="C21" s="26" t="s">
        <v>154</v>
      </c>
      <c r="D21" s="25" t="s">
        <v>167</v>
      </c>
      <c r="E21" s="25" t="s">
        <v>112</v>
      </c>
      <c r="F21" s="27"/>
      <c r="G21" s="30"/>
      <c r="H21" s="24" t="str">
        <f t="shared" si="2"/>
        <v>君のことが大大大大大好きな100人の彼女</v>
      </c>
      <c r="I21" s="28" t="s">
        <v>168</v>
      </c>
      <c r="J21" s="25" t="s">
        <v>169</v>
      </c>
      <c r="K21" s="25" t="s">
        <v>170</v>
      </c>
      <c r="L21" s="25" t="s">
        <v>171</v>
      </c>
      <c r="M21" s="25" t="s">
        <v>166</v>
      </c>
      <c r="N21" s="29" t="str">
        <f t="shared" si="6"/>
        <v>quest_image_kim_01</v>
      </c>
      <c r="O21" s="24"/>
      <c r="P21" s="24"/>
      <c r="Q21" s="24"/>
      <c r="R21" s="25" t="s">
        <v>108</v>
      </c>
      <c r="S21" s="25" t="s">
        <v>67</v>
      </c>
      <c r="T21" s="24"/>
      <c r="U21" s="24"/>
      <c r="V21" s="23"/>
    </row>
    <row r="22">
      <c r="A22" s="25" t="s">
        <v>172</v>
      </c>
      <c r="B22" s="25" t="str">
        <f t="shared" si="1"/>
        <v>series_banner_hut</v>
      </c>
      <c r="C22" s="26" t="s">
        <v>173</v>
      </c>
      <c r="D22" s="25" t="s">
        <v>174</v>
      </c>
      <c r="E22" s="25" t="s">
        <v>135</v>
      </c>
      <c r="F22" s="27" t="s">
        <v>64</v>
      </c>
      <c r="G22" s="30"/>
      <c r="H22" s="25" t="s">
        <v>174</v>
      </c>
      <c r="I22" s="28" t="s">
        <v>175</v>
      </c>
      <c r="J22" s="25" t="s">
        <v>176</v>
      </c>
      <c r="K22" s="25" t="s">
        <v>177</v>
      </c>
      <c r="L22" s="25" t="s">
        <v>178</v>
      </c>
      <c r="M22" s="25" t="s">
        <v>172</v>
      </c>
      <c r="N22" s="29" t="str">
        <f t="shared" si="6"/>
        <v>quest_image_hut_01</v>
      </c>
      <c r="O22" s="24"/>
      <c r="P22" s="24"/>
      <c r="Q22" s="24"/>
      <c r="R22" s="25" t="s">
        <v>66</v>
      </c>
      <c r="S22" s="25" t="s">
        <v>86</v>
      </c>
      <c r="T22" s="24"/>
      <c r="U22" s="24"/>
      <c r="V22" s="23"/>
    </row>
    <row r="23">
      <c r="A23" s="25" t="s">
        <v>179</v>
      </c>
      <c r="B23" s="25" t="str">
        <f t="shared" si="1"/>
        <v>series_banner_rur</v>
      </c>
      <c r="C23" s="26" t="s">
        <v>180</v>
      </c>
      <c r="D23" s="25" t="s">
        <v>181</v>
      </c>
      <c r="E23" s="25" t="s">
        <v>64</v>
      </c>
      <c r="F23" s="27" t="s">
        <v>64</v>
      </c>
      <c r="G23" s="30"/>
      <c r="H23" s="25" t="s">
        <v>181</v>
      </c>
      <c r="I23" s="28" t="s">
        <v>182</v>
      </c>
      <c r="J23" s="25" t="s">
        <v>183</v>
      </c>
      <c r="K23" s="25" t="s">
        <v>184</v>
      </c>
      <c r="L23" s="25" t="s">
        <v>185</v>
      </c>
      <c r="M23" s="25" t="s">
        <v>179</v>
      </c>
      <c r="N23" s="29" t="str">
        <f t="shared" si="6"/>
        <v>quest_image_rur_01</v>
      </c>
      <c r="O23" s="24"/>
      <c r="P23" s="24"/>
      <c r="Q23" s="24"/>
      <c r="R23" s="25" t="s">
        <v>66</v>
      </c>
      <c r="S23" s="25" t="s">
        <v>86</v>
      </c>
      <c r="T23" s="24"/>
      <c r="U23" s="24"/>
      <c r="V23" s="23"/>
    </row>
    <row r="24">
      <c r="A24" s="25" t="s">
        <v>186</v>
      </c>
      <c r="B24" s="25" t="str">
        <f t="shared" si="1"/>
        <v>series_banner_hyp</v>
      </c>
      <c r="C24" s="26" t="s">
        <v>187</v>
      </c>
      <c r="D24" s="25" t="s">
        <v>188</v>
      </c>
      <c r="E24" s="25" t="s">
        <v>64</v>
      </c>
      <c r="F24" s="27" t="s">
        <v>64</v>
      </c>
      <c r="G24" s="30"/>
      <c r="H24" s="25" t="s">
        <v>188</v>
      </c>
      <c r="I24" s="28" t="s">
        <v>189</v>
      </c>
      <c r="J24" s="25" t="s">
        <v>190</v>
      </c>
      <c r="K24" s="25" t="s">
        <v>177</v>
      </c>
      <c r="L24" s="25" t="s">
        <v>191</v>
      </c>
      <c r="M24" s="25" t="s">
        <v>186</v>
      </c>
      <c r="N24" s="29" t="str">
        <f t="shared" si="6"/>
        <v>quest_image_hyp_01</v>
      </c>
      <c r="O24" s="24"/>
      <c r="P24" s="24"/>
      <c r="Q24" s="24"/>
      <c r="R24" s="25" t="s">
        <v>137</v>
      </c>
      <c r="S24" s="25" t="s">
        <v>86</v>
      </c>
      <c r="T24" s="24"/>
      <c r="U24" s="24"/>
      <c r="V24" s="23"/>
    </row>
    <row r="25">
      <c r="A25" s="25" t="s">
        <v>192</v>
      </c>
      <c r="B25" s="25" t="str">
        <f t="shared" si="1"/>
        <v>series_banner_gam</v>
      </c>
      <c r="C25" s="26" t="s">
        <v>193</v>
      </c>
      <c r="D25" s="25" t="s">
        <v>194</v>
      </c>
      <c r="E25" s="25"/>
      <c r="F25" s="27"/>
      <c r="G25" s="30"/>
      <c r="H25" s="25" t="s">
        <v>194</v>
      </c>
      <c r="I25" s="28" t="s">
        <v>195</v>
      </c>
      <c r="J25" s="25" t="s">
        <v>196</v>
      </c>
      <c r="K25" s="25" t="s">
        <v>197</v>
      </c>
      <c r="L25" s="25" t="s">
        <v>198</v>
      </c>
      <c r="M25" s="25" t="s">
        <v>192</v>
      </c>
      <c r="N25" s="29" t="str">
        <f t="shared" si="6"/>
        <v>quest_image_gam_01</v>
      </c>
      <c r="O25" s="24"/>
      <c r="P25" s="24"/>
      <c r="Q25" s="24"/>
      <c r="R25" s="25"/>
      <c r="S25" s="25"/>
      <c r="T25" s="24"/>
      <c r="U25" s="24"/>
      <c r="V25" s="23"/>
    </row>
    <row r="26">
      <c r="A26" s="25" t="s">
        <v>199</v>
      </c>
      <c r="B26" s="25" t="str">
        <f t="shared" si="1"/>
        <v>series_banner_ara</v>
      </c>
      <c r="C26" s="26" t="s">
        <v>200</v>
      </c>
      <c r="D26" s="25" t="s">
        <v>201</v>
      </c>
      <c r="E26" s="25"/>
      <c r="F26" s="27"/>
      <c r="G26" s="30"/>
      <c r="H26" s="25" t="s">
        <v>201</v>
      </c>
      <c r="I26" s="28" t="s">
        <v>202</v>
      </c>
      <c r="J26" s="25" t="s">
        <v>203</v>
      </c>
      <c r="K26" s="25" t="s">
        <v>204</v>
      </c>
      <c r="L26" s="25" t="s">
        <v>205</v>
      </c>
      <c r="M26" s="25" t="s">
        <v>199</v>
      </c>
      <c r="N26" s="29" t="str">
        <f t="shared" si="6"/>
        <v>quest_image_ara_01</v>
      </c>
      <c r="O26" s="24"/>
      <c r="P26" s="24"/>
      <c r="Q26" s="24"/>
      <c r="R26" s="25"/>
      <c r="S26" s="25"/>
      <c r="T26" s="24"/>
      <c r="U26" s="24"/>
      <c r="V26" s="23"/>
    </row>
    <row r="27">
      <c r="A27" s="25" t="s">
        <v>206</v>
      </c>
      <c r="B27" s="25" t="str">
        <f t="shared" si="1"/>
        <v>series_banner_aya</v>
      </c>
      <c r="C27" s="26" t="str">
        <f t="shared" ref="C27:C42" si="8">CONCATENATE("series_logo_",A27)</f>
        <v>series_logo_aya</v>
      </c>
      <c r="D27" s="25" t="s">
        <v>207</v>
      </c>
      <c r="E27" s="25"/>
      <c r="F27" s="27"/>
      <c r="G27" s="30"/>
      <c r="H27" s="25" t="s">
        <v>207</v>
      </c>
      <c r="I27" s="28" t="s">
        <v>208</v>
      </c>
      <c r="J27" s="25" t="s">
        <v>209</v>
      </c>
      <c r="K27" s="25" t="s">
        <v>204</v>
      </c>
      <c r="L27" s="25" t="s">
        <v>210</v>
      </c>
      <c r="M27" s="25" t="s">
        <v>206</v>
      </c>
      <c r="N27" s="29" t="str">
        <f t="shared" si="6"/>
        <v>quest_image_aya_01</v>
      </c>
      <c r="O27" s="24"/>
      <c r="P27" s="24"/>
      <c r="Q27" s="24"/>
      <c r="R27" s="25"/>
      <c r="S27" s="25"/>
      <c r="T27" s="24"/>
      <c r="U27" s="24"/>
      <c r="V27" s="23"/>
    </row>
    <row r="28">
      <c r="A28" s="25" t="s">
        <v>211</v>
      </c>
      <c r="B28" s="25" t="str">
        <f t="shared" si="1"/>
        <v>series_banner_mar</v>
      </c>
      <c r="C28" s="26" t="str">
        <f t="shared" si="8"/>
        <v>series_logo_mar</v>
      </c>
      <c r="D28" s="25" t="s">
        <v>212</v>
      </c>
      <c r="E28" s="25"/>
      <c r="F28" s="27"/>
      <c r="G28" s="30"/>
      <c r="H28" s="25" t="s">
        <v>212</v>
      </c>
      <c r="I28" s="28" t="s">
        <v>213</v>
      </c>
      <c r="J28" s="25" t="s">
        <v>214</v>
      </c>
      <c r="K28" s="25" t="s">
        <v>215</v>
      </c>
      <c r="L28" s="25" t="s">
        <v>216</v>
      </c>
      <c r="M28" s="25" t="s">
        <v>211</v>
      </c>
      <c r="N28" s="29" t="str">
        <f t="shared" si="6"/>
        <v>quest_image_mar_01</v>
      </c>
      <c r="O28" s="24"/>
      <c r="P28" s="24"/>
      <c r="Q28" s="24"/>
      <c r="R28" s="25"/>
      <c r="S28" s="25"/>
      <c r="T28" s="24"/>
      <c r="U28" s="24"/>
      <c r="V28" s="23"/>
    </row>
    <row r="29">
      <c r="A29" s="25" t="s">
        <v>217</v>
      </c>
      <c r="B29" s="25" t="str">
        <f t="shared" si="1"/>
        <v>series_banner_sib</v>
      </c>
      <c r="C29" s="26" t="str">
        <f t="shared" si="8"/>
        <v>series_logo_sib</v>
      </c>
      <c r="D29" s="25" t="s">
        <v>218</v>
      </c>
      <c r="E29" s="25"/>
      <c r="F29" s="27"/>
      <c r="G29" s="30"/>
      <c r="H29" s="25" t="s">
        <v>218</v>
      </c>
      <c r="I29" s="28" t="s">
        <v>219</v>
      </c>
      <c r="J29" s="25" t="s">
        <v>220</v>
      </c>
      <c r="K29" s="25" t="s">
        <v>221</v>
      </c>
      <c r="L29" s="25" t="s">
        <v>222</v>
      </c>
      <c r="M29" s="25" t="s">
        <v>217</v>
      </c>
      <c r="N29" s="29" t="str">
        <f t="shared" si="6"/>
        <v>quest_image_sib_01</v>
      </c>
      <c r="O29" s="24"/>
      <c r="P29" s="24"/>
      <c r="Q29" s="24"/>
      <c r="R29" s="25"/>
      <c r="S29" s="25"/>
      <c r="T29" s="24"/>
      <c r="U29" s="24"/>
      <c r="V29" s="23"/>
    </row>
    <row r="30">
      <c r="A30" s="25" t="s">
        <v>223</v>
      </c>
      <c r="B30" s="25" t="str">
        <f t="shared" si="1"/>
        <v>series_banner_nek</v>
      </c>
      <c r="C30" s="26" t="str">
        <f t="shared" si="8"/>
        <v>series_logo_nek</v>
      </c>
      <c r="D30" s="25" t="s">
        <v>224</v>
      </c>
      <c r="E30" s="25"/>
      <c r="F30" s="27"/>
      <c r="G30" s="30"/>
      <c r="H30" s="25" t="s">
        <v>224</v>
      </c>
      <c r="I30" s="28" t="s">
        <v>225</v>
      </c>
      <c r="J30" s="25" t="s">
        <v>226</v>
      </c>
      <c r="K30" s="25" t="s">
        <v>227</v>
      </c>
      <c r="L30" s="25" t="s">
        <v>228</v>
      </c>
      <c r="M30" s="25" t="s">
        <v>223</v>
      </c>
      <c r="N30" s="29" t="str">
        <f t="shared" si="6"/>
        <v>quest_image_nek_01</v>
      </c>
      <c r="O30" s="24"/>
      <c r="P30" s="24"/>
      <c r="Q30" s="24"/>
      <c r="R30" s="25"/>
      <c r="S30" s="25"/>
      <c r="T30" s="24"/>
      <c r="U30" s="24"/>
      <c r="V30" s="23"/>
    </row>
    <row r="31">
      <c r="A31" s="25" t="s">
        <v>229</v>
      </c>
      <c r="B31" s="25" t="str">
        <f t="shared" si="1"/>
        <v>series_banner_mad</v>
      </c>
      <c r="C31" s="26" t="str">
        <f t="shared" si="8"/>
        <v>series_logo_mad</v>
      </c>
      <c r="D31" s="25" t="s">
        <v>230</v>
      </c>
      <c r="E31" s="25"/>
      <c r="F31" s="27"/>
      <c r="G31" s="30"/>
      <c r="H31" s="25" t="s">
        <v>230</v>
      </c>
      <c r="I31" s="28" t="s">
        <v>231</v>
      </c>
      <c r="J31" s="25" t="s">
        <v>229</v>
      </c>
      <c r="K31" s="25" t="s">
        <v>215</v>
      </c>
      <c r="L31" s="25" t="s">
        <v>216</v>
      </c>
      <c r="M31" s="25" t="s">
        <v>229</v>
      </c>
      <c r="N31" s="29" t="str">
        <f t="shared" si="6"/>
        <v>quest_image_mad_01</v>
      </c>
      <c r="O31" s="24"/>
      <c r="P31" s="24"/>
      <c r="Q31" s="24"/>
      <c r="R31" s="25"/>
      <c r="S31" s="25"/>
      <c r="T31" s="24"/>
      <c r="U31" s="24"/>
      <c r="V31" s="23"/>
    </row>
    <row r="32">
      <c r="A32" s="25" t="s">
        <v>232</v>
      </c>
      <c r="B32" s="25" t="str">
        <f t="shared" si="1"/>
        <v>series_banner_syu</v>
      </c>
      <c r="C32" s="26" t="str">
        <f t="shared" si="8"/>
        <v>series_logo_syu</v>
      </c>
      <c r="D32" s="25" t="s">
        <v>233</v>
      </c>
      <c r="E32" s="25"/>
      <c r="F32" s="27"/>
      <c r="G32" s="30"/>
      <c r="H32" s="25" t="s">
        <v>233</v>
      </c>
      <c r="I32" s="28" t="s">
        <v>234</v>
      </c>
      <c r="J32" s="25" t="s">
        <v>235</v>
      </c>
      <c r="K32" s="25" t="s">
        <v>221</v>
      </c>
      <c r="L32" s="25" t="s">
        <v>236</v>
      </c>
      <c r="M32" s="25" t="s">
        <v>232</v>
      </c>
      <c r="N32" s="29" t="str">
        <f t="shared" si="6"/>
        <v>quest_image_syu_01</v>
      </c>
      <c r="O32" s="24"/>
      <c r="P32" s="24"/>
      <c r="Q32" s="24"/>
      <c r="R32" s="25"/>
      <c r="S32" s="25"/>
      <c r="T32" s="24"/>
      <c r="U32" s="24"/>
      <c r="V32" s="23"/>
    </row>
    <row r="33">
      <c r="A33" s="25" t="s">
        <v>237</v>
      </c>
      <c r="B33" s="25" t="str">
        <f t="shared" si="1"/>
        <v>series_banner_aft</v>
      </c>
      <c r="C33" s="26" t="str">
        <f t="shared" si="8"/>
        <v>series_logo_aft</v>
      </c>
      <c r="D33" s="25" t="s">
        <v>238</v>
      </c>
      <c r="E33" s="25"/>
      <c r="F33" s="27"/>
      <c r="G33" s="30"/>
      <c r="H33" s="25" t="s">
        <v>238</v>
      </c>
      <c r="I33" s="28" t="s">
        <v>239</v>
      </c>
      <c r="J33" s="25" t="s">
        <v>240</v>
      </c>
      <c r="K33" s="25" t="s">
        <v>204</v>
      </c>
      <c r="L33" s="25" t="s">
        <v>241</v>
      </c>
      <c r="M33" s="25" t="s">
        <v>237</v>
      </c>
      <c r="N33" s="29" t="str">
        <f t="shared" si="6"/>
        <v>quest_image_aft_01</v>
      </c>
      <c r="O33" s="24"/>
      <c r="P33" s="24"/>
      <c r="Q33" s="24"/>
      <c r="R33" s="25"/>
      <c r="S33" s="25"/>
      <c r="T33" s="24"/>
      <c r="U33" s="24"/>
      <c r="V33" s="23"/>
    </row>
    <row r="34">
      <c r="A34" s="25" t="s">
        <v>242</v>
      </c>
      <c r="B34" s="25" t="str">
        <f t="shared" si="1"/>
        <v>series_banner_fan</v>
      </c>
      <c r="C34" s="26" t="str">
        <f t="shared" si="8"/>
        <v>series_logo_fan</v>
      </c>
      <c r="D34" s="25" t="s">
        <v>243</v>
      </c>
      <c r="E34" s="25"/>
      <c r="F34" s="27"/>
      <c r="G34" s="30"/>
      <c r="H34" s="25" t="s">
        <v>243</v>
      </c>
      <c r="I34" s="28" t="s">
        <v>244</v>
      </c>
      <c r="J34" s="25" t="s">
        <v>245</v>
      </c>
      <c r="K34" s="25" t="s">
        <v>246</v>
      </c>
      <c r="L34" s="25" t="s">
        <v>247</v>
      </c>
      <c r="M34" s="25" t="s">
        <v>242</v>
      </c>
      <c r="N34" s="29" t="str">
        <f t="shared" si="6"/>
        <v>quest_image_fan_01</v>
      </c>
      <c r="O34" s="24"/>
      <c r="P34" s="24"/>
      <c r="Q34" s="24"/>
      <c r="R34" s="25"/>
      <c r="S34" s="25"/>
      <c r="T34" s="24"/>
      <c r="U34" s="24"/>
      <c r="V34" s="23"/>
    </row>
    <row r="35">
      <c r="A35" s="25" t="s">
        <v>248</v>
      </c>
      <c r="B35" s="25" t="str">
        <f t="shared" si="1"/>
        <v>series_banner_kut</v>
      </c>
      <c r="C35" s="26" t="str">
        <f t="shared" si="8"/>
        <v>series_logo_kut</v>
      </c>
      <c r="D35" s="25" t="s">
        <v>249</v>
      </c>
      <c r="E35" s="25"/>
      <c r="F35" s="27"/>
      <c r="G35" s="30"/>
      <c r="H35" s="25" t="s">
        <v>249</v>
      </c>
      <c r="I35" s="28" t="s">
        <v>250</v>
      </c>
      <c r="J35" s="25" t="s">
        <v>251</v>
      </c>
      <c r="K35" s="25" t="s">
        <v>170</v>
      </c>
      <c r="L35" s="25" t="s">
        <v>252</v>
      </c>
      <c r="M35" s="25" t="s">
        <v>248</v>
      </c>
      <c r="N35" s="29" t="str">
        <f t="shared" si="6"/>
        <v>quest_image_kut_01</v>
      </c>
      <c r="O35" s="24"/>
      <c r="P35" s="24"/>
      <c r="Q35" s="24"/>
      <c r="R35" s="25"/>
      <c r="S35" s="25"/>
      <c r="T35" s="24"/>
      <c r="U35" s="24"/>
      <c r="V35" s="23"/>
    </row>
    <row r="36">
      <c r="A36" s="25" t="s">
        <v>253</v>
      </c>
      <c r="B36" s="25" t="str">
        <f t="shared" si="1"/>
        <v>series_banner_san</v>
      </c>
      <c r="C36" s="26" t="str">
        <f t="shared" si="8"/>
        <v>series_logo_san</v>
      </c>
      <c r="D36" s="25" t="s">
        <v>254</v>
      </c>
      <c r="E36" s="25"/>
      <c r="F36" s="27"/>
      <c r="G36" s="30"/>
      <c r="H36" s="25" t="s">
        <v>254</v>
      </c>
      <c r="I36" s="28" t="s">
        <v>255</v>
      </c>
      <c r="J36" s="25" t="s">
        <v>256</v>
      </c>
      <c r="K36" s="25" t="s">
        <v>221</v>
      </c>
      <c r="L36" s="25" t="s">
        <v>257</v>
      </c>
      <c r="M36" s="25" t="s">
        <v>253</v>
      </c>
      <c r="N36" s="29" t="str">
        <f t="shared" si="6"/>
        <v>quest_image_san_01</v>
      </c>
      <c r="O36" s="24"/>
      <c r="P36" s="24"/>
      <c r="Q36" s="24"/>
      <c r="R36" s="25"/>
      <c r="S36" s="25"/>
      <c r="T36" s="24"/>
      <c r="U36" s="24"/>
      <c r="V36" s="23"/>
    </row>
    <row r="37">
      <c r="A37" s="25" t="s">
        <v>258</v>
      </c>
      <c r="B37" s="25" t="str">
        <f t="shared" si="1"/>
        <v>series_banner_kus</v>
      </c>
      <c r="C37" s="26" t="str">
        <f t="shared" si="8"/>
        <v>series_logo_kus</v>
      </c>
      <c r="D37" s="25" t="s">
        <v>259</v>
      </c>
      <c r="E37" s="25"/>
      <c r="F37" s="27"/>
      <c r="G37" s="30"/>
      <c r="H37" s="25" t="s">
        <v>259</v>
      </c>
      <c r="I37" s="28" t="s">
        <v>260</v>
      </c>
      <c r="J37" s="25" t="s">
        <v>261</v>
      </c>
      <c r="K37" s="25" t="s">
        <v>170</v>
      </c>
      <c r="L37" s="25" t="s">
        <v>252</v>
      </c>
      <c r="M37" s="25" t="s">
        <v>258</v>
      </c>
      <c r="N37" s="29" t="str">
        <f t="shared" si="6"/>
        <v>quest_image_kus_01</v>
      </c>
      <c r="O37" s="24"/>
      <c r="P37" s="24"/>
      <c r="Q37" s="24"/>
      <c r="R37" s="25"/>
      <c r="S37" s="25"/>
      <c r="T37" s="24"/>
      <c r="U37" s="24"/>
      <c r="V37" s="23"/>
    </row>
    <row r="38">
      <c r="A38" s="25" t="s">
        <v>262</v>
      </c>
      <c r="B38" s="25" t="str">
        <f t="shared" si="1"/>
        <v>series_banner_han</v>
      </c>
      <c r="C38" s="26" t="str">
        <f t="shared" si="8"/>
        <v>series_logo_han</v>
      </c>
      <c r="D38" s="25" t="s">
        <v>263</v>
      </c>
      <c r="E38" s="25"/>
      <c r="F38" s="27"/>
      <c r="G38" s="30"/>
      <c r="H38" s="25" t="s">
        <v>263</v>
      </c>
      <c r="I38" s="28" t="s">
        <v>264</v>
      </c>
      <c r="J38" s="25" t="s">
        <v>265</v>
      </c>
      <c r="K38" s="25" t="s">
        <v>177</v>
      </c>
      <c r="L38" s="25" t="s">
        <v>266</v>
      </c>
      <c r="M38" s="25" t="s">
        <v>262</v>
      </c>
      <c r="N38" s="29" t="str">
        <f t="shared" si="6"/>
        <v>quest_image_han_01</v>
      </c>
      <c r="O38" s="24"/>
      <c r="P38" s="24"/>
      <c r="Q38" s="24"/>
      <c r="R38" s="25"/>
      <c r="S38" s="25"/>
      <c r="T38" s="24"/>
      <c r="U38" s="24"/>
      <c r="V38" s="23"/>
    </row>
    <row r="39">
      <c r="A39" s="25" t="s">
        <v>267</v>
      </c>
      <c r="B39" s="25" t="str">
        <f t="shared" si="1"/>
        <v>series_banner_kub</v>
      </c>
      <c r="C39" s="26" t="str">
        <f t="shared" si="8"/>
        <v>series_logo_kub</v>
      </c>
      <c r="D39" s="25" t="s">
        <v>268</v>
      </c>
      <c r="E39" s="25"/>
      <c r="F39" s="27"/>
      <c r="G39" s="30"/>
      <c r="H39" s="25" t="s">
        <v>268</v>
      </c>
      <c r="I39" s="28" t="s">
        <v>269</v>
      </c>
      <c r="J39" s="25" t="s">
        <v>270</v>
      </c>
      <c r="K39" s="25" t="s">
        <v>170</v>
      </c>
      <c r="L39" s="25" t="s">
        <v>252</v>
      </c>
      <c r="M39" s="25" t="s">
        <v>267</v>
      </c>
      <c r="N39" s="29" t="str">
        <f t="shared" si="6"/>
        <v>quest_image_kub_01</v>
      </c>
      <c r="O39" s="24"/>
      <c r="P39" s="24"/>
      <c r="Q39" s="24"/>
      <c r="R39" s="25"/>
      <c r="S39" s="25"/>
      <c r="T39" s="24"/>
      <c r="U39" s="24"/>
      <c r="V39" s="23"/>
    </row>
    <row r="40">
      <c r="A40" s="25" t="s">
        <v>271</v>
      </c>
      <c r="B40" s="25" t="str">
        <f t="shared" si="1"/>
        <v>series_banner_sei</v>
      </c>
      <c r="C40" s="26" t="str">
        <f t="shared" si="8"/>
        <v>series_logo_sei</v>
      </c>
      <c r="D40" s="25" t="s">
        <v>272</v>
      </c>
      <c r="E40" s="25"/>
      <c r="F40" s="27"/>
      <c r="G40" s="30"/>
      <c r="H40" s="25" t="s">
        <v>272</v>
      </c>
      <c r="I40" s="28" t="s">
        <v>273</v>
      </c>
      <c r="J40" s="25" t="s">
        <v>274</v>
      </c>
      <c r="K40" s="25" t="s">
        <v>221</v>
      </c>
      <c r="L40" s="25" t="s">
        <v>275</v>
      </c>
      <c r="M40" s="25" t="s">
        <v>271</v>
      </c>
      <c r="N40" s="29" t="str">
        <f t="shared" si="6"/>
        <v>quest_image_sei_01</v>
      </c>
      <c r="O40" s="24"/>
      <c r="P40" s="24"/>
      <c r="Q40" s="24"/>
      <c r="R40" s="25"/>
      <c r="S40" s="25"/>
      <c r="T40" s="24"/>
      <c r="U40" s="24"/>
      <c r="V40" s="23"/>
    </row>
    <row r="41">
      <c r="A41" s="25" t="s">
        <v>276</v>
      </c>
      <c r="B41" s="25" t="str">
        <f t="shared" si="1"/>
        <v>series_banner_kaw</v>
      </c>
      <c r="C41" s="26" t="str">
        <f t="shared" si="8"/>
        <v>series_logo_kaw</v>
      </c>
      <c r="D41" s="25" t="s">
        <v>277</v>
      </c>
      <c r="E41" s="25"/>
      <c r="F41" s="27"/>
      <c r="G41" s="30"/>
      <c r="H41" s="25" t="s">
        <v>277</v>
      </c>
      <c r="I41" s="28" t="s">
        <v>278</v>
      </c>
      <c r="J41" s="25" t="s">
        <v>279</v>
      </c>
      <c r="K41" s="25" t="s">
        <v>170</v>
      </c>
      <c r="L41" s="25" t="s">
        <v>280</v>
      </c>
      <c r="M41" s="25" t="s">
        <v>276</v>
      </c>
      <c r="N41" s="29" t="str">
        <f t="shared" si="6"/>
        <v>quest_image_kaw_01</v>
      </c>
      <c r="O41" s="24"/>
      <c r="P41" s="24"/>
      <c r="Q41" s="24"/>
      <c r="R41" s="25"/>
      <c r="S41" s="25"/>
      <c r="T41" s="24"/>
      <c r="U41" s="24"/>
      <c r="V41" s="23"/>
    </row>
    <row r="42">
      <c r="A42" s="34" t="s">
        <v>281</v>
      </c>
      <c r="B42" s="25" t="str">
        <f t="shared" si="1"/>
        <v>series_banner_c8m</v>
      </c>
      <c r="C42" s="26" t="str">
        <f t="shared" si="8"/>
        <v>series_logo_c8m</v>
      </c>
      <c r="D42" s="25" t="s">
        <v>282</v>
      </c>
      <c r="E42" s="25"/>
      <c r="F42" s="27"/>
      <c r="G42" s="30"/>
      <c r="H42" s="25"/>
      <c r="I42" s="28"/>
      <c r="J42" s="25"/>
      <c r="K42" s="25"/>
      <c r="L42" s="25"/>
      <c r="M42" s="25"/>
      <c r="N42" s="29"/>
      <c r="O42" s="24"/>
      <c r="P42" s="24"/>
      <c r="Q42" s="24"/>
      <c r="R42" s="25"/>
      <c r="S42" s="25"/>
      <c r="T42" s="24"/>
      <c r="U42" s="24"/>
      <c r="V42" s="23"/>
    </row>
    <row r="43">
      <c r="A43" s="24" t="s">
        <v>283</v>
      </c>
      <c r="B43" s="25" t="str">
        <f t="shared" si="1"/>
        <v>series_banner_glo</v>
      </c>
      <c r="C43" s="26" t="s">
        <v>284</v>
      </c>
      <c r="D43" s="33" t="s">
        <v>285</v>
      </c>
      <c r="E43" s="25" t="s">
        <v>64</v>
      </c>
      <c r="F43" s="27" t="s">
        <v>64</v>
      </c>
      <c r="G43" s="30" t="s">
        <v>71</v>
      </c>
      <c r="H43" s="24" t="str">
        <f>if(G43="",D43,if(G43="後ろ",D43&amp;" "&amp;F43,F43&amp;" "&amp;D43))</f>
        <v>GLOW</v>
      </c>
      <c r="I43" s="28" t="s">
        <v>286</v>
      </c>
      <c r="J43" s="25" t="s">
        <v>287</v>
      </c>
      <c r="K43" s="24" t="str">
        <f>left(J43,1)</f>
        <v>g</v>
      </c>
      <c r="L43" s="24" t="str">
        <f>left(J43,2)</f>
        <v>gl</v>
      </c>
      <c r="M43" s="24" t="str">
        <f>left(J43,3)</f>
        <v>glo</v>
      </c>
      <c r="N43" s="29" t="str">
        <f>"quest_image_"&amp;A43&amp;"_"&amp;"01"</f>
        <v>quest_image_glo_01</v>
      </c>
      <c r="O43" s="24"/>
      <c r="P43" s="24"/>
      <c r="Q43" s="24"/>
      <c r="R43" s="25" t="s">
        <v>288</v>
      </c>
      <c r="S43" s="25" t="s">
        <v>86</v>
      </c>
      <c r="T43" s="24"/>
      <c r="U43" s="24"/>
      <c r="V43" s="23"/>
    </row>
    <row r="44">
      <c r="A44" s="23"/>
      <c r="B44" s="23"/>
      <c r="C44" s="23"/>
      <c r="D44" s="23"/>
      <c r="E44" s="23"/>
      <c r="F44" s="23"/>
      <c r="G44" s="23"/>
      <c r="H44" s="23"/>
      <c r="I44" s="35"/>
      <c r="J44" s="23"/>
      <c r="K44" s="23"/>
      <c r="L44" s="23"/>
      <c r="M44" s="23"/>
      <c r="N44" s="23"/>
      <c r="O44" s="23"/>
      <c r="P44" s="23"/>
      <c r="Q44" s="23"/>
      <c r="R44" s="23"/>
      <c r="S44" s="23"/>
      <c r="T44" s="23"/>
      <c r="U44" s="23"/>
      <c r="V44" s="23"/>
    </row>
    <row r="45">
      <c r="A45" s="23"/>
      <c r="B45" s="36"/>
      <c r="C45" s="36"/>
      <c r="D45" s="36" t="s">
        <v>289</v>
      </c>
      <c r="E45" s="23"/>
      <c r="F45" s="23"/>
      <c r="G45" s="23"/>
      <c r="H45" s="23"/>
      <c r="I45" s="35"/>
      <c r="J45" s="23"/>
      <c r="K45" s="23"/>
      <c r="L45" s="23"/>
      <c r="M45" s="23"/>
      <c r="N45" s="36"/>
      <c r="O45" s="23"/>
      <c r="P45" s="23"/>
      <c r="Q45" s="23"/>
      <c r="R45" s="23"/>
      <c r="S45" s="23"/>
      <c r="T45" s="23"/>
      <c r="U45" s="23"/>
      <c r="V45" s="23"/>
    </row>
    <row r="46">
      <c r="A46" s="23"/>
      <c r="B46" s="23"/>
      <c r="C46" s="23"/>
      <c r="D46" s="23"/>
      <c r="E46" s="23"/>
      <c r="F46" s="23"/>
      <c r="G46" s="23"/>
      <c r="H46" s="23"/>
      <c r="I46" s="35"/>
      <c r="J46" s="23"/>
      <c r="K46" s="23"/>
      <c r="L46" s="23"/>
      <c r="M46" s="23"/>
      <c r="N46" s="23"/>
      <c r="O46" s="23"/>
      <c r="P46" s="23"/>
      <c r="Q46" s="23"/>
      <c r="R46" s="23"/>
      <c r="S46" s="23"/>
      <c r="T46" s="23"/>
      <c r="U46" s="23"/>
      <c r="V46" s="23"/>
    </row>
    <row r="47">
      <c r="A47" s="23"/>
      <c r="B47" s="23"/>
      <c r="C47" s="23"/>
      <c r="D47" s="23"/>
      <c r="E47" s="23"/>
      <c r="F47" s="23"/>
      <c r="G47" s="23"/>
      <c r="H47" s="23"/>
      <c r="I47" s="35"/>
      <c r="J47" s="23"/>
      <c r="K47" s="23"/>
      <c r="L47" s="23"/>
      <c r="M47" s="23"/>
      <c r="N47" s="23"/>
      <c r="O47" s="23"/>
      <c r="P47" s="23"/>
      <c r="Q47" s="23"/>
      <c r="R47" s="23"/>
      <c r="S47" s="23"/>
      <c r="T47" s="23"/>
      <c r="U47" s="23"/>
      <c r="V47" s="23"/>
    </row>
    <row r="48">
      <c r="A48" s="23"/>
      <c r="B48" s="23"/>
      <c r="C48" s="23"/>
      <c r="D48" s="23"/>
      <c r="E48" s="23"/>
      <c r="F48" s="23"/>
      <c r="G48" s="23"/>
      <c r="H48" s="23"/>
      <c r="I48" s="35"/>
      <c r="J48" s="23"/>
      <c r="K48" s="23"/>
      <c r="L48" s="23"/>
      <c r="M48" s="23"/>
      <c r="N48" s="23"/>
      <c r="O48" s="23"/>
      <c r="P48" s="23"/>
      <c r="Q48" s="23"/>
      <c r="R48" s="23"/>
      <c r="S48" s="23"/>
      <c r="T48" s="23"/>
      <c r="U48" s="23"/>
      <c r="V48" s="23"/>
    </row>
    <row r="49">
      <c r="A49" s="23"/>
      <c r="B49" s="23"/>
      <c r="C49" s="23"/>
      <c r="D49" s="23"/>
      <c r="E49" s="23"/>
      <c r="F49" s="23"/>
      <c r="G49" s="23"/>
      <c r="H49" s="23"/>
      <c r="I49" s="35"/>
      <c r="J49" s="23"/>
      <c r="K49" s="23"/>
      <c r="L49" s="23"/>
      <c r="M49" s="23"/>
      <c r="N49" s="23"/>
      <c r="O49" s="23"/>
      <c r="P49" s="23"/>
      <c r="Q49" s="23"/>
      <c r="R49" s="23"/>
      <c r="S49" s="23"/>
      <c r="T49" s="23"/>
      <c r="U49" s="23"/>
      <c r="V49" s="23"/>
    </row>
    <row r="50">
      <c r="A50" s="23"/>
      <c r="B50" s="23"/>
      <c r="C50" s="23"/>
      <c r="D50" s="23"/>
      <c r="E50" s="23"/>
      <c r="F50" s="23"/>
      <c r="G50" s="23"/>
      <c r="H50" s="23"/>
      <c r="I50" s="35"/>
      <c r="J50" s="23"/>
      <c r="K50" s="23"/>
      <c r="L50" s="23"/>
      <c r="M50" s="23"/>
      <c r="N50" s="23"/>
      <c r="O50" s="23"/>
      <c r="P50" s="23"/>
      <c r="Q50" s="23"/>
      <c r="R50" s="23"/>
      <c r="S50" s="23"/>
      <c r="T50" s="23"/>
      <c r="U50" s="23"/>
      <c r="V50" s="23"/>
    </row>
    <row r="51">
      <c r="A51" s="23"/>
      <c r="B51" s="23"/>
      <c r="C51" s="23"/>
      <c r="D51" s="23"/>
      <c r="E51" s="23"/>
      <c r="F51" s="23"/>
      <c r="G51" s="23"/>
      <c r="H51" s="23"/>
      <c r="I51" s="35"/>
      <c r="J51" s="23"/>
      <c r="K51" s="23"/>
      <c r="L51" s="23"/>
      <c r="M51" s="23"/>
      <c r="N51" s="23"/>
      <c r="O51" s="23"/>
      <c r="P51" s="23"/>
      <c r="Q51" s="23"/>
      <c r="R51" s="23"/>
      <c r="S51" s="23"/>
      <c r="T51" s="23"/>
      <c r="U51" s="23"/>
      <c r="V51" s="23"/>
    </row>
    <row r="52">
      <c r="A52" s="23"/>
      <c r="B52" s="23"/>
      <c r="C52" s="23"/>
      <c r="D52" s="23"/>
      <c r="E52" s="23"/>
      <c r="F52" s="23"/>
      <c r="G52" s="23"/>
      <c r="H52" s="23"/>
      <c r="I52" s="35"/>
      <c r="J52" s="23"/>
      <c r="K52" s="23"/>
      <c r="L52" s="23"/>
      <c r="M52" s="23"/>
      <c r="N52" s="23"/>
      <c r="O52" s="23"/>
      <c r="P52" s="23"/>
      <c r="Q52" s="23"/>
      <c r="R52" s="23"/>
      <c r="S52" s="23"/>
      <c r="T52" s="23"/>
      <c r="U52" s="23"/>
      <c r="V52" s="23"/>
    </row>
    <row r="53">
      <c r="A53" s="23"/>
      <c r="B53" s="23"/>
      <c r="C53" s="23"/>
      <c r="D53" s="23"/>
      <c r="E53" s="23"/>
      <c r="F53" s="23"/>
      <c r="G53" s="23"/>
      <c r="H53" s="23"/>
      <c r="I53" s="35"/>
      <c r="J53" s="23"/>
      <c r="K53" s="23"/>
      <c r="L53" s="23"/>
      <c r="M53" s="23"/>
      <c r="N53" s="23"/>
      <c r="O53" s="23"/>
      <c r="P53" s="23"/>
      <c r="Q53" s="23"/>
      <c r="R53" s="23"/>
      <c r="S53" s="23"/>
      <c r="T53" s="23"/>
      <c r="U53" s="23"/>
      <c r="V53" s="23"/>
    </row>
    <row r="54">
      <c r="A54" s="23"/>
      <c r="B54" s="23"/>
      <c r="C54" s="23"/>
      <c r="D54" s="23"/>
      <c r="E54" s="23"/>
      <c r="F54" s="23"/>
      <c r="G54" s="23"/>
      <c r="H54" s="23"/>
      <c r="I54" s="35"/>
      <c r="J54" s="23"/>
      <c r="K54" s="23"/>
      <c r="L54" s="23"/>
      <c r="M54" s="23"/>
      <c r="N54" s="23"/>
      <c r="O54" s="23"/>
      <c r="P54" s="23"/>
      <c r="Q54" s="23"/>
      <c r="R54" s="23"/>
      <c r="S54" s="23"/>
      <c r="T54" s="23"/>
      <c r="U54" s="23"/>
      <c r="V54" s="23"/>
    </row>
    <row r="55">
      <c r="A55" s="23"/>
      <c r="B55" s="23"/>
      <c r="C55" s="23"/>
      <c r="D55" s="23"/>
      <c r="E55" s="23"/>
      <c r="F55" s="23"/>
      <c r="G55" s="23"/>
      <c r="H55" s="23"/>
      <c r="I55" s="35"/>
      <c r="J55" s="23"/>
      <c r="K55" s="23"/>
      <c r="L55" s="23"/>
      <c r="M55" s="23"/>
      <c r="N55" s="23"/>
      <c r="O55" s="23"/>
      <c r="P55" s="23"/>
      <c r="Q55" s="23"/>
      <c r="R55" s="23"/>
      <c r="S55" s="23"/>
      <c r="T55" s="23"/>
      <c r="U55" s="23"/>
      <c r="V55" s="23"/>
    </row>
  </sheetData>
  <conditionalFormatting sqref="A2:A43">
    <cfRule type="expression" dxfId="0" priority="1">
      <formula>COUNTIF(D:D,D:D)&gt;1</formula>
    </cfRule>
  </conditionalFormatting>
  <dataValidations>
    <dataValidation type="list" allowBlank="1" sqref="G2:G43">
      <formula1>"前,後ろ"</formula1>
    </dataValidation>
    <dataValidation type="list" allowBlank="1" showErrorMessage="1" sqref="R2:S43">
      <formula1>"バトル系1,バトル系2,（高難易度）バトル1,日常・ギャグ,ラブコメ2,シリアス,強敵/ボスバトル1,強敵/ボス登場時2 （高難度）,降臨バトル,タイトル,ホーム1,ホーム2,バトルリザルト,イベントTOP"</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21.0"/>
    <col customWidth="1" min="4" max="4" width="15.25"/>
    <col customWidth="1" min="5" max="5" width="17.5"/>
    <col customWidth="1" min="6" max="6" width="16.13"/>
    <col customWidth="1" min="7" max="7" width="17.0"/>
  </cols>
  <sheetData>
    <row r="1" ht="15.0" customHeight="1">
      <c r="A1" s="37" t="s">
        <v>290</v>
      </c>
      <c r="B1" s="38" t="s">
        <v>43</v>
      </c>
      <c r="C1" s="39" t="s">
        <v>291</v>
      </c>
      <c r="D1" s="40" t="s">
        <v>292</v>
      </c>
      <c r="E1" s="41" t="s">
        <v>293</v>
      </c>
      <c r="F1" s="42" t="s">
        <v>294</v>
      </c>
      <c r="G1" s="43" t="s">
        <v>295</v>
      </c>
      <c r="H1" s="43" t="s">
        <v>58</v>
      </c>
      <c r="I1" s="38" t="s">
        <v>296</v>
      </c>
    </row>
    <row r="2">
      <c r="A2" s="44" t="s">
        <v>60</v>
      </c>
      <c r="B2" s="45" t="s">
        <v>62</v>
      </c>
      <c r="C2" s="46" t="s">
        <v>297</v>
      </c>
      <c r="D2" s="47" t="s">
        <v>298</v>
      </c>
      <c r="E2" s="48"/>
      <c r="F2" s="49">
        <v>45658.0</v>
      </c>
      <c r="G2" s="50">
        <v>390812.49998842593</v>
      </c>
      <c r="H2" s="51"/>
      <c r="I2" s="45"/>
    </row>
    <row r="3">
      <c r="A3" s="44" t="s">
        <v>60</v>
      </c>
      <c r="B3" s="45" t="s">
        <v>62</v>
      </c>
      <c r="C3" s="46" t="s">
        <v>299</v>
      </c>
      <c r="D3" s="47" t="s">
        <v>300</v>
      </c>
      <c r="E3" s="48"/>
      <c r="F3" s="49">
        <v>45658.0</v>
      </c>
      <c r="G3" s="50">
        <v>390812.49998842593</v>
      </c>
      <c r="H3" s="51"/>
      <c r="I3" s="45"/>
    </row>
    <row r="4">
      <c r="A4" s="44" t="s">
        <v>60</v>
      </c>
      <c r="B4" s="45" t="s">
        <v>62</v>
      </c>
      <c r="C4" s="46" t="s">
        <v>301</v>
      </c>
      <c r="D4" s="47" t="s">
        <v>302</v>
      </c>
      <c r="E4" s="52"/>
      <c r="F4" s="49">
        <v>45658.0</v>
      </c>
      <c r="G4" s="50">
        <v>390812.49998842593</v>
      </c>
      <c r="H4" s="51"/>
      <c r="I4" s="45"/>
    </row>
    <row r="5">
      <c r="A5" s="44" t="s">
        <v>60</v>
      </c>
      <c r="B5" s="45" t="s">
        <v>62</v>
      </c>
      <c r="C5" s="46" t="s">
        <v>303</v>
      </c>
      <c r="D5" s="47" t="s">
        <v>304</v>
      </c>
      <c r="E5" s="52"/>
      <c r="F5" s="49">
        <v>45658.0</v>
      </c>
      <c r="G5" s="50">
        <v>390812.49998842593</v>
      </c>
      <c r="H5" s="51"/>
      <c r="I5" s="45"/>
    </row>
    <row r="6">
      <c r="A6" s="44" t="s">
        <v>60</v>
      </c>
      <c r="B6" s="45" t="s">
        <v>62</v>
      </c>
      <c r="C6" s="46" t="s">
        <v>305</v>
      </c>
      <c r="D6" s="47" t="s">
        <v>306</v>
      </c>
      <c r="E6" s="52"/>
      <c r="F6" s="49">
        <v>45658.0</v>
      </c>
      <c r="G6" s="50">
        <v>390812.49998842593</v>
      </c>
      <c r="H6" s="51"/>
      <c r="I6" s="45"/>
    </row>
    <row r="7">
      <c r="A7" s="44" t="s">
        <v>60</v>
      </c>
      <c r="B7" s="45" t="s">
        <v>62</v>
      </c>
      <c r="C7" s="46" t="s">
        <v>307</v>
      </c>
      <c r="D7" s="47" t="s">
        <v>308</v>
      </c>
      <c r="E7" s="52"/>
      <c r="F7" s="49">
        <v>45658.0</v>
      </c>
      <c r="G7" s="50">
        <v>390812.49998842593</v>
      </c>
      <c r="H7" s="51"/>
      <c r="I7" s="45"/>
    </row>
    <row r="8">
      <c r="A8" s="44" t="s">
        <v>68</v>
      </c>
      <c r="B8" s="53" t="s">
        <v>70</v>
      </c>
      <c r="C8" s="46" t="s">
        <v>309</v>
      </c>
      <c r="D8" s="47" t="s">
        <v>310</v>
      </c>
      <c r="E8" s="52"/>
      <c r="F8" s="49">
        <v>45658.0</v>
      </c>
      <c r="G8" s="50">
        <v>390812.49998842593</v>
      </c>
      <c r="H8" s="54"/>
      <c r="I8" s="45"/>
    </row>
    <row r="9">
      <c r="A9" s="44" t="s">
        <v>68</v>
      </c>
      <c r="B9" s="53" t="s">
        <v>70</v>
      </c>
      <c r="C9" s="46" t="s">
        <v>311</v>
      </c>
      <c r="D9" s="47" t="s">
        <v>312</v>
      </c>
      <c r="E9" s="52"/>
      <c r="F9" s="49">
        <v>45658.0</v>
      </c>
      <c r="G9" s="50">
        <v>390812.49998842593</v>
      </c>
      <c r="H9" s="54"/>
      <c r="I9" s="45"/>
    </row>
    <row r="10">
      <c r="A10" s="44" t="s">
        <v>75</v>
      </c>
      <c r="B10" s="53" t="s">
        <v>77</v>
      </c>
      <c r="C10" s="46" t="s">
        <v>313</v>
      </c>
      <c r="D10" s="47" t="s">
        <v>314</v>
      </c>
      <c r="E10" s="52"/>
      <c r="F10" s="49">
        <v>45658.0</v>
      </c>
      <c r="G10" s="50">
        <v>390812.49998842593</v>
      </c>
      <c r="H10" s="54"/>
      <c r="I10" s="45"/>
    </row>
    <row r="11">
      <c r="A11" s="44" t="s">
        <v>75</v>
      </c>
      <c r="B11" s="53" t="s">
        <v>77</v>
      </c>
      <c r="C11" s="46" t="s">
        <v>315</v>
      </c>
      <c r="D11" s="47" t="s">
        <v>316</v>
      </c>
      <c r="E11" s="52"/>
      <c r="F11" s="49">
        <v>45658.0</v>
      </c>
      <c r="G11" s="50">
        <v>390812.49998842593</v>
      </c>
      <c r="H11" s="54"/>
      <c r="I11" s="45"/>
    </row>
    <row r="12">
      <c r="A12" s="44" t="s">
        <v>75</v>
      </c>
      <c r="B12" s="53" t="s">
        <v>77</v>
      </c>
      <c r="C12" s="46" t="s">
        <v>317</v>
      </c>
      <c r="D12" s="47" t="s">
        <v>318</v>
      </c>
      <c r="E12" s="52"/>
      <c r="F12" s="49">
        <v>45658.0</v>
      </c>
      <c r="G12" s="50">
        <v>390812.49998842593</v>
      </c>
      <c r="H12" s="54"/>
      <c r="I12" s="45"/>
    </row>
    <row r="13">
      <c r="A13" s="44" t="s">
        <v>80</v>
      </c>
      <c r="B13" s="53" t="s">
        <v>82</v>
      </c>
      <c r="C13" s="46" t="s">
        <v>319</v>
      </c>
      <c r="D13" s="47" t="s">
        <v>320</v>
      </c>
      <c r="E13" s="52"/>
      <c r="F13" s="49">
        <v>45658.0</v>
      </c>
      <c r="G13" s="50">
        <v>390812.49998842593</v>
      </c>
      <c r="H13" s="54"/>
      <c r="I13" s="45"/>
    </row>
    <row r="14">
      <c r="A14" s="44" t="s">
        <v>80</v>
      </c>
      <c r="B14" s="53" t="s">
        <v>82</v>
      </c>
      <c r="C14" s="46" t="s">
        <v>321</v>
      </c>
      <c r="D14" s="47" t="s">
        <v>322</v>
      </c>
      <c r="E14" s="52"/>
      <c r="F14" s="49">
        <v>45658.0</v>
      </c>
      <c r="G14" s="50">
        <v>390812.49998842593</v>
      </c>
      <c r="H14" s="54"/>
      <c r="I14" s="45"/>
    </row>
    <row r="15">
      <c r="A15" s="44" t="s">
        <v>80</v>
      </c>
      <c r="B15" s="53" t="s">
        <v>82</v>
      </c>
      <c r="C15" s="46" t="s">
        <v>323</v>
      </c>
      <c r="D15" s="47" t="s">
        <v>324</v>
      </c>
      <c r="E15" s="52"/>
      <c r="F15" s="49">
        <v>45658.0</v>
      </c>
      <c r="G15" s="50">
        <v>390812.49998842593</v>
      </c>
      <c r="H15" s="54"/>
      <c r="I15" s="45"/>
    </row>
    <row r="16">
      <c r="A16" s="44" t="s">
        <v>80</v>
      </c>
      <c r="B16" s="53" t="s">
        <v>82</v>
      </c>
      <c r="C16" s="46" t="s">
        <v>325</v>
      </c>
      <c r="D16" s="47" t="s">
        <v>326</v>
      </c>
      <c r="E16" s="52"/>
      <c r="F16" s="49">
        <v>45658.0</v>
      </c>
      <c r="G16" s="50">
        <v>390812.49998842593</v>
      </c>
      <c r="H16" s="54"/>
      <c r="I16" s="45"/>
    </row>
    <row r="17">
      <c r="A17" s="44" t="s">
        <v>87</v>
      </c>
      <c r="B17" s="53" t="s">
        <v>89</v>
      </c>
      <c r="C17" s="46" t="s">
        <v>327</v>
      </c>
      <c r="D17" s="47" t="s">
        <v>328</v>
      </c>
      <c r="E17" s="52"/>
      <c r="F17" s="49">
        <v>45658.0</v>
      </c>
      <c r="G17" s="50">
        <v>390812.49998842593</v>
      </c>
      <c r="H17" s="54"/>
      <c r="I17" s="45"/>
    </row>
    <row r="18">
      <c r="A18" s="44" t="s">
        <v>87</v>
      </c>
      <c r="B18" s="53" t="s">
        <v>89</v>
      </c>
      <c r="C18" s="46" t="s">
        <v>329</v>
      </c>
      <c r="D18" s="47" t="s">
        <v>330</v>
      </c>
      <c r="E18" s="52"/>
      <c r="F18" s="49">
        <v>45658.0</v>
      </c>
      <c r="G18" s="50">
        <v>390812.49998842593</v>
      </c>
      <c r="H18" s="54"/>
      <c r="I18" s="45"/>
    </row>
    <row r="19">
      <c r="A19" s="44" t="s">
        <v>92</v>
      </c>
      <c r="B19" s="53" t="s">
        <v>331</v>
      </c>
      <c r="C19" s="46" t="s">
        <v>332</v>
      </c>
      <c r="D19" s="47" t="s">
        <v>333</v>
      </c>
      <c r="E19" s="52"/>
      <c r="F19" s="49">
        <v>45658.0</v>
      </c>
      <c r="G19" s="50">
        <v>390812.49998842593</v>
      </c>
      <c r="H19" s="54"/>
      <c r="I19" s="45"/>
    </row>
    <row r="20">
      <c r="A20" s="44" t="s">
        <v>92</v>
      </c>
      <c r="B20" s="53" t="s">
        <v>331</v>
      </c>
      <c r="C20" s="46" t="s">
        <v>334</v>
      </c>
      <c r="D20" s="47" t="s">
        <v>335</v>
      </c>
      <c r="E20" s="52"/>
      <c r="F20" s="49">
        <v>45658.0</v>
      </c>
      <c r="G20" s="50">
        <v>390812.49998842593</v>
      </c>
      <c r="H20" s="54"/>
      <c r="I20" s="45"/>
    </row>
    <row r="21">
      <c r="A21" s="44" t="s">
        <v>92</v>
      </c>
      <c r="B21" s="53" t="s">
        <v>331</v>
      </c>
      <c r="C21" s="46" t="s">
        <v>336</v>
      </c>
      <c r="D21" s="47" t="s">
        <v>337</v>
      </c>
      <c r="E21" s="52"/>
      <c r="F21" s="49">
        <v>45658.0</v>
      </c>
      <c r="G21" s="50">
        <v>390812.49998842593</v>
      </c>
      <c r="H21" s="54"/>
      <c r="I21" s="45"/>
    </row>
    <row r="22">
      <c r="A22" s="44" t="s">
        <v>109</v>
      </c>
      <c r="B22" s="53" t="s">
        <v>111</v>
      </c>
      <c r="C22" s="46" t="s">
        <v>338</v>
      </c>
      <c r="D22" s="47" t="s">
        <v>339</v>
      </c>
      <c r="E22" s="52"/>
      <c r="F22" s="49">
        <v>45658.0</v>
      </c>
      <c r="G22" s="50">
        <v>390812.49998842593</v>
      </c>
      <c r="H22" s="54"/>
      <c r="I22" s="45"/>
    </row>
    <row r="23">
      <c r="A23" s="44" t="s">
        <v>109</v>
      </c>
      <c r="B23" s="53" t="s">
        <v>111</v>
      </c>
      <c r="C23" s="46" t="s">
        <v>340</v>
      </c>
      <c r="D23" s="47" t="s">
        <v>341</v>
      </c>
      <c r="E23" s="52"/>
      <c r="F23" s="49">
        <v>45658.0</v>
      </c>
      <c r="G23" s="50">
        <v>390812.49998842593</v>
      </c>
      <c r="H23" s="54"/>
      <c r="I23" s="45"/>
    </row>
    <row r="24">
      <c r="A24" s="44" t="s">
        <v>115</v>
      </c>
      <c r="B24" s="53" t="s">
        <v>117</v>
      </c>
      <c r="C24" s="46" t="s">
        <v>342</v>
      </c>
      <c r="D24" s="47" t="s">
        <v>343</v>
      </c>
      <c r="E24" s="52"/>
      <c r="F24" s="49">
        <v>45658.0</v>
      </c>
      <c r="G24" s="50">
        <v>390812.49998842593</v>
      </c>
      <c r="H24" s="54"/>
      <c r="I24" s="45"/>
    </row>
    <row r="25">
      <c r="A25" s="44" t="s">
        <v>115</v>
      </c>
      <c r="B25" s="53" t="s">
        <v>117</v>
      </c>
      <c r="C25" s="46" t="s">
        <v>344</v>
      </c>
      <c r="D25" s="47" t="s">
        <v>345</v>
      </c>
      <c r="E25" s="52"/>
      <c r="F25" s="49">
        <v>45658.0</v>
      </c>
      <c r="G25" s="50">
        <v>390812.49998842593</v>
      </c>
      <c r="H25" s="54"/>
      <c r="I25" s="45"/>
    </row>
    <row r="26">
      <c r="A26" s="44" t="s">
        <v>115</v>
      </c>
      <c r="B26" s="53" t="s">
        <v>117</v>
      </c>
      <c r="C26" s="53" t="s">
        <v>346</v>
      </c>
      <c r="D26" s="47" t="s">
        <v>347</v>
      </c>
      <c r="E26" s="52"/>
      <c r="F26" s="49">
        <v>45658.0</v>
      </c>
      <c r="G26" s="50">
        <v>390812.49998842593</v>
      </c>
      <c r="H26" s="54"/>
      <c r="I26" s="45"/>
    </row>
    <row r="27">
      <c r="A27" s="44" t="s">
        <v>115</v>
      </c>
      <c r="B27" s="53" t="s">
        <v>117</v>
      </c>
      <c r="C27" s="53" t="s">
        <v>348</v>
      </c>
      <c r="D27" s="47" t="s">
        <v>349</v>
      </c>
      <c r="E27" s="52"/>
      <c r="F27" s="49">
        <v>45658.0</v>
      </c>
      <c r="G27" s="50">
        <v>390812.49998842593</v>
      </c>
      <c r="H27" s="54"/>
      <c r="I27" s="45"/>
    </row>
    <row r="28">
      <c r="A28" s="44" t="s">
        <v>115</v>
      </c>
      <c r="B28" s="53" t="s">
        <v>117</v>
      </c>
      <c r="C28" s="53" t="s">
        <v>350</v>
      </c>
      <c r="D28" s="47" t="s">
        <v>351</v>
      </c>
      <c r="E28" s="52"/>
      <c r="F28" s="49">
        <v>45658.0</v>
      </c>
      <c r="G28" s="50">
        <v>390812.49998842593</v>
      </c>
      <c r="H28" s="54"/>
      <c r="I28" s="45"/>
    </row>
    <row r="29">
      <c r="A29" s="44" t="s">
        <v>115</v>
      </c>
      <c r="B29" s="53" t="s">
        <v>117</v>
      </c>
      <c r="C29" s="46" t="s">
        <v>352</v>
      </c>
      <c r="D29" s="47" t="s">
        <v>353</v>
      </c>
      <c r="E29" s="52"/>
      <c r="F29" s="49">
        <v>45658.0</v>
      </c>
      <c r="G29" s="50">
        <v>390812.49998842593</v>
      </c>
      <c r="H29" s="54"/>
      <c r="I29" s="45"/>
    </row>
    <row r="30">
      <c r="A30" s="44" t="s">
        <v>121</v>
      </c>
      <c r="B30" s="53" t="s">
        <v>123</v>
      </c>
      <c r="C30" s="53" t="s">
        <v>354</v>
      </c>
      <c r="D30" s="47" t="s">
        <v>355</v>
      </c>
      <c r="E30" s="52"/>
      <c r="F30" s="49">
        <v>45658.0</v>
      </c>
      <c r="G30" s="50">
        <v>390812.49998842593</v>
      </c>
      <c r="H30" s="54"/>
      <c r="I30" s="45"/>
    </row>
    <row r="31">
      <c r="A31" s="44" t="s">
        <v>121</v>
      </c>
      <c r="B31" s="53" t="s">
        <v>123</v>
      </c>
      <c r="C31" s="53" t="s">
        <v>356</v>
      </c>
      <c r="D31" s="47" t="s">
        <v>357</v>
      </c>
      <c r="E31" s="52"/>
      <c r="F31" s="49">
        <v>45658.0</v>
      </c>
      <c r="G31" s="50">
        <v>390812.49998842593</v>
      </c>
      <c r="H31" s="54"/>
      <c r="I31" s="45"/>
    </row>
    <row r="32">
      <c r="A32" s="44" t="s">
        <v>121</v>
      </c>
      <c r="B32" s="53" t="s">
        <v>123</v>
      </c>
      <c r="C32" s="53" t="s">
        <v>358</v>
      </c>
      <c r="D32" s="47" t="s">
        <v>359</v>
      </c>
      <c r="E32" s="52"/>
      <c r="F32" s="49">
        <v>45658.0</v>
      </c>
      <c r="G32" s="50">
        <v>390812.49998842593</v>
      </c>
      <c r="H32" s="54"/>
      <c r="I32" s="45"/>
    </row>
    <row r="33">
      <c r="A33" s="44" t="s">
        <v>127</v>
      </c>
      <c r="B33" s="53" t="s">
        <v>129</v>
      </c>
      <c r="C33" s="53" t="s">
        <v>360</v>
      </c>
      <c r="D33" s="47" t="s">
        <v>361</v>
      </c>
      <c r="E33" s="52"/>
      <c r="F33" s="49">
        <v>45658.0</v>
      </c>
      <c r="G33" s="50">
        <v>390812.49998842593</v>
      </c>
      <c r="H33" s="54"/>
      <c r="I33" s="45"/>
    </row>
    <row r="34">
      <c r="A34" s="44" t="s">
        <v>127</v>
      </c>
      <c r="B34" s="53" t="s">
        <v>129</v>
      </c>
      <c r="C34" s="53" t="s">
        <v>362</v>
      </c>
      <c r="D34" s="47" t="s">
        <v>363</v>
      </c>
      <c r="E34" s="52"/>
      <c r="F34" s="49">
        <v>45658.0</v>
      </c>
      <c r="G34" s="50">
        <v>390812.49998842593</v>
      </c>
      <c r="H34" s="54"/>
      <c r="I34" s="45"/>
    </row>
    <row r="35">
      <c r="A35" s="44" t="s">
        <v>127</v>
      </c>
      <c r="B35" s="53" t="s">
        <v>129</v>
      </c>
      <c r="C35" s="53" t="s">
        <v>364</v>
      </c>
      <c r="D35" s="47" t="s">
        <v>365</v>
      </c>
      <c r="E35" s="52"/>
      <c r="F35" s="49">
        <v>45658.0</v>
      </c>
      <c r="G35" s="50">
        <v>390812.49998842593</v>
      </c>
      <c r="H35" s="54"/>
      <c r="I35" s="45"/>
    </row>
    <row r="36">
      <c r="A36" s="44" t="s">
        <v>127</v>
      </c>
      <c r="B36" s="53" t="s">
        <v>129</v>
      </c>
      <c r="C36" s="53" t="s">
        <v>366</v>
      </c>
      <c r="D36" s="47" t="s">
        <v>367</v>
      </c>
      <c r="E36" s="52"/>
      <c r="F36" s="49">
        <v>45658.0</v>
      </c>
      <c r="G36" s="50">
        <v>390812.49998842593</v>
      </c>
      <c r="H36" s="54"/>
      <c r="I36" s="45"/>
    </row>
    <row r="37">
      <c r="A37" s="44" t="s">
        <v>127</v>
      </c>
      <c r="B37" s="53" t="s">
        <v>129</v>
      </c>
      <c r="C37" s="53" t="s">
        <v>368</v>
      </c>
      <c r="D37" s="47" t="s">
        <v>369</v>
      </c>
      <c r="E37" s="52"/>
      <c r="F37" s="49">
        <v>45658.0</v>
      </c>
      <c r="G37" s="50">
        <v>390812.49998842593</v>
      </c>
      <c r="H37" s="54"/>
      <c r="I37" s="52"/>
    </row>
    <row r="38">
      <c r="A38" s="44" t="s">
        <v>132</v>
      </c>
      <c r="B38" s="53" t="s">
        <v>134</v>
      </c>
      <c r="C38" s="53" t="s">
        <v>370</v>
      </c>
      <c r="D38" s="47" t="s">
        <v>371</v>
      </c>
      <c r="E38" s="52"/>
      <c r="F38" s="49">
        <v>45658.0</v>
      </c>
      <c r="G38" s="50">
        <v>390812.49998842593</v>
      </c>
      <c r="H38" s="54"/>
      <c r="I38" s="52"/>
    </row>
    <row r="39">
      <c r="A39" s="44" t="s">
        <v>132</v>
      </c>
      <c r="B39" s="53" t="s">
        <v>134</v>
      </c>
      <c r="C39" s="53" t="s">
        <v>372</v>
      </c>
      <c r="D39" s="47" t="s">
        <v>373</v>
      </c>
      <c r="E39" s="52"/>
      <c r="F39" s="49">
        <v>45658.0</v>
      </c>
      <c r="G39" s="50">
        <v>390812.49998842593</v>
      </c>
      <c r="H39" s="54"/>
      <c r="I39" s="52"/>
    </row>
    <row r="40">
      <c r="A40" s="44" t="s">
        <v>138</v>
      </c>
      <c r="B40" s="53" t="s">
        <v>140</v>
      </c>
      <c r="C40" s="53" t="s">
        <v>374</v>
      </c>
      <c r="D40" s="47" t="s">
        <v>375</v>
      </c>
      <c r="E40" s="52"/>
      <c r="F40" s="49">
        <v>45658.0</v>
      </c>
      <c r="G40" s="50">
        <v>390812.49998842593</v>
      </c>
      <c r="H40" s="54"/>
      <c r="I40" s="52"/>
    </row>
    <row r="41">
      <c r="A41" s="44" t="s">
        <v>138</v>
      </c>
      <c r="B41" s="53" t="s">
        <v>140</v>
      </c>
      <c r="C41" s="53" t="s">
        <v>376</v>
      </c>
      <c r="D41" s="47" t="s">
        <v>377</v>
      </c>
      <c r="E41" s="52"/>
      <c r="F41" s="49">
        <v>45658.0</v>
      </c>
      <c r="G41" s="50">
        <v>390812.49998842593</v>
      </c>
      <c r="H41" s="54"/>
      <c r="I41" s="52"/>
    </row>
    <row r="42">
      <c r="A42" s="44" t="s">
        <v>153</v>
      </c>
      <c r="B42" s="53" t="s">
        <v>155</v>
      </c>
      <c r="C42" s="53" t="s">
        <v>378</v>
      </c>
      <c r="D42" s="47" t="s">
        <v>379</v>
      </c>
      <c r="E42" s="52"/>
      <c r="F42" s="49">
        <v>45658.0</v>
      </c>
      <c r="G42" s="50">
        <v>390812.49998842593</v>
      </c>
      <c r="H42" s="54"/>
      <c r="I42" s="52"/>
    </row>
    <row r="43">
      <c r="A43" s="44" t="s">
        <v>148</v>
      </c>
      <c r="B43" s="53" t="s">
        <v>150</v>
      </c>
      <c r="C43" s="53" t="s">
        <v>380</v>
      </c>
      <c r="D43" s="47" t="s">
        <v>381</v>
      </c>
      <c r="E43" s="52"/>
      <c r="F43" s="49">
        <v>45658.0</v>
      </c>
      <c r="G43" s="50">
        <v>390812.49998842593</v>
      </c>
      <c r="H43" s="54"/>
      <c r="I43" s="52"/>
    </row>
    <row r="44">
      <c r="A44" s="44" t="s">
        <v>148</v>
      </c>
      <c r="B44" s="53" t="s">
        <v>150</v>
      </c>
      <c r="C44" s="53" t="s">
        <v>382</v>
      </c>
      <c r="D44" s="47" t="s">
        <v>383</v>
      </c>
      <c r="E44" s="52"/>
      <c r="F44" s="49">
        <v>45658.0</v>
      </c>
      <c r="G44" s="50">
        <v>390812.49998842593</v>
      </c>
      <c r="H44" s="54"/>
      <c r="I44" s="52"/>
    </row>
    <row r="45">
      <c r="A45" s="55" t="s">
        <v>98</v>
      </c>
      <c r="B45" s="53" t="s">
        <v>100</v>
      </c>
      <c r="C45" s="53" t="s">
        <v>384</v>
      </c>
      <c r="D45" s="47" t="s">
        <v>385</v>
      </c>
      <c r="E45" s="52"/>
      <c r="F45" s="49">
        <v>45658.0</v>
      </c>
      <c r="G45" s="50">
        <v>390812.49998842593</v>
      </c>
      <c r="H45" s="54"/>
      <c r="I45" s="52"/>
    </row>
    <row r="46">
      <c r="A46" s="55" t="s">
        <v>98</v>
      </c>
      <c r="B46" s="53" t="s">
        <v>100</v>
      </c>
      <c r="C46" s="53" t="s">
        <v>386</v>
      </c>
      <c r="D46" s="47" t="s">
        <v>387</v>
      </c>
      <c r="E46" s="52"/>
      <c r="F46" s="49">
        <v>45658.0</v>
      </c>
      <c r="G46" s="50">
        <v>390812.49998842593</v>
      </c>
      <c r="H46" s="54"/>
      <c r="I46" s="52"/>
    </row>
    <row r="47">
      <c r="A47" s="44" t="s">
        <v>103</v>
      </c>
      <c r="B47" s="53" t="s">
        <v>105</v>
      </c>
      <c r="C47" s="53" t="s">
        <v>388</v>
      </c>
      <c r="D47" s="47" t="s">
        <v>389</v>
      </c>
      <c r="E47" s="52"/>
      <c r="F47" s="49">
        <v>45658.0</v>
      </c>
      <c r="G47" s="50">
        <v>390812.49998842593</v>
      </c>
      <c r="H47" s="54"/>
      <c r="I47" s="52"/>
    </row>
    <row r="48">
      <c r="A48" s="44" t="s">
        <v>103</v>
      </c>
      <c r="B48" s="53" t="s">
        <v>105</v>
      </c>
      <c r="C48" s="53" t="s">
        <v>390</v>
      </c>
      <c r="D48" s="47" t="s">
        <v>391</v>
      </c>
      <c r="E48" s="52"/>
      <c r="F48" s="49">
        <v>45658.0</v>
      </c>
      <c r="G48" s="50">
        <v>390812.49998842593</v>
      </c>
      <c r="H48" s="54"/>
      <c r="I48" s="52"/>
    </row>
    <row r="49">
      <c r="A49" s="44" t="s">
        <v>143</v>
      </c>
      <c r="B49" s="53" t="s">
        <v>145</v>
      </c>
      <c r="C49" s="53" t="s">
        <v>392</v>
      </c>
      <c r="D49" s="47" t="s">
        <v>393</v>
      </c>
      <c r="E49" s="52"/>
      <c r="F49" s="49">
        <v>45658.0</v>
      </c>
      <c r="G49" s="50">
        <v>390812.49998842593</v>
      </c>
      <c r="H49" s="54"/>
      <c r="I49" s="52"/>
    </row>
    <row r="50">
      <c r="A50" s="44" t="s">
        <v>143</v>
      </c>
      <c r="B50" s="53" t="s">
        <v>145</v>
      </c>
      <c r="C50" s="53" t="s">
        <v>394</v>
      </c>
      <c r="D50" s="47" t="s">
        <v>395</v>
      </c>
      <c r="E50" s="52"/>
      <c r="F50" s="49">
        <v>45658.0</v>
      </c>
      <c r="G50" s="50">
        <v>390812.49998842593</v>
      </c>
      <c r="H50" s="54"/>
      <c r="I50" s="52"/>
    </row>
    <row r="51">
      <c r="A51" s="44" t="s">
        <v>143</v>
      </c>
      <c r="B51" s="53" t="s">
        <v>145</v>
      </c>
      <c r="C51" s="53" t="s">
        <v>396</v>
      </c>
      <c r="D51" s="47" t="s">
        <v>397</v>
      </c>
      <c r="E51" s="52"/>
      <c r="F51" s="49">
        <v>45658.0</v>
      </c>
      <c r="G51" s="50">
        <v>390812.49998842593</v>
      </c>
      <c r="H51" s="54"/>
      <c r="I51" s="52"/>
    </row>
    <row r="52">
      <c r="A52" s="56"/>
      <c r="B52" s="56"/>
      <c r="C52" s="56"/>
      <c r="D52" s="56"/>
      <c r="E52" s="56"/>
      <c r="F52" s="56"/>
      <c r="G52" s="56"/>
      <c r="H52" s="56"/>
      <c r="I52" s="56"/>
    </row>
    <row r="53">
      <c r="A53" s="56"/>
      <c r="B53" s="56"/>
      <c r="C53" s="56"/>
      <c r="D53" s="56"/>
      <c r="E53" s="56"/>
      <c r="F53" s="56"/>
      <c r="G53" s="56"/>
      <c r="H53" s="56"/>
      <c r="I53" s="56"/>
    </row>
    <row r="54">
      <c r="A54" s="56"/>
      <c r="B54" s="56"/>
      <c r="C54" s="56"/>
      <c r="D54" s="56"/>
      <c r="E54" s="56"/>
      <c r="F54" s="56"/>
      <c r="G54" s="56"/>
      <c r="H54" s="56"/>
      <c r="I54" s="56"/>
    </row>
    <row r="55">
      <c r="A55" s="56"/>
      <c r="B55" s="56"/>
      <c r="C55" s="56"/>
      <c r="D55" s="56"/>
      <c r="E55" s="56"/>
      <c r="F55" s="56"/>
      <c r="G55" s="56"/>
      <c r="H55" s="56"/>
      <c r="I55" s="56"/>
    </row>
    <row r="56">
      <c r="A56" s="56"/>
      <c r="B56" s="56"/>
      <c r="C56" s="56"/>
      <c r="D56" s="56"/>
      <c r="E56" s="56"/>
      <c r="F56" s="56"/>
      <c r="G56" s="56"/>
      <c r="H56" s="56"/>
      <c r="I56" s="56"/>
    </row>
    <row r="57">
      <c r="A57" s="56"/>
      <c r="B57" s="56"/>
      <c r="C57" s="56"/>
      <c r="D57" s="56"/>
      <c r="E57" s="56"/>
      <c r="F57" s="56"/>
      <c r="G57" s="56"/>
      <c r="H57" s="56"/>
      <c r="I57" s="56"/>
    </row>
    <row r="58">
      <c r="A58" s="56"/>
      <c r="B58" s="56"/>
      <c r="C58" s="56"/>
      <c r="D58" s="56"/>
      <c r="E58" s="56"/>
      <c r="F58" s="56"/>
      <c r="G58" s="56"/>
      <c r="H58" s="56"/>
      <c r="I58" s="56"/>
    </row>
    <row r="59">
      <c r="A59" s="56"/>
      <c r="B59" s="56"/>
      <c r="C59" s="56"/>
      <c r="D59" s="56"/>
      <c r="E59" s="56"/>
      <c r="F59" s="56"/>
      <c r="G59" s="56"/>
      <c r="H59" s="56"/>
      <c r="I59" s="56"/>
    </row>
    <row r="60">
      <c r="A60" s="56"/>
      <c r="B60" s="56"/>
      <c r="C60" s="56"/>
      <c r="D60" s="56"/>
      <c r="E60" s="56"/>
      <c r="F60" s="56"/>
      <c r="G60" s="56"/>
      <c r="H60" s="56"/>
      <c r="I60" s="56"/>
    </row>
    <row r="61">
      <c r="A61" s="56"/>
      <c r="B61" s="56"/>
      <c r="C61" s="56"/>
      <c r="D61" s="56"/>
      <c r="E61" s="56"/>
      <c r="F61" s="56"/>
      <c r="G61" s="56"/>
      <c r="H61" s="56"/>
      <c r="I61" s="56"/>
    </row>
    <row r="62">
      <c r="A62" s="56"/>
      <c r="B62" s="56"/>
      <c r="C62" s="56"/>
      <c r="D62" s="56"/>
      <c r="E62" s="56"/>
      <c r="F62" s="56"/>
      <c r="G62" s="56"/>
      <c r="H62" s="56"/>
      <c r="I62" s="56"/>
    </row>
    <row r="63">
      <c r="A63" s="56"/>
      <c r="B63" s="56"/>
      <c r="C63" s="56"/>
      <c r="D63" s="56"/>
      <c r="E63" s="56"/>
      <c r="F63" s="56"/>
      <c r="G63" s="56"/>
      <c r="H63" s="56"/>
      <c r="I63" s="56"/>
    </row>
    <row r="64">
      <c r="A64" s="56"/>
      <c r="B64" s="56"/>
      <c r="C64" s="56"/>
      <c r="D64" s="56"/>
      <c r="E64" s="56"/>
      <c r="F64" s="56"/>
      <c r="G64" s="56"/>
      <c r="H64" s="56"/>
      <c r="I64" s="56"/>
    </row>
    <row r="65">
      <c r="A65" s="56"/>
      <c r="B65" s="56"/>
      <c r="C65" s="56"/>
      <c r="D65" s="56"/>
      <c r="E65" s="56"/>
      <c r="F65" s="56"/>
      <c r="G65" s="56"/>
      <c r="H65" s="56"/>
      <c r="I65" s="56"/>
    </row>
    <row r="66">
      <c r="A66" s="56"/>
      <c r="B66" s="56"/>
      <c r="C66" s="56"/>
      <c r="D66" s="56"/>
      <c r="E66" s="56"/>
      <c r="F66" s="56"/>
      <c r="G66" s="56"/>
      <c r="H66" s="56"/>
      <c r="I66" s="56"/>
    </row>
    <row r="67">
      <c r="A67" s="56"/>
      <c r="B67" s="56"/>
      <c r="C67" s="56"/>
      <c r="D67" s="56"/>
      <c r="E67" s="56"/>
      <c r="F67" s="56"/>
      <c r="G67" s="56"/>
      <c r="H67" s="56"/>
      <c r="I67" s="56"/>
    </row>
    <row r="68">
      <c r="A68" s="56"/>
      <c r="B68" s="56"/>
      <c r="C68" s="56"/>
      <c r="D68" s="56"/>
      <c r="E68" s="56"/>
      <c r="F68" s="56"/>
      <c r="G68" s="56"/>
      <c r="H68" s="56"/>
      <c r="I68" s="56"/>
    </row>
    <row r="69">
      <c r="A69" s="56"/>
      <c r="B69" s="56"/>
      <c r="C69" s="56"/>
      <c r="D69" s="56"/>
      <c r="E69" s="56"/>
      <c r="F69" s="56"/>
      <c r="G69" s="56"/>
      <c r="H69" s="56"/>
      <c r="I69" s="56"/>
    </row>
    <row r="70">
      <c r="A70" s="56"/>
      <c r="B70" s="56"/>
      <c r="C70" s="56"/>
      <c r="D70" s="56"/>
      <c r="E70" s="56"/>
      <c r="F70" s="56"/>
      <c r="G70" s="56"/>
      <c r="H70" s="56"/>
      <c r="I70" s="56"/>
    </row>
    <row r="71">
      <c r="A71" s="56"/>
      <c r="B71" s="56"/>
      <c r="C71" s="56"/>
      <c r="D71" s="56"/>
      <c r="E71" s="56"/>
      <c r="F71" s="56"/>
      <c r="G71" s="56"/>
      <c r="H71" s="56"/>
      <c r="I71" s="56"/>
    </row>
    <row r="72">
      <c r="A72" s="56"/>
      <c r="B72" s="56"/>
      <c r="C72" s="56"/>
      <c r="D72" s="56"/>
      <c r="E72" s="56"/>
      <c r="F72" s="56"/>
      <c r="G72" s="56"/>
      <c r="H72" s="56"/>
      <c r="I72" s="56"/>
    </row>
    <row r="73">
      <c r="A73" s="56"/>
      <c r="B73" s="56"/>
      <c r="C73" s="56"/>
      <c r="D73" s="56"/>
      <c r="E73" s="56"/>
      <c r="F73" s="56"/>
      <c r="G73" s="56"/>
      <c r="H73" s="56"/>
      <c r="I73" s="56"/>
    </row>
    <row r="74">
      <c r="A74" s="56"/>
      <c r="B74" s="56"/>
      <c r="C74" s="56"/>
      <c r="D74" s="56"/>
      <c r="E74" s="56"/>
      <c r="F74" s="56"/>
      <c r="G74" s="56"/>
      <c r="H74" s="56"/>
      <c r="I74" s="56"/>
    </row>
    <row r="75">
      <c r="A75" s="56"/>
      <c r="B75" s="56"/>
      <c r="C75" s="56"/>
      <c r="D75" s="56"/>
      <c r="E75" s="56"/>
      <c r="F75" s="56"/>
      <c r="G75" s="56"/>
      <c r="H75" s="56"/>
      <c r="I75" s="56"/>
    </row>
    <row r="76">
      <c r="A76" s="56"/>
      <c r="B76" s="56"/>
      <c r="C76" s="56"/>
      <c r="D76" s="56"/>
      <c r="E76" s="56"/>
      <c r="F76" s="56"/>
      <c r="G76" s="56"/>
      <c r="H76" s="56"/>
      <c r="I76" s="56"/>
    </row>
    <row r="77">
      <c r="A77" s="56"/>
      <c r="B77" s="56"/>
      <c r="C77" s="56"/>
      <c r="D77" s="56"/>
      <c r="E77" s="56"/>
      <c r="F77" s="56"/>
      <c r="G77" s="56"/>
      <c r="H77" s="56"/>
      <c r="I77" s="56"/>
    </row>
    <row r="78">
      <c r="A78" s="56"/>
      <c r="B78" s="56"/>
      <c r="C78" s="56"/>
      <c r="D78" s="56"/>
      <c r="E78" s="56"/>
      <c r="F78" s="56"/>
      <c r="G78" s="56"/>
      <c r="H78" s="56"/>
      <c r="I78" s="56"/>
    </row>
    <row r="79">
      <c r="A79" s="56"/>
      <c r="B79" s="56"/>
      <c r="C79" s="56"/>
      <c r="D79" s="56"/>
      <c r="E79" s="56"/>
      <c r="F79" s="56"/>
      <c r="G79" s="56"/>
      <c r="H79" s="56"/>
      <c r="I79" s="56"/>
    </row>
    <row r="80">
      <c r="A80" s="56"/>
      <c r="B80" s="56"/>
      <c r="C80" s="56"/>
      <c r="D80" s="56"/>
      <c r="E80" s="56"/>
      <c r="F80" s="56"/>
      <c r="G80" s="56"/>
      <c r="H80" s="56"/>
      <c r="I80" s="5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2" max="2" width="25.88"/>
    <col customWidth="1" min="3" max="3" width="21.0"/>
    <col customWidth="1" min="4" max="5" width="20.38"/>
    <col customWidth="1" min="6" max="6" width="16.13"/>
    <col customWidth="1" min="8" max="8" width="16.13"/>
    <col customWidth="1" min="9" max="9" width="17.0"/>
    <col customWidth="1" min="11" max="11" width="28.63"/>
  </cols>
  <sheetData>
    <row r="1" ht="15.0" customHeight="1">
      <c r="A1" s="37" t="s">
        <v>290</v>
      </c>
      <c r="B1" s="38" t="s">
        <v>43</v>
      </c>
      <c r="C1" s="39" t="s">
        <v>398</v>
      </c>
      <c r="D1" s="40" t="s">
        <v>399</v>
      </c>
      <c r="E1" s="40" t="s">
        <v>400</v>
      </c>
      <c r="F1" s="38" t="s">
        <v>401</v>
      </c>
      <c r="G1" s="38" t="s">
        <v>402</v>
      </c>
      <c r="H1" s="42" t="s">
        <v>294</v>
      </c>
      <c r="I1" s="43" t="s">
        <v>295</v>
      </c>
      <c r="J1" s="43" t="s">
        <v>58</v>
      </c>
      <c r="K1" s="38" t="s">
        <v>296</v>
      </c>
    </row>
    <row r="2">
      <c r="A2" s="55" t="s">
        <v>87</v>
      </c>
      <c r="B2" s="45" t="s">
        <v>89</v>
      </c>
      <c r="C2" s="57" t="str">
        <f t="shared" ref="C2:C10" si="1">CONCATENATE("outpost_",A2,"_",F2,"_",text(G2,"0000"))</f>
        <v>outpost_gom_ally_0001</v>
      </c>
      <c r="D2" s="57" t="str">
        <f t="shared" ref="D2:D10" si="2">CONCATENATE(A2,"_",F2,"_",text(G2,"0000"))</f>
        <v>gom_ally_0001</v>
      </c>
      <c r="E2" s="47" t="s">
        <v>403</v>
      </c>
      <c r="F2" s="58" t="s">
        <v>404</v>
      </c>
      <c r="G2" s="59">
        <v>1.0</v>
      </c>
      <c r="H2" s="49"/>
      <c r="I2" s="50"/>
      <c r="J2" s="51"/>
      <c r="K2" s="60"/>
    </row>
    <row r="3">
      <c r="A3" s="55" t="s">
        <v>87</v>
      </c>
      <c r="B3" s="45" t="s">
        <v>89</v>
      </c>
      <c r="C3" s="57" t="str">
        <f t="shared" si="1"/>
        <v>outpost_gom_enemy_0001</v>
      </c>
      <c r="D3" s="57" t="str">
        <f t="shared" si="2"/>
        <v>gom_enemy_0001</v>
      </c>
      <c r="E3" s="47" t="s">
        <v>405</v>
      </c>
      <c r="F3" s="58" t="s">
        <v>406</v>
      </c>
      <c r="G3" s="59">
        <v>1.0</v>
      </c>
      <c r="H3" s="49"/>
      <c r="I3" s="50"/>
      <c r="J3" s="51"/>
      <c r="K3" s="60"/>
    </row>
    <row r="4">
      <c r="A4" s="55" t="s">
        <v>87</v>
      </c>
      <c r="B4" s="45" t="s">
        <v>89</v>
      </c>
      <c r="C4" s="57" t="str">
        <f t="shared" si="1"/>
        <v>outpost_gom_enemy_0002</v>
      </c>
      <c r="D4" s="57" t="str">
        <f t="shared" si="2"/>
        <v>gom_enemy_0002</v>
      </c>
      <c r="E4" s="47" t="s">
        <v>407</v>
      </c>
      <c r="F4" s="58" t="s">
        <v>406</v>
      </c>
      <c r="G4" s="59">
        <v>2.0</v>
      </c>
      <c r="H4" s="49"/>
      <c r="I4" s="50"/>
      <c r="J4" s="51"/>
      <c r="K4" s="60"/>
    </row>
    <row r="5">
      <c r="A5" s="55" t="s">
        <v>87</v>
      </c>
      <c r="B5" s="45" t="s">
        <v>89</v>
      </c>
      <c r="C5" s="57" t="str">
        <f t="shared" si="1"/>
        <v>outpost_gom_enemy_0003</v>
      </c>
      <c r="D5" s="57" t="str">
        <f t="shared" si="2"/>
        <v>gom_enemy_0003</v>
      </c>
      <c r="E5" s="47" t="s">
        <v>408</v>
      </c>
      <c r="F5" s="58" t="s">
        <v>406</v>
      </c>
      <c r="G5" s="59">
        <v>3.0</v>
      </c>
      <c r="H5" s="49"/>
      <c r="I5" s="50"/>
      <c r="J5" s="51"/>
      <c r="K5" s="60"/>
    </row>
    <row r="6">
      <c r="A6" s="55" t="s">
        <v>166</v>
      </c>
      <c r="B6" s="45" t="str">
        <f t="array" ref="B6">iferror(INDEX('作品'!D:D,MATCH(A6,'作品'!A:A,0),0),"error")</f>
        <v>君のことが大大大大大好きな100人の彼女</v>
      </c>
      <c r="C6" s="57" t="str">
        <f t="shared" si="1"/>
        <v>outpost_kim_enemy_0001</v>
      </c>
      <c r="D6" s="57" t="str">
        <f t="shared" si="2"/>
        <v>kim_enemy_0001</v>
      </c>
      <c r="E6" s="47" t="s">
        <v>409</v>
      </c>
      <c r="F6" s="58" t="s">
        <v>406</v>
      </c>
      <c r="G6" s="59">
        <v>1.0</v>
      </c>
      <c r="H6" s="49"/>
      <c r="I6" s="50"/>
      <c r="J6" s="51"/>
      <c r="K6" s="60"/>
    </row>
    <row r="7">
      <c r="A7" s="61" t="s">
        <v>283</v>
      </c>
      <c r="B7" s="62" t="s">
        <v>285</v>
      </c>
      <c r="C7" s="63" t="str">
        <f t="shared" si="1"/>
        <v>outpost_glo_enemy_0001</v>
      </c>
      <c r="D7" s="63" t="str">
        <f t="shared" si="2"/>
        <v>glo_enemy_0001</v>
      </c>
      <c r="E7" s="64" t="s">
        <v>410</v>
      </c>
      <c r="F7" s="65" t="s">
        <v>406</v>
      </c>
      <c r="G7" s="66">
        <v>1.0</v>
      </c>
      <c r="H7" s="67"/>
      <c r="I7" s="68"/>
      <c r="J7" s="69"/>
      <c r="K7" s="70"/>
    </row>
    <row r="8">
      <c r="A8" s="55" t="s">
        <v>411</v>
      </c>
      <c r="B8" s="71" t="s">
        <v>412</v>
      </c>
      <c r="C8" s="72" t="str">
        <f t="shared" si="1"/>
        <v>outpost_sample_ally_0001</v>
      </c>
      <c r="D8" s="72" t="str">
        <f t="shared" si="2"/>
        <v>sample_ally_0001</v>
      </c>
      <c r="E8" s="73" t="s">
        <v>413</v>
      </c>
      <c r="F8" s="74" t="s">
        <v>404</v>
      </c>
      <c r="G8" s="59">
        <v>1.0</v>
      </c>
      <c r="H8" s="75"/>
      <c r="I8" s="76"/>
      <c r="J8" s="51"/>
      <c r="K8" s="77" t="s">
        <v>414</v>
      </c>
    </row>
    <row r="9">
      <c r="A9" s="55" t="s">
        <v>411</v>
      </c>
      <c r="B9" s="45" t="s">
        <v>415</v>
      </c>
      <c r="C9" s="57" t="str">
        <f t="shared" si="1"/>
        <v>outpost_sample_ally_0002</v>
      </c>
      <c r="D9" s="57" t="str">
        <f t="shared" si="2"/>
        <v>sample_ally_0002</v>
      </c>
      <c r="E9" s="47" t="s">
        <v>413</v>
      </c>
      <c r="F9" s="58" t="s">
        <v>404</v>
      </c>
      <c r="G9" s="59">
        <v>2.0</v>
      </c>
      <c r="H9" s="49"/>
      <c r="I9" s="50"/>
      <c r="J9" s="51"/>
      <c r="K9" s="60"/>
    </row>
    <row r="10">
      <c r="A10" s="55" t="s">
        <v>411</v>
      </c>
      <c r="B10" s="45" t="s">
        <v>416</v>
      </c>
      <c r="C10" s="57" t="str">
        <f t="shared" si="1"/>
        <v>outpost_sample_enemy_0001</v>
      </c>
      <c r="D10" s="57" t="str">
        <f t="shared" si="2"/>
        <v>sample_enemy_0001</v>
      </c>
      <c r="E10" s="47" t="s">
        <v>413</v>
      </c>
      <c r="F10" s="58" t="s">
        <v>406</v>
      </c>
      <c r="G10" s="59">
        <v>1.0</v>
      </c>
      <c r="H10" s="49"/>
      <c r="I10" s="50"/>
      <c r="J10" s="51"/>
      <c r="K10" s="60"/>
    </row>
    <row r="11">
      <c r="A11" s="44"/>
      <c r="B11" s="53"/>
      <c r="C11" s="57"/>
      <c r="D11" s="47"/>
      <c r="E11" s="47"/>
      <c r="F11" s="49"/>
      <c r="G11" s="54"/>
      <c r="H11" s="49"/>
      <c r="I11" s="50"/>
      <c r="J11" s="54"/>
      <c r="K11" s="60"/>
    </row>
    <row r="12">
      <c r="A12" s="44"/>
      <c r="B12" s="53"/>
      <c r="C12" s="57"/>
      <c r="D12" s="47"/>
      <c r="E12" s="47"/>
      <c r="F12" s="49"/>
      <c r="G12" s="54"/>
      <c r="H12" s="49"/>
      <c r="I12" s="50"/>
      <c r="J12" s="54"/>
      <c r="K12" s="60"/>
    </row>
    <row r="13">
      <c r="A13" s="44"/>
      <c r="B13" s="53"/>
      <c r="C13" s="57"/>
      <c r="D13" s="47"/>
      <c r="E13" s="47"/>
      <c r="F13" s="49"/>
      <c r="G13" s="54"/>
      <c r="H13" s="49"/>
      <c r="I13" s="50"/>
      <c r="J13" s="54"/>
      <c r="K13" s="60"/>
    </row>
    <row r="14">
      <c r="A14" s="44"/>
      <c r="B14" s="53"/>
      <c r="C14" s="57"/>
      <c r="D14" s="47"/>
      <c r="E14" s="47"/>
      <c r="F14" s="49"/>
      <c r="G14" s="54"/>
      <c r="H14" s="49"/>
      <c r="I14" s="50"/>
      <c r="J14" s="54"/>
      <c r="K14" s="60"/>
    </row>
    <row r="15">
      <c r="A15" s="44"/>
      <c r="B15" s="53"/>
      <c r="C15" s="57"/>
      <c r="D15" s="47"/>
      <c r="E15" s="47"/>
      <c r="F15" s="49"/>
      <c r="G15" s="54"/>
      <c r="H15" s="49"/>
      <c r="I15" s="50"/>
      <c r="J15" s="54"/>
      <c r="K15" s="60"/>
    </row>
    <row r="16">
      <c r="A16" s="44"/>
      <c r="B16" s="53"/>
      <c r="C16" s="57"/>
      <c r="D16" s="47"/>
      <c r="E16" s="47"/>
      <c r="F16" s="49"/>
      <c r="G16" s="54"/>
      <c r="H16" s="49"/>
      <c r="I16" s="50"/>
      <c r="J16" s="54"/>
      <c r="K16" s="60"/>
    </row>
    <row r="17">
      <c r="A17" s="44"/>
      <c r="B17" s="53"/>
      <c r="C17" s="57"/>
      <c r="D17" s="47"/>
      <c r="E17" s="47"/>
      <c r="F17" s="49"/>
      <c r="G17" s="54"/>
      <c r="H17" s="49"/>
      <c r="I17" s="50"/>
      <c r="J17" s="54"/>
      <c r="K17" s="60"/>
    </row>
    <row r="18">
      <c r="A18" s="44"/>
      <c r="B18" s="53"/>
      <c r="C18" s="57"/>
      <c r="D18" s="47"/>
      <c r="E18" s="47"/>
      <c r="F18" s="49"/>
      <c r="G18" s="54"/>
      <c r="H18" s="49"/>
      <c r="I18" s="50"/>
      <c r="J18" s="54"/>
      <c r="K18" s="60"/>
    </row>
    <row r="19">
      <c r="A19" s="44"/>
      <c r="B19" s="53"/>
      <c r="C19" s="57"/>
      <c r="D19" s="47"/>
      <c r="E19" s="47"/>
      <c r="F19" s="49"/>
      <c r="G19" s="54"/>
      <c r="H19" s="49"/>
      <c r="I19" s="50"/>
      <c r="J19" s="54"/>
      <c r="K19" s="60"/>
    </row>
    <row r="20">
      <c r="A20" s="44"/>
      <c r="B20" s="53"/>
      <c r="C20" s="57"/>
      <c r="D20" s="47"/>
      <c r="E20" s="47"/>
      <c r="F20" s="49"/>
      <c r="G20" s="54"/>
      <c r="H20" s="49"/>
      <c r="I20" s="50"/>
      <c r="J20" s="54"/>
      <c r="K20" s="60"/>
    </row>
    <row r="21">
      <c r="A21" s="44"/>
      <c r="B21" s="53"/>
      <c r="C21" s="57"/>
      <c r="D21" s="47"/>
      <c r="E21" s="47"/>
      <c r="F21" s="49"/>
      <c r="G21" s="54"/>
      <c r="H21" s="49"/>
      <c r="I21" s="50"/>
      <c r="J21" s="54"/>
      <c r="K21" s="60"/>
    </row>
    <row r="22">
      <c r="A22" s="44"/>
      <c r="B22" s="53"/>
      <c r="C22" s="57"/>
      <c r="D22" s="47"/>
      <c r="E22" s="47"/>
      <c r="F22" s="49"/>
      <c r="G22" s="54"/>
      <c r="H22" s="49"/>
      <c r="I22" s="50"/>
      <c r="J22" s="54"/>
      <c r="K22" s="60"/>
    </row>
    <row r="23">
      <c r="A23" s="44"/>
      <c r="B23" s="53"/>
      <c r="C23" s="57"/>
      <c r="D23" s="47"/>
      <c r="E23" s="47"/>
      <c r="F23" s="49"/>
      <c r="G23" s="54"/>
      <c r="H23" s="49"/>
      <c r="I23" s="50"/>
      <c r="J23" s="54"/>
      <c r="K23" s="60"/>
    </row>
    <row r="24">
      <c r="A24" s="44"/>
      <c r="B24" s="53"/>
      <c r="C24" s="57"/>
      <c r="D24" s="47"/>
      <c r="E24" s="47"/>
      <c r="F24" s="49"/>
      <c r="G24" s="54"/>
      <c r="H24" s="49"/>
      <c r="I24" s="50"/>
      <c r="J24" s="54"/>
      <c r="K24" s="60"/>
    </row>
    <row r="25">
      <c r="A25" s="44"/>
      <c r="B25" s="53"/>
      <c r="C25" s="57"/>
      <c r="D25" s="47"/>
      <c r="E25" s="47"/>
      <c r="F25" s="49"/>
      <c r="G25" s="54"/>
      <c r="H25" s="49"/>
      <c r="I25" s="50"/>
      <c r="J25" s="54"/>
      <c r="K25" s="60"/>
    </row>
    <row r="26">
      <c r="A26" s="44"/>
      <c r="B26" s="53"/>
      <c r="C26" s="57"/>
      <c r="D26" s="47"/>
      <c r="E26" s="47"/>
      <c r="F26" s="49"/>
      <c r="G26" s="54"/>
      <c r="H26" s="49"/>
      <c r="I26" s="50"/>
      <c r="J26" s="54"/>
      <c r="K26" s="60"/>
    </row>
    <row r="27">
      <c r="A27" s="44"/>
      <c r="B27" s="53"/>
      <c r="C27" s="57"/>
      <c r="D27" s="47"/>
      <c r="E27" s="47"/>
      <c r="F27" s="49"/>
      <c r="G27" s="54"/>
      <c r="H27" s="49"/>
      <c r="I27" s="50"/>
      <c r="J27" s="54"/>
      <c r="K27" s="60"/>
    </row>
    <row r="28">
      <c r="A28" s="44"/>
      <c r="B28" s="53"/>
      <c r="C28" s="57"/>
      <c r="D28" s="47"/>
      <c r="E28" s="47"/>
      <c r="F28" s="49"/>
      <c r="G28" s="54"/>
      <c r="H28" s="49"/>
      <c r="I28" s="50"/>
      <c r="J28" s="54"/>
      <c r="K28" s="60"/>
    </row>
    <row r="29">
      <c r="A29" s="44"/>
      <c r="B29" s="53"/>
      <c r="C29" s="78"/>
      <c r="D29" s="47"/>
      <c r="E29" s="47"/>
      <c r="F29" s="49"/>
      <c r="G29" s="54"/>
      <c r="H29" s="49"/>
      <c r="I29" s="50"/>
      <c r="J29" s="54"/>
      <c r="K29" s="60"/>
    </row>
    <row r="30">
      <c r="A30" s="44"/>
      <c r="B30" s="53"/>
      <c r="C30" s="78"/>
      <c r="D30" s="47"/>
      <c r="E30" s="47"/>
      <c r="F30" s="49"/>
      <c r="G30" s="54"/>
      <c r="H30" s="49"/>
      <c r="I30" s="50"/>
      <c r="J30" s="54"/>
      <c r="K30" s="60"/>
    </row>
    <row r="31">
      <c r="A31" s="44"/>
      <c r="B31" s="53"/>
      <c r="C31" s="78"/>
      <c r="D31" s="47"/>
      <c r="E31" s="47"/>
      <c r="F31" s="49"/>
      <c r="G31" s="54"/>
      <c r="H31" s="49"/>
      <c r="I31" s="50"/>
      <c r="J31" s="54"/>
      <c r="K31" s="60"/>
    </row>
    <row r="32">
      <c r="A32" s="44"/>
      <c r="B32" s="53"/>
      <c r="C32" s="57"/>
      <c r="D32" s="47"/>
      <c r="E32" s="47"/>
      <c r="F32" s="49"/>
      <c r="G32" s="54"/>
      <c r="H32" s="49"/>
      <c r="I32" s="50"/>
      <c r="J32" s="54"/>
      <c r="K32" s="60"/>
    </row>
    <row r="33">
      <c r="A33" s="44"/>
      <c r="B33" s="53"/>
      <c r="C33" s="78"/>
      <c r="D33" s="47"/>
      <c r="E33" s="47"/>
      <c r="F33" s="49"/>
      <c r="G33" s="54"/>
      <c r="H33" s="49"/>
      <c r="I33" s="50"/>
      <c r="J33" s="54"/>
      <c r="K33" s="60"/>
    </row>
    <row r="34">
      <c r="A34" s="44"/>
      <c r="B34" s="53"/>
      <c r="C34" s="78"/>
      <c r="D34" s="47"/>
      <c r="E34" s="47"/>
      <c r="F34" s="49"/>
      <c r="G34" s="54"/>
      <c r="H34" s="49"/>
      <c r="I34" s="50"/>
      <c r="J34" s="54"/>
      <c r="K34" s="60"/>
    </row>
    <row r="35">
      <c r="A35" s="44"/>
      <c r="B35" s="53"/>
      <c r="C35" s="78"/>
      <c r="D35" s="47"/>
      <c r="E35" s="47"/>
      <c r="F35" s="49"/>
      <c r="G35" s="54"/>
      <c r="H35" s="49"/>
      <c r="I35" s="50"/>
      <c r="J35" s="54"/>
      <c r="K35" s="60"/>
    </row>
    <row r="36">
      <c r="A36" s="44"/>
      <c r="B36" s="53"/>
      <c r="C36" s="78"/>
      <c r="D36" s="47"/>
      <c r="E36" s="47"/>
      <c r="F36" s="49"/>
      <c r="G36" s="54"/>
      <c r="H36" s="49"/>
      <c r="I36" s="50"/>
      <c r="J36" s="54"/>
      <c r="K36" s="60"/>
    </row>
    <row r="37">
      <c r="A37" s="44"/>
      <c r="B37" s="53"/>
      <c r="C37" s="78"/>
      <c r="D37" s="47"/>
      <c r="E37" s="47"/>
      <c r="F37" s="49"/>
      <c r="G37" s="54"/>
      <c r="H37" s="49"/>
      <c r="I37" s="50"/>
      <c r="J37" s="54"/>
      <c r="K37" s="60"/>
    </row>
    <row r="38">
      <c r="A38" s="44"/>
      <c r="B38" s="53"/>
      <c r="C38" s="78"/>
      <c r="D38" s="47"/>
      <c r="E38" s="47"/>
      <c r="F38" s="49"/>
      <c r="G38" s="54"/>
      <c r="H38" s="49"/>
      <c r="I38" s="50"/>
      <c r="J38" s="54"/>
      <c r="K38" s="60"/>
    </row>
    <row r="39">
      <c r="A39" s="44"/>
      <c r="B39" s="53"/>
      <c r="C39" s="78"/>
      <c r="D39" s="47"/>
      <c r="E39" s="47"/>
      <c r="F39" s="49"/>
      <c r="G39" s="54"/>
      <c r="H39" s="49"/>
      <c r="I39" s="50"/>
      <c r="J39" s="54"/>
      <c r="K39" s="60"/>
    </row>
    <row r="40">
      <c r="A40" s="44"/>
      <c r="B40" s="53"/>
      <c r="C40" s="78"/>
      <c r="D40" s="47"/>
      <c r="E40" s="47"/>
      <c r="F40" s="49"/>
      <c r="G40" s="54"/>
      <c r="H40" s="49"/>
      <c r="I40" s="50"/>
      <c r="J40" s="54"/>
      <c r="K40" s="79"/>
    </row>
    <row r="41">
      <c r="A41" s="44"/>
      <c r="B41" s="53"/>
      <c r="C41" s="78"/>
      <c r="D41" s="47"/>
      <c r="E41" s="47"/>
      <c r="F41" s="49"/>
      <c r="G41" s="54"/>
      <c r="H41" s="49"/>
      <c r="I41" s="50"/>
      <c r="J41" s="54"/>
      <c r="K41" s="79"/>
    </row>
    <row r="42">
      <c r="A42" s="44"/>
      <c r="B42" s="53"/>
      <c r="C42" s="78"/>
      <c r="D42" s="47"/>
      <c r="E42" s="47"/>
      <c r="F42" s="49"/>
      <c r="G42" s="54"/>
      <c r="H42" s="49"/>
      <c r="I42" s="50"/>
      <c r="J42" s="54"/>
      <c r="K42" s="79"/>
    </row>
    <row r="43">
      <c r="A43" s="44"/>
      <c r="B43" s="53"/>
      <c r="C43" s="78"/>
      <c r="D43" s="47"/>
      <c r="E43" s="47"/>
      <c r="F43" s="49"/>
      <c r="G43" s="54"/>
      <c r="H43" s="49"/>
      <c r="I43" s="50"/>
      <c r="J43" s="54"/>
      <c r="K43" s="79"/>
    </row>
    <row r="44">
      <c r="A44" s="44"/>
      <c r="B44" s="53"/>
      <c r="C44" s="78"/>
      <c r="D44" s="47"/>
      <c r="E44" s="47"/>
      <c r="F44" s="49"/>
      <c r="G44" s="54"/>
      <c r="H44" s="49"/>
      <c r="I44" s="50"/>
      <c r="J44" s="54"/>
      <c r="K44" s="79"/>
    </row>
    <row r="45">
      <c r="A45" s="44"/>
      <c r="B45" s="53"/>
      <c r="C45" s="78"/>
      <c r="D45" s="47"/>
      <c r="E45" s="47"/>
      <c r="F45" s="49"/>
      <c r="G45" s="54"/>
      <c r="H45" s="49"/>
      <c r="I45" s="50"/>
      <c r="J45" s="54"/>
      <c r="K45" s="79"/>
    </row>
    <row r="46">
      <c r="A46" s="44"/>
      <c r="B46" s="53"/>
      <c r="C46" s="78"/>
      <c r="D46" s="47"/>
      <c r="E46" s="47"/>
      <c r="F46" s="49"/>
      <c r="G46" s="54"/>
      <c r="H46" s="49"/>
      <c r="I46" s="50"/>
      <c r="J46" s="54"/>
      <c r="K46" s="79"/>
    </row>
    <row r="47">
      <c r="A47" s="44"/>
      <c r="B47" s="53"/>
      <c r="C47" s="78"/>
      <c r="D47" s="47"/>
      <c r="E47" s="47"/>
      <c r="F47" s="49"/>
      <c r="G47" s="54"/>
      <c r="H47" s="49"/>
      <c r="I47" s="50"/>
      <c r="J47" s="54"/>
      <c r="K47" s="79"/>
    </row>
    <row r="48">
      <c r="A48" s="44"/>
      <c r="B48" s="53"/>
      <c r="C48" s="78"/>
      <c r="D48" s="47"/>
      <c r="E48" s="47"/>
      <c r="F48" s="49"/>
      <c r="G48" s="54"/>
      <c r="H48" s="49"/>
      <c r="I48" s="50"/>
      <c r="J48" s="54"/>
      <c r="K48" s="79"/>
    </row>
    <row r="49">
      <c r="A49" s="44"/>
      <c r="B49" s="53"/>
      <c r="C49" s="78"/>
      <c r="D49" s="47"/>
      <c r="E49" s="47"/>
      <c r="F49" s="49"/>
      <c r="G49" s="54"/>
      <c r="H49" s="49"/>
      <c r="I49" s="50"/>
      <c r="J49" s="54"/>
      <c r="K49" s="79"/>
    </row>
    <row r="50">
      <c r="A50" s="44"/>
      <c r="B50" s="53"/>
      <c r="C50" s="78"/>
      <c r="D50" s="47"/>
      <c r="E50" s="47"/>
      <c r="F50" s="49"/>
      <c r="G50" s="54"/>
      <c r="H50" s="49"/>
      <c r="I50" s="50"/>
      <c r="J50" s="54"/>
      <c r="K50" s="79"/>
    </row>
    <row r="51">
      <c r="A51" s="44"/>
      <c r="B51" s="53"/>
      <c r="C51" s="78"/>
      <c r="D51" s="47"/>
      <c r="E51" s="47"/>
      <c r="F51" s="49"/>
      <c r="G51" s="54"/>
      <c r="H51" s="49"/>
      <c r="I51" s="50"/>
      <c r="J51" s="54"/>
      <c r="K51" s="79"/>
    </row>
    <row r="52">
      <c r="A52" s="44"/>
      <c r="B52" s="53"/>
      <c r="C52" s="78"/>
      <c r="D52" s="47"/>
      <c r="E52" s="47"/>
      <c r="F52" s="49"/>
      <c r="G52" s="54"/>
      <c r="H52" s="49"/>
      <c r="I52" s="50"/>
      <c r="J52" s="54"/>
      <c r="K52" s="79"/>
    </row>
    <row r="53">
      <c r="A53" s="44"/>
      <c r="B53" s="53"/>
      <c r="C53" s="78"/>
      <c r="D53" s="47"/>
      <c r="E53" s="47"/>
      <c r="F53" s="49"/>
      <c r="G53" s="54"/>
      <c r="H53" s="49"/>
      <c r="I53" s="50"/>
      <c r="J53" s="54"/>
      <c r="K53" s="79"/>
    </row>
    <row r="54">
      <c r="A54" s="44"/>
      <c r="B54" s="53"/>
      <c r="C54" s="78"/>
      <c r="D54" s="47"/>
      <c r="E54" s="47"/>
      <c r="F54" s="49"/>
      <c r="G54" s="54"/>
      <c r="H54" s="49"/>
      <c r="I54" s="50"/>
      <c r="J54" s="54"/>
      <c r="K54" s="79"/>
    </row>
    <row r="55">
      <c r="A55" s="56"/>
      <c r="B55" s="56"/>
      <c r="C55" s="56"/>
      <c r="D55" s="56"/>
      <c r="E55" s="56"/>
      <c r="F55" s="56"/>
      <c r="G55" s="56"/>
      <c r="H55" s="56"/>
      <c r="I55" s="56"/>
      <c r="J55" s="56"/>
      <c r="K55" s="56"/>
    </row>
    <row r="56">
      <c r="A56" s="56"/>
      <c r="B56" s="56"/>
      <c r="C56" s="56"/>
      <c r="D56" s="56"/>
      <c r="E56" s="56"/>
      <c r="F56" s="56"/>
      <c r="G56" s="56"/>
      <c r="H56" s="56"/>
      <c r="I56" s="56"/>
      <c r="J56" s="56"/>
      <c r="K56" s="56"/>
    </row>
    <row r="57">
      <c r="A57" s="56"/>
      <c r="B57" s="56"/>
      <c r="C57" s="56"/>
      <c r="D57" s="56"/>
      <c r="E57" s="56"/>
      <c r="F57" s="56"/>
      <c r="G57" s="56"/>
      <c r="H57" s="56"/>
      <c r="I57" s="56"/>
      <c r="J57" s="56"/>
      <c r="K57" s="56"/>
    </row>
    <row r="58">
      <c r="A58" s="56"/>
      <c r="B58" s="56"/>
      <c r="C58" s="56"/>
      <c r="D58" s="56"/>
      <c r="E58" s="56"/>
      <c r="F58" s="56"/>
      <c r="G58" s="56"/>
      <c r="H58" s="56"/>
      <c r="I58" s="56"/>
      <c r="J58" s="56"/>
      <c r="K58" s="56"/>
    </row>
    <row r="59">
      <c r="A59" s="56"/>
      <c r="B59" s="56"/>
      <c r="C59" s="56"/>
      <c r="D59" s="56"/>
      <c r="E59" s="56"/>
      <c r="F59" s="56"/>
      <c r="G59" s="56"/>
      <c r="H59" s="56"/>
      <c r="I59" s="56"/>
      <c r="J59" s="56"/>
      <c r="K59" s="56"/>
    </row>
    <row r="60">
      <c r="A60" s="56"/>
      <c r="B60" s="56"/>
      <c r="C60" s="56"/>
      <c r="D60" s="56"/>
      <c r="E60" s="56"/>
      <c r="F60" s="56"/>
      <c r="G60" s="56"/>
      <c r="H60" s="56"/>
      <c r="I60" s="56"/>
      <c r="J60" s="56"/>
      <c r="K60" s="56"/>
    </row>
    <row r="61">
      <c r="A61" s="56"/>
      <c r="B61" s="56"/>
      <c r="C61" s="56"/>
      <c r="D61" s="56"/>
      <c r="E61" s="56"/>
      <c r="F61" s="56"/>
      <c r="G61" s="56"/>
      <c r="H61" s="56"/>
      <c r="I61" s="56"/>
      <c r="J61" s="56"/>
      <c r="K61" s="56"/>
    </row>
    <row r="62">
      <c r="A62" s="56"/>
      <c r="B62" s="56"/>
      <c r="C62" s="56"/>
      <c r="D62" s="56"/>
      <c r="E62" s="56"/>
      <c r="F62" s="56"/>
      <c r="G62" s="56"/>
      <c r="H62" s="56"/>
      <c r="I62" s="56"/>
      <c r="J62" s="56"/>
      <c r="K62" s="56"/>
    </row>
    <row r="63">
      <c r="A63" s="56"/>
      <c r="B63" s="56"/>
      <c r="C63" s="56"/>
      <c r="D63" s="56"/>
      <c r="E63" s="56"/>
      <c r="F63" s="56"/>
      <c r="G63" s="56"/>
      <c r="H63" s="56"/>
      <c r="I63" s="56"/>
      <c r="J63" s="56"/>
      <c r="K63" s="56"/>
    </row>
    <row r="64">
      <c r="A64" s="56"/>
      <c r="B64" s="56"/>
      <c r="C64" s="56"/>
      <c r="D64" s="56"/>
      <c r="E64" s="56"/>
      <c r="F64" s="56"/>
      <c r="G64" s="56"/>
      <c r="H64" s="56"/>
      <c r="I64" s="56"/>
      <c r="J64" s="56"/>
      <c r="K64" s="56"/>
    </row>
    <row r="65">
      <c r="A65" s="56"/>
      <c r="B65" s="56"/>
      <c r="C65" s="56"/>
      <c r="D65" s="56"/>
      <c r="E65" s="56"/>
      <c r="F65" s="56"/>
      <c r="G65" s="56"/>
      <c r="H65" s="56"/>
      <c r="I65" s="56"/>
      <c r="J65" s="56"/>
      <c r="K65" s="56"/>
    </row>
    <row r="66">
      <c r="A66" s="56"/>
      <c r="B66" s="56"/>
      <c r="C66" s="56"/>
      <c r="D66" s="56"/>
      <c r="E66" s="56"/>
      <c r="F66" s="56"/>
      <c r="G66" s="56"/>
      <c r="H66" s="56"/>
      <c r="I66" s="56"/>
      <c r="J66" s="56"/>
      <c r="K66" s="56"/>
    </row>
    <row r="67">
      <c r="A67" s="56"/>
      <c r="B67" s="56"/>
      <c r="C67" s="56"/>
      <c r="D67" s="56"/>
      <c r="E67" s="56"/>
      <c r="F67" s="56"/>
      <c r="G67" s="56"/>
      <c r="H67" s="56"/>
      <c r="I67" s="56"/>
      <c r="J67" s="56"/>
      <c r="K67" s="56"/>
    </row>
    <row r="68">
      <c r="A68" s="56"/>
      <c r="B68" s="56"/>
      <c r="C68" s="56"/>
      <c r="D68" s="56"/>
      <c r="E68" s="56"/>
      <c r="F68" s="56"/>
      <c r="G68" s="56"/>
      <c r="H68" s="56"/>
      <c r="I68" s="56"/>
      <c r="J68" s="56"/>
      <c r="K68" s="56"/>
    </row>
    <row r="69">
      <c r="A69" s="56"/>
      <c r="B69" s="56"/>
      <c r="C69" s="56"/>
      <c r="D69" s="56"/>
      <c r="E69" s="56"/>
      <c r="F69" s="56"/>
      <c r="G69" s="56"/>
      <c r="H69" s="56"/>
      <c r="I69" s="56"/>
      <c r="J69" s="56"/>
      <c r="K69" s="56"/>
    </row>
    <row r="70">
      <c r="A70" s="56"/>
      <c r="B70" s="56"/>
      <c r="C70" s="56"/>
      <c r="D70" s="56"/>
      <c r="E70" s="56"/>
      <c r="F70" s="56"/>
      <c r="G70" s="56"/>
      <c r="H70" s="56"/>
      <c r="I70" s="56"/>
      <c r="J70" s="56"/>
      <c r="K70" s="56"/>
    </row>
    <row r="71">
      <c r="A71" s="56"/>
      <c r="B71" s="56"/>
      <c r="C71" s="56"/>
      <c r="D71" s="56"/>
      <c r="E71" s="56"/>
      <c r="F71" s="56"/>
      <c r="G71" s="56"/>
      <c r="H71" s="56"/>
      <c r="I71" s="56"/>
      <c r="J71" s="56"/>
      <c r="K71" s="56"/>
    </row>
    <row r="72">
      <c r="A72" s="56"/>
      <c r="B72" s="56"/>
      <c r="C72" s="56"/>
      <c r="D72" s="56"/>
      <c r="E72" s="56"/>
      <c r="F72" s="56"/>
      <c r="G72" s="56"/>
      <c r="H72" s="56"/>
      <c r="I72" s="56"/>
      <c r="J72" s="56"/>
      <c r="K72" s="56"/>
    </row>
    <row r="73">
      <c r="A73" s="56"/>
      <c r="B73" s="56"/>
      <c r="C73" s="56"/>
      <c r="D73" s="56"/>
      <c r="E73" s="56"/>
      <c r="F73" s="56"/>
      <c r="G73" s="56"/>
      <c r="H73" s="56"/>
      <c r="I73" s="56"/>
      <c r="J73" s="56"/>
      <c r="K73" s="56"/>
    </row>
    <row r="74">
      <c r="A74" s="56"/>
      <c r="B74" s="56"/>
      <c r="C74" s="56"/>
      <c r="D74" s="56"/>
      <c r="E74" s="56"/>
      <c r="F74" s="56"/>
      <c r="G74" s="56"/>
      <c r="H74" s="56"/>
      <c r="I74" s="56"/>
      <c r="J74" s="56"/>
      <c r="K74" s="56"/>
    </row>
    <row r="75">
      <c r="A75" s="56"/>
      <c r="B75" s="56"/>
      <c r="C75" s="56"/>
      <c r="D75" s="56"/>
      <c r="E75" s="56"/>
      <c r="F75" s="56"/>
      <c r="G75" s="56"/>
      <c r="H75" s="56"/>
      <c r="I75" s="56"/>
      <c r="J75" s="56"/>
      <c r="K75" s="56"/>
    </row>
    <row r="76">
      <c r="A76" s="56"/>
      <c r="B76" s="56"/>
      <c r="C76" s="56"/>
      <c r="D76" s="56"/>
      <c r="E76" s="56"/>
      <c r="F76" s="56"/>
      <c r="G76" s="56"/>
      <c r="H76" s="56"/>
      <c r="I76" s="56"/>
      <c r="J76" s="56"/>
      <c r="K76" s="56"/>
    </row>
    <row r="77">
      <c r="A77" s="56"/>
      <c r="B77" s="56"/>
      <c r="C77" s="56"/>
      <c r="D77" s="56"/>
      <c r="E77" s="56"/>
      <c r="F77" s="56"/>
      <c r="G77" s="56"/>
      <c r="H77" s="56"/>
      <c r="I77" s="56"/>
      <c r="J77" s="56"/>
      <c r="K77" s="56"/>
    </row>
    <row r="78">
      <c r="A78" s="56"/>
      <c r="B78" s="56"/>
      <c r="C78" s="56"/>
      <c r="D78" s="56"/>
      <c r="E78" s="56"/>
      <c r="F78" s="56"/>
      <c r="G78" s="56"/>
      <c r="H78" s="56"/>
      <c r="I78" s="56"/>
      <c r="J78" s="56"/>
      <c r="K78" s="56"/>
    </row>
    <row r="79">
      <c r="A79" s="56"/>
      <c r="B79" s="56"/>
      <c r="C79" s="56"/>
      <c r="D79" s="56"/>
      <c r="E79" s="56"/>
      <c r="F79" s="56"/>
      <c r="G79" s="56"/>
      <c r="H79" s="56"/>
      <c r="I79" s="56"/>
      <c r="J79" s="56"/>
      <c r="K79" s="56"/>
    </row>
    <row r="80">
      <c r="A80" s="56"/>
      <c r="B80" s="56"/>
      <c r="C80" s="56"/>
      <c r="D80" s="56"/>
      <c r="E80" s="56"/>
      <c r="F80" s="56"/>
      <c r="G80" s="56"/>
      <c r="H80" s="56"/>
      <c r="I80" s="56"/>
      <c r="J80" s="56"/>
      <c r="K80" s="56"/>
    </row>
    <row r="81">
      <c r="A81" s="56"/>
      <c r="B81" s="56"/>
      <c r="C81" s="56"/>
      <c r="D81" s="56"/>
      <c r="E81" s="56"/>
      <c r="F81" s="56"/>
      <c r="G81" s="56"/>
      <c r="H81" s="56"/>
      <c r="I81" s="56"/>
      <c r="J81" s="56"/>
      <c r="K81" s="56"/>
    </row>
    <row r="82">
      <c r="A82" s="56"/>
      <c r="B82" s="56"/>
      <c r="C82" s="56"/>
      <c r="D82" s="56"/>
      <c r="E82" s="56"/>
      <c r="F82" s="56"/>
      <c r="G82" s="56"/>
      <c r="H82" s="56"/>
      <c r="I82" s="56"/>
      <c r="J82" s="56"/>
      <c r="K82" s="56"/>
    </row>
    <row r="83">
      <c r="A83" s="56"/>
      <c r="B83" s="56"/>
      <c r="C83" s="56"/>
      <c r="D83" s="56"/>
      <c r="E83" s="56"/>
      <c r="F83" s="56"/>
      <c r="G83" s="56"/>
      <c r="H83" s="56"/>
      <c r="I83" s="56"/>
      <c r="J83" s="56"/>
      <c r="K83" s="56"/>
    </row>
  </sheetData>
  <dataValidations>
    <dataValidation type="list" allowBlank="1" showErrorMessage="1" sqref="F2:F54">
      <formula1>"ally,enemy"</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9.5"/>
    <col customWidth="1" min="3" max="3" width="15.5"/>
    <col customWidth="1" min="4" max="4" width="22.0"/>
    <col customWidth="1" min="5" max="5" width="20.5"/>
    <col customWidth="1" min="6" max="6" width="8.75"/>
    <col customWidth="1" min="7" max="7" width="30.0"/>
    <col customWidth="1" min="8" max="8" width="6.88"/>
    <col customWidth="1" min="9" max="9" width="7.38"/>
    <col customWidth="1" min="10" max="10" width="31.63"/>
    <col customWidth="1" min="11" max="11" width="32.13"/>
    <col customWidth="1" min="12" max="15" width="14.63"/>
  </cols>
  <sheetData>
    <row r="1">
      <c r="A1" s="80" t="s">
        <v>40</v>
      </c>
      <c r="B1" s="81" t="s">
        <v>43</v>
      </c>
      <c r="C1" s="82" t="s">
        <v>417</v>
      </c>
      <c r="D1" s="82" t="s">
        <v>418</v>
      </c>
      <c r="E1" s="82" t="s">
        <v>419</v>
      </c>
      <c r="F1" s="82" t="s">
        <v>420</v>
      </c>
      <c r="G1" s="83" t="s">
        <v>421</v>
      </c>
      <c r="H1" s="83" t="s">
        <v>422</v>
      </c>
      <c r="I1" s="83" t="s">
        <v>423</v>
      </c>
      <c r="J1" s="84" t="s">
        <v>424</v>
      </c>
      <c r="K1" s="84" t="s">
        <v>425</v>
      </c>
      <c r="L1" s="84" t="s">
        <v>426</v>
      </c>
      <c r="M1" s="84" t="s">
        <v>427</v>
      </c>
      <c r="N1" s="85"/>
      <c r="O1" s="85"/>
    </row>
    <row r="2" ht="19.5" customHeight="1">
      <c r="A2" s="86" t="s">
        <v>428</v>
      </c>
      <c r="B2" s="87"/>
      <c r="C2" s="87"/>
      <c r="D2" s="87"/>
      <c r="E2" s="87"/>
      <c r="F2" s="87"/>
      <c r="G2" s="87"/>
      <c r="H2" s="87"/>
      <c r="I2" s="87"/>
      <c r="J2" s="87"/>
      <c r="K2" s="87"/>
      <c r="L2" s="87"/>
      <c r="M2" s="88"/>
      <c r="N2" s="85"/>
      <c r="O2" s="85"/>
    </row>
    <row r="3">
      <c r="A3" s="89" t="s">
        <v>60</v>
      </c>
      <c r="B3" s="90" t="str">
        <f t="array" ref="B3">iferror(INDEX('作品'!D:D,MATCH(A3,'作品'!A:A,0),0),"error")</f>
        <v>SPY×FAMILY</v>
      </c>
      <c r="C3" s="91" t="s">
        <v>429</v>
      </c>
      <c r="D3" s="92" t="str">
        <f>$C$15&amp;"_"&amp;$A3&amp;"_"&amp;TEXT(countif($A3:A$3,A3),"0000")</f>
        <v>artwork_spy_0001</v>
      </c>
      <c r="E3" s="53" t="str">
        <f t="shared" ref="E3:E5" si="1">D3</f>
        <v>artwork_spy_0001</v>
      </c>
      <c r="F3" s="93"/>
      <c r="G3" s="58" t="s">
        <v>430</v>
      </c>
      <c r="H3" s="53" t="s">
        <v>64</v>
      </c>
      <c r="I3" s="94">
        <v>1.0</v>
      </c>
      <c r="J3" s="95" t="s">
        <v>431</v>
      </c>
      <c r="K3" s="96" t="s">
        <v>432</v>
      </c>
      <c r="L3" s="97">
        <v>45924.625</v>
      </c>
      <c r="M3" s="53">
        <v>2.0250901E8</v>
      </c>
      <c r="N3" s="85"/>
      <c r="O3" s="85"/>
    </row>
    <row r="4">
      <c r="A4" s="89" t="s">
        <v>60</v>
      </c>
      <c r="B4" s="90" t="str">
        <f t="array" ref="B4">iferror(INDEX('作品'!D:D,MATCH(A4,'作品'!A:A,0),0),"error")</f>
        <v>SPY×FAMILY</v>
      </c>
      <c r="C4" s="91" t="s">
        <v>429</v>
      </c>
      <c r="D4" s="92" t="str">
        <f t="shared" ref="D4:D5" si="2">$C$15&amp;"_"&amp;$A4&amp;"_"&amp;TEXT(countif($A$3:A4,A4),"0000")</f>
        <v>artwork_spy_0002</v>
      </c>
      <c r="E4" s="53" t="str">
        <f t="shared" si="1"/>
        <v>artwork_spy_0002</v>
      </c>
      <c r="F4" s="93"/>
      <c r="G4" s="58" t="s">
        <v>433</v>
      </c>
      <c r="H4" s="53" t="s">
        <v>64</v>
      </c>
      <c r="I4" s="94">
        <v>1.0</v>
      </c>
      <c r="J4" s="95" t="s">
        <v>434</v>
      </c>
      <c r="K4" s="96" t="s">
        <v>435</v>
      </c>
      <c r="L4" s="97">
        <v>45924.625</v>
      </c>
      <c r="M4" s="53">
        <v>2.0250901E8</v>
      </c>
      <c r="N4" s="85"/>
      <c r="O4" s="85"/>
    </row>
    <row r="5">
      <c r="A5" s="89" t="s">
        <v>60</v>
      </c>
      <c r="B5" s="90" t="str">
        <f t="array" ref="B5">iferror(INDEX('作品'!D:D,MATCH(A5,'作品'!A:A,0),0),"error")</f>
        <v>SPY×FAMILY</v>
      </c>
      <c r="C5" s="91" t="s">
        <v>429</v>
      </c>
      <c r="D5" s="92" t="str">
        <f t="shared" si="2"/>
        <v>artwork_spy_0003</v>
      </c>
      <c r="E5" s="53" t="str">
        <f t="shared" si="1"/>
        <v>artwork_spy_0003</v>
      </c>
      <c r="F5" s="93"/>
      <c r="G5" s="58" t="s">
        <v>436</v>
      </c>
      <c r="H5" s="53" t="s">
        <v>64</v>
      </c>
      <c r="I5" s="94">
        <v>1.0</v>
      </c>
      <c r="J5" s="95" t="s">
        <v>437</v>
      </c>
      <c r="K5" s="96" t="s">
        <v>438</v>
      </c>
      <c r="L5" s="97">
        <v>45924.625</v>
      </c>
      <c r="M5" s="53">
        <v>2.0250901E8</v>
      </c>
      <c r="N5" s="85"/>
      <c r="O5" s="85"/>
    </row>
    <row r="6">
      <c r="A6" s="89"/>
      <c r="B6" s="90"/>
      <c r="C6" s="91"/>
      <c r="D6" s="92"/>
      <c r="E6" s="53"/>
      <c r="F6" s="93"/>
      <c r="G6" s="58"/>
      <c r="H6" s="53"/>
      <c r="I6" s="94"/>
      <c r="J6" s="95"/>
      <c r="K6" s="96"/>
      <c r="L6" s="98"/>
      <c r="M6" s="98"/>
      <c r="N6" s="85"/>
      <c r="O6" s="85"/>
    </row>
    <row r="7">
      <c r="A7" s="99" t="s">
        <v>87</v>
      </c>
      <c r="B7" s="90" t="str">
        <f t="array" ref="B7">iferror(INDEX('作品'!D:D,MATCH(A7,'作品'!A:A,0),0),"error")</f>
        <v>姫様“拷問”の時間です</v>
      </c>
      <c r="C7" s="91" t="s">
        <v>429</v>
      </c>
      <c r="D7" s="92" t="str">
        <f t="shared" ref="D7:D9" si="3">$C$15&amp;"_"&amp;$A7&amp;"_"&amp;TEXT(countif($A$3:A7,A7),"0000")</f>
        <v>artwork_gom_0001</v>
      </c>
      <c r="E7" s="53" t="str">
        <f t="shared" ref="E7:E9" si="4">D7</f>
        <v>artwork_gom_0001</v>
      </c>
      <c r="F7" s="93"/>
      <c r="G7" s="58" t="s">
        <v>439</v>
      </c>
      <c r="H7" s="53" t="s">
        <v>64</v>
      </c>
      <c r="I7" s="94">
        <v>1.0</v>
      </c>
      <c r="J7" s="95" t="s">
        <v>440</v>
      </c>
      <c r="K7" s="96" t="s">
        <v>432</v>
      </c>
      <c r="L7" s="100">
        <v>45924.625</v>
      </c>
      <c r="M7" s="101">
        <v>2.0250901E8</v>
      </c>
      <c r="N7" s="85"/>
      <c r="O7" s="85"/>
    </row>
    <row r="8">
      <c r="A8" s="99" t="s">
        <v>87</v>
      </c>
      <c r="B8" s="90" t="str">
        <f t="array" ref="B8">iferror(INDEX('作品'!D:D,MATCH(A8,'作品'!A:A,0),0),"error")</f>
        <v>姫様“拷問”の時間です</v>
      </c>
      <c r="C8" s="91" t="s">
        <v>429</v>
      </c>
      <c r="D8" s="92" t="str">
        <f t="shared" si="3"/>
        <v>artwork_gom_0002</v>
      </c>
      <c r="E8" s="53" t="str">
        <f t="shared" si="4"/>
        <v>artwork_gom_0002</v>
      </c>
      <c r="F8" s="93"/>
      <c r="G8" s="58" t="s">
        <v>441</v>
      </c>
      <c r="H8" s="53" t="s">
        <v>64</v>
      </c>
      <c r="I8" s="94">
        <v>1.0</v>
      </c>
      <c r="J8" s="95" t="s">
        <v>442</v>
      </c>
      <c r="K8" s="96" t="s">
        <v>435</v>
      </c>
      <c r="L8" s="100">
        <v>45924.625</v>
      </c>
      <c r="M8" s="101">
        <v>2.0250901E8</v>
      </c>
      <c r="N8" s="85"/>
      <c r="O8" s="85"/>
    </row>
    <row r="9">
      <c r="A9" s="99" t="s">
        <v>87</v>
      </c>
      <c r="B9" s="90" t="str">
        <f t="array" ref="B9">iferror(INDEX('作品'!D:D,MATCH(A9,'作品'!A:A,0),0),"error")</f>
        <v>姫様“拷問”の時間です</v>
      </c>
      <c r="C9" s="91" t="s">
        <v>429</v>
      </c>
      <c r="D9" s="92" t="str">
        <f t="shared" si="3"/>
        <v>artwork_gom_0003</v>
      </c>
      <c r="E9" s="53" t="str">
        <f t="shared" si="4"/>
        <v>artwork_gom_0003</v>
      </c>
      <c r="F9" s="93"/>
      <c r="G9" s="58" t="s">
        <v>443</v>
      </c>
      <c r="H9" s="53" t="s">
        <v>64</v>
      </c>
      <c r="I9" s="94">
        <v>1.0</v>
      </c>
      <c r="J9" s="95" t="s">
        <v>444</v>
      </c>
      <c r="K9" s="96" t="s">
        <v>438</v>
      </c>
      <c r="L9" s="100">
        <v>45924.625</v>
      </c>
      <c r="M9" s="101">
        <v>2.0250901E8</v>
      </c>
      <c r="N9" s="85"/>
      <c r="O9" s="85"/>
    </row>
    <row r="10">
      <c r="A10" s="24"/>
      <c r="B10" s="90"/>
      <c r="C10" s="91"/>
      <c r="D10" s="92"/>
      <c r="E10" s="53"/>
      <c r="F10" s="93"/>
      <c r="G10" s="58"/>
      <c r="H10" s="53"/>
      <c r="I10" s="94"/>
      <c r="J10" s="95"/>
      <c r="K10" s="96"/>
      <c r="L10" s="98"/>
      <c r="M10" s="98"/>
      <c r="N10" s="85"/>
      <c r="O10" s="85"/>
    </row>
    <row r="11">
      <c r="A11" s="89" t="s">
        <v>68</v>
      </c>
      <c r="B11" s="90" t="str">
        <f t="array" ref="B11">iferror(INDEX('作品'!D:D,MATCH(A11,'作品'!A:A,0),0),"error")</f>
        <v>ラーメン赤猫</v>
      </c>
      <c r="C11" s="91" t="s">
        <v>429</v>
      </c>
      <c r="D11" s="92" t="str">
        <f t="shared" ref="D11:D13" si="5">$C$15&amp;"_"&amp;$A11&amp;"_"&amp;TEXT(countif($A$3:A11,A11),"0000")</f>
        <v>artwork_aka_0001</v>
      </c>
      <c r="E11" s="53" t="str">
        <f t="shared" ref="E11:E13" si="6">D11</f>
        <v>artwork_aka_0001</v>
      </c>
      <c r="F11" s="93"/>
      <c r="G11" s="58" t="s">
        <v>445</v>
      </c>
      <c r="H11" s="53" t="s">
        <v>64</v>
      </c>
      <c r="I11" s="94">
        <v>1.0</v>
      </c>
      <c r="J11" s="58" t="s">
        <v>446</v>
      </c>
      <c r="K11" s="96" t="s">
        <v>432</v>
      </c>
      <c r="L11" s="100">
        <v>45924.625</v>
      </c>
      <c r="M11" s="101">
        <v>2.0250901E8</v>
      </c>
      <c r="N11" s="85"/>
      <c r="O11" s="85"/>
    </row>
    <row r="12">
      <c r="A12" s="89" t="s">
        <v>68</v>
      </c>
      <c r="B12" s="90" t="str">
        <f t="array" ref="B12">iferror(INDEX('作品'!D:D,MATCH(A12,'作品'!A:A,0),0),"error")</f>
        <v>ラーメン赤猫</v>
      </c>
      <c r="C12" s="91" t="s">
        <v>429</v>
      </c>
      <c r="D12" s="92" t="str">
        <f t="shared" si="5"/>
        <v>artwork_aka_0002</v>
      </c>
      <c r="E12" s="53" t="str">
        <f t="shared" si="6"/>
        <v>artwork_aka_0002</v>
      </c>
      <c r="F12" s="93"/>
      <c r="G12" s="58" t="s">
        <v>447</v>
      </c>
      <c r="H12" s="53" t="s">
        <v>64</v>
      </c>
      <c r="I12" s="94">
        <v>1.0</v>
      </c>
      <c r="J12" s="58" t="s">
        <v>448</v>
      </c>
      <c r="K12" s="96" t="s">
        <v>435</v>
      </c>
      <c r="L12" s="100">
        <v>45924.625</v>
      </c>
      <c r="M12" s="101">
        <v>2.0250901E8</v>
      </c>
      <c r="N12" s="85"/>
      <c r="O12" s="85"/>
    </row>
    <row r="13">
      <c r="A13" s="89" t="s">
        <v>68</v>
      </c>
      <c r="B13" s="90" t="str">
        <f t="array" ref="B13">iferror(INDEX('作品'!D:D,MATCH(A13,'作品'!A:A,0),0),"error")</f>
        <v>ラーメン赤猫</v>
      </c>
      <c r="C13" s="91" t="s">
        <v>429</v>
      </c>
      <c r="D13" s="92" t="str">
        <f t="shared" si="5"/>
        <v>artwork_aka_0003</v>
      </c>
      <c r="E13" s="53" t="str">
        <f t="shared" si="6"/>
        <v>artwork_aka_0003</v>
      </c>
      <c r="F13" s="93"/>
      <c r="G13" s="58" t="s">
        <v>449</v>
      </c>
      <c r="H13" s="53" t="s">
        <v>64</v>
      </c>
      <c r="I13" s="94">
        <v>1.0</v>
      </c>
      <c r="J13" s="58" t="s">
        <v>450</v>
      </c>
      <c r="K13" s="96" t="s">
        <v>438</v>
      </c>
      <c r="L13" s="100">
        <v>45924.625</v>
      </c>
      <c r="M13" s="101">
        <v>2.0250901E8</v>
      </c>
      <c r="N13" s="85"/>
      <c r="O13" s="85"/>
    </row>
    <row r="14">
      <c r="A14" s="24"/>
      <c r="B14" s="90"/>
      <c r="C14" s="91"/>
      <c r="D14" s="92"/>
      <c r="E14" s="53"/>
      <c r="F14" s="93"/>
      <c r="G14" s="58"/>
      <c r="H14" s="53"/>
      <c r="I14" s="94"/>
      <c r="J14" s="95"/>
      <c r="K14" s="96"/>
      <c r="L14" s="98"/>
      <c r="M14" s="98"/>
      <c r="N14" s="85"/>
      <c r="O14" s="85"/>
    </row>
    <row r="15">
      <c r="A15" s="99" t="s">
        <v>80</v>
      </c>
      <c r="B15" s="90" t="str">
        <f t="array" ref="B15">iferror(INDEX('作品'!D:D,MATCH(A15,'作品'!A:A,0),0),"error")</f>
        <v>ダンダダン</v>
      </c>
      <c r="C15" s="91" t="s">
        <v>429</v>
      </c>
      <c r="D15" s="92" t="str">
        <f t="shared" ref="D15:D17" si="7">$C$15&amp;"_"&amp;$A15&amp;"_"&amp;TEXT(countif($A$3:A15,A15),"0000")</f>
        <v>artwork_dan_0001</v>
      </c>
      <c r="E15" s="53" t="str">
        <f t="shared" ref="E15:E17" si="8">D15</f>
        <v>artwork_dan_0001</v>
      </c>
      <c r="F15" s="93"/>
      <c r="G15" s="102" t="s">
        <v>451</v>
      </c>
      <c r="H15" s="103" t="s">
        <v>64</v>
      </c>
      <c r="I15" s="104">
        <v>1.0</v>
      </c>
      <c r="J15" s="105" t="s">
        <v>452</v>
      </c>
      <c r="K15" s="96" t="s">
        <v>432</v>
      </c>
      <c r="L15" s="100">
        <v>45924.625</v>
      </c>
      <c r="M15" s="101">
        <v>2.0250901E8</v>
      </c>
      <c r="N15" s="85"/>
      <c r="O15" s="85"/>
    </row>
    <row r="16">
      <c r="A16" s="99" t="s">
        <v>80</v>
      </c>
      <c r="B16" s="90" t="str">
        <f t="array" ref="B16">iferror(INDEX('作品'!D:D,MATCH(A16,'作品'!A:A,0),0),"error")</f>
        <v>ダンダダン</v>
      </c>
      <c r="C16" s="91" t="s">
        <v>429</v>
      </c>
      <c r="D16" s="92" t="str">
        <f t="shared" si="7"/>
        <v>artwork_dan_0002</v>
      </c>
      <c r="E16" s="53" t="str">
        <f t="shared" si="8"/>
        <v>artwork_dan_0002</v>
      </c>
      <c r="F16" s="93"/>
      <c r="G16" s="58" t="s">
        <v>453</v>
      </c>
      <c r="H16" s="53" t="s">
        <v>64</v>
      </c>
      <c r="I16" s="94">
        <v>1.0</v>
      </c>
      <c r="J16" s="95" t="s">
        <v>454</v>
      </c>
      <c r="K16" s="96" t="s">
        <v>435</v>
      </c>
      <c r="L16" s="100">
        <v>45924.625</v>
      </c>
      <c r="M16" s="101">
        <v>2.0250901E8</v>
      </c>
      <c r="N16" s="85"/>
      <c r="O16" s="85"/>
    </row>
    <row r="17">
      <c r="A17" s="99" t="s">
        <v>80</v>
      </c>
      <c r="B17" s="90" t="str">
        <f t="array" ref="B17">iferror(INDEX('作品'!D:D,MATCH(A17,'作品'!A:A,0),0),"error")</f>
        <v>ダンダダン</v>
      </c>
      <c r="C17" s="91" t="s">
        <v>429</v>
      </c>
      <c r="D17" s="92" t="str">
        <f t="shared" si="7"/>
        <v>artwork_dan_0003</v>
      </c>
      <c r="E17" s="53" t="str">
        <f t="shared" si="8"/>
        <v>artwork_dan_0003</v>
      </c>
      <c r="F17" s="93"/>
      <c r="G17" s="58" t="s">
        <v>455</v>
      </c>
      <c r="H17" s="53" t="s">
        <v>64</v>
      </c>
      <c r="I17" s="94">
        <v>1.0</v>
      </c>
      <c r="J17" s="95" t="s">
        <v>456</v>
      </c>
      <c r="K17" s="96" t="s">
        <v>438</v>
      </c>
      <c r="L17" s="100">
        <v>45924.625</v>
      </c>
      <c r="M17" s="101">
        <v>2.0250901E8</v>
      </c>
      <c r="N17" s="85"/>
      <c r="O17" s="85"/>
    </row>
    <row r="18">
      <c r="A18" s="99"/>
      <c r="B18" s="90"/>
      <c r="C18" s="91"/>
      <c r="D18" s="92"/>
      <c r="E18" s="53"/>
      <c r="F18" s="93"/>
      <c r="G18" s="58"/>
      <c r="H18" s="53"/>
      <c r="I18" s="94"/>
      <c r="J18" s="95"/>
      <c r="K18" s="96"/>
      <c r="L18" s="98"/>
      <c r="M18" s="98"/>
      <c r="N18" s="85"/>
      <c r="O18" s="85"/>
    </row>
    <row r="19">
      <c r="A19" s="99" t="s">
        <v>148</v>
      </c>
      <c r="B19" s="90" t="str">
        <f t="array" ref="B19">iferror(INDEX('作品'!D:D,MATCH(A19,'作品'!A:A,0),0),"error")</f>
        <v>地獄楽</v>
      </c>
      <c r="C19" s="91" t="s">
        <v>429</v>
      </c>
      <c r="D19" s="92" t="str">
        <f t="shared" ref="D19:D21" si="9">$C$15&amp;"_"&amp;$A19&amp;"_"&amp;TEXT(countif($A$3:A19,A19),"0000")</f>
        <v>artwork_jig_0001</v>
      </c>
      <c r="E19" s="53" t="str">
        <f t="shared" ref="E19:E21" si="10">D19</f>
        <v>artwork_jig_0001</v>
      </c>
      <c r="F19" s="93"/>
      <c r="G19" s="58" t="s">
        <v>457</v>
      </c>
      <c r="H19" s="53" t="s">
        <v>64</v>
      </c>
      <c r="I19" s="94">
        <v>1.0</v>
      </c>
      <c r="J19" s="95" t="s">
        <v>458</v>
      </c>
      <c r="K19" s="96" t="s">
        <v>432</v>
      </c>
      <c r="L19" s="100">
        <v>45924.625</v>
      </c>
      <c r="M19" s="101">
        <v>2.0250901E8</v>
      </c>
      <c r="N19" s="85"/>
      <c r="O19" s="85"/>
    </row>
    <row r="20">
      <c r="A20" s="99" t="s">
        <v>148</v>
      </c>
      <c r="B20" s="90" t="str">
        <f t="array" ref="B20">iferror(INDEX('作品'!D:D,MATCH(A20,'作品'!A:A,0),0),"error")</f>
        <v>地獄楽</v>
      </c>
      <c r="C20" s="91" t="s">
        <v>429</v>
      </c>
      <c r="D20" s="92" t="str">
        <f t="shared" si="9"/>
        <v>artwork_jig_0002</v>
      </c>
      <c r="E20" s="53" t="str">
        <f t="shared" si="10"/>
        <v>artwork_jig_0002</v>
      </c>
      <c r="F20" s="93"/>
      <c r="G20" s="58" t="s">
        <v>459</v>
      </c>
      <c r="H20" s="53" t="s">
        <v>64</v>
      </c>
      <c r="I20" s="94">
        <v>1.0</v>
      </c>
      <c r="J20" s="95" t="s">
        <v>460</v>
      </c>
      <c r="K20" s="96" t="s">
        <v>435</v>
      </c>
      <c r="L20" s="100">
        <v>45924.625</v>
      </c>
      <c r="M20" s="101">
        <v>2.0250901E8</v>
      </c>
      <c r="N20" s="85"/>
      <c r="O20" s="85"/>
    </row>
    <row r="21">
      <c r="A21" s="99" t="s">
        <v>148</v>
      </c>
      <c r="B21" s="90" t="str">
        <f t="array" ref="B21">iferror(INDEX('作品'!D:D,MATCH(A21,'作品'!A:A,0),0),"error")</f>
        <v>地獄楽</v>
      </c>
      <c r="C21" s="91" t="s">
        <v>429</v>
      </c>
      <c r="D21" s="92" t="str">
        <f t="shared" si="9"/>
        <v>artwork_jig_0003</v>
      </c>
      <c r="E21" s="53" t="str">
        <f t="shared" si="10"/>
        <v>artwork_jig_0003</v>
      </c>
      <c r="F21" s="93"/>
      <c r="G21" s="58" t="s">
        <v>461</v>
      </c>
      <c r="H21" s="53" t="s">
        <v>64</v>
      </c>
      <c r="I21" s="94">
        <v>1.0</v>
      </c>
      <c r="J21" s="95" t="s">
        <v>462</v>
      </c>
      <c r="K21" s="96" t="s">
        <v>438</v>
      </c>
      <c r="L21" s="100">
        <v>45924.625</v>
      </c>
      <c r="M21" s="101">
        <v>2.0250901E8</v>
      </c>
      <c r="N21" s="85"/>
      <c r="O21" s="85"/>
    </row>
    <row r="22">
      <c r="A22" s="99"/>
      <c r="B22" s="90"/>
      <c r="C22" s="91"/>
      <c r="D22" s="92"/>
      <c r="E22" s="53"/>
      <c r="F22" s="93"/>
      <c r="G22" s="58"/>
      <c r="H22" s="53"/>
      <c r="I22" s="94"/>
      <c r="J22" s="95"/>
      <c r="K22" s="96"/>
      <c r="L22" s="98"/>
      <c r="M22" s="98"/>
      <c r="N22" s="85"/>
      <c r="O22" s="85"/>
    </row>
    <row r="23">
      <c r="A23" s="89" t="s">
        <v>153</v>
      </c>
      <c r="B23" s="90" t="str">
        <f t="array" ref="B23">iferror(INDEX('作品'!D:D,MATCH(A23,'作品'!A:A,0),0),"error")</f>
        <v>タコピーの原罪</v>
      </c>
      <c r="C23" s="91" t="s">
        <v>429</v>
      </c>
      <c r="D23" s="92" t="str">
        <f t="shared" ref="D23:D25" si="11">$C$15&amp;"_"&amp;$A23&amp;"_"&amp;TEXT(countif($A$3:A23,A23),"0000")</f>
        <v>artwork_tak_0001</v>
      </c>
      <c r="E23" s="53" t="str">
        <f t="shared" ref="E23:E25" si="12">D23</f>
        <v>artwork_tak_0001</v>
      </c>
      <c r="F23" s="93"/>
      <c r="G23" s="58" t="s">
        <v>463</v>
      </c>
      <c r="H23" s="53" t="s">
        <v>64</v>
      </c>
      <c r="I23" s="94">
        <v>1.0</v>
      </c>
      <c r="J23" s="58" t="s">
        <v>464</v>
      </c>
      <c r="K23" s="96" t="s">
        <v>432</v>
      </c>
      <c r="L23" s="100">
        <v>45924.625</v>
      </c>
      <c r="M23" s="101">
        <v>2.0250901E8</v>
      </c>
      <c r="N23" s="85"/>
      <c r="O23" s="85"/>
    </row>
    <row r="24">
      <c r="A24" s="89" t="s">
        <v>153</v>
      </c>
      <c r="B24" s="90" t="str">
        <f t="array" ref="B24">iferror(INDEX('作品'!D:D,MATCH(A24,'作品'!A:A,0),0),"error")</f>
        <v>タコピーの原罪</v>
      </c>
      <c r="C24" s="91" t="s">
        <v>429</v>
      </c>
      <c r="D24" s="92" t="str">
        <f t="shared" si="11"/>
        <v>artwork_tak_0002</v>
      </c>
      <c r="E24" s="53" t="str">
        <f t="shared" si="12"/>
        <v>artwork_tak_0002</v>
      </c>
      <c r="F24" s="93"/>
      <c r="G24" s="58" t="s">
        <v>465</v>
      </c>
      <c r="H24" s="53" t="s">
        <v>64</v>
      </c>
      <c r="I24" s="94">
        <v>1.0</v>
      </c>
      <c r="J24" s="58" t="s">
        <v>466</v>
      </c>
      <c r="K24" s="96" t="s">
        <v>435</v>
      </c>
      <c r="L24" s="100">
        <v>45924.625</v>
      </c>
      <c r="M24" s="101">
        <v>2.0250901E8</v>
      </c>
      <c r="N24" s="85"/>
      <c r="O24" s="85"/>
    </row>
    <row r="25">
      <c r="A25" s="89" t="s">
        <v>153</v>
      </c>
      <c r="B25" s="90" t="str">
        <f t="array" ref="B25">iferror(INDEX('作品'!D:D,MATCH(A25,'作品'!A:A,0),0),"error")</f>
        <v>タコピーの原罪</v>
      </c>
      <c r="C25" s="91" t="s">
        <v>429</v>
      </c>
      <c r="D25" s="92" t="str">
        <f t="shared" si="11"/>
        <v>artwork_tak_0003</v>
      </c>
      <c r="E25" s="53" t="str">
        <f t="shared" si="12"/>
        <v>artwork_tak_0003</v>
      </c>
      <c r="F25" s="93"/>
      <c r="G25" s="58" t="s">
        <v>467</v>
      </c>
      <c r="H25" s="53" t="s">
        <v>64</v>
      </c>
      <c r="I25" s="94">
        <v>1.0</v>
      </c>
      <c r="J25" s="58" t="s">
        <v>468</v>
      </c>
      <c r="K25" s="96" t="s">
        <v>438</v>
      </c>
      <c r="L25" s="100">
        <v>45924.625</v>
      </c>
      <c r="M25" s="101">
        <v>2.0250901E8</v>
      </c>
      <c r="N25" s="85"/>
      <c r="O25" s="85"/>
    </row>
    <row r="26">
      <c r="A26" s="24"/>
      <c r="B26" s="90"/>
      <c r="C26" s="91"/>
      <c r="D26" s="92"/>
      <c r="E26" s="53"/>
      <c r="F26" s="93"/>
      <c r="G26" s="58"/>
      <c r="H26" s="53"/>
      <c r="I26" s="94"/>
      <c r="J26" s="95"/>
      <c r="K26" s="96"/>
      <c r="L26" s="98"/>
      <c r="M26" s="98"/>
      <c r="N26" s="85"/>
      <c r="O26" s="85"/>
    </row>
    <row r="27">
      <c r="A27" s="25" t="s">
        <v>92</v>
      </c>
      <c r="B27" s="90" t="str">
        <f t="array" ref="B27">iferror(INDEX('作品'!D:D,MATCH(A27,'作品'!A:A,0),0),"error")</f>
        <v>チェンソーマン</v>
      </c>
      <c r="C27" s="91" t="s">
        <v>429</v>
      </c>
      <c r="D27" s="92" t="str">
        <f t="shared" ref="D27:D29" si="13">$C$15&amp;"_"&amp;$A27&amp;"_"&amp;TEXT(countif($A$3:A27,A27),"0000")</f>
        <v>artwork_chi_0001</v>
      </c>
      <c r="E27" s="53" t="str">
        <f t="shared" ref="E27:E29" si="14">D27</f>
        <v>artwork_chi_0001</v>
      </c>
      <c r="F27" s="93"/>
      <c r="G27" s="58" t="s">
        <v>469</v>
      </c>
      <c r="H27" s="53" t="s">
        <v>64</v>
      </c>
      <c r="I27" s="94">
        <v>1.0</v>
      </c>
      <c r="J27" s="58" t="s">
        <v>470</v>
      </c>
      <c r="K27" s="96" t="s">
        <v>432</v>
      </c>
      <c r="L27" s="100">
        <v>45924.625</v>
      </c>
      <c r="M27" s="101">
        <v>2.0250901E8</v>
      </c>
      <c r="N27" s="85"/>
      <c r="O27" s="85"/>
    </row>
    <row r="28">
      <c r="A28" s="25" t="s">
        <v>92</v>
      </c>
      <c r="B28" s="90" t="str">
        <f t="array" ref="B28">iferror(INDEX('作品'!D:D,MATCH(A28,'作品'!A:A,0),0),"error")</f>
        <v>チェンソーマン</v>
      </c>
      <c r="C28" s="91" t="s">
        <v>429</v>
      </c>
      <c r="D28" s="92" t="str">
        <f t="shared" si="13"/>
        <v>artwork_chi_0002</v>
      </c>
      <c r="E28" s="53" t="str">
        <f t="shared" si="14"/>
        <v>artwork_chi_0002</v>
      </c>
      <c r="F28" s="93"/>
      <c r="G28" s="58" t="s">
        <v>471</v>
      </c>
      <c r="H28" s="53" t="s">
        <v>64</v>
      </c>
      <c r="I28" s="94">
        <v>1.0</v>
      </c>
      <c r="J28" s="58" t="s">
        <v>472</v>
      </c>
      <c r="K28" s="96" t="s">
        <v>435</v>
      </c>
      <c r="L28" s="100">
        <v>45924.625</v>
      </c>
      <c r="M28" s="101">
        <v>2.0250901E8</v>
      </c>
      <c r="N28" s="85"/>
      <c r="O28" s="85"/>
    </row>
    <row r="29">
      <c r="A29" s="25" t="s">
        <v>92</v>
      </c>
      <c r="B29" s="90" t="str">
        <f t="array" ref="B29">iferror(INDEX('作品'!D:D,MATCH(A29,'作品'!A:A,0),0),"error")</f>
        <v>チェンソーマン</v>
      </c>
      <c r="C29" s="91" t="s">
        <v>429</v>
      </c>
      <c r="D29" s="92" t="str">
        <f t="shared" si="13"/>
        <v>artwork_chi_0003</v>
      </c>
      <c r="E29" s="53" t="str">
        <f t="shared" si="14"/>
        <v>artwork_chi_0003</v>
      </c>
      <c r="F29" s="93"/>
      <c r="G29" s="58" t="s">
        <v>473</v>
      </c>
      <c r="H29" s="53" t="s">
        <v>64</v>
      </c>
      <c r="I29" s="94">
        <v>1.0</v>
      </c>
      <c r="J29" s="58" t="s">
        <v>474</v>
      </c>
      <c r="K29" s="96" t="s">
        <v>438</v>
      </c>
      <c r="L29" s="100">
        <v>45924.625</v>
      </c>
      <c r="M29" s="101">
        <v>2.0250901E8</v>
      </c>
      <c r="N29" s="85"/>
      <c r="O29" s="85"/>
    </row>
    <row r="30">
      <c r="A30" s="24"/>
      <c r="B30" s="90"/>
      <c r="C30" s="91"/>
      <c r="D30" s="92"/>
      <c r="E30" s="53"/>
      <c r="F30" s="93"/>
      <c r="G30" s="58"/>
      <c r="H30" s="53" t="s">
        <v>64</v>
      </c>
      <c r="I30" s="94">
        <v>1.0</v>
      </c>
      <c r="J30" s="58" t="s">
        <v>64</v>
      </c>
      <c r="K30" s="96"/>
      <c r="L30" s="98"/>
      <c r="M30" s="98"/>
      <c r="N30" s="85"/>
      <c r="O30" s="85"/>
    </row>
    <row r="31">
      <c r="A31" s="25" t="s">
        <v>115</v>
      </c>
      <c r="B31" s="90" t="str">
        <f t="array" ref="B31">iferror(INDEX('作品'!D:D,MATCH(A31,'作品'!A:A,0),0),"error")</f>
        <v>怪獣８号</v>
      </c>
      <c r="C31" s="91" t="s">
        <v>429</v>
      </c>
      <c r="D31" s="92" t="str">
        <f t="shared" ref="D31:D33" si="15">$C$15&amp;"_"&amp;$A31&amp;"_"&amp;TEXT(countif($A$3:A31,A31),"0000")</f>
        <v>artwork_kai_0001</v>
      </c>
      <c r="E31" s="53" t="str">
        <f t="shared" ref="E31:E33" si="16">D31</f>
        <v>artwork_kai_0001</v>
      </c>
      <c r="F31" s="93"/>
      <c r="G31" s="58" t="s">
        <v>475</v>
      </c>
      <c r="H31" s="53" t="s">
        <v>64</v>
      </c>
      <c r="I31" s="94">
        <v>1.0</v>
      </c>
      <c r="J31" s="58" t="s">
        <v>476</v>
      </c>
      <c r="K31" s="96" t="s">
        <v>432</v>
      </c>
      <c r="L31" s="100">
        <v>45924.625</v>
      </c>
      <c r="M31" s="101">
        <v>2.0250901E8</v>
      </c>
      <c r="N31" s="85"/>
      <c r="O31" s="85"/>
    </row>
    <row r="32">
      <c r="A32" s="25" t="s">
        <v>115</v>
      </c>
      <c r="B32" s="90" t="str">
        <f t="array" ref="B32">iferror(INDEX('作品'!D:D,MATCH(A32,'作品'!A:A,0),0),"error")</f>
        <v>怪獣８号</v>
      </c>
      <c r="C32" s="91" t="s">
        <v>429</v>
      </c>
      <c r="D32" s="92" t="str">
        <f t="shared" si="15"/>
        <v>artwork_kai_0002</v>
      </c>
      <c r="E32" s="53" t="str">
        <f t="shared" si="16"/>
        <v>artwork_kai_0002</v>
      </c>
      <c r="F32" s="93"/>
      <c r="G32" s="58" t="s">
        <v>477</v>
      </c>
      <c r="H32" s="53" t="s">
        <v>64</v>
      </c>
      <c r="I32" s="94">
        <v>1.0</v>
      </c>
      <c r="J32" s="58" t="s">
        <v>478</v>
      </c>
      <c r="K32" s="96" t="s">
        <v>435</v>
      </c>
      <c r="L32" s="100">
        <v>45924.625</v>
      </c>
      <c r="M32" s="101">
        <v>2.0250901E8</v>
      </c>
      <c r="N32" s="85"/>
      <c r="O32" s="85"/>
    </row>
    <row r="33">
      <c r="A33" s="25" t="s">
        <v>115</v>
      </c>
      <c r="B33" s="90" t="str">
        <f t="array" ref="B33">iferror(INDEX('作品'!D:D,MATCH(A33,'作品'!A:A,0),0),"error")</f>
        <v>怪獣８号</v>
      </c>
      <c r="C33" s="91" t="s">
        <v>429</v>
      </c>
      <c r="D33" s="92" t="str">
        <f t="shared" si="15"/>
        <v>artwork_kai_0003</v>
      </c>
      <c r="E33" s="53" t="str">
        <f t="shared" si="16"/>
        <v>artwork_kai_0003</v>
      </c>
      <c r="F33" s="93"/>
      <c r="G33" s="58" t="s">
        <v>479</v>
      </c>
      <c r="H33" s="53" t="s">
        <v>64</v>
      </c>
      <c r="I33" s="94">
        <v>1.0</v>
      </c>
      <c r="J33" s="58" t="s">
        <v>480</v>
      </c>
      <c r="K33" s="96" t="s">
        <v>438</v>
      </c>
      <c r="L33" s="100">
        <v>45924.625</v>
      </c>
      <c r="M33" s="101">
        <v>2.0250901E8</v>
      </c>
      <c r="N33" s="85"/>
      <c r="O33" s="85"/>
    </row>
    <row r="34">
      <c r="A34" s="24"/>
      <c r="B34" s="90"/>
      <c r="C34" s="91"/>
      <c r="D34" s="92"/>
      <c r="E34" s="53"/>
      <c r="F34" s="93"/>
      <c r="G34" s="58"/>
      <c r="H34" s="53" t="s">
        <v>64</v>
      </c>
      <c r="I34" s="94"/>
      <c r="J34" s="58" t="s">
        <v>64</v>
      </c>
      <c r="K34" s="96"/>
      <c r="L34" s="98"/>
      <c r="M34" s="98"/>
      <c r="N34" s="85"/>
      <c r="O34" s="85"/>
    </row>
    <row r="35">
      <c r="A35" s="25" t="s">
        <v>127</v>
      </c>
      <c r="B35" s="90" t="str">
        <f t="array" ref="B35">iferror(INDEX('作品'!D:D,MATCH(A35,'作品'!A:A,0),0),"error")</f>
        <v>魔都精兵のスレイブ</v>
      </c>
      <c r="C35" s="91" t="s">
        <v>429</v>
      </c>
      <c r="D35" s="92" t="str">
        <f t="shared" ref="D35:D37" si="17">$C$15&amp;"_"&amp;$A35&amp;"_"&amp;TEXT(countif($A$3:A35,A35),"0000")</f>
        <v>artwork_sur_0001</v>
      </c>
      <c r="E35" s="53" t="str">
        <f t="shared" ref="E35:E37" si="18">D35</f>
        <v>artwork_sur_0001</v>
      </c>
      <c r="F35" s="93"/>
      <c r="G35" s="58" t="s">
        <v>481</v>
      </c>
      <c r="H35" s="53" t="s">
        <v>64</v>
      </c>
      <c r="I35" s="94">
        <v>1.0</v>
      </c>
      <c r="J35" s="58" t="s">
        <v>482</v>
      </c>
      <c r="K35" s="96" t="s">
        <v>432</v>
      </c>
      <c r="L35" s="100">
        <v>45924.625</v>
      </c>
      <c r="M35" s="101">
        <v>2.0250901E8</v>
      </c>
      <c r="N35" s="85"/>
      <c r="O35" s="85"/>
    </row>
    <row r="36">
      <c r="A36" s="25" t="s">
        <v>127</v>
      </c>
      <c r="B36" s="90" t="str">
        <f t="array" ref="B36">iferror(INDEX('作品'!D:D,MATCH(A36,'作品'!A:A,0),0),"error")</f>
        <v>魔都精兵のスレイブ</v>
      </c>
      <c r="C36" s="91" t="s">
        <v>429</v>
      </c>
      <c r="D36" s="92" t="str">
        <f t="shared" si="17"/>
        <v>artwork_sur_0002</v>
      </c>
      <c r="E36" s="53" t="str">
        <f t="shared" si="18"/>
        <v>artwork_sur_0002</v>
      </c>
      <c r="F36" s="93"/>
      <c r="G36" s="58" t="s">
        <v>483</v>
      </c>
      <c r="H36" s="53" t="s">
        <v>64</v>
      </c>
      <c r="I36" s="94">
        <v>1.0</v>
      </c>
      <c r="J36" s="58" t="s">
        <v>484</v>
      </c>
      <c r="K36" s="96" t="s">
        <v>435</v>
      </c>
      <c r="L36" s="100">
        <v>45924.625</v>
      </c>
      <c r="M36" s="101">
        <v>2.0250901E8</v>
      </c>
      <c r="N36" s="85"/>
      <c r="O36" s="85"/>
    </row>
    <row r="37">
      <c r="A37" s="25" t="s">
        <v>127</v>
      </c>
      <c r="B37" s="90" t="str">
        <f t="array" ref="B37">iferror(INDEX('作品'!D:D,MATCH(A37,'作品'!A:A,0),0),"error")</f>
        <v>魔都精兵のスレイブ</v>
      </c>
      <c r="C37" s="91" t="s">
        <v>429</v>
      </c>
      <c r="D37" s="92" t="str">
        <f t="shared" si="17"/>
        <v>artwork_sur_0003</v>
      </c>
      <c r="E37" s="53" t="str">
        <f t="shared" si="18"/>
        <v>artwork_sur_0003</v>
      </c>
      <c r="F37" s="93"/>
      <c r="G37" s="58" t="s">
        <v>485</v>
      </c>
      <c r="H37" s="53" t="s">
        <v>64</v>
      </c>
      <c r="I37" s="94">
        <v>1.0</v>
      </c>
      <c r="J37" s="58" t="s">
        <v>486</v>
      </c>
      <c r="K37" s="96" t="s">
        <v>438</v>
      </c>
      <c r="L37" s="100">
        <v>45924.625</v>
      </c>
      <c r="M37" s="101">
        <v>2.0250901E8</v>
      </c>
      <c r="N37" s="85"/>
      <c r="O37" s="85"/>
    </row>
    <row r="38">
      <c r="A38" s="24"/>
      <c r="B38" s="90"/>
      <c r="C38" s="91"/>
      <c r="D38" s="92"/>
      <c r="E38" s="53"/>
      <c r="F38" s="93"/>
      <c r="G38" s="58"/>
      <c r="H38" s="53" t="s">
        <v>64</v>
      </c>
      <c r="I38" s="94">
        <v>1.0</v>
      </c>
      <c r="J38" s="58" t="s">
        <v>64</v>
      </c>
      <c r="K38" s="96"/>
      <c r="L38" s="98"/>
      <c r="M38" s="98"/>
      <c r="N38" s="85"/>
      <c r="O38" s="85"/>
    </row>
    <row r="39">
      <c r="A39" s="25" t="s">
        <v>75</v>
      </c>
      <c r="B39" s="90" t="str">
        <f t="array" ref="B39">iferror(INDEX('作品'!D:D,MATCH(A39,'作品'!A:A,0),0),"error")</f>
        <v>トマトイプーのリコピン</v>
      </c>
      <c r="C39" s="91" t="s">
        <v>429</v>
      </c>
      <c r="D39" s="92" t="str">
        <f t="shared" ref="D39:D41" si="19">$C$15&amp;"_"&amp;$A39&amp;"_"&amp;TEXT(countif($A$3:A39,A39),"0000")</f>
        <v>artwork_rik_0001</v>
      </c>
      <c r="E39" s="53" t="str">
        <f t="shared" ref="E39:E41" si="20">D39</f>
        <v>artwork_rik_0001</v>
      </c>
      <c r="F39" s="93"/>
      <c r="G39" s="58" t="s">
        <v>487</v>
      </c>
      <c r="H39" s="53" t="s">
        <v>64</v>
      </c>
      <c r="I39" s="94">
        <v>1.0</v>
      </c>
      <c r="J39" s="58" t="s">
        <v>488</v>
      </c>
      <c r="K39" s="96" t="s">
        <v>432</v>
      </c>
      <c r="L39" s="100">
        <v>45924.625</v>
      </c>
      <c r="M39" s="101">
        <v>2.0250901E8</v>
      </c>
      <c r="N39" s="85"/>
      <c r="O39" s="85"/>
    </row>
    <row r="40">
      <c r="A40" s="25" t="s">
        <v>75</v>
      </c>
      <c r="B40" s="90" t="str">
        <f t="array" ref="B40">iferror(INDEX('作品'!D:D,MATCH(A40,'作品'!A:A,0),0),"error")</f>
        <v>トマトイプーのリコピン</v>
      </c>
      <c r="C40" s="91" t="s">
        <v>429</v>
      </c>
      <c r="D40" s="92" t="str">
        <f t="shared" si="19"/>
        <v>artwork_rik_0002</v>
      </c>
      <c r="E40" s="53" t="str">
        <f t="shared" si="20"/>
        <v>artwork_rik_0002</v>
      </c>
      <c r="F40" s="93"/>
      <c r="G40" s="58" t="s">
        <v>489</v>
      </c>
      <c r="H40" s="53" t="s">
        <v>64</v>
      </c>
      <c r="I40" s="94">
        <v>1.0</v>
      </c>
      <c r="J40" s="58" t="s">
        <v>490</v>
      </c>
      <c r="K40" s="96" t="s">
        <v>435</v>
      </c>
      <c r="L40" s="100">
        <v>45924.625</v>
      </c>
      <c r="M40" s="101">
        <v>2.0250901E8</v>
      </c>
      <c r="N40" s="85"/>
      <c r="O40" s="85"/>
    </row>
    <row r="41">
      <c r="A41" s="25" t="s">
        <v>75</v>
      </c>
      <c r="B41" s="90" t="str">
        <f t="array" ref="B41">iferror(INDEX('作品'!D:D,MATCH(A41,'作品'!A:A,0),0),"error")</f>
        <v>トマトイプーのリコピン</v>
      </c>
      <c r="C41" s="91" t="s">
        <v>429</v>
      </c>
      <c r="D41" s="92" t="str">
        <f t="shared" si="19"/>
        <v>artwork_rik_0003</v>
      </c>
      <c r="E41" s="53" t="str">
        <f t="shared" si="20"/>
        <v>artwork_rik_0003</v>
      </c>
      <c r="F41" s="93"/>
      <c r="G41" s="58" t="s">
        <v>491</v>
      </c>
      <c r="H41" s="53" t="s">
        <v>64</v>
      </c>
      <c r="I41" s="94">
        <v>1.0</v>
      </c>
      <c r="J41" s="95" t="s">
        <v>492</v>
      </c>
      <c r="K41" s="96" t="s">
        <v>438</v>
      </c>
      <c r="L41" s="100">
        <v>45924.625</v>
      </c>
      <c r="M41" s="101">
        <v>2.0250901E8</v>
      </c>
      <c r="N41" s="85"/>
      <c r="O41" s="85"/>
    </row>
    <row r="42">
      <c r="A42" s="44"/>
      <c r="B42" s="90"/>
      <c r="C42" s="91"/>
      <c r="D42" s="92"/>
      <c r="E42" s="53"/>
      <c r="F42" s="93"/>
      <c r="G42" s="58"/>
      <c r="H42" s="53" t="s">
        <v>64</v>
      </c>
      <c r="I42" s="94">
        <v>1.0</v>
      </c>
      <c r="J42" s="95" t="s">
        <v>64</v>
      </c>
      <c r="K42" s="96"/>
      <c r="L42" s="98"/>
      <c r="M42" s="98"/>
      <c r="N42" s="85"/>
      <c r="O42" s="85"/>
    </row>
    <row r="43">
      <c r="A43" s="55" t="s">
        <v>98</v>
      </c>
      <c r="B43" s="90" t="str">
        <f t="array" ref="B43">iferror(INDEX('作品'!D:D,MATCH(A43,'作品'!A:A,0),0),"error")</f>
        <v>株式会社マジルミエ</v>
      </c>
      <c r="C43" s="91" t="s">
        <v>429</v>
      </c>
      <c r="D43" s="92" t="str">
        <f t="shared" ref="D43:D45" si="21">$C$15&amp;"_"&amp;$A43&amp;"_"&amp;TEXT(countif($A$3:A43,A43),"0000")</f>
        <v>artwork_mag_0001</v>
      </c>
      <c r="E43" s="53" t="str">
        <f t="shared" ref="E43:E45" si="22">D43</f>
        <v>artwork_mag_0001</v>
      </c>
      <c r="F43" s="93"/>
      <c r="G43" s="58" t="s">
        <v>493</v>
      </c>
      <c r="H43" s="53" t="s">
        <v>64</v>
      </c>
      <c r="I43" s="94">
        <v>1.0</v>
      </c>
      <c r="J43" s="95" t="s">
        <v>494</v>
      </c>
      <c r="K43" s="96" t="s">
        <v>432</v>
      </c>
      <c r="L43" s="100">
        <v>45924.625</v>
      </c>
      <c r="M43" s="101">
        <v>2.0250901E8</v>
      </c>
      <c r="N43" s="85"/>
      <c r="O43" s="85"/>
    </row>
    <row r="44">
      <c r="A44" s="55" t="s">
        <v>98</v>
      </c>
      <c r="B44" s="90" t="str">
        <f t="array" ref="B44">iferror(INDEX('作品'!D:D,MATCH(A44,'作品'!A:A,0),0),"error")</f>
        <v>株式会社マジルミエ</v>
      </c>
      <c r="C44" s="91" t="s">
        <v>429</v>
      </c>
      <c r="D44" s="92" t="str">
        <f t="shared" si="21"/>
        <v>artwork_mag_0002</v>
      </c>
      <c r="E44" s="53" t="str">
        <f t="shared" si="22"/>
        <v>artwork_mag_0002</v>
      </c>
      <c r="F44" s="93"/>
      <c r="G44" s="58" t="s">
        <v>495</v>
      </c>
      <c r="H44" s="53" t="s">
        <v>64</v>
      </c>
      <c r="I44" s="94">
        <v>1.0</v>
      </c>
      <c r="J44" s="95" t="s">
        <v>496</v>
      </c>
      <c r="K44" s="96" t="s">
        <v>435</v>
      </c>
      <c r="L44" s="100">
        <v>45924.625</v>
      </c>
      <c r="M44" s="101">
        <v>2.0250901E8</v>
      </c>
      <c r="N44" s="85"/>
      <c r="O44" s="85"/>
    </row>
    <row r="45">
      <c r="A45" s="55" t="s">
        <v>98</v>
      </c>
      <c r="B45" s="90" t="str">
        <f t="array" ref="B45">iferror(INDEX('作品'!D:D,MATCH(A45,'作品'!A:A,0),0),"error")</f>
        <v>株式会社マジルミエ</v>
      </c>
      <c r="C45" s="91" t="s">
        <v>429</v>
      </c>
      <c r="D45" s="92" t="str">
        <f t="shared" si="21"/>
        <v>artwork_mag_0003</v>
      </c>
      <c r="E45" s="53" t="str">
        <f t="shared" si="22"/>
        <v>artwork_mag_0003</v>
      </c>
      <c r="F45" s="93"/>
      <c r="G45" s="58" t="s">
        <v>497</v>
      </c>
      <c r="H45" s="53" t="s">
        <v>64</v>
      </c>
      <c r="I45" s="94">
        <v>1.0</v>
      </c>
      <c r="J45" s="95" t="s">
        <v>498</v>
      </c>
      <c r="K45" s="96" t="s">
        <v>438</v>
      </c>
      <c r="L45" s="100">
        <v>45924.625</v>
      </c>
      <c r="M45" s="101">
        <v>2.0250901E8</v>
      </c>
      <c r="N45" s="85"/>
      <c r="O45" s="85"/>
    </row>
    <row r="46">
      <c r="A46" s="44"/>
      <c r="B46" s="90"/>
      <c r="C46" s="91"/>
      <c r="D46" s="92"/>
      <c r="E46" s="53"/>
      <c r="F46" s="93"/>
      <c r="G46" s="58"/>
      <c r="H46" s="53" t="s">
        <v>64</v>
      </c>
      <c r="I46" s="94">
        <v>1.0</v>
      </c>
      <c r="J46" s="95" t="s">
        <v>64</v>
      </c>
      <c r="K46" s="96"/>
      <c r="L46" s="98"/>
      <c r="M46" s="98"/>
      <c r="N46" s="85"/>
      <c r="O46" s="85"/>
    </row>
    <row r="47">
      <c r="A47" s="55" t="s">
        <v>143</v>
      </c>
      <c r="B47" s="90" t="str">
        <f t="array" ref="B47">iferror(INDEX('作品'!D:D,MATCH(A47,'作品'!A:A,0),0),"error")</f>
        <v>サマータイムレンダ</v>
      </c>
      <c r="C47" s="91" t="s">
        <v>429</v>
      </c>
      <c r="D47" s="92" t="str">
        <f t="shared" ref="D47:D49" si="23">$C$15&amp;"_"&amp;$A47&amp;"_"&amp;TEXT(countif($A$3:A47,A47),"0000")</f>
        <v>artwork_sum_0001</v>
      </c>
      <c r="E47" s="53" t="str">
        <f t="shared" ref="E47:E49" si="24">D47</f>
        <v>artwork_sum_0001</v>
      </c>
      <c r="F47" s="93"/>
      <c r="G47" s="58" t="s">
        <v>499</v>
      </c>
      <c r="H47" s="53" t="s">
        <v>64</v>
      </c>
      <c r="I47" s="94">
        <v>1.0</v>
      </c>
      <c r="J47" s="95" t="s">
        <v>500</v>
      </c>
      <c r="K47" s="96" t="s">
        <v>432</v>
      </c>
      <c r="L47" s="100">
        <v>45924.625</v>
      </c>
      <c r="M47" s="101">
        <v>2.0250901E8</v>
      </c>
      <c r="N47" s="85"/>
      <c r="O47" s="85"/>
    </row>
    <row r="48">
      <c r="A48" s="55" t="s">
        <v>143</v>
      </c>
      <c r="B48" s="90" t="str">
        <f t="array" ref="B48">iferror(INDEX('作品'!D:D,MATCH(A48,'作品'!A:A,0),0),"error")</f>
        <v>サマータイムレンダ</v>
      </c>
      <c r="C48" s="91" t="s">
        <v>429</v>
      </c>
      <c r="D48" s="92" t="str">
        <f t="shared" si="23"/>
        <v>artwork_sum_0002</v>
      </c>
      <c r="E48" s="53" t="str">
        <f t="shared" si="24"/>
        <v>artwork_sum_0002</v>
      </c>
      <c r="F48" s="93"/>
      <c r="G48" s="58" t="s">
        <v>501</v>
      </c>
      <c r="H48" s="53" t="s">
        <v>64</v>
      </c>
      <c r="I48" s="94">
        <v>1.0</v>
      </c>
      <c r="J48" s="95" t="s">
        <v>502</v>
      </c>
      <c r="K48" s="96" t="s">
        <v>435</v>
      </c>
      <c r="L48" s="100">
        <v>45924.625</v>
      </c>
      <c r="M48" s="101">
        <v>2.0250901E8</v>
      </c>
      <c r="N48" s="85"/>
      <c r="O48" s="85"/>
    </row>
    <row r="49">
      <c r="A49" s="55" t="s">
        <v>143</v>
      </c>
      <c r="B49" s="90" t="str">
        <f t="array" ref="B49">iferror(INDEX('作品'!D:D,MATCH(A49,'作品'!A:A,0),0),"error")</f>
        <v>サマータイムレンダ</v>
      </c>
      <c r="C49" s="91" t="s">
        <v>429</v>
      </c>
      <c r="D49" s="92" t="str">
        <f t="shared" si="23"/>
        <v>artwork_sum_0003</v>
      </c>
      <c r="E49" s="53" t="str">
        <f t="shared" si="24"/>
        <v>artwork_sum_0003</v>
      </c>
      <c r="F49" s="93"/>
      <c r="G49" s="58" t="s">
        <v>503</v>
      </c>
      <c r="H49" s="53" t="s">
        <v>64</v>
      </c>
      <c r="I49" s="94">
        <v>1.0</v>
      </c>
      <c r="J49" s="95" t="s">
        <v>504</v>
      </c>
      <c r="K49" s="96" t="s">
        <v>438</v>
      </c>
      <c r="L49" s="100">
        <v>45924.625</v>
      </c>
      <c r="M49" s="101">
        <v>2.0250901E8</v>
      </c>
      <c r="N49" s="85"/>
      <c r="O49" s="85"/>
    </row>
    <row r="50">
      <c r="A50" s="44"/>
      <c r="B50" s="90"/>
      <c r="C50" s="91"/>
      <c r="D50" s="92"/>
      <c r="E50" s="53"/>
      <c r="F50" s="93"/>
      <c r="G50" s="58"/>
      <c r="H50" s="53" t="s">
        <v>64</v>
      </c>
      <c r="I50" s="94"/>
      <c r="J50" s="95"/>
      <c r="K50" s="96"/>
      <c r="L50" s="98"/>
      <c r="M50" s="98"/>
      <c r="N50" s="85"/>
      <c r="O50" s="85"/>
    </row>
    <row r="51">
      <c r="A51" s="55" t="s">
        <v>283</v>
      </c>
      <c r="B51" s="90" t="str">
        <f t="array" ref="B51">iferror(INDEX('作品'!D:D,MATCH(A51,'作品'!A:A,0),0),"error")</f>
        <v>GLOW</v>
      </c>
      <c r="C51" s="91" t="s">
        <v>429</v>
      </c>
      <c r="D51" s="92" t="s">
        <v>505</v>
      </c>
      <c r="E51" s="53" t="str">
        <f t="shared" ref="E51:E52" si="25">D51</f>
        <v>artwork_tutorial_0001</v>
      </c>
      <c r="F51" s="93"/>
      <c r="G51" s="58" t="s">
        <v>506</v>
      </c>
      <c r="H51" s="53" t="s">
        <v>64</v>
      </c>
      <c r="I51" s="94">
        <v>1.0</v>
      </c>
      <c r="J51" s="95"/>
      <c r="K51" s="96" t="s">
        <v>507</v>
      </c>
      <c r="L51" s="100">
        <v>45924.625</v>
      </c>
      <c r="M51" s="106" t="s">
        <v>508</v>
      </c>
      <c r="N51" s="85"/>
      <c r="O51" s="85"/>
    </row>
    <row r="52">
      <c r="A52" s="55" t="s">
        <v>283</v>
      </c>
      <c r="B52" s="90" t="str">
        <f t="array" ref="B52">iferror(INDEX('作品'!D:D,MATCH(A52,'作品'!A:A,0),0),"error")</f>
        <v>GLOW</v>
      </c>
      <c r="C52" s="91" t="s">
        <v>429</v>
      </c>
      <c r="D52" s="92" t="str">
        <f>$C$15&amp;"_"&amp;$A52&amp;"_"&amp;TEXT(countif($A$3:A52,A52),"0000")</f>
        <v>artwork_glo_0002</v>
      </c>
      <c r="E52" s="53" t="str">
        <f t="shared" si="25"/>
        <v>artwork_glo_0002</v>
      </c>
      <c r="F52" s="93"/>
      <c r="G52" s="58" t="s">
        <v>509</v>
      </c>
      <c r="H52" s="53" t="s">
        <v>64</v>
      </c>
      <c r="I52" s="94">
        <v>1.0</v>
      </c>
      <c r="J52" s="95" t="s">
        <v>510</v>
      </c>
      <c r="K52" s="96" t="s">
        <v>511</v>
      </c>
      <c r="L52" s="100">
        <v>45924.625</v>
      </c>
      <c r="M52" s="106" t="s">
        <v>508</v>
      </c>
      <c r="N52" s="85"/>
      <c r="O52" s="85"/>
    </row>
    <row r="53">
      <c r="A53" s="55"/>
      <c r="B53" s="90"/>
      <c r="C53" s="91"/>
      <c r="D53" s="92"/>
      <c r="E53" s="53"/>
      <c r="F53" s="93"/>
      <c r="G53" s="58"/>
      <c r="H53" s="53"/>
      <c r="I53" s="94"/>
      <c r="J53" s="95"/>
      <c r="K53" s="96"/>
      <c r="L53" s="100"/>
      <c r="M53" s="106"/>
      <c r="N53" s="85"/>
      <c r="O53" s="85"/>
    </row>
    <row r="54">
      <c r="A54" s="55" t="s">
        <v>158</v>
      </c>
      <c r="B54" s="90" t="str">
        <f t="array" ref="B54">iferror(INDEX('作品'!D:D,MATCH(A54,'作品'!A:A,0),0),"error")</f>
        <v>【推しの子】</v>
      </c>
      <c r="C54" s="91" t="s">
        <v>429</v>
      </c>
      <c r="D54" s="92" t="str">
        <f t="shared" ref="D54:D56" si="26">$C$15&amp;"_"&amp;$A54&amp;"_"&amp;TEXT(countif($A$3:A54,A54),"0000")</f>
        <v>artwork_osh_0001</v>
      </c>
      <c r="E54" s="53" t="str">
        <f t="shared" ref="E54:E56" si="27">D54</f>
        <v>artwork_osh_0001</v>
      </c>
      <c r="F54" s="93"/>
      <c r="G54" s="58" t="s">
        <v>512</v>
      </c>
      <c r="H54" s="53" t="s">
        <v>64</v>
      </c>
      <c r="I54" s="94">
        <v>1.0</v>
      </c>
      <c r="J54" s="95" t="s">
        <v>513</v>
      </c>
      <c r="K54" s="96" t="s">
        <v>432</v>
      </c>
      <c r="L54" s="107">
        <v>45658.0</v>
      </c>
      <c r="M54" s="106">
        <v>2.0251202E8</v>
      </c>
      <c r="N54" s="85"/>
      <c r="O54" s="85"/>
    </row>
    <row r="55">
      <c r="A55" s="55" t="s">
        <v>158</v>
      </c>
      <c r="B55" s="90" t="str">
        <f t="array" ref="B55">iferror(INDEX('作品'!D:D,MATCH(A55,'作品'!A:A,0),0),"error")</f>
        <v>【推しの子】</v>
      </c>
      <c r="C55" s="91" t="s">
        <v>429</v>
      </c>
      <c r="D55" s="92" t="str">
        <f t="shared" si="26"/>
        <v>artwork_osh_0002</v>
      </c>
      <c r="E55" s="53" t="str">
        <f t="shared" si="27"/>
        <v>artwork_osh_0002</v>
      </c>
      <c r="F55" s="93"/>
      <c r="G55" s="58" t="s">
        <v>514</v>
      </c>
      <c r="H55" s="53" t="s">
        <v>64</v>
      </c>
      <c r="I55" s="94">
        <v>1.0</v>
      </c>
      <c r="J55" s="95" t="s">
        <v>515</v>
      </c>
      <c r="K55" s="96" t="s">
        <v>435</v>
      </c>
      <c r="L55" s="107">
        <v>45658.0</v>
      </c>
      <c r="M55" s="106">
        <v>2.0251202E8</v>
      </c>
      <c r="N55" s="85"/>
      <c r="O55" s="85"/>
    </row>
    <row r="56">
      <c r="A56" s="55" t="s">
        <v>158</v>
      </c>
      <c r="B56" s="90" t="str">
        <f t="array" ref="B56">iferror(INDEX('作品'!D:D,MATCH(A56,'作品'!A:A,0),0),"error")</f>
        <v>【推しの子】</v>
      </c>
      <c r="C56" s="91" t="s">
        <v>429</v>
      </c>
      <c r="D56" s="92" t="str">
        <f t="shared" si="26"/>
        <v>artwork_osh_0003</v>
      </c>
      <c r="E56" s="53" t="str">
        <f t="shared" si="27"/>
        <v>artwork_osh_0003</v>
      </c>
      <c r="F56" s="93"/>
      <c r="G56" s="58" t="s">
        <v>516</v>
      </c>
      <c r="H56" s="53" t="s">
        <v>64</v>
      </c>
      <c r="I56" s="94">
        <v>1.0</v>
      </c>
      <c r="J56" s="95" t="s">
        <v>517</v>
      </c>
      <c r="K56" s="96" t="s">
        <v>438</v>
      </c>
      <c r="L56" s="107">
        <v>45658.0</v>
      </c>
      <c r="M56" s="53">
        <v>2.0251202E8</v>
      </c>
      <c r="N56" s="85"/>
      <c r="O56" s="85"/>
    </row>
    <row r="57">
      <c r="A57" s="44"/>
      <c r="B57" s="53"/>
      <c r="C57" s="91"/>
      <c r="D57" s="53"/>
      <c r="E57" s="53"/>
      <c r="F57" s="53"/>
      <c r="G57" s="58"/>
      <c r="H57" s="53"/>
      <c r="I57" s="94"/>
      <c r="J57" s="95"/>
      <c r="K57" s="96"/>
      <c r="L57" s="98"/>
      <c r="M57" s="98"/>
      <c r="N57" s="85"/>
      <c r="O57" s="85"/>
    </row>
    <row r="58" ht="19.5" customHeight="1">
      <c r="A58" s="86" t="s">
        <v>518</v>
      </c>
      <c r="B58" s="87"/>
      <c r="C58" s="87"/>
      <c r="D58" s="87"/>
      <c r="E58" s="87"/>
      <c r="F58" s="87"/>
      <c r="G58" s="87"/>
      <c r="H58" s="87"/>
      <c r="I58" s="87"/>
      <c r="J58" s="87"/>
      <c r="K58" s="87"/>
      <c r="L58" s="87"/>
      <c r="M58" s="88"/>
      <c r="N58" s="85"/>
      <c r="O58" s="85"/>
    </row>
    <row r="59">
      <c r="A59" s="44"/>
      <c r="B59" s="53"/>
      <c r="C59" s="91"/>
      <c r="D59" s="53"/>
      <c r="E59" s="53"/>
      <c r="F59" s="53"/>
      <c r="G59" s="58"/>
      <c r="H59" s="53"/>
      <c r="I59" s="94"/>
      <c r="J59" s="95"/>
      <c r="K59" s="96"/>
      <c r="L59" s="98"/>
      <c r="M59" s="98"/>
      <c r="N59" s="85"/>
      <c r="O59" s="85"/>
    </row>
    <row r="60">
      <c r="A60" s="25" t="s">
        <v>115</v>
      </c>
      <c r="B60" s="90" t="str">
        <f t="array" ref="B60">iferror(INDEX('作品'!D:D,MATCH(A60,'作品'!A:A,0),0),"error")</f>
        <v>怪獣８号</v>
      </c>
      <c r="C60" s="91" t="s">
        <v>519</v>
      </c>
      <c r="D60" s="92" t="str">
        <f t="shared" ref="D60:D83" si="28">C60&amp;"_"&amp;$A60&amp;"_"&amp;TEXT(countif($A$60:A60,A60),"0000")</f>
        <v>artwork_event_kai_0001</v>
      </c>
      <c r="E60" s="92" t="str">
        <f t="shared" ref="E60:E83" si="29">D60</f>
        <v>artwork_event_kai_0001</v>
      </c>
      <c r="F60" s="93"/>
      <c r="G60" s="58" t="s">
        <v>520</v>
      </c>
      <c r="H60" s="53" t="s">
        <v>64</v>
      </c>
      <c r="I60" s="94">
        <v>1.0</v>
      </c>
      <c r="J60" s="108" t="s">
        <v>521</v>
      </c>
      <c r="K60" s="96" t="s">
        <v>522</v>
      </c>
      <c r="L60" s="107">
        <v>45922.0</v>
      </c>
      <c r="M60" s="53">
        <v>2.0250901E8</v>
      </c>
      <c r="N60" s="85"/>
      <c r="O60" s="85"/>
    </row>
    <row r="61">
      <c r="A61" s="25" t="s">
        <v>115</v>
      </c>
      <c r="B61" s="90" t="str">
        <f t="array" ref="B61">iferror(INDEX('作品'!D:D,MATCH(A61,'作品'!A:A,0),0),"error")</f>
        <v>怪獣８号</v>
      </c>
      <c r="C61" s="91" t="s">
        <v>519</v>
      </c>
      <c r="D61" s="92" t="str">
        <f t="shared" si="28"/>
        <v>artwork_event_kai_0002</v>
      </c>
      <c r="E61" s="92" t="str">
        <f t="shared" si="29"/>
        <v>artwork_event_kai_0002</v>
      </c>
      <c r="F61" s="93"/>
      <c r="G61" s="58" t="s">
        <v>523</v>
      </c>
      <c r="H61" s="53" t="s">
        <v>64</v>
      </c>
      <c r="I61" s="94">
        <v>1.0</v>
      </c>
      <c r="J61" s="108" t="s">
        <v>524</v>
      </c>
      <c r="K61" s="96" t="s">
        <v>522</v>
      </c>
      <c r="L61" s="107">
        <v>45922.0</v>
      </c>
      <c r="M61" s="53">
        <v>2.0250901E8</v>
      </c>
      <c r="N61" s="85"/>
      <c r="O61" s="85"/>
    </row>
    <row r="62">
      <c r="A62" s="25" t="s">
        <v>60</v>
      </c>
      <c r="B62" s="90" t="str">
        <f t="array" ref="B62">iferror(INDEX('作品'!D:D,MATCH(A62,'作品'!A:A,0),0),"error")</f>
        <v>SPY×FAMILY</v>
      </c>
      <c r="C62" s="91" t="s">
        <v>519</v>
      </c>
      <c r="D62" s="92" t="str">
        <f t="shared" si="28"/>
        <v>artwork_event_spy_0001</v>
      </c>
      <c r="E62" s="92" t="str">
        <f t="shared" si="29"/>
        <v>artwork_event_spy_0001</v>
      </c>
      <c r="F62" s="93"/>
      <c r="G62" s="58" t="s">
        <v>525</v>
      </c>
      <c r="H62" s="53" t="s">
        <v>64</v>
      </c>
      <c r="I62" s="94">
        <v>1.0</v>
      </c>
      <c r="J62" s="108" t="s">
        <v>526</v>
      </c>
      <c r="K62" s="96" t="s">
        <v>522</v>
      </c>
      <c r="L62" s="107">
        <v>45936.0</v>
      </c>
      <c r="M62" s="53">
        <v>2.0251001E8</v>
      </c>
      <c r="N62" s="85"/>
      <c r="O62" s="85"/>
    </row>
    <row r="63">
      <c r="A63" s="25" t="s">
        <v>60</v>
      </c>
      <c r="B63" s="90" t="str">
        <f t="array" ref="B63">iferror(INDEX('作品'!D:D,MATCH(A63,'作品'!A:A,0),0),"error")</f>
        <v>SPY×FAMILY</v>
      </c>
      <c r="C63" s="91" t="s">
        <v>519</v>
      </c>
      <c r="D63" s="92" t="str">
        <f t="shared" si="28"/>
        <v>artwork_event_spy_0002</v>
      </c>
      <c r="E63" s="92" t="str">
        <f t="shared" si="29"/>
        <v>artwork_event_spy_0002</v>
      </c>
      <c r="F63" s="93"/>
      <c r="G63" s="58" t="s">
        <v>527</v>
      </c>
      <c r="H63" s="53" t="s">
        <v>64</v>
      </c>
      <c r="I63" s="94">
        <v>1.0</v>
      </c>
      <c r="J63" s="108" t="s">
        <v>528</v>
      </c>
      <c r="K63" s="96" t="s">
        <v>522</v>
      </c>
      <c r="L63" s="107">
        <v>45936.0</v>
      </c>
      <c r="M63" s="53">
        <v>2.0251001E8</v>
      </c>
      <c r="N63" s="85"/>
      <c r="O63" s="85"/>
    </row>
    <row r="64">
      <c r="A64" s="55" t="s">
        <v>80</v>
      </c>
      <c r="B64" s="90" t="str">
        <f t="array" ref="B64">iferror(INDEX('作品'!D:D,MATCH(A64,'作品'!A:A,0),0),"error")</f>
        <v>ダンダダン</v>
      </c>
      <c r="C64" s="91" t="s">
        <v>519</v>
      </c>
      <c r="D64" s="92" t="str">
        <f t="shared" si="28"/>
        <v>artwork_event_dan_0001</v>
      </c>
      <c r="E64" s="92" t="str">
        <f t="shared" si="29"/>
        <v>artwork_event_dan_0001</v>
      </c>
      <c r="F64" s="53"/>
      <c r="G64" s="58" t="s">
        <v>529</v>
      </c>
      <c r="H64" s="53" t="s">
        <v>64</v>
      </c>
      <c r="I64" s="94">
        <v>1.0</v>
      </c>
      <c r="J64" s="58" t="s">
        <v>530</v>
      </c>
      <c r="K64" s="96" t="s">
        <v>522</v>
      </c>
      <c r="L64" s="107">
        <v>45952.625</v>
      </c>
      <c r="M64" s="53">
        <v>2.0251002E8</v>
      </c>
      <c r="N64" s="85"/>
      <c r="O64" s="85"/>
    </row>
    <row r="65">
      <c r="A65" s="55" t="s">
        <v>80</v>
      </c>
      <c r="B65" s="90" t="str">
        <f t="array" ref="B65">iferror(INDEX('作品'!D:D,MATCH(A65,'作品'!A:A,0),0),"error")</f>
        <v>ダンダダン</v>
      </c>
      <c r="C65" s="91" t="s">
        <v>519</v>
      </c>
      <c r="D65" s="92" t="str">
        <f t="shared" si="28"/>
        <v>artwork_event_dan_0002</v>
      </c>
      <c r="E65" s="92" t="str">
        <f t="shared" si="29"/>
        <v>artwork_event_dan_0002</v>
      </c>
      <c r="F65" s="53"/>
      <c r="G65" s="58" t="s">
        <v>531</v>
      </c>
      <c r="H65" s="53" t="s">
        <v>64</v>
      </c>
      <c r="I65" s="94">
        <v>1.0</v>
      </c>
      <c r="J65" s="108" t="s">
        <v>532</v>
      </c>
      <c r="K65" s="96" t="s">
        <v>522</v>
      </c>
      <c r="L65" s="107">
        <v>45952.625</v>
      </c>
      <c r="M65" s="53">
        <v>2.0251002E8</v>
      </c>
      <c r="N65" s="85"/>
      <c r="O65" s="85"/>
    </row>
    <row r="66">
      <c r="A66" s="55" t="s">
        <v>98</v>
      </c>
      <c r="B66" s="90" t="str">
        <f t="array" ref="B66">iferror(INDEX('作品'!D:D,MATCH(A66,'作品'!A:A,0),0),"error")</f>
        <v>株式会社マジルミエ</v>
      </c>
      <c r="C66" s="91" t="s">
        <v>519</v>
      </c>
      <c r="D66" s="92" t="str">
        <f t="shared" si="28"/>
        <v>artwork_event_mag_0001</v>
      </c>
      <c r="E66" s="92" t="str">
        <f t="shared" si="29"/>
        <v>artwork_event_mag_0001</v>
      </c>
      <c r="F66" s="53"/>
      <c r="G66" s="58" t="s">
        <v>533</v>
      </c>
      <c r="H66" s="53" t="s">
        <v>64</v>
      </c>
      <c r="I66" s="94">
        <v>1.0</v>
      </c>
      <c r="J66" s="108" t="s">
        <v>534</v>
      </c>
      <c r="K66" s="96" t="s">
        <v>522</v>
      </c>
      <c r="L66" s="107">
        <v>45967.625</v>
      </c>
      <c r="M66" s="53">
        <v>2.0251101E8</v>
      </c>
      <c r="N66" s="85"/>
      <c r="O66" s="85"/>
    </row>
    <row r="67">
      <c r="A67" s="55" t="s">
        <v>98</v>
      </c>
      <c r="B67" s="90" t="str">
        <f t="array" ref="B67">iferror(INDEX('作品'!D:D,MATCH(A67,'作品'!A:A,0),0),"error")</f>
        <v>株式会社マジルミエ</v>
      </c>
      <c r="C67" s="91" t="s">
        <v>519</v>
      </c>
      <c r="D67" s="92" t="str">
        <f t="shared" si="28"/>
        <v>artwork_event_mag_0002</v>
      </c>
      <c r="E67" s="92" t="str">
        <f t="shared" si="29"/>
        <v>artwork_event_mag_0002</v>
      </c>
      <c r="F67" s="53"/>
      <c r="G67" s="58" t="s">
        <v>535</v>
      </c>
      <c r="H67" s="53" t="s">
        <v>64</v>
      </c>
      <c r="I67" s="94">
        <v>1.0</v>
      </c>
      <c r="J67" s="108" t="s">
        <v>536</v>
      </c>
      <c r="K67" s="96" t="s">
        <v>522</v>
      </c>
      <c r="L67" s="107">
        <v>45967.625</v>
      </c>
      <c r="M67" s="53">
        <v>2.0251101E8</v>
      </c>
      <c r="N67" s="85"/>
      <c r="O67" s="85"/>
    </row>
    <row r="68">
      <c r="A68" s="55" t="s">
        <v>121</v>
      </c>
      <c r="B68" s="90" t="str">
        <f t="array" ref="B68">iferror(INDEX('作品'!D:D,MATCH(A68,'作品'!A:A,0),0),"error")</f>
        <v>2.5次元の誘惑</v>
      </c>
      <c r="C68" s="109" t="s">
        <v>519</v>
      </c>
      <c r="D68" s="92" t="str">
        <f t="shared" si="28"/>
        <v>artwork_event_yuw_0001</v>
      </c>
      <c r="E68" s="92" t="str">
        <f t="shared" si="29"/>
        <v>artwork_event_yuw_0001</v>
      </c>
      <c r="F68" s="110"/>
      <c r="G68" s="58" t="s">
        <v>537</v>
      </c>
      <c r="H68" s="110" t="s">
        <v>64</v>
      </c>
      <c r="I68" s="111">
        <v>1.0</v>
      </c>
      <c r="J68" s="108" t="s">
        <v>538</v>
      </c>
      <c r="K68" s="112" t="s">
        <v>522</v>
      </c>
      <c r="L68" s="107">
        <v>45986.625</v>
      </c>
      <c r="M68" s="53">
        <v>2.0251102E8</v>
      </c>
      <c r="N68" s="85"/>
      <c r="O68" s="85"/>
    </row>
    <row r="69">
      <c r="A69" s="55" t="s">
        <v>121</v>
      </c>
      <c r="B69" s="90" t="str">
        <f t="array" ref="B69">iferror(INDEX('作品'!D:D,MATCH(A69,'作品'!A:A,0),0),"error")</f>
        <v>2.5次元の誘惑</v>
      </c>
      <c r="C69" s="109" t="s">
        <v>519</v>
      </c>
      <c r="D69" s="92" t="str">
        <f t="shared" si="28"/>
        <v>artwork_event_yuw_0002</v>
      </c>
      <c r="E69" s="92" t="str">
        <f t="shared" si="29"/>
        <v>artwork_event_yuw_0002</v>
      </c>
      <c r="F69" s="110"/>
      <c r="G69" s="58" t="s">
        <v>539</v>
      </c>
      <c r="H69" s="110" t="s">
        <v>64</v>
      </c>
      <c r="I69" s="111">
        <v>1.0</v>
      </c>
      <c r="J69" s="108" t="s">
        <v>540</v>
      </c>
      <c r="K69" s="112" t="s">
        <v>522</v>
      </c>
      <c r="L69" s="107">
        <v>45986.625</v>
      </c>
      <c r="M69" s="53">
        <v>2.0251102E8</v>
      </c>
      <c r="N69" s="85"/>
      <c r="O69" s="85"/>
    </row>
    <row r="70">
      <c r="A70" s="55" t="s">
        <v>127</v>
      </c>
      <c r="B70" s="90" t="str">
        <f t="array" ref="B70">iferror(INDEX('作品'!D:D,MATCH(A70,'作品'!A:A,0),0),"error")</f>
        <v>魔都精兵のスレイブ</v>
      </c>
      <c r="C70" s="109" t="s">
        <v>519</v>
      </c>
      <c r="D70" s="92" t="str">
        <f t="shared" si="28"/>
        <v>artwork_event_sur_0001</v>
      </c>
      <c r="E70" s="92" t="str">
        <f t="shared" si="29"/>
        <v>artwork_event_sur_0001</v>
      </c>
      <c r="F70" s="110"/>
      <c r="G70" s="58" t="s">
        <v>541</v>
      </c>
      <c r="H70" s="110" t="s">
        <v>64</v>
      </c>
      <c r="I70" s="94">
        <v>1.0</v>
      </c>
      <c r="J70" s="108" t="s">
        <v>542</v>
      </c>
      <c r="K70" s="112" t="s">
        <v>522</v>
      </c>
      <c r="L70" s="98"/>
      <c r="M70" s="53">
        <v>2.0251201E8</v>
      </c>
      <c r="N70" s="85"/>
      <c r="O70" s="85"/>
    </row>
    <row r="71">
      <c r="A71" s="55" t="s">
        <v>127</v>
      </c>
      <c r="B71" s="90" t="str">
        <f t="array" ref="B71">iferror(INDEX('作品'!D:D,MATCH(A71,'作品'!A:A,0),0),"error")</f>
        <v>魔都精兵のスレイブ</v>
      </c>
      <c r="C71" s="109" t="s">
        <v>519</v>
      </c>
      <c r="D71" s="92" t="str">
        <f t="shared" si="28"/>
        <v>artwork_event_sur_0002</v>
      </c>
      <c r="E71" s="92" t="str">
        <f t="shared" si="29"/>
        <v>artwork_event_sur_0002</v>
      </c>
      <c r="F71" s="110"/>
      <c r="G71" s="58" t="s">
        <v>543</v>
      </c>
      <c r="H71" s="110" t="s">
        <v>64</v>
      </c>
      <c r="I71" s="94">
        <v>1.0</v>
      </c>
      <c r="J71" s="108" t="s">
        <v>544</v>
      </c>
      <c r="K71" s="112" t="s">
        <v>522</v>
      </c>
      <c r="L71" s="98"/>
      <c r="M71" s="53">
        <v>2.0251201E8</v>
      </c>
      <c r="N71" s="85"/>
      <c r="O71" s="85"/>
    </row>
    <row r="72">
      <c r="A72" s="89" t="s">
        <v>158</v>
      </c>
      <c r="B72" s="90" t="str">
        <f t="array" ref="B72">iferror(INDEX('作品'!D:D,MATCH(A72,'作品'!A:A,0),0),"error")</f>
        <v>【推しの子】</v>
      </c>
      <c r="C72" s="109" t="s">
        <v>519</v>
      </c>
      <c r="D72" s="92" t="str">
        <f t="shared" si="28"/>
        <v>artwork_event_osh_0001</v>
      </c>
      <c r="E72" s="92" t="str">
        <f t="shared" si="29"/>
        <v>artwork_event_osh_0001</v>
      </c>
      <c r="F72" s="53"/>
      <c r="G72" s="58" t="s">
        <v>545</v>
      </c>
      <c r="H72" s="110" t="s">
        <v>64</v>
      </c>
      <c r="I72" s="94">
        <v>1.0</v>
      </c>
      <c r="J72" s="95" t="s">
        <v>546</v>
      </c>
      <c r="K72" s="112" t="s">
        <v>522</v>
      </c>
      <c r="L72" s="107">
        <v>45658.0</v>
      </c>
      <c r="M72" s="53">
        <v>2.0251202E8</v>
      </c>
      <c r="N72" s="85"/>
      <c r="O72" s="85"/>
    </row>
    <row r="73">
      <c r="A73" s="89" t="s">
        <v>158</v>
      </c>
      <c r="B73" s="90" t="str">
        <f t="array" ref="B73">iferror(INDEX('作品'!D:D,MATCH(A73,'作品'!A:A,0),0),"error")</f>
        <v>【推しの子】</v>
      </c>
      <c r="C73" s="109" t="s">
        <v>519</v>
      </c>
      <c r="D73" s="92" t="str">
        <f t="shared" si="28"/>
        <v>artwork_event_osh_0002</v>
      </c>
      <c r="E73" s="92" t="str">
        <f t="shared" si="29"/>
        <v>artwork_event_osh_0002</v>
      </c>
      <c r="F73" s="53"/>
      <c r="G73" s="58" t="s">
        <v>547</v>
      </c>
      <c r="H73" s="110" t="s">
        <v>64</v>
      </c>
      <c r="I73" s="94">
        <v>1.0</v>
      </c>
      <c r="J73" s="95" t="s">
        <v>548</v>
      </c>
      <c r="K73" s="112" t="s">
        <v>522</v>
      </c>
      <c r="L73" s="107">
        <v>45658.0</v>
      </c>
      <c r="M73" s="53">
        <v>2.0251202E8</v>
      </c>
      <c r="N73" s="85"/>
      <c r="O73" s="85"/>
    </row>
    <row r="74">
      <c r="A74" s="89" t="s">
        <v>148</v>
      </c>
      <c r="B74" s="90" t="str">
        <f t="array" ref="B74">iferror(INDEX('作品'!D:D,MATCH(A74,'作品'!A:A,0),0),"error")</f>
        <v>地獄楽</v>
      </c>
      <c r="C74" s="109" t="s">
        <v>519</v>
      </c>
      <c r="D74" s="92" t="str">
        <f t="shared" si="28"/>
        <v>artwork_event_jig_0001</v>
      </c>
      <c r="E74" s="92" t="str">
        <f t="shared" si="29"/>
        <v>artwork_event_jig_0001</v>
      </c>
      <c r="F74" s="53"/>
      <c r="G74" s="58" t="s">
        <v>549</v>
      </c>
      <c r="H74" s="110" t="s">
        <v>64</v>
      </c>
      <c r="I74" s="94">
        <v>1.0</v>
      </c>
      <c r="J74" s="95" t="s">
        <v>550</v>
      </c>
      <c r="K74" s="112" t="s">
        <v>522</v>
      </c>
      <c r="L74" s="107">
        <v>45673.625</v>
      </c>
      <c r="M74" s="53">
        <v>2.0260101E8</v>
      </c>
      <c r="N74" s="85"/>
      <c r="O74" s="85"/>
    </row>
    <row r="75">
      <c r="A75" s="89" t="s">
        <v>148</v>
      </c>
      <c r="B75" s="90" t="str">
        <f t="array" ref="B75">iferror(INDEX('作品'!D:D,MATCH(A75,'作品'!A:A,0),0),"error")</f>
        <v>地獄楽</v>
      </c>
      <c r="C75" s="109" t="s">
        <v>519</v>
      </c>
      <c r="D75" s="92" t="str">
        <f t="shared" si="28"/>
        <v>artwork_event_jig_0002</v>
      </c>
      <c r="E75" s="92" t="str">
        <f t="shared" si="29"/>
        <v>artwork_event_jig_0002</v>
      </c>
      <c r="F75" s="53"/>
      <c r="G75" s="58" t="s">
        <v>551</v>
      </c>
      <c r="H75" s="110" t="s">
        <v>64</v>
      </c>
      <c r="I75" s="94">
        <v>1.0</v>
      </c>
      <c r="J75" s="95" t="s">
        <v>552</v>
      </c>
      <c r="K75" s="112" t="s">
        <v>522</v>
      </c>
      <c r="L75" s="107">
        <v>45673.625</v>
      </c>
      <c r="M75" s="53">
        <v>2.0260101E8</v>
      </c>
      <c r="N75" s="85"/>
      <c r="O75" s="85"/>
    </row>
    <row r="76">
      <c r="A76" s="89" t="s">
        <v>162</v>
      </c>
      <c r="B76" s="90" t="str">
        <f t="array" ref="B76">iferror(INDEX('作品'!D:D,MATCH(A76,'作品'!A:A,0),0),"error")</f>
        <v>幼稚園WARS</v>
      </c>
      <c r="C76" s="109" t="s">
        <v>519</v>
      </c>
      <c r="D76" s="92" t="str">
        <f t="shared" si="28"/>
        <v>artwork_event_you_0001</v>
      </c>
      <c r="E76" s="92" t="str">
        <f t="shared" si="29"/>
        <v>artwork_event_you_0001</v>
      </c>
      <c r="F76" s="53"/>
      <c r="G76" s="58" t="s">
        <v>553</v>
      </c>
      <c r="H76" s="110" t="s">
        <v>64</v>
      </c>
      <c r="I76" s="94">
        <v>1.0</v>
      </c>
      <c r="J76" s="95" t="s">
        <v>554</v>
      </c>
      <c r="K76" s="112" t="s">
        <v>522</v>
      </c>
      <c r="L76" s="107">
        <v>45690.625</v>
      </c>
      <c r="M76" s="53">
        <v>2.0260201E8</v>
      </c>
      <c r="N76" s="85"/>
      <c r="O76" s="85"/>
    </row>
    <row r="77">
      <c r="A77" s="89" t="s">
        <v>162</v>
      </c>
      <c r="B77" s="90" t="str">
        <f t="array" ref="B77">iferror(INDEX('作品'!D:D,MATCH(A77,'作品'!A:A,0),0),"error")</f>
        <v>幼稚園WARS</v>
      </c>
      <c r="C77" s="109" t="s">
        <v>519</v>
      </c>
      <c r="D77" s="92" t="str">
        <f t="shared" si="28"/>
        <v>artwork_event_you_0002</v>
      </c>
      <c r="E77" s="92" t="str">
        <f t="shared" si="29"/>
        <v>artwork_event_you_0002</v>
      </c>
      <c r="F77" s="53"/>
      <c r="G77" s="58" t="s">
        <v>555</v>
      </c>
      <c r="H77" s="110" t="s">
        <v>64</v>
      </c>
      <c r="I77" s="94">
        <v>1.0</v>
      </c>
      <c r="J77" s="95" t="s">
        <v>556</v>
      </c>
      <c r="K77" s="112" t="s">
        <v>522</v>
      </c>
      <c r="L77" s="107">
        <v>45690.625</v>
      </c>
      <c r="M77" s="53">
        <v>2.0260201E8</v>
      </c>
      <c r="N77" s="85"/>
      <c r="O77" s="85"/>
    </row>
    <row r="78">
      <c r="A78" s="89" t="s">
        <v>166</v>
      </c>
      <c r="B78" s="90" t="str">
        <f t="array" ref="B78">iferror(INDEX('作品'!D:D,MATCH(A78,'作品'!A:A,0),0),"error")</f>
        <v>君のことが大大大大大好きな100人の彼女</v>
      </c>
      <c r="C78" s="109" t="s">
        <v>519</v>
      </c>
      <c r="D78" s="92" t="str">
        <f t="shared" si="28"/>
        <v>artwork_event_kim_0001</v>
      </c>
      <c r="E78" s="92" t="str">
        <f t="shared" si="29"/>
        <v>artwork_event_kim_0001</v>
      </c>
      <c r="F78" s="53"/>
      <c r="G78" s="58" t="s">
        <v>557</v>
      </c>
      <c r="H78" s="110" t="s">
        <v>64</v>
      </c>
      <c r="I78" s="94">
        <v>1.0</v>
      </c>
      <c r="J78" s="95" t="s">
        <v>558</v>
      </c>
      <c r="K78" s="112" t="s">
        <v>522</v>
      </c>
      <c r="L78" s="107">
        <v>45704.625</v>
      </c>
      <c r="M78" s="98"/>
      <c r="N78" s="85"/>
      <c r="O78" s="85"/>
    </row>
    <row r="79">
      <c r="A79" s="89" t="s">
        <v>166</v>
      </c>
      <c r="B79" s="90" t="str">
        <f t="array" ref="B79">iferror(INDEX('作品'!D:D,MATCH(A79,'作品'!A:A,0),0),"error")</f>
        <v>君のことが大大大大大好きな100人の彼女</v>
      </c>
      <c r="C79" s="109" t="s">
        <v>519</v>
      </c>
      <c r="D79" s="92" t="str">
        <f t="shared" si="28"/>
        <v>artwork_event_kim_0002</v>
      </c>
      <c r="E79" s="92" t="str">
        <f t="shared" si="29"/>
        <v>artwork_event_kim_0002</v>
      </c>
      <c r="F79" s="53"/>
      <c r="G79" s="58" t="s">
        <v>559</v>
      </c>
      <c r="H79" s="110" t="s">
        <v>64</v>
      </c>
      <c r="I79" s="94">
        <v>1.0</v>
      </c>
      <c r="J79" s="95" t="s">
        <v>560</v>
      </c>
      <c r="K79" s="112" t="s">
        <v>522</v>
      </c>
      <c r="L79" s="107">
        <v>45704.625</v>
      </c>
      <c r="M79" s="98"/>
      <c r="N79" s="85"/>
      <c r="O79" s="85"/>
    </row>
    <row r="80">
      <c r="A80" s="89" t="s">
        <v>172</v>
      </c>
      <c r="B80" s="90" t="str">
        <f t="array" ref="B80">iferror(INDEX('作品'!D:D,MATCH(A80,'作品'!A:A,0),0),"error")</f>
        <v>ふつうの軽音部</v>
      </c>
      <c r="C80" s="109" t="s">
        <v>519</v>
      </c>
      <c r="D80" s="92" t="str">
        <f t="shared" si="28"/>
        <v>artwork_event_hut_0001</v>
      </c>
      <c r="E80" s="92" t="str">
        <f t="shared" si="29"/>
        <v>artwork_event_hut_0001</v>
      </c>
      <c r="F80" s="53"/>
      <c r="G80" s="58" t="s">
        <v>561</v>
      </c>
      <c r="H80" s="110" t="s">
        <v>64</v>
      </c>
      <c r="I80" s="94">
        <v>1.0</v>
      </c>
      <c r="J80" s="95"/>
      <c r="K80" s="112" t="s">
        <v>522</v>
      </c>
      <c r="L80" s="107">
        <v>45718.625</v>
      </c>
      <c r="M80" s="98"/>
      <c r="N80" s="85"/>
      <c r="O80" s="85"/>
    </row>
    <row r="81">
      <c r="A81" s="89" t="s">
        <v>172</v>
      </c>
      <c r="B81" s="90" t="str">
        <f t="array" ref="B81">iferror(INDEX('作品'!D:D,MATCH(A81,'作品'!A:A,0),0),"error")</f>
        <v>ふつうの軽音部</v>
      </c>
      <c r="C81" s="109" t="s">
        <v>519</v>
      </c>
      <c r="D81" s="92" t="str">
        <f t="shared" si="28"/>
        <v>artwork_event_hut_0002</v>
      </c>
      <c r="E81" s="92" t="str">
        <f t="shared" si="29"/>
        <v>artwork_event_hut_0002</v>
      </c>
      <c r="F81" s="53"/>
      <c r="G81" s="58" t="s">
        <v>562</v>
      </c>
      <c r="H81" s="110" t="s">
        <v>64</v>
      </c>
      <c r="I81" s="94">
        <v>1.0</v>
      </c>
      <c r="J81" s="95"/>
      <c r="K81" s="112" t="s">
        <v>522</v>
      </c>
      <c r="L81" s="107">
        <v>45718.625</v>
      </c>
      <c r="M81" s="98"/>
      <c r="N81" s="85"/>
      <c r="O81" s="85"/>
    </row>
    <row r="82">
      <c r="A82" s="89" t="s">
        <v>206</v>
      </c>
      <c r="B82" s="90" t="str">
        <f t="array" ref="B82">iferror(INDEX('作品'!D:D,MATCH(A82,'作品'!A:A,0),0),"error")</f>
        <v>あやかしトライアングル</v>
      </c>
      <c r="C82" s="109" t="s">
        <v>519</v>
      </c>
      <c r="D82" s="92" t="str">
        <f t="shared" si="28"/>
        <v>artwork_event_aya_0001</v>
      </c>
      <c r="E82" s="92" t="str">
        <f t="shared" si="29"/>
        <v>artwork_event_aya_0001</v>
      </c>
      <c r="F82" s="53"/>
      <c r="G82" s="58" t="s">
        <v>563</v>
      </c>
      <c r="H82" s="110" t="s">
        <v>64</v>
      </c>
      <c r="I82" s="94">
        <v>1.0</v>
      </c>
      <c r="J82" s="95"/>
      <c r="K82" s="112" t="s">
        <v>522</v>
      </c>
      <c r="L82" s="107">
        <v>45764.625</v>
      </c>
      <c r="M82" s="98"/>
      <c r="N82" s="85"/>
      <c r="O82" s="85"/>
    </row>
    <row r="83">
      <c r="A83" s="89" t="s">
        <v>206</v>
      </c>
      <c r="B83" s="90" t="str">
        <f t="array" ref="B83">iferror(INDEX('作品'!D:D,MATCH(A83,'作品'!A:A,0),0),"error")</f>
        <v>あやかしトライアングル</v>
      </c>
      <c r="C83" s="109" t="s">
        <v>519</v>
      </c>
      <c r="D83" s="92" t="str">
        <f t="shared" si="28"/>
        <v>artwork_event_aya_0002</v>
      </c>
      <c r="E83" s="92" t="str">
        <f t="shared" si="29"/>
        <v>artwork_event_aya_0002</v>
      </c>
      <c r="F83" s="53"/>
      <c r="G83" s="58" t="s">
        <v>564</v>
      </c>
      <c r="H83" s="110" t="s">
        <v>64</v>
      </c>
      <c r="I83" s="94">
        <v>1.0</v>
      </c>
      <c r="J83" s="95"/>
      <c r="K83" s="112" t="s">
        <v>522</v>
      </c>
      <c r="L83" s="107">
        <v>45764.625</v>
      </c>
      <c r="M83" s="98"/>
      <c r="N83" s="85"/>
      <c r="O83" s="85"/>
    </row>
    <row r="84">
      <c r="A84" s="99"/>
      <c r="B84" s="53"/>
      <c r="C84" s="91"/>
      <c r="D84" s="53"/>
      <c r="E84" s="53"/>
      <c r="F84" s="53"/>
      <c r="G84" s="58"/>
      <c r="H84" s="53"/>
      <c r="I84" s="94"/>
      <c r="J84" s="95"/>
      <c r="K84" s="96"/>
      <c r="L84" s="98"/>
      <c r="M84" s="98"/>
      <c r="N84" s="85"/>
      <c r="O84" s="85"/>
    </row>
    <row r="85" ht="19.5" customHeight="1">
      <c r="A85" s="86" t="s">
        <v>565</v>
      </c>
      <c r="B85" s="87"/>
      <c r="C85" s="87"/>
      <c r="D85" s="87"/>
      <c r="E85" s="87"/>
      <c r="F85" s="87"/>
      <c r="G85" s="87"/>
      <c r="H85" s="87"/>
      <c r="I85" s="87"/>
      <c r="J85" s="87"/>
      <c r="K85" s="87"/>
      <c r="L85" s="87"/>
      <c r="M85" s="88"/>
      <c r="N85" s="85"/>
      <c r="O85" s="85"/>
    </row>
    <row r="86">
      <c r="A86" s="99" t="s">
        <v>60</v>
      </c>
      <c r="B86" s="90" t="str">
        <f t="array" ref="B86">iferror(INDEX('作品'!D:D,MATCH(A86,'作品'!A:A,0),0),"error")</f>
        <v>SPY×FAMILY</v>
      </c>
      <c r="C86" s="53" t="s">
        <v>566</v>
      </c>
      <c r="D86" s="46" t="str">
        <f t="shared" ref="D86:D97" si="30">C86&amp;"_"&amp;A86&amp;"_"&amp;TEXT(countif($A$86:A86,A86),"00100")</f>
        <v>artwork_fragment_spy_00101</v>
      </c>
      <c r="E86" s="46"/>
      <c r="F86" s="46" t="s">
        <v>567</v>
      </c>
      <c r="G86" s="58" t="s">
        <v>568</v>
      </c>
      <c r="H86" s="53" t="s">
        <v>569</v>
      </c>
      <c r="I86" s="94">
        <v>1.0</v>
      </c>
      <c r="J86" s="113"/>
      <c r="K86" s="114"/>
      <c r="L86" s="98"/>
      <c r="M86" s="98"/>
      <c r="N86" s="85"/>
      <c r="O86" s="85"/>
    </row>
    <row r="87">
      <c r="A87" s="99" t="s">
        <v>60</v>
      </c>
      <c r="B87" s="90" t="str">
        <f t="array" ref="B87">iferror(INDEX('作品'!D:D,MATCH(A87,'作品'!A:A,0),0),"error")</f>
        <v>SPY×FAMILY</v>
      </c>
      <c r="C87" s="53" t="s">
        <v>566</v>
      </c>
      <c r="D87" s="46" t="str">
        <f t="shared" si="30"/>
        <v>artwork_fragment_spy_00102</v>
      </c>
      <c r="E87" s="46"/>
      <c r="F87" s="46" t="s">
        <v>567</v>
      </c>
      <c r="G87" s="58" t="s">
        <v>570</v>
      </c>
      <c r="H87" s="53" t="s">
        <v>569</v>
      </c>
      <c r="I87" s="94">
        <v>1.0</v>
      </c>
      <c r="J87" s="113"/>
      <c r="K87" s="114"/>
      <c r="L87" s="98"/>
      <c r="M87" s="98"/>
      <c r="N87" s="85"/>
      <c r="O87" s="85"/>
    </row>
    <row r="88">
      <c r="A88" s="99" t="s">
        <v>60</v>
      </c>
      <c r="B88" s="90" t="str">
        <f t="array" ref="B88">iferror(INDEX('作品'!D:D,MATCH(A88,'作品'!A:A,0),0),"error")</f>
        <v>SPY×FAMILY</v>
      </c>
      <c r="C88" s="53" t="s">
        <v>566</v>
      </c>
      <c r="D88" s="46" t="str">
        <f t="shared" si="30"/>
        <v>artwork_fragment_spy_00103</v>
      </c>
      <c r="E88" s="46"/>
      <c r="F88" s="46" t="s">
        <v>571</v>
      </c>
      <c r="G88" s="58" t="s">
        <v>572</v>
      </c>
      <c r="H88" s="53" t="s">
        <v>569</v>
      </c>
      <c r="I88" s="94">
        <v>1.0</v>
      </c>
      <c r="J88" s="113"/>
      <c r="K88" s="114"/>
      <c r="L88" s="98"/>
      <c r="M88" s="98"/>
      <c r="N88" s="85"/>
      <c r="O88" s="85"/>
    </row>
    <row r="89">
      <c r="A89" s="99" t="s">
        <v>60</v>
      </c>
      <c r="B89" s="90" t="str">
        <f t="array" ref="B89">iferror(INDEX('作品'!D:D,MATCH(A89,'作品'!A:A,0),0),"error")</f>
        <v>SPY×FAMILY</v>
      </c>
      <c r="C89" s="53" t="s">
        <v>566</v>
      </c>
      <c r="D89" s="46" t="str">
        <f t="shared" si="30"/>
        <v>artwork_fragment_spy_00104</v>
      </c>
      <c r="E89" s="46"/>
      <c r="F89" s="46" t="s">
        <v>571</v>
      </c>
      <c r="G89" s="58" t="s">
        <v>573</v>
      </c>
      <c r="H89" s="53" t="s">
        <v>569</v>
      </c>
      <c r="I89" s="94">
        <v>1.0</v>
      </c>
      <c r="J89" s="113"/>
      <c r="K89" s="114"/>
      <c r="L89" s="98"/>
      <c r="M89" s="98"/>
      <c r="N89" s="85"/>
      <c r="O89" s="85"/>
    </row>
    <row r="90">
      <c r="A90" s="99" t="s">
        <v>60</v>
      </c>
      <c r="B90" s="90" t="str">
        <f t="array" ref="B90">iferror(INDEX('作品'!D:D,MATCH(A90,'作品'!A:A,0),0),"error")</f>
        <v>SPY×FAMILY</v>
      </c>
      <c r="C90" s="53" t="s">
        <v>566</v>
      </c>
      <c r="D90" s="46" t="str">
        <f t="shared" si="30"/>
        <v>artwork_fragment_spy_00105</v>
      </c>
      <c r="E90" s="46"/>
      <c r="F90" s="46" t="s">
        <v>574</v>
      </c>
      <c r="G90" s="58" t="s">
        <v>575</v>
      </c>
      <c r="H90" s="53" t="s">
        <v>569</v>
      </c>
      <c r="I90" s="94">
        <v>1.0</v>
      </c>
      <c r="J90" s="113"/>
      <c r="K90" s="114"/>
      <c r="L90" s="98"/>
      <c r="M90" s="98"/>
      <c r="N90" s="85"/>
      <c r="O90" s="85"/>
    </row>
    <row r="91">
      <c r="A91" s="99" t="s">
        <v>60</v>
      </c>
      <c r="B91" s="90" t="str">
        <f t="array" ref="B91">iferror(INDEX('作品'!D:D,MATCH(A91,'作品'!A:A,0),0),"error")</f>
        <v>SPY×FAMILY</v>
      </c>
      <c r="C91" s="53" t="s">
        <v>566</v>
      </c>
      <c r="D91" s="46" t="str">
        <f t="shared" si="30"/>
        <v>artwork_fragment_spy_00106</v>
      </c>
      <c r="E91" s="46"/>
      <c r="F91" s="46" t="s">
        <v>574</v>
      </c>
      <c r="G91" s="58" t="s">
        <v>576</v>
      </c>
      <c r="H91" s="53" t="s">
        <v>569</v>
      </c>
      <c r="I91" s="94">
        <v>1.0</v>
      </c>
      <c r="J91" s="113"/>
      <c r="K91" s="114"/>
      <c r="L91" s="98"/>
      <c r="M91" s="98"/>
      <c r="N91" s="85"/>
      <c r="O91" s="85"/>
    </row>
    <row r="92">
      <c r="A92" s="99" t="s">
        <v>60</v>
      </c>
      <c r="B92" s="90" t="str">
        <f t="array" ref="B92">iferror(INDEX('作品'!D:D,MATCH(A92,'作品'!A:A,0),0),"error")</f>
        <v>SPY×FAMILY</v>
      </c>
      <c r="C92" s="53" t="s">
        <v>566</v>
      </c>
      <c r="D92" s="46" t="str">
        <f t="shared" si="30"/>
        <v>artwork_fragment_spy_00107</v>
      </c>
      <c r="E92" s="46"/>
      <c r="F92" s="46" t="s">
        <v>577</v>
      </c>
      <c r="G92" s="58" t="s">
        <v>578</v>
      </c>
      <c r="H92" s="53" t="s">
        <v>569</v>
      </c>
      <c r="I92" s="94">
        <v>1.0</v>
      </c>
      <c r="J92" s="113"/>
      <c r="K92" s="114"/>
      <c r="L92" s="98"/>
      <c r="M92" s="98"/>
      <c r="N92" s="85"/>
      <c r="O92" s="85"/>
    </row>
    <row r="93">
      <c r="A93" s="99" t="s">
        <v>60</v>
      </c>
      <c r="B93" s="90" t="str">
        <f t="array" ref="B93">iferror(INDEX('作品'!D:D,MATCH(A93,'作品'!A:A,0),0),"error")</f>
        <v>SPY×FAMILY</v>
      </c>
      <c r="C93" s="53" t="s">
        <v>566</v>
      </c>
      <c r="D93" s="46" t="str">
        <f t="shared" si="30"/>
        <v>artwork_fragment_spy_00108</v>
      </c>
      <c r="E93" s="46"/>
      <c r="F93" s="46" t="s">
        <v>577</v>
      </c>
      <c r="G93" s="58" t="s">
        <v>579</v>
      </c>
      <c r="H93" s="53" t="s">
        <v>569</v>
      </c>
      <c r="I93" s="94">
        <v>1.0</v>
      </c>
      <c r="J93" s="113"/>
      <c r="K93" s="114"/>
      <c r="L93" s="98"/>
      <c r="M93" s="98"/>
      <c r="N93" s="85"/>
      <c r="O93" s="85"/>
    </row>
    <row r="94">
      <c r="A94" s="99" t="s">
        <v>60</v>
      </c>
      <c r="B94" s="90" t="str">
        <f t="array" ref="B94">iferror(INDEX('作品'!D:D,MATCH(A94,'作品'!A:A,0),0),"error")</f>
        <v>SPY×FAMILY</v>
      </c>
      <c r="C94" s="53" t="s">
        <v>566</v>
      </c>
      <c r="D94" s="46" t="str">
        <f t="shared" si="30"/>
        <v>artwork_fragment_spy_00109</v>
      </c>
      <c r="E94" s="46"/>
      <c r="F94" s="46" t="s">
        <v>580</v>
      </c>
      <c r="G94" s="58" t="s">
        <v>581</v>
      </c>
      <c r="H94" s="53" t="s">
        <v>569</v>
      </c>
      <c r="I94" s="94">
        <v>1.0</v>
      </c>
      <c r="J94" s="113"/>
      <c r="K94" s="114"/>
      <c r="L94" s="98"/>
      <c r="M94" s="98"/>
      <c r="N94" s="85"/>
      <c r="O94" s="85"/>
    </row>
    <row r="95">
      <c r="A95" s="99" t="s">
        <v>60</v>
      </c>
      <c r="B95" s="90" t="str">
        <f t="array" ref="B95">iferror(INDEX('作品'!D:D,MATCH(A95,'作品'!A:A,0),0),"error")</f>
        <v>SPY×FAMILY</v>
      </c>
      <c r="C95" s="53" t="s">
        <v>566</v>
      </c>
      <c r="D95" s="46" t="str">
        <f t="shared" si="30"/>
        <v>artwork_fragment_spy_00110</v>
      </c>
      <c r="E95" s="46"/>
      <c r="F95" s="46" t="s">
        <v>580</v>
      </c>
      <c r="G95" s="58" t="s">
        <v>582</v>
      </c>
      <c r="H95" s="53" t="s">
        <v>569</v>
      </c>
      <c r="I95" s="94">
        <v>1.0</v>
      </c>
      <c r="J95" s="113"/>
      <c r="K95" s="114"/>
      <c r="L95" s="98"/>
      <c r="M95" s="98"/>
      <c r="N95" s="85"/>
      <c r="O95" s="85"/>
    </row>
    <row r="96">
      <c r="A96" s="99" t="s">
        <v>60</v>
      </c>
      <c r="B96" s="90" t="str">
        <f t="array" ref="B96">iferror(INDEX('作品'!D:D,MATCH(A96,'作品'!A:A,0),0),"error")</f>
        <v>SPY×FAMILY</v>
      </c>
      <c r="C96" s="53" t="s">
        <v>566</v>
      </c>
      <c r="D96" s="46" t="str">
        <f t="shared" si="30"/>
        <v>artwork_fragment_spy_00111</v>
      </c>
      <c r="E96" s="46"/>
      <c r="F96" s="46" t="s">
        <v>583</v>
      </c>
      <c r="G96" s="58" t="s">
        <v>584</v>
      </c>
      <c r="H96" s="53" t="s">
        <v>569</v>
      </c>
      <c r="I96" s="94">
        <v>1.0</v>
      </c>
      <c r="J96" s="113"/>
      <c r="K96" s="114"/>
      <c r="L96" s="98"/>
      <c r="M96" s="98"/>
      <c r="N96" s="85"/>
      <c r="O96" s="85"/>
    </row>
    <row r="97">
      <c r="A97" s="99" t="s">
        <v>60</v>
      </c>
      <c r="B97" s="90" t="str">
        <f t="array" ref="B97">iferror(INDEX('作品'!D:D,MATCH(A97,'作品'!A:A,0),0),"error")</f>
        <v>SPY×FAMILY</v>
      </c>
      <c r="C97" s="53" t="s">
        <v>566</v>
      </c>
      <c r="D97" s="46" t="str">
        <f t="shared" si="30"/>
        <v>artwork_fragment_spy_00112</v>
      </c>
      <c r="E97" s="46"/>
      <c r="F97" s="46" t="s">
        <v>583</v>
      </c>
      <c r="G97" s="58" t="s">
        <v>585</v>
      </c>
      <c r="H97" s="53" t="s">
        <v>569</v>
      </c>
      <c r="I97" s="94">
        <v>1.0</v>
      </c>
      <c r="J97" s="113"/>
      <c r="K97" s="114"/>
      <c r="L97" s="98"/>
      <c r="M97" s="98"/>
      <c r="N97" s="85"/>
      <c r="O97" s="85"/>
    </row>
    <row r="98">
      <c r="A98" s="99" t="s">
        <v>60</v>
      </c>
      <c r="B98" s="90" t="str">
        <f t="array" ref="B98">iferror(INDEX('作品'!D:D,MATCH(A98,'作品'!A:A,0),0),"error")</f>
        <v>SPY×FAMILY</v>
      </c>
      <c r="C98" s="53" t="s">
        <v>566</v>
      </c>
      <c r="D98" s="46" t="str">
        <f t="shared" ref="D98:D109" si="31">C98&amp;"_"&amp;A98&amp;"_"&amp;TEXT(countif($A$86:A86,A98),"00200")</f>
        <v>artwork_fragment_spy_00201</v>
      </c>
      <c r="E98" s="46"/>
      <c r="F98" s="46" t="s">
        <v>586</v>
      </c>
      <c r="G98" s="58" t="s">
        <v>587</v>
      </c>
      <c r="H98" s="53" t="s">
        <v>569</v>
      </c>
      <c r="I98" s="94">
        <v>1.0</v>
      </c>
      <c r="J98" s="113"/>
      <c r="K98" s="114"/>
      <c r="L98" s="98"/>
      <c r="M98" s="98"/>
      <c r="N98" s="85"/>
      <c r="O98" s="85"/>
    </row>
    <row r="99">
      <c r="A99" s="99" t="s">
        <v>60</v>
      </c>
      <c r="B99" s="90" t="str">
        <f t="array" ref="B99">iferror(INDEX('作品'!D:D,MATCH(A99,'作品'!A:A,0),0),"error")</f>
        <v>SPY×FAMILY</v>
      </c>
      <c r="C99" s="53" t="s">
        <v>566</v>
      </c>
      <c r="D99" s="46" t="str">
        <f t="shared" si="31"/>
        <v>artwork_fragment_spy_00202</v>
      </c>
      <c r="E99" s="46"/>
      <c r="F99" s="46" t="s">
        <v>586</v>
      </c>
      <c r="G99" s="58" t="s">
        <v>588</v>
      </c>
      <c r="H99" s="53" t="s">
        <v>569</v>
      </c>
      <c r="I99" s="94">
        <v>1.0</v>
      </c>
      <c r="J99" s="113"/>
      <c r="K99" s="114"/>
      <c r="L99" s="98"/>
      <c r="M99" s="98"/>
      <c r="N99" s="85"/>
      <c r="O99" s="85"/>
    </row>
    <row r="100">
      <c r="A100" s="99" t="s">
        <v>60</v>
      </c>
      <c r="B100" s="90" t="str">
        <f t="array" ref="B100">iferror(INDEX('作品'!D:D,MATCH(A100,'作品'!A:A,0),0),"error")</f>
        <v>SPY×FAMILY</v>
      </c>
      <c r="C100" s="53" t="s">
        <v>566</v>
      </c>
      <c r="D100" s="46" t="str">
        <f t="shared" si="31"/>
        <v>artwork_fragment_spy_00203</v>
      </c>
      <c r="E100" s="46"/>
      <c r="F100" s="46" t="s">
        <v>589</v>
      </c>
      <c r="G100" s="58" t="s">
        <v>590</v>
      </c>
      <c r="H100" s="53" t="s">
        <v>569</v>
      </c>
      <c r="I100" s="94">
        <v>1.0</v>
      </c>
      <c r="J100" s="113"/>
      <c r="K100" s="114"/>
      <c r="L100" s="98"/>
      <c r="M100" s="98"/>
      <c r="N100" s="85"/>
      <c r="O100" s="85"/>
    </row>
    <row r="101">
      <c r="A101" s="99" t="s">
        <v>60</v>
      </c>
      <c r="B101" s="90" t="str">
        <f t="array" ref="B101">iferror(INDEX('作品'!D:D,MATCH(A101,'作品'!A:A,0),0),"error")</f>
        <v>SPY×FAMILY</v>
      </c>
      <c r="C101" s="53" t="s">
        <v>566</v>
      </c>
      <c r="D101" s="46" t="str">
        <f t="shared" si="31"/>
        <v>artwork_fragment_spy_00204</v>
      </c>
      <c r="E101" s="46"/>
      <c r="F101" s="46" t="s">
        <v>589</v>
      </c>
      <c r="G101" s="58" t="s">
        <v>591</v>
      </c>
      <c r="H101" s="53" t="s">
        <v>569</v>
      </c>
      <c r="I101" s="94">
        <v>1.0</v>
      </c>
      <c r="J101" s="113"/>
      <c r="K101" s="114"/>
      <c r="L101" s="98"/>
      <c r="M101" s="98"/>
      <c r="N101" s="85"/>
      <c r="O101" s="85"/>
    </row>
    <row r="102">
      <c r="A102" s="99" t="s">
        <v>60</v>
      </c>
      <c r="B102" s="90" t="str">
        <f t="array" ref="B102">iferror(INDEX('作品'!D:D,MATCH(A102,'作品'!A:A,0),0),"error")</f>
        <v>SPY×FAMILY</v>
      </c>
      <c r="C102" s="53" t="s">
        <v>566</v>
      </c>
      <c r="D102" s="46" t="str">
        <f t="shared" si="31"/>
        <v>artwork_fragment_spy_00205</v>
      </c>
      <c r="E102" s="46"/>
      <c r="F102" s="46" t="s">
        <v>592</v>
      </c>
      <c r="G102" s="58" t="s">
        <v>593</v>
      </c>
      <c r="H102" s="53" t="s">
        <v>569</v>
      </c>
      <c r="I102" s="94">
        <v>1.0</v>
      </c>
      <c r="J102" s="113"/>
      <c r="K102" s="114"/>
      <c r="L102" s="98"/>
      <c r="M102" s="98"/>
      <c r="N102" s="85"/>
      <c r="O102" s="85"/>
    </row>
    <row r="103">
      <c r="A103" s="99" t="s">
        <v>60</v>
      </c>
      <c r="B103" s="90" t="str">
        <f t="array" ref="B103">iferror(INDEX('作品'!D:D,MATCH(A103,'作品'!A:A,0),0),"error")</f>
        <v>SPY×FAMILY</v>
      </c>
      <c r="C103" s="53" t="s">
        <v>566</v>
      </c>
      <c r="D103" s="46" t="str">
        <f t="shared" si="31"/>
        <v>artwork_fragment_spy_00206</v>
      </c>
      <c r="E103" s="46"/>
      <c r="F103" s="46" t="s">
        <v>592</v>
      </c>
      <c r="G103" s="58" t="s">
        <v>594</v>
      </c>
      <c r="H103" s="53" t="s">
        <v>569</v>
      </c>
      <c r="I103" s="94">
        <v>1.0</v>
      </c>
      <c r="J103" s="113"/>
      <c r="K103" s="114"/>
      <c r="L103" s="98"/>
      <c r="M103" s="98"/>
      <c r="N103" s="85"/>
      <c r="O103" s="85"/>
    </row>
    <row r="104">
      <c r="A104" s="99" t="s">
        <v>60</v>
      </c>
      <c r="B104" s="90" t="str">
        <f t="array" ref="B104">iferror(INDEX('作品'!D:D,MATCH(A104,'作品'!A:A,0),0),"error")</f>
        <v>SPY×FAMILY</v>
      </c>
      <c r="C104" s="53" t="s">
        <v>566</v>
      </c>
      <c r="D104" s="46" t="str">
        <f t="shared" si="31"/>
        <v>artwork_fragment_spy_00207</v>
      </c>
      <c r="E104" s="46"/>
      <c r="F104" s="46" t="s">
        <v>595</v>
      </c>
      <c r="G104" s="58" t="s">
        <v>596</v>
      </c>
      <c r="H104" s="53" t="s">
        <v>569</v>
      </c>
      <c r="I104" s="94">
        <v>1.0</v>
      </c>
      <c r="J104" s="113"/>
      <c r="K104" s="114"/>
      <c r="L104" s="98"/>
      <c r="M104" s="98"/>
      <c r="N104" s="85"/>
      <c r="O104" s="85"/>
    </row>
    <row r="105">
      <c r="A105" s="99" t="s">
        <v>60</v>
      </c>
      <c r="B105" s="90" t="str">
        <f t="array" ref="B105">iferror(INDEX('作品'!D:D,MATCH(A105,'作品'!A:A,0),0),"error")</f>
        <v>SPY×FAMILY</v>
      </c>
      <c r="C105" s="53" t="s">
        <v>566</v>
      </c>
      <c r="D105" s="46" t="str">
        <f t="shared" si="31"/>
        <v>artwork_fragment_spy_00208</v>
      </c>
      <c r="E105" s="46"/>
      <c r="F105" s="46" t="s">
        <v>595</v>
      </c>
      <c r="G105" s="58" t="s">
        <v>597</v>
      </c>
      <c r="H105" s="53" t="s">
        <v>569</v>
      </c>
      <c r="I105" s="94">
        <v>1.0</v>
      </c>
      <c r="J105" s="113"/>
      <c r="K105" s="114"/>
      <c r="L105" s="98"/>
      <c r="M105" s="98"/>
      <c r="N105" s="85"/>
      <c r="O105" s="85"/>
    </row>
    <row r="106">
      <c r="A106" s="99" t="s">
        <v>60</v>
      </c>
      <c r="B106" s="90" t="str">
        <f t="array" ref="B106">iferror(INDEX('作品'!D:D,MATCH(A106,'作品'!A:A,0),0),"error")</f>
        <v>SPY×FAMILY</v>
      </c>
      <c r="C106" s="53" t="s">
        <v>566</v>
      </c>
      <c r="D106" s="46" t="str">
        <f t="shared" si="31"/>
        <v>artwork_fragment_spy_00209</v>
      </c>
      <c r="E106" s="46"/>
      <c r="F106" s="46" t="s">
        <v>598</v>
      </c>
      <c r="G106" s="58" t="s">
        <v>599</v>
      </c>
      <c r="H106" s="53" t="s">
        <v>569</v>
      </c>
      <c r="I106" s="94">
        <v>1.0</v>
      </c>
      <c r="J106" s="113"/>
      <c r="K106" s="114"/>
      <c r="L106" s="98"/>
      <c r="M106" s="98"/>
      <c r="N106" s="85"/>
      <c r="O106" s="85"/>
    </row>
    <row r="107">
      <c r="A107" s="99" t="s">
        <v>60</v>
      </c>
      <c r="B107" s="90" t="str">
        <f t="array" ref="B107">iferror(INDEX('作品'!D:D,MATCH(A107,'作品'!A:A,0),0),"error")</f>
        <v>SPY×FAMILY</v>
      </c>
      <c r="C107" s="53" t="s">
        <v>566</v>
      </c>
      <c r="D107" s="46" t="str">
        <f t="shared" si="31"/>
        <v>artwork_fragment_spy_00210</v>
      </c>
      <c r="E107" s="46"/>
      <c r="F107" s="46" t="s">
        <v>598</v>
      </c>
      <c r="G107" s="58" t="s">
        <v>600</v>
      </c>
      <c r="H107" s="53" t="s">
        <v>569</v>
      </c>
      <c r="I107" s="94">
        <v>1.0</v>
      </c>
      <c r="J107" s="113"/>
      <c r="K107" s="114"/>
      <c r="L107" s="98"/>
      <c r="M107" s="98"/>
      <c r="N107" s="85"/>
      <c r="O107" s="85"/>
    </row>
    <row r="108">
      <c r="A108" s="99" t="s">
        <v>60</v>
      </c>
      <c r="B108" s="90" t="str">
        <f t="array" ref="B108">iferror(INDEX('作品'!D:D,MATCH(A108,'作品'!A:A,0),0),"error")</f>
        <v>SPY×FAMILY</v>
      </c>
      <c r="C108" s="53" t="s">
        <v>566</v>
      </c>
      <c r="D108" s="46" t="str">
        <f t="shared" si="31"/>
        <v>artwork_fragment_spy_00211</v>
      </c>
      <c r="E108" s="46"/>
      <c r="F108" s="46" t="s">
        <v>601</v>
      </c>
      <c r="G108" s="58" t="s">
        <v>602</v>
      </c>
      <c r="H108" s="53" t="s">
        <v>569</v>
      </c>
      <c r="I108" s="94">
        <v>1.0</v>
      </c>
      <c r="J108" s="113"/>
      <c r="K108" s="114"/>
      <c r="L108" s="98"/>
      <c r="M108" s="98"/>
      <c r="N108" s="85"/>
      <c r="O108" s="85"/>
    </row>
    <row r="109">
      <c r="A109" s="99" t="s">
        <v>60</v>
      </c>
      <c r="B109" s="90" t="str">
        <f t="array" ref="B109">iferror(INDEX('作品'!D:D,MATCH(A109,'作品'!A:A,0),0),"error")</f>
        <v>SPY×FAMILY</v>
      </c>
      <c r="C109" s="53" t="s">
        <v>566</v>
      </c>
      <c r="D109" s="46" t="str">
        <f t="shared" si="31"/>
        <v>artwork_fragment_spy_00212</v>
      </c>
      <c r="E109" s="46"/>
      <c r="F109" s="46" t="s">
        <v>601</v>
      </c>
      <c r="G109" s="58" t="s">
        <v>603</v>
      </c>
      <c r="H109" s="53" t="s">
        <v>569</v>
      </c>
      <c r="I109" s="94">
        <v>1.0</v>
      </c>
      <c r="J109" s="113"/>
      <c r="K109" s="114"/>
      <c r="L109" s="98"/>
      <c r="M109" s="98"/>
      <c r="N109" s="85"/>
      <c r="O109" s="85"/>
    </row>
    <row r="110">
      <c r="A110" s="99" t="s">
        <v>60</v>
      </c>
      <c r="B110" s="90" t="str">
        <f t="array" ref="B110">iferror(INDEX('作品'!D:D,MATCH(A110,'作品'!A:A,0),0),"error")</f>
        <v>SPY×FAMILY</v>
      </c>
      <c r="C110" s="53" t="s">
        <v>566</v>
      </c>
      <c r="D110" s="46" t="str">
        <f t="shared" ref="D110:D121" si="32">C110&amp;"_"&amp;A110&amp;"_"&amp;TEXT(countif($A$110:A110,A110),"00300")</f>
        <v>artwork_fragment_spy_00301</v>
      </c>
      <c r="E110" s="46"/>
      <c r="F110" s="46" t="s">
        <v>604</v>
      </c>
      <c r="G110" s="58" t="s">
        <v>605</v>
      </c>
      <c r="H110" s="53" t="s">
        <v>569</v>
      </c>
      <c r="I110" s="94">
        <v>1.0</v>
      </c>
      <c r="J110" s="113"/>
      <c r="K110" s="114"/>
      <c r="L110" s="98"/>
      <c r="M110" s="98"/>
      <c r="N110" s="85"/>
      <c r="O110" s="85"/>
    </row>
    <row r="111">
      <c r="A111" s="99" t="s">
        <v>60</v>
      </c>
      <c r="B111" s="90" t="str">
        <f t="array" ref="B111">iferror(INDEX('作品'!D:D,MATCH(A111,'作品'!A:A,0),0),"error")</f>
        <v>SPY×FAMILY</v>
      </c>
      <c r="C111" s="53" t="s">
        <v>566</v>
      </c>
      <c r="D111" s="46" t="str">
        <f t="shared" si="32"/>
        <v>artwork_fragment_spy_00302</v>
      </c>
      <c r="E111" s="46"/>
      <c r="F111" s="46" t="s">
        <v>604</v>
      </c>
      <c r="G111" s="58" t="s">
        <v>606</v>
      </c>
      <c r="H111" s="53" t="s">
        <v>569</v>
      </c>
      <c r="I111" s="94">
        <v>1.0</v>
      </c>
      <c r="J111" s="113"/>
      <c r="K111" s="114"/>
      <c r="L111" s="98"/>
      <c r="M111" s="98"/>
      <c r="N111" s="85"/>
      <c r="O111" s="85"/>
    </row>
    <row r="112">
      <c r="A112" s="99" t="s">
        <v>60</v>
      </c>
      <c r="B112" s="90" t="str">
        <f t="array" ref="B112">iferror(INDEX('作品'!D:D,MATCH(A112,'作品'!A:A,0),0),"error")</f>
        <v>SPY×FAMILY</v>
      </c>
      <c r="C112" s="53" t="s">
        <v>566</v>
      </c>
      <c r="D112" s="46" t="str">
        <f t="shared" si="32"/>
        <v>artwork_fragment_spy_00303</v>
      </c>
      <c r="E112" s="46"/>
      <c r="F112" s="46" t="s">
        <v>607</v>
      </c>
      <c r="G112" s="58" t="s">
        <v>608</v>
      </c>
      <c r="H112" s="53" t="s">
        <v>569</v>
      </c>
      <c r="I112" s="94">
        <v>1.0</v>
      </c>
      <c r="J112" s="113"/>
      <c r="K112" s="114"/>
      <c r="L112" s="98"/>
      <c r="M112" s="98"/>
      <c r="N112" s="85"/>
      <c r="O112" s="85"/>
    </row>
    <row r="113">
      <c r="A113" s="99" t="s">
        <v>60</v>
      </c>
      <c r="B113" s="90" t="str">
        <f t="array" ref="B113">iferror(INDEX('作品'!D:D,MATCH(A113,'作品'!A:A,0),0),"error")</f>
        <v>SPY×FAMILY</v>
      </c>
      <c r="C113" s="53" t="s">
        <v>566</v>
      </c>
      <c r="D113" s="46" t="str">
        <f t="shared" si="32"/>
        <v>artwork_fragment_spy_00304</v>
      </c>
      <c r="E113" s="46"/>
      <c r="F113" s="46" t="s">
        <v>607</v>
      </c>
      <c r="G113" s="58" t="s">
        <v>609</v>
      </c>
      <c r="H113" s="53" t="s">
        <v>569</v>
      </c>
      <c r="I113" s="94">
        <v>1.0</v>
      </c>
      <c r="J113" s="113"/>
      <c r="K113" s="114"/>
      <c r="L113" s="98"/>
      <c r="M113" s="98"/>
      <c r="N113" s="85"/>
      <c r="O113" s="85"/>
    </row>
    <row r="114">
      <c r="A114" s="99" t="s">
        <v>60</v>
      </c>
      <c r="B114" s="90" t="str">
        <f t="array" ref="B114">iferror(INDEX('作品'!D:D,MATCH(A114,'作品'!A:A,0),0),"error")</f>
        <v>SPY×FAMILY</v>
      </c>
      <c r="C114" s="53" t="s">
        <v>566</v>
      </c>
      <c r="D114" s="46" t="str">
        <f t="shared" si="32"/>
        <v>artwork_fragment_spy_00305</v>
      </c>
      <c r="E114" s="46"/>
      <c r="F114" s="46" t="s">
        <v>610</v>
      </c>
      <c r="G114" s="58" t="s">
        <v>611</v>
      </c>
      <c r="H114" s="53" t="s">
        <v>569</v>
      </c>
      <c r="I114" s="94">
        <v>1.0</v>
      </c>
      <c r="J114" s="113"/>
      <c r="K114" s="114"/>
      <c r="L114" s="98"/>
      <c r="M114" s="98"/>
      <c r="N114" s="85"/>
      <c r="O114" s="85"/>
    </row>
    <row r="115">
      <c r="A115" s="99" t="s">
        <v>60</v>
      </c>
      <c r="B115" s="90" t="str">
        <f t="array" ref="B115">iferror(INDEX('作品'!D:D,MATCH(A115,'作品'!A:A,0),0),"error")</f>
        <v>SPY×FAMILY</v>
      </c>
      <c r="C115" s="53" t="s">
        <v>566</v>
      </c>
      <c r="D115" s="46" t="str">
        <f t="shared" si="32"/>
        <v>artwork_fragment_spy_00306</v>
      </c>
      <c r="E115" s="46"/>
      <c r="F115" s="46" t="s">
        <v>610</v>
      </c>
      <c r="G115" s="58" t="s">
        <v>612</v>
      </c>
      <c r="H115" s="53" t="s">
        <v>569</v>
      </c>
      <c r="I115" s="94">
        <v>1.0</v>
      </c>
      <c r="J115" s="113"/>
      <c r="K115" s="114"/>
      <c r="L115" s="98"/>
      <c r="M115" s="98"/>
      <c r="N115" s="85"/>
      <c r="O115" s="85"/>
    </row>
    <row r="116">
      <c r="A116" s="99" t="s">
        <v>60</v>
      </c>
      <c r="B116" s="90" t="str">
        <f t="array" ref="B116">iferror(INDEX('作品'!D:D,MATCH(A116,'作品'!A:A,0),0),"error")</f>
        <v>SPY×FAMILY</v>
      </c>
      <c r="C116" s="53" t="s">
        <v>566</v>
      </c>
      <c r="D116" s="46" t="str">
        <f t="shared" si="32"/>
        <v>artwork_fragment_spy_00307</v>
      </c>
      <c r="E116" s="46"/>
      <c r="F116" s="46" t="s">
        <v>613</v>
      </c>
      <c r="G116" s="58" t="s">
        <v>614</v>
      </c>
      <c r="H116" s="53" t="s">
        <v>569</v>
      </c>
      <c r="I116" s="94">
        <v>1.0</v>
      </c>
      <c r="J116" s="113"/>
      <c r="K116" s="114"/>
      <c r="L116" s="98"/>
      <c r="M116" s="98"/>
      <c r="N116" s="85"/>
      <c r="O116" s="85"/>
    </row>
    <row r="117">
      <c r="A117" s="99" t="s">
        <v>60</v>
      </c>
      <c r="B117" s="90" t="str">
        <f t="array" ref="B117">iferror(INDEX('作品'!D:D,MATCH(A117,'作品'!A:A,0),0),"error")</f>
        <v>SPY×FAMILY</v>
      </c>
      <c r="C117" s="53" t="s">
        <v>566</v>
      </c>
      <c r="D117" s="46" t="str">
        <f t="shared" si="32"/>
        <v>artwork_fragment_spy_00308</v>
      </c>
      <c r="E117" s="46"/>
      <c r="F117" s="46" t="s">
        <v>613</v>
      </c>
      <c r="G117" s="58" t="s">
        <v>615</v>
      </c>
      <c r="H117" s="53" t="s">
        <v>569</v>
      </c>
      <c r="I117" s="94">
        <v>1.0</v>
      </c>
      <c r="J117" s="113"/>
      <c r="K117" s="114"/>
      <c r="L117" s="98"/>
      <c r="M117" s="98"/>
      <c r="N117" s="85"/>
      <c r="O117" s="85"/>
    </row>
    <row r="118">
      <c r="A118" s="99" t="s">
        <v>60</v>
      </c>
      <c r="B118" s="90" t="str">
        <f t="array" ref="B118">iferror(INDEX('作品'!D:D,MATCH(A118,'作品'!A:A,0),0),"error")</f>
        <v>SPY×FAMILY</v>
      </c>
      <c r="C118" s="53" t="s">
        <v>566</v>
      </c>
      <c r="D118" s="46" t="str">
        <f t="shared" si="32"/>
        <v>artwork_fragment_spy_00309</v>
      </c>
      <c r="E118" s="46"/>
      <c r="F118" s="46" t="s">
        <v>616</v>
      </c>
      <c r="G118" s="58" t="s">
        <v>617</v>
      </c>
      <c r="H118" s="53" t="s">
        <v>569</v>
      </c>
      <c r="I118" s="94">
        <v>1.0</v>
      </c>
      <c r="J118" s="113"/>
      <c r="K118" s="114"/>
      <c r="L118" s="98"/>
      <c r="M118" s="98"/>
      <c r="N118" s="85"/>
      <c r="O118" s="85"/>
    </row>
    <row r="119">
      <c r="A119" s="99" t="s">
        <v>60</v>
      </c>
      <c r="B119" s="90" t="str">
        <f t="array" ref="B119">iferror(INDEX('作品'!D:D,MATCH(A119,'作品'!A:A,0),0),"error")</f>
        <v>SPY×FAMILY</v>
      </c>
      <c r="C119" s="53" t="s">
        <v>566</v>
      </c>
      <c r="D119" s="46" t="str">
        <f t="shared" si="32"/>
        <v>artwork_fragment_spy_00310</v>
      </c>
      <c r="E119" s="46"/>
      <c r="F119" s="46" t="s">
        <v>616</v>
      </c>
      <c r="G119" s="58" t="s">
        <v>618</v>
      </c>
      <c r="H119" s="53" t="s">
        <v>569</v>
      </c>
      <c r="I119" s="94">
        <v>1.0</v>
      </c>
      <c r="J119" s="113"/>
      <c r="K119" s="114"/>
      <c r="L119" s="98"/>
      <c r="M119" s="98"/>
      <c r="N119" s="85"/>
      <c r="O119" s="85"/>
    </row>
    <row r="120">
      <c r="A120" s="99" t="s">
        <v>60</v>
      </c>
      <c r="B120" s="90" t="str">
        <f t="array" ref="B120">iferror(INDEX('作品'!D:D,MATCH(A120,'作品'!A:A,0),0),"error")</f>
        <v>SPY×FAMILY</v>
      </c>
      <c r="C120" s="53" t="s">
        <v>566</v>
      </c>
      <c r="D120" s="46" t="str">
        <f t="shared" si="32"/>
        <v>artwork_fragment_spy_00311</v>
      </c>
      <c r="E120" s="46"/>
      <c r="F120" s="46" t="s">
        <v>619</v>
      </c>
      <c r="G120" s="58" t="s">
        <v>620</v>
      </c>
      <c r="H120" s="53" t="s">
        <v>569</v>
      </c>
      <c r="I120" s="94">
        <v>1.0</v>
      </c>
      <c r="J120" s="113"/>
      <c r="K120" s="114"/>
      <c r="L120" s="98"/>
      <c r="M120" s="98"/>
      <c r="N120" s="85"/>
      <c r="O120" s="85"/>
    </row>
    <row r="121">
      <c r="A121" s="99" t="s">
        <v>60</v>
      </c>
      <c r="B121" s="90" t="str">
        <f t="array" ref="B121">iferror(INDEX('作品'!D:D,MATCH(A121,'作品'!A:A,0),0),"error")</f>
        <v>SPY×FAMILY</v>
      </c>
      <c r="C121" s="53" t="s">
        <v>566</v>
      </c>
      <c r="D121" s="46" t="str">
        <f t="shared" si="32"/>
        <v>artwork_fragment_spy_00312</v>
      </c>
      <c r="E121" s="46"/>
      <c r="F121" s="46" t="s">
        <v>619</v>
      </c>
      <c r="G121" s="58" t="s">
        <v>621</v>
      </c>
      <c r="H121" s="53" t="s">
        <v>569</v>
      </c>
      <c r="I121" s="94">
        <v>1.0</v>
      </c>
      <c r="J121" s="113"/>
      <c r="K121" s="114"/>
      <c r="L121" s="98"/>
      <c r="M121" s="98"/>
      <c r="N121" s="85"/>
      <c r="O121" s="85"/>
    </row>
    <row r="122">
      <c r="A122" s="99" t="s">
        <v>68</v>
      </c>
      <c r="B122" s="90" t="str">
        <f t="array" ref="B122">iferror(INDEX('作品'!D:D,MATCH(A122,'作品'!A:A,0),0),"error")</f>
        <v>ラーメン赤猫</v>
      </c>
      <c r="C122" s="53" t="s">
        <v>566</v>
      </c>
      <c r="D122" s="46" t="str">
        <f t="shared" ref="D122:D137" si="33">C122&amp;"_"&amp;A122&amp;"_"&amp;TEXT(countif($A$86:A122,A122),"00100")</f>
        <v>artwork_fragment_aka_00101</v>
      </c>
      <c r="E122" s="46"/>
      <c r="F122" s="46" t="s">
        <v>622</v>
      </c>
      <c r="G122" s="58" t="s">
        <v>623</v>
      </c>
      <c r="H122" s="53" t="s">
        <v>569</v>
      </c>
      <c r="I122" s="94">
        <v>1.0</v>
      </c>
      <c r="J122" s="113"/>
      <c r="K122" s="114"/>
      <c r="L122" s="98"/>
      <c r="M122" s="98"/>
      <c r="N122" s="85"/>
      <c r="O122" s="85"/>
    </row>
    <row r="123">
      <c r="A123" s="99" t="s">
        <v>68</v>
      </c>
      <c r="B123" s="90" t="str">
        <f t="array" ref="B123">iferror(INDEX('作品'!D:D,MATCH(A123,'作品'!A:A,0),0),"error")</f>
        <v>ラーメン赤猫</v>
      </c>
      <c r="C123" s="53" t="s">
        <v>566</v>
      </c>
      <c r="D123" s="46" t="str">
        <f t="shared" si="33"/>
        <v>artwork_fragment_aka_00102</v>
      </c>
      <c r="E123" s="46"/>
      <c r="F123" s="46" t="s">
        <v>622</v>
      </c>
      <c r="G123" s="58" t="s">
        <v>624</v>
      </c>
      <c r="H123" s="53" t="s">
        <v>569</v>
      </c>
      <c r="I123" s="94">
        <v>1.0</v>
      </c>
      <c r="J123" s="113"/>
      <c r="K123" s="114"/>
      <c r="L123" s="98"/>
      <c r="M123" s="98"/>
      <c r="N123" s="85"/>
      <c r="O123" s="85"/>
    </row>
    <row r="124">
      <c r="A124" s="99" t="s">
        <v>68</v>
      </c>
      <c r="B124" s="90" t="str">
        <f t="array" ref="B124">iferror(INDEX('作品'!D:D,MATCH(A124,'作品'!A:A,0),0),"error")</f>
        <v>ラーメン赤猫</v>
      </c>
      <c r="C124" s="53" t="s">
        <v>566</v>
      </c>
      <c r="D124" s="46" t="str">
        <f t="shared" si="33"/>
        <v>artwork_fragment_aka_00103</v>
      </c>
      <c r="E124" s="46"/>
      <c r="F124" s="46" t="s">
        <v>622</v>
      </c>
      <c r="G124" s="58" t="s">
        <v>625</v>
      </c>
      <c r="H124" s="53" t="s">
        <v>569</v>
      </c>
      <c r="I124" s="94">
        <v>1.0</v>
      </c>
      <c r="J124" s="113"/>
      <c r="K124" s="114"/>
      <c r="L124" s="98"/>
      <c r="M124" s="98"/>
      <c r="N124" s="85"/>
      <c r="O124" s="85"/>
    </row>
    <row r="125">
      <c r="A125" s="99" t="s">
        <v>68</v>
      </c>
      <c r="B125" s="90" t="str">
        <f t="array" ref="B125">iferror(INDEX('作品'!D:D,MATCH(A125,'作品'!A:A,0),0),"error")</f>
        <v>ラーメン赤猫</v>
      </c>
      <c r="C125" s="53" t="s">
        <v>566</v>
      </c>
      <c r="D125" s="46" t="str">
        <f t="shared" si="33"/>
        <v>artwork_fragment_aka_00104</v>
      </c>
      <c r="E125" s="46"/>
      <c r="F125" s="46" t="s">
        <v>622</v>
      </c>
      <c r="G125" s="58" t="s">
        <v>626</v>
      </c>
      <c r="H125" s="53" t="s">
        <v>569</v>
      </c>
      <c r="I125" s="94">
        <v>1.0</v>
      </c>
      <c r="J125" s="113"/>
      <c r="K125" s="114"/>
      <c r="L125" s="98"/>
      <c r="M125" s="98"/>
      <c r="N125" s="85"/>
      <c r="O125" s="85"/>
    </row>
    <row r="126">
      <c r="A126" s="99" t="s">
        <v>68</v>
      </c>
      <c r="B126" s="90" t="str">
        <f t="array" ref="B126">iferror(INDEX('作品'!D:D,MATCH(A126,'作品'!A:A,0),0),"error")</f>
        <v>ラーメン赤猫</v>
      </c>
      <c r="C126" s="53" t="s">
        <v>566</v>
      </c>
      <c r="D126" s="46" t="str">
        <f t="shared" si="33"/>
        <v>artwork_fragment_aka_00105</v>
      </c>
      <c r="E126" s="46"/>
      <c r="F126" s="46" t="s">
        <v>622</v>
      </c>
      <c r="G126" s="58" t="s">
        <v>627</v>
      </c>
      <c r="H126" s="53" t="s">
        <v>569</v>
      </c>
      <c r="I126" s="94">
        <v>1.0</v>
      </c>
      <c r="J126" s="113"/>
      <c r="K126" s="114"/>
      <c r="L126" s="98"/>
      <c r="M126" s="98"/>
      <c r="N126" s="85"/>
      <c r="O126" s="85"/>
    </row>
    <row r="127">
      <c r="A127" s="99" t="s">
        <v>68</v>
      </c>
      <c r="B127" s="90" t="str">
        <f t="array" ref="B127">iferror(INDEX('作品'!D:D,MATCH(A127,'作品'!A:A,0),0),"error")</f>
        <v>ラーメン赤猫</v>
      </c>
      <c r="C127" s="53" t="s">
        <v>566</v>
      </c>
      <c r="D127" s="46" t="str">
        <f t="shared" si="33"/>
        <v>artwork_fragment_aka_00106</v>
      </c>
      <c r="E127" s="46"/>
      <c r="F127" s="46" t="s">
        <v>628</v>
      </c>
      <c r="G127" s="58" t="s">
        <v>629</v>
      </c>
      <c r="H127" s="53" t="s">
        <v>569</v>
      </c>
      <c r="I127" s="94">
        <v>1.0</v>
      </c>
      <c r="J127" s="113"/>
      <c r="K127" s="114"/>
      <c r="L127" s="98"/>
      <c r="M127" s="98"/>
      <c r="N127" s="85"/>
      <c r="O127" s="85"/>
    </row>
    <row r="128">
      <c r="A128" s="99" t="s">
        <v>68</v>
      </c>
      <c r="B128" s="90" t="str">
        <f t="array" ref="B128">iferror(INDEX('作品'!D:D,MATCH(A128,'作品'!A:A,0),0),"error")</f>
        <v>ラーメン赤猫</v>
      </c>
      <c r="C128" s="53" t="s">
        <v>566</v>
      </c>
      <c r="D128" s="46" t="str">
        <f t="shared" si="33"/>
        <v>artwork_fragment_aka_00107</v>
      </c>
      <c r="E128" s="46"/>
      <c r="F128" s="46" t="s">
        <v>628</v>
      </c>
      <c r="G128" s="58" t="s">
        <v>630</v>
      </c>
      <c r="H128" s="53" t="s">
        <v>569</v>
      </c>
      <c r="I128" s="94">
        <v>1.0</v>
      </c>
      <c r="J128" s="113"/>
      <c r="K128" s="114"/>
      <c r="L128" s="98"/>
      <c r="M128" s="98"/>
      <c r="N128" s="85"/>
      <c r="O128" s="85"/>
    </row>
    <row r="129">
      <c r="A129" s="99" t="s">
        <v>68</v>
      </c>
      <c r="B129" s="90" t="str">
        <f t="array" ref="B129">iferror(INDEX('作品'!D:D,MATCH(A129,'作品'!A:A,0),0),"error")</f>
        <v>ラーメン赤猫</v>
      </c>
      <c r="C129" s="53" t="s">
        <v>566</v>
      </c>
      <c r="D129" s="46" t="str">
        <f t="shared" si="33"/>
        <v>artwork_fragment_aka_00108</v>
      </c>
      <c r="E129" s="46"/>
      <c r="F129" s="46" t="s">
        <v>628</v>
      </c>
      <c r="G129" s="58" t="s">
        <v>631</v>
      </c>
      <c r="H129" s="53" t="s">
        <v>569</v>
      </c>
      <c r="I129" s="94">
        <v>1.0</v>
      </c>
      <c r="J129" s="113"/>
      <c r="K129" s="114"/>
      <c r="L129" s="98"/>
      <c r="M129" s="98"/>
      <c r="N129" s="85"/>
      <c r="O129" s="85"/>
    </row>
    <row r="130">
      <c r="A130" s="99" t="s">
        <v>68</v>
      </c>
      <c r="B130" s="90" t="str">
        <f t="array" ref="B130">iferror(INDEX('作品'!D:D,MATCH(A130,'作品'!A:A,0),0),"error")</f>
        <v>ラーメン赤猫</v>
      </c>
      <c r="C130" s="53" t="s">
        <v>566</v>
      </c>
      <c r="D130" s="46" t="str">
        <f t="shared" si="33"/>
        <v>artwork_fragment_aka_00109</v>
      </c>
      <c r="E130" s="46"/>
      <c r="F130" s="46" t="s">
        <v>628</v>
      </c>
      <c r="G130" s="58" t="s">
        <v>632</v>
      </c>
      <c r="H130" s="53" t="s">
        <v>569</v>
      </c>
      <c r="I130" s="94">
        <v>1.0</v>
      </c>
      <c r="J130" s="113"/>
      <c r="K130" s="114"/>
      <c r="L130" s="98"/>
      <c r="M130" s="98"/>
      <c r="N130" s="85"/>
      <c r="O130" s="85"/>
    </row>
    <row r="131">
      <c r="A131" s="99" t="s">
        <v>68</v>
      </c>
      <c r="B131" s="90" t="str">
        <f t="array" ref="B131">iferror(INDEX('作品'!D:D,MATCH(A131,'作品'!A:A,0),0),"error")</f>
        <v>ラーメン赤猫</v>
      </c>
      <c r="C131" s="53" t="s">
        <v>566</v>
      </c>
      <c r="D131" s="46" t="str">
        <f t="shared" si="33"/>
        <v>artwork_fragment_aka_00110</v>
      </c>
      <c r="E131" s="46"/>
      <c r="F131" s="46" t="s">
        <v>628</v>
      </c>
      <c r="G131" s="58" t="s">
        <v>633</v>
      </c>
      <c r="H131" s="53" t="s">
        <v>569</v>
      </c>
      <c r="I131" s="94">
        <v>1.0</v>
      </c>
      <c r="J131" s="113"/>
      <c r="K131" s="114"/>
      <c r="L131" s="98"/>
      <c r="M131" s="98"/>
      <c r="N131" s="85"/>
      <c r="O131" s="85"/>
    </row>
    <row r="132">
      <c r="A132" s="99" t="s">
        <v>68</v>
      </c>
      <c r="B132" s="90" t="str">
        <f t="array" ref="B132">iferror(INDEX('作品'!D:D,MATCH(A132,'作品'!A:A,0),0),"error")</f>
        <v>ラーメン赤猫</v>
      </c>
      <c r="C132" s="53" t="s">
        <v>566</v>
      </c>
      <c r="D132" s="46" t="str">
        <f t="shared" si="33"/>
        <v>artwork_fragment_aka_00111</v>
      </c>
      <c r="E132" s="46"/>
      <c r="F132" s="46" t="s">
        <v>628</v>
      </c>
      <c r="G132" s="58" t="s">
        <v>634</v>
      </c>
      <c r="H132" s="53" t="s">
        <v>569</v>
      </c>
      <c r="I132" s="94">
        <v>1.0</v>
      </c>
      <c r="J132" s="113"/>
      <c r="K132" s="114"/>
      <c r="L132" s="98"/>
      <c r="M132" s="98"/>
      <c r="N132" s="85"/>
      <c r="O132" s="85"/>
    </row>
    <row r="133">
      <c r="A133" s="99" t="s">
        <v>68</v>
      </c>
      <c r="B133" s="90" t="str">
        <f t="array" ref="B133">iferror(INDEX('作品'!D:D,MATCH(A133,'作品'!A:A,0),0),"error")</f>
        <v>ラーメン赤猫</v>
      </c>
      <c r="C133" s="53" t="s">
        <v>566</v>
      </c>
      <c r="D133" s="46" t="str">
        <f t="shared" si="33"/>
        <v>artwork_fragment_aka_00112</v>
      </c>
      <c r="E133" s="46"/>
      <c r="F133" s="46" t="s">
        <v>635</v>
      </c>
      <c r="G133" s="58" t="s">
        <v>636</v>
      </c>
      <c r="H133" s="53" t="s">
        <v>569</v>
      </c>
      <c r="I133" s="94">
        <v>1.0</v>
      </c>
      <c r="J133" s="113"/>
      <c r="K133" s="114"/>
      <c r="L133" s="98"/>
      <c r="M133" s="98"/>
      <c r="N133" s="85"/>
      <c r="O133" s="85"/>
    </row>
    <row r="134">
      <c r="A134" s="99" t="s">
        <v>68</v>
      </c>
      <c r="B134" s="90" t="str">
        <f t="array" ref="B134">iferror(INDEX('作品'!D:D,MATCH(A134,'作品'!A:A,0),0),"error")</f>
        <v>ラーメン赤猫</v>
      </c>
      <c r="C134" s="53" t="s">
        <v>566</v>
      </c>
      <c r="D134" s="46" t="str">
        <f t="shared" si="33"/>
        <v>artwork_fragment_aka_00113</v>
      </c>
      <c r="E134" s="46"/>
      <c r="F134" s="46" t="s">
        <v>635</v>
      </c>
      <c r="G134" s="58" t="s">
        <v>637</v>
      </c>
      <c r="H134" s="53" t="s">
        <v>569</v>
      </c>
      <c r="I134" s="94">
        <v>1.0</v>
      </c>
      <c r="J134" s="113"/>
      <c r="K134" s="114"/>
      <c r="L134" s="98"/>
      <c r="M134" s="98"/>
      <c r="N134" s="85"/>
      <c r="O134" s="85"/>
    </row>
    <row r="135">
      <c r="A135" s="99" t="s">
        <v>68</v>
      </c>
      <c r="B135" s="90" t="str">
        <f t="array" ref="B135">iferror(INDEX('作品'!D:D,MATCH(A135,'作品'!A:A,0),0),"error")</f>
        <v>ラーメン赤猫</v>
      </c>
      <c r="C135" s="53" t="s">
        <v>566</v>
      </c>
      <c r="D135" s="46" t="str">
        <f t="shared" si="33"/>
        <v>artwork_fragment_aka_00114</v>
      </c>
      <c r="E135" s="46"/>
      <c r="F135" s="46" t="s">
        <v>635</v>
      </c>
      <c r="G135" s="58" t="s">
        <v>638</v>
      </c>
      <c r="H135" s="53" t="s">
        <v>569</v>
      </c>
      <c r="I135" s="94">
        <v>1.0</v>
      </c>
      <c r="J135" s="113"/>
      <c r="K135" s="114"/>
      <c r="L135" s="98"/>
      <c r="M135" s="98"/>
      <c r="N135" s="85"/>
      <c r="O135" s="85"/>
    </row>
    <row r="136">
      <c r="A136" s="99" t="s">
        <v>68</v>
      </c>
      <c r="B136" s="90" t="str">
        <f t="array" ref="B136">iferror(INDEX('作品'!D:D,MATCH(A136,'作品'!A:A,0),0),"error")</f>
        <v>ラーメン赤猫</v>
      </c>
      <c r="C136" s="53" t="s">
        <v>566</v>
      </c>
      <c r="D136" s="46" t="str">
        <f t="shared" si="33"/>
        <v>artwork_fragment_aka_00115</v>
      </c>
      <c r="E136" s="46"/>
      <c r="F136" s="46" t="s">
        <v>635</v>
      </c>
      <c r="G136" s="58" t="s">
        <v>639</v>
      </c>
      <c r="H136" s="53" t="s">
        <v>569</v>
      </c>
      <c r="I136" s="94">
        <v>1.0</v>
      </c>
      <c r="J136" s="113"/>
      <c r="K136" s="114"/>
      <c r="L136" s="98"/>
      <c r="M136" s="98"/>
      <c r="N136" s="85"/>
      <c r="O136" s="85"/>
    </row>
    <row r="137">
      <c r="A137" s="99" t="s">
        <v>68</v>
      </c>
      <c r="B137" s="90" t="str">
        <f t="array" ref="B137">iferror(INDEX('作品'!D:D,MATCH(A137,'作品'!A:A,0),0),"error")</f>
        <v>ラーメン赤猫</v>
      </c>
      <c r="C137" s="53" t="s">
        <v>566</v>
      </c>
      <c r="D137" s="46" t="str">
        <f t="shared" si="33"/>
        <v>artwork_fragment_aka_00116</v>
      </c>
      <c r="E137" s="46"/>
      <c r="F137" s="46" t="s">
        <v>635</v>
      </c>
      <c r="G137" s="58" t="s">
        <v>640</v>
      </c>
      <c r="H137" s="53" t="s">
        <v>569</v>
      </c>
      <c r="I137" s="94">
        <v>1.0</v>
      </c>
      <c r="J137" s="113"/>
      <c r="K137" s="114"/>
      <c r="L137" s="98"/>
      <c r="M137" s="98"/>
      <c r="N137" s="85"/>
      <c r="O137" s="85"/>
    </row>
    <row r="138">
      <c r="A138" s="99" t="s">
        <v>68</v>
      </c>
      <c r="B138" s="90" t="str">
        <f t="array" ref="B138">iferror(INDEX('作品'!D:D,MATCH(A138,'作品'!A:A,0),0),"error")</f>
        <v>ラーメン赤猫</v>
      </c>
      <c r="C138" s="53" t="s">
        <v>566</v>
      </c>
      <c r="D138" s="46" t="str">
        <f t="shared" ref="D138:D153" si="34">C138&amp;"_"&amp;A138&amp;"_"&amp;TEXT(countif($A$138:A138,A138),"00200")</f>
        <v>artwork_fragment_aka_00201</v>
      </c>
      <c r="E138" s="46"/>
      <c r="F138" s="46" t="s">
        <v>641</v>
      </c>
      <c r="G138" s="58" t="s">
        <v>642</v>
      </c>
      <c r="H138" s="53" t="s">
        <v>569</v>
      </c>
      <c r="I138" s="94">
        <v>1.0</v>
      </c>
      <c r="J138" s="113"/>
      <c r="K138" s="114"/>
      <c r="L138" s="98"/>
      <c r="M138" s="98"/>
      <c r="N138" s="85"/>
      <c r="O138" s="85"/>
    </row>
    <row r="139">
      <c r="A139" s="99" t="s">
        <v>68</v>
      </c>
      <c r="B139" s="90" t="str">
        <f t="array" ref="B139">iferror(INDEX('作品'!D:D,MATCH(A139,'作品'!A:A,0),0),"error")</f>
        <v>ラーメン赤猫</v>
      </c>
      <c r="C139" s="53" t="s">
        <v>566</v>
      </c>
      <c r="D139" s="46" t="str">
        <f t="shared" si="34"/>
        <v>artwork_fragment_aka_00202</v>
      </c>
      <c r="E139" s="46"/>
      <c r="F139" s="46" t="s">
        <v>641</v>
      </c>
      <c r="G139" s="58" t="s">
        <v>643</v>
      </c>
      <c r="H139" s="53" t="s">
        <v>569</v>
      </c>
      <c r="I139" s="94">
        <v>1.0</v>
      </c>
      <c r="J139" s="113"/>
      <c r="K139" s="114"/>
      <c r="L139" s="98"/>
      <c r="M139" s="98"/>
      <c r="N139" s="85"/>
      <c r="O139" s="85"/>
    </row>
    <row r="140">
      <c r="A140" s="99" t="s">
        <v>68</v>
      </c>
      <c r="B140" s="90" t="str">
        <f t="array" ref="B140">iferror(INDEX('作品'!D:D,MATCH(A140,'作品'!A:A,0),0),"error")</f>
        <v>ラーメン赤猫</v>
      </c>
      <c r="C140" s="53" t="s">
        <v>566</v>
      </c>
      <c r="D140" s="46" t="str">
        <f t="shared" si="34"/>
        <v>artwork_fragment_aka_00203</v>
      </c>
      <c r="E140" s="46"/>
      <c r="F140" s="46" t="s">
        <v>641</v>
      </c>
      <c r="G140" s="58" t="s">
        <v>644</v>
      </c>
      <c r="H140" s="53" t="s">
        <v>569</v>
      </c>
      <c r="I140" s="94">
        <v>1.0</v>
      </c>
      <c r="J140" s="113"/>
      <c r="K140" s="114"/>
      <c r="L140" s="98"/>
      <c r="M140" s="98"/>
      <c r="N140" s="85"/>
      <c r="O140" s="85"/>
    </row>
    <row r="141">
      <c r="A141" s="99" t="s">
        <v>68</v>
      </c>
      <c r="B141" s="90" t="str">
        <f t="array" ref="B141">iferror(INDEX('作品'!D:D,MATCH(A141,'作品'!A:A,0),0),"error")</f>
        <v>ラーメン赤猫</v>
      </c>
      <c r="C141" s="53" t="s">
        <v>566</v>
      </c>
      <c r="D141" s="46" t="str">
        <f t="shared" si="34"/>
        <v>artwork_fragment_aka_00204</v>
      </c>
      <c r="E141" s="46"/>
      <c r="F141" s="46" t="s">
        <v>641</v>
      </c>
      <c r="G141" s="58" t="s">
        <v>645</v>
      </c>
      <c r="H141" s="53" t="s">
        <v>569</v>
      </c>
      <c r="I141" s="94">
        <v>1.0</v>
      </c>
      <c r="J141" s="113"/>
      <c r="K141" s="114"/>
      <c r="L141" s="98"/>
      <c r="M141" s="98"/>
      <c r="N141" s="85"/>
      <c r="O141" s="85"/>
    </row>
    <row r="142">
      <c r="A142" s="99" t="s">
        <v>68</v>
      </c>
      <c r="B142" s="90" t="str">
        <f t="array" ref="B142">iferror(INDEX('作品'!D:D,MATCH(A142,'作品'!A:A,0),0),"error")</f>
        <v>ラーメン赤猫</v>
      </c>
      <c r="C142" s="53" t="s">
        <v>566</v>
      </c>
      <c r="D142" s="46" t="str">
        <f t="shared" si="34"/>
        <v>artwork_fragment_aka_00205</v>
      </c>
      <c r="E142" s="46"/>
      <c r="F142" s="46" t="s">
        <v>641</v>
      </c>
      <c r="G142" s="58" t="s">
        <v>646</v>
      </c>
      <c r="H142" s="53" t="s">
        <v>569</v>
      </c>
      <c r="I142" s="94">
        <v>1.0</v>
      </c>
      <c r="J142" s="113"/>
      <c r="K142" s="114"/>
      <c r="L142" s="98"/>
      <c r="M142" s="98"/>
      <c r="N142" s="85"/>
      <c r="O142" s="85"/>
    </row>
    <row r="143">
      <c r="A143" s="99" t="s">
        <v>68</v>
      </c>
      <c r="B143" s="90" t="str">
        <f t="array" ref="B143">iferror(INDEX('作品'!D:D,MATCH(A143,'作品'!A:A,0),0),"error")</f>
        <v>ラーメン赤猫</v>
      </c>
      <c r="C143" s="53" t="s">
        <v>566</v>
      </c>
      <c r="D143" s="46" t="str">
        <f t="shared" si="34"/>
        <v>artwork_fragment_aka_00206</v>
      </c>
      <c r="E143" s="46"/>
      <c r="F143" s="46" t="s">
        <v>647</v>
      </c>
      <c r="G143" s="58" t="s">
        <v>648</v>
      </c>
      <c r="H143" s="53" t="s">
        <v>569</v>
      </c>
      <c r="I143" s="94">
        <v>1.0</v>
      </c>
      <c r="J143" s="113"/>
      <c r="K143" s="114"/>
      <c r="L143" s="98"/>
      <c r="M143" s="98"/>
      <c r="N143" s="85"/>
      <c r="O143" s="85"/>
    </row>
    <row r="144">
      <c r="A144" s="99" t="s">
        <v>68</v>
      </c>
      <c r="B144" s="90" t="str">
        <f t="array" ref="B144">iferror(INDEX('作品'!D:D,MATCH(A144,'作品'!A:A,0),0),"error")</f>
        <v>ラーメン赤猫</v>
      </c>
      <c r="C144" s="53" t="s">
        <v>566</v>
      </c>
      <c r="D144" s="46" t="str">
        <f t="shared" si="34"/>
        <v>artwork_fragment_aka_00207</v>
      </c>
      <c r="E144" s="46"/>
      <c r="F144" s="46" t="s">
        <v>647</v>
      </c>
      <c r="G144" s="58" t="s">
        <v>649</v>
      </c>
      <c r="H144" s="53" t="s">
        <v>569</v>
      </c>
      <c r="I144" s="94">
        <v>1.0</v>
      </c>
      <c r="J144" s="113"/>
      <c r="K144" s="114"/>
      <c r="L144" s="98"/>
      <c r="M144" s="98"/>
      <c r="N144" s="85"/>
      <c r="O144" s="85"/>
    </row>
    <row r="145">
      <c r="A145" s="99" t="s">
        <v>68</v>
      </c>
      <c r="B145" s="90" t="str">
        <f t="array" ref="B145">iferror(INDEX('作品'!D:D,MATCH(A145,'作品'!A:A,0),0),"error")</f>
        <v>ラーメン赤猫</v>
      </c>
      <c r="C145" s="53" t="s">
        <v>566</v>
      </c>
      <c r="D145" s="46" t="str">
        <f t="shared" si="34"/>
        <v>artwork_fragment_aka_00208</v>
      </c>
      <c r="E145" s="46"/>
      <c r="F145" s="46" t="s">
        <v>647</v>
      </c>
      <c r="G145" s="58" t="s">
        <v>650</v>
      </c>
      <c r="H145" s="53" t="s">
        <v>569</v>
      </c>
      <c r="I145" s="94">
        <v>1.0</v>
      </c>
      <c r="J145" s="113"/>
      <c r="K145" s="114"/>
      <c r="L145" s="98"/>
      <c r="M145" s="98"/>
      <c r="N145" s="85"/>
      <c r="O145" s="85"/>
    </row>
    <row r="146">
      <c r="A146" s="99" t="s">
        <v>68</v>
      </c>
      <c r="B146" s="90" t="str">
        <f t="array" ref="B146">iferror(INDEX('作品'!D:D,MATCH(A146,'作品'!A:A,0),0),"error")</f>
        <v>ラーメン赤猫</v>
      </c>
      <c r="C146" s="53" t="s">
        <v>566</v>
      </c>
      <c r="D146" s="46" t="str">
        <f t="shared" si="34"/>
        <v>artwork_fragment_aka_00209</v>
      </c>
      <c r="E146" s="46"/>
      <c r="F146" s="46" t="s">
        <v>647</v>
      </c>
      <c r="G146" s="58" t="s">
        <v>651</v>
      </c>
      <c r="H146" s="53" t="s">
        <v>569</v>
      </c>
      <c r="I146" s="94">
        <v>1.0</v>
      </c>
      <c r="J146" s="113"/>
      <c r="K146" s="114"/>
      <c r="L146" s="98"/>
      <c r="M146" s="98"/>
      <c r="N146" s="85"/>
      <c r="O146" s="85"/>
    </row>
    <row r="147">
      <c r="A147" s="99" t="s">
        <v>68</v>
      </c>
      <c r="B147" s="90" t="str">
        <f t="array" ref="B147">iferror(INDEX('作品'!D:D,MATCH(A147,'作品'!A:A,0),0),"error")</f>
        <v>ラーメン赤猫</v>
      </c>
      <c r="C147" s="53" t="s">
        <v>566</v>
      </c>
      <c r="D147" s="46" t="str">
        <f t="shared" si="34"/>
        <v>artwork_fragment_aka_00210</v>
      </c>
      <c r="E147" s="46"/>
      <c r="F147" s="46" t="s">
        <v>647</v>
      </c>
      <c r="G147" s="58" t="s">
        <v>652</v>
      </c>
      <c r="H147" s="53" t="s">
        <v>569</v>
      </c>
      <c r="I147" s="94">
        <v>1.0</v>
      </c>
      <c r="J147" s="113"/>
      <c r="K147" s="114"/>
      <c r="L147" s="98"/>
      <c r="M147" s="98"/>
      <c r="N147" s="85"/>
      <c r="O147" s="85"/>
    </row>
    <row r="148">
      <c r="A148" s="99" t="s">
        <v>68</v>
      </c>
      <c r="B148" s="90" t="str">
        <f t="array" ref="B148">iferror(INDEX('作品'!D:D,MATCH(A148,'作品'!A:A,0),0),"error")</f>
        <v>ラーメン赤猫</v>
      </c>
      <c r="C148" s="53" t="s">
        <v>566</v>
      </c>
      <c r="D148" s="46" t="str">
        <f t="shared" si="34"/>
        <v>artwork_fragment_aka_00211</v>
      </c>
      <c r="E148" s="46"/>
      <c r="F148" s="46" t="s">
        <v>647</v>
      </c>
      <c r="G148" s="58" t="s">
        <v>653</v>
      </c>
      <c r="H148" s="53" t="s">
        <v>569</v>
      </c>
      <c r="I148" s="94">
        <v>1.0</v>
      </c>
      <c r="J148" s="113"/>
      <c r="K148" s="114"/>
      <c r="L148" s="98"/>
      <c r="M148" s="98"/>
      <c r="N148" s="85"/>
      <c r="O148" s="85"/>
    </row>
    <row r="149">
      <c r="A149" s="99" t="s">
        <v>68</v>
      </c>
      <c r="B149" s="90" t="str">
        <f t="array" ref="B149">iferror(INDEX('作品'!D:D,MATCH(A149,'作品'!A:A,0),0),"error")</f>
        <v>ラーメン赤猫</v>
      </c>
      <c r="C149" s="53" t="s">
        <v>566</v>
      </c>
      <c r="D149" s="46" t="str">
        <f t="shared" si="34"/>
        <v>artwork_fragment_aka_00212</v>
      </c>
      <c r="E149" s="46"/>
      <c r="F149" s="46" t="s">
        <v>654</v>
      </c>
      <c r="G149" s="58" t="s">
        <v>655</v>
      </c>
      <c r="H149" s="53" t="s">
        <v>569</v>
      </c>
      <c r="I149" s="94">
        <v>1.0</v>
      </c>
      <c r="J149" s="113"/>
      <c r="K149" s="114"/>
      <c r="L149" s="98"/>
      <c r="M149" s="98"/>
      <c r="N149" s="85"/>
      <c r="O149" s="85"/>
    </row>
    <row r="150">
      <c r="A150" s="99" t="s">
        <v>68</v>
      </c>
      <c r="B150" s="90" t="str">
        <f t="array" ref="B150">iferror(INDEX('作品'!D:D,MATCH(A150,'作品'!A:A,0),0),"error")</f>
        <v>ラーメン赤猫</v>
      </c>
      <c r="C150" s="53" t="s">
        <v>566</v>
      </c>
      <c r="D150" s="46" t="str">
        <f t="shared" si="34"/>
        <v>artwork_fragment_aka_00213</v>
      </c>
      <c r="E150" s="46"/>
      <c r="F150" s="46" t="s">
        <v>654</v>
      </c>
      <c r="G150" s="58" t="s">
        <v>656</v>
      </c>
      <c r="H150" s="53" t="s">
        <v>569</v>
      </c>
      <c r="I150" s="94">
        <v>1.0</v>
      </c>
      <c r="J150" s="113"/>
      <c r="K150" s="114"/>
      <c r="L150" s="98"/>
      <c r="M150" s="98"/>
      <c r="N150" s="85"/>
      <c r="O150" s="85"/>
    </row>
    <row r="151">
      <c r="A151" s="99" t="s">
        <v>68</v>
      </c>
      <c r="B151" s="90" t="str">
        <f t="array" ref="B151">iferror(INDEX('作品'!D:D,MATCH(A151,'作品'!A:A,0),0),"error")</f>
        <v>ラーメン赤猫</v>
      </c>
      <c r="C151" s="53" t="s">
        <v>566</v>
      </c>
      <c r="D151" s="46" t="str">
        <f t="shared" si="34"/>
        <v>artwork_fragment_aka_00214</v>
      </c>
      <c r="E151" s="46"/>
      <c r="F151" s="46" t="s">
        <v>654</v>
      </c>
      <c r="G151" s="58" t="s">
        <v>657</v>
      </c>
      <c r="H151" s="53" t="s">
        <v>569</v>
      </c>
      <c r="I151" s="94">
        <v>1.0</v>
      </c>
      <c r="J151" s="113"/>
      <c r="K151" s="114"/>
      <c r="L151" s="98"/>
      <c r="M151" s="98"/>
      <c r="N151" s="85"/>
      <c r="O151" s="85"/>
    </row>
    <row r="152">
      <c r="A152" s="99" t="s">
        <v>68</v>
      </c>
      <c r="B152" s="90" t="str">
        <f t="array" ref="B152">iferror(INDEX('作品'!D:D,MATCH(A152,'作品'!A:A,0),0),"error")</f>
        <v>ラーメン赤猫</v>
      </c>
      <c r="C152" s="53" t="s">
        <v>566</v>
      </c>
      <c r="D152" s="46" t="str">
        <f t="shared" si="34"/>
        <v>artwork_fragment_aka_00215</v>
      </c>
      <c r="E152" s="46"/>
      <c r="F152" s="46" t="s">
        <v>654</v>
      </c>
      <c r="G152" s="58" t="s">
        <v>658</v>
      </c>
      <c r="H152" s="53" t="s">
        <v>569</v>
      </c>
      <c r="I152" s="94">
        <v>1.0</v>
      </c>
      <c r="J152" s="113"/>
      <c r="K152" s="114"/>
      <c r="L152" s="98"/>
      <c r="M152" s="98"/>
      <c r="N152" s="85"/>
      <c r="O152" s="85"/>
    </row>
    <row r="153">
      <c r="A153" s="99" t="s">
        <v>68</v>
      </c>
      <c r="B153" s="90" t="str">
        <f t="array" ref="B153">iferror(INDEX('作品'!D:D,MATCH(A153,'作品'!A:A,0),0),"error")</f>
        <v>ラーメン赤猫</v>
      </c>
      <c r="C153" s="53" t="s">
        <v>566</v>
      </c>
      <c r="D153" s="46" t="str">
        <f t="shared" si="34"/>
        <v>artwork_fragment_aka_00216</v>
      </c>
      <c r="E153" s="46"/>
      <c r="F153" s="46" t="s">
        <v>654</v>
      </c>
      <c r="G153" s="58" t="s">
        <v>659</v>
      </c>
      <c r="H153" s="53" t="s">
        <v>569</v>
      </c>
      <c r="I153" s="94">
        <v>1.0</v>
      </c>
      <c r="J153" s="113"/>
      <c r="K153" s="114"/>
      <c r="L153" s="98"/>
      <c r="M153" s="98"/>
      <c r="N153" s="85"/>
      <c r="O153" s="85"/>
    </row>
    <row r="154">
      <c r="A154" s="99" t="s">
        <v>68</v>
      </c>
      <c r="B154" s="90" t="str">
        <f t="array" ref="B154">iferror(INDEX('作品'!D:D,MATCH(A154,'作品'!A:A,0),0),"error")</f>
        <v>ラーメン赤猫</v>
      </c>
      <c r="C154" s="53" t="s">
        <v>566</v>
      </c>
      <c r="D154" s="46" t="str">
        <f t="shared" ref="D154:D169" si="35">C154&amp;"_"&amp;A154&amp;"_"&amp;TEXT(countif($A$154:A154,A154),"00300")</f>
        <v>artwork_fragment_aka_00301</v>
      </c>
      <c r="E154" s="46"/>
      <c r="F154" s="46" t="s">
        <v>660</v>
      </c>
      <c r="G154" s="58" t="s">
        <v>661</v>
      </c>
      <c r="H154" s="53" t="s">
        <v>569</v>
      </c>
      <c r="I154" s="94">
        <v>1.0</v>
      </c>
      <c r="J154" s="113"/>
      <c r="K154" s="114"/>
      <c r="L154" s="98"/>
      <c r="M154" s="98"/>
      <c r="N154" s="85"/>
      <c r="O154" s="85"/>
    </row>
    <row r="155">
      <c r="A155" s="99" t="s">
        <v>68</v>
      </c>
      <c r="B155" s="90" t="str">
        <f t="array" ref="B155">iferror(INDEX('作品'!D:D,MATCH(A155,'作品'!A:A,0),0),"error")</f>
        <v>ラーメン赤猫</v>
      </c>
      <c r="C155" s="53" t="s">
        <v>566</v>
      </c>
      <c r="D155" s="46" t="str">
        <f t="shared" si="35"/>
        <v>artwork_fragment_aka_00302</v>
      </c>
      <c r="E155" s="46"/>
      <c r="F155" s="46" t="s">
        <v>660</v>
      </c>
      <c r="G155" s="58" t="s">
        <v>662</v>
      </c>
      <c r="H155" s="53" t="s">
        <v>569</v>
      </c>
      <c r="I155" s="94">
        <v>1.0</v>
      </c>
      <c r="J155" s="113"/>
      <c r="K155" s="114"/>
      <c r="L155" s="98"/>
      <c r="M155" s="98"/>
      <c r="N155" s="85"/>
      <c r="O155" s="85"/>
    </row>
    <row r="156">
      <c r="A156" s="99" t="s">
        <v>68</v>
      </c>
      <c r="B156" s="90" t="str">
        <f t="array" ref="B156">iferror(INDEX('作品'!D:D,MATCH(A156,'作品'!A:A,0),0),"error")</f>
        <v>ラーメン赤猫</v>
      </c>
      <c r="C156" s="53" t="s">
        <v>566</v>
      </c>
      <c r="D156" s="46" t="str">
        <f t="shared" si="35"/>
        <v>artwork_fragment_aka_00303</v>
      </c>
      <c r="E156" s="46"/>
      <c r="F156" s="46" t="s">
        <v>660</v>
      </c>
      <c r="G156" s="58" t="s">
        <v>663</v>
      </c>
      <c r="H156" s="53" t="s">
        <v>569</v>
      </c>
      <c r="I156" s="94">
        <v>1.0</v>
      </c>
      <c r="J156" s="113"/>
      <c r="K156" s="114"/>
      <c r="L156" s="98"/>
      <c r="M156" s="98"/>
      <c r="N156" s="85"/>
      <c r="O156" s="85"/>
    </row>
    <row r="157">
      <c r="A157" s="99" t="s">
        <v>68</v>
      </c>
      <c r="B157" s="90" t="str">
        <f t="array" ref="B157">iferror(INDEX('作品'!D:D,MATCH(A157,'作品'!A:A,0),0),"error")</f>
        <v>ラーメン赤猫</v>
      </c>
      <c r="C157" s="53" t="s">
        <v>566</v>
      </c>
      <c r="D157" s="46" t="str">
        <f t="shared" si="35"/>
        <v>artwork_fragment_aka_00304</v>
      </c>
      <c r="E157" s="46"/>
      <c r="F157" s="46" t="s">
        <v>660</v>
      </c>
      <c r="G157" s="58" t="s">
        <v>664</v>
      </c>
      <c r="H157" s="53" t="s">
        <v>569</v>
      </c>
      <c r="I157" s="94">
        <v>1.0</v>
      </c>
      <c r="J157" s="113"/>
      <c r="K157" s="114"/>
      <c r="L157" s="98"/>
      <c r="M157" s="98"/>
      <c r="N157" s="85"/>
      <c r="O157" s="85"/>
    </row>
    <row r="158">
      <c r="A158" s="99" t="s">
        <v>68</v>
      </c>
      <c r="B158" s="90" t="str">
        <f t="array" ref="B158">iferror(INDEX('作品'!D:D,MATCH(A158,'作品'!A:A,0),0),"error")</f>
        <v>ラーメン赤猫</v>
      </c>
      <c r="C158" s="53" t="s">
        <v>566</v>
      </c>
      <c r="D158" s="46" t="str">
        <f t="shared" si="35"/>
        <v>artwork_fragment_aka_00305</v>
      </c>
      <c r="E158" s="46"/>
      <c r="F158" s="46" t="s">
        <v>660</v>
      </c>
      <c r="G158" s="58" t="s">
        <v>665</v>
      </c>
      <c r="H158" s="53" t="s">
        <v>569</v>
      </c>
      <c r="I158" s="94">
        <v>1.0</v>
      </c>
      <c r="J158" s="113"/>
      <c r="K158" s="114"/>
      <c r="L158" s="98"/>
      <c r="M158" s="98"/>
      <c r="N158" s="85"/>
      <c r="O158" s="85"/>
    </row>
    <row r="159">
      <c r="A159" s="99" t="s">
        <v>68</v>
      </c>
      <c r="B159" s="90" t="str">
        <f t="array" ref="B159">iferror(INDEX('作品'!D:D,MATCH(A159,'作品'!A:A,0),0),"error")</f>
        <v>ラーメン赤猫</v>
      </c>
      <c r="C159" s="53" t="s">
        <v>566</v>
      </c>
      <c r="D159" s="46" t="str">
        <f t="shared" si="35"/>
        <v>artwork_fragment_aka_00306</v>
      </c>
      <c r="E159" s="46"/>
      <c r="F159" s="46" t="s">
        <v>660</v>
      </c>
      <c r="G159" s="58" t="s">
        <v>666</v>
      </c>
      <c r="H159" s="53" t="s">
        <v>569</v>
      </c>
      <c r="I159" s="94">
        <v>1.0</v>
      </c>
      <c r="J159" s="113"/>
      <c r="K159" s="114"/>
      <c r="L159" s="98"/>
      <c r="M159" s="98"/>
      <c r="N159" s="85"/>
      <c r="O159" s="85"/>
    </row>
    <row r="160">
      <c r="A160" s="99" t="s">
        <v>68</v>
      </c>
      <c r="B160" s="90" t="str">
        <f t="array" ref="B160">iferror(INDEX('作品'!D:D,MATCH(A160,'作品'!A:A,0),0),"error")</f>
        <v>ラーメン赤猫</v>
      </c>
      <c r="C160" s="53" t="s">
        <v>566</v>
      </c>
      <c r="D160" s="46" t="str">
        <f t="shared" si="35"/>
        <v>artwork_fragment_aka_00307</v>
      </c>
      <c r="E160" s="46"/>
      <c r="F160" s="46" t="s">
        <v>667</v>
      </c>
      <c r="G160" s="58" t="s">
        <v>668</v>
      </c>
      <c r="H160" s="53" t="s">
        <v>569</v>
      </c>
      <c r="I160" s="94">
        <v>1.0</v>
      </c>
      <c r="J160" s="113"/>
      <c r="K160" s="114"/>
      <c r="L160" s="98"/>
      <c r="M160" s="98"/>
      <c r="N160" s="85"/>
      <c r="O160" s="85"/>
    </row>
    <row r="161">
      <c r="A161" s="99" t="s">
        <v>68</v>
      </c>
      <c r="B161" s="90" t="str">
        <f t="array" ref="B161">iferror(INDEX('作品'!D:D,MATCH(A161,'作品'!A:A,0),0),"error")</f>
        <v>ラーメン赤猫</v>
      </c>
      <c r="C161" s="53" t="s">
        <v>566</v>
      </c>
      <c r="D161" s="46" t="str">
        <f t="shared" si="35"/>
        <v>artwork_fragment_aka_00308</v>
      </c>
      <c r="E161" s="46"/>
      <c r="F161" s="46" t="s">
        <v>667</v>
      </c>
      <c r="G161" s="58" t="s">
        <v>669</v>
      </c>
      <c r="H161" s="53" t="s">
        <v>569</v>
      </c>
      <c r="I161" s="94">
        <v>1.0</v>
      </c>
      <c r="J161" s="113"/>
      <c r="K161" s="114"/>
      <c r="L161" s="98"/>
      <c r="M161" s="98"/>
      <c r="N161" s="85"/>
      <c r="O161" s="85"/>
    </row>
    <row r="162">
      <c r="A162" s="99" t="s">
        <v>68</v>
      </c>
      <c r="B162" s="90" t="str">
        <f t="array" ref="B162">iferror(INDEX('作品'!D:D,MATCH(A162,'作品'!A:A,0),0),"error")</f>
        <v>ラーメン赤猫</v>
      </c>
      <c r="C162" s="53" t="s">
        <v>566</v>
      </c>
      <c r="D162" s="46" t="str">
        <f t="shared" si="35"/>
        <v>artwork_fragment_aka_00309</v>
      </c>
      <c r="E162" s="46"/>
      <c r="F162" s="46" t="s">
        <v>667</v>
      </c>
      <c r="G162" s="58" t="s">
        <v>670</v>
      </c>
      <c r="H162" s="53" t="s">
        <v>569</v>
      </c>
      <c r="I162" s="94">
        <v>1.0</v>
      </c>
      <c r="J162" s="113"/>
      <c r="K162" s="114"/>
      <c r="L162" s="98"/>
      <c r="M162" s="98"/>
      <c r="N162" s="85"/>
      <c r="O162" s="85"/>
    </row>
    <row r="163">
      <c r="A163" s="99" t="s">
        <v>68</v>
      </c>
      <c r="B163" s="90" t="str">
        <f t="array" ref="B163">iferror(INDEX('作品'!D:D,MATCH(A163,'作品'!A:A,0),0),"error")</f>
        <v>ラーメン赤猫</v>
      </c>
      <c r="C163" s="53" t="s">
        <v>566</v>
      </c>
      <c r="D163" s="46" t="str">
        <f t="shared" si="35"/>
        <v>artwork_fragment_aka_00310</v>
      </c>
      <c r="E163" s="46"/>
      <c r="F163" s="46" t="s">
        <v>667</v>
      </c>
      <c r="G163" s="58" t="s">
        <v>671</v>
      </c>
      <c r="H163" s="53" t="s">
        <v>569</v>
      </c>
      <c r="I163" s="94">
        <v>1.0</v>
      </c>
      <c r="J163" s="113"/>
      <c r="K163" s="114"/>
      <c r="L163" s="98"/>
      <c r="M163" s="98"/>
      <c r="N163" s="85"/>
      <c r="O163" s="85"/>
    </row>
    <row r="164">
      <c r="A164" s="99" t="s">
        <v>68</v>
      </c>
      <c r="B164" s="90" t="str">
        <f t="array" ref="B164">iferror(INDEX('作品'!D:D,MATCH(A164,'作品'!A:A,0),0),"error")</f>
        <v>ラーメン赤猫</v>
      </c>
      <c r="C164" s="53" t="s">
        <v>566</v>
      </c>
      <c r="D164" s="46" t="str">
        <f t="shared" si="35"/>
        <v>artwork_fragment_aka_00311</v>
      </c>
      <c r="E164" s="46"/>
      <c r="F164" s="46" t="s">
        <v>667</v>
      </c>
      <c r="G164" s="58" t="s">
        <v>672</v>
      </c>
      <c r="H164" s="53" t="s">
        <v>569</v>
      </c>
      <c r="I164" s="94">
        <v>1.0</v>
      </c>
      <c r="J164" s="113"/>
      <c r="K164" s="114"/>
      <c r="L164" s="98"/>
      <c r="M164" s="98"/>
      <c r="N164" s="85"/>
      <c r="O164" s="85"/>
    </row>
    <row r="165">
      <c r="A165" s="99" t="s">
        <v>68</v>
      </c>
      <c r="B165" s="90" t="str">
        <f t="array" ref="B165">iferror(INDEX('作品'!D:D,MATCH(A165,'作品'!A:A,0),0),"error")</f>
        <v>ラーメン赤猫</v>
      </c>
      <c r="C165" s="53" t="s">
        <v>566</v>
      </c>
      <c r="D165" s="46" t="str">
        <f t="shared" si="35"/>
        <v>artwork_fragment_aka_00312</v>
      </c>
      <c r="E165" s="46"/>
      <c r="F165" s="46" t="s">
        <v>673</v>
      </c>
      <c r="G165" s="58" t="s">
        <v>674</v>
      </c>
      <c r="H165" s="53" t="s">
        <v>569</v>
      </c>
      <c r="I165" s="94">
        <v>1.0</v>
      </c>
      <c r="J165" s="113"/>
      <c r="K165" s="114"/>
      <c r="L165" s="98"/>
      <c r="M165" s="98"/>
      <c r="N165" s="85"/>
      <c r="O165" s="85"/>
    </row>
    <row r="166">
      <c r="A166" s="99" t="s">
        <v>68</v>
      </c>
      <c r="B166" s="90" t="str">
        <f t="array" ref="B166">iferror(INDEX('作品'!D:D,MATCH(A166,'作品'!A:A,0),0),"error")</f>
        <v>ラーメン赤猫</v>
      </c>
      <c r="C166" s="53" t="s">
        <v>566</v>
      </c>
      <c r="D166" s="46" t="str">
        <f t="shared" si="35"/>
        <v>artwork_fragment_aka_00313</v>
      </c>
      <c r="E166" s="46"/>
      <c r="F166" s="46" t="s">
        <v>673</v>
      </c>
      <c r="G166" s="58" t="s">
        <v>675</v>
      </c>
      <c r="H166" s="53" t="s">
        <v>569</v>
      </c>
      <c r="I166" s="94">
        <v>1.0</v>
      </c>
      <c r="J166" s="113"/>
      <c r="K166" s="114"/>
      <c r="L166" s="98"/>
      <c r="M166" s="98"/>
      <c r="N166" s="85"/>
      <c r="O166" s="85"/>
    </row>
    <row r="167">
      <c r="A167" s="99" t="s">
        <v>68</v>
      </c>
      <c r="B167" s="90" t="str">
        <f t="array" ref="B167">iferror(INDEX('作品'!D:D,MATCH(A167,'作品'!A:A,0),0),"error")</f>
        <v>ラーメン赤猫</v>
      </c>
      <c r="C167" s="53" t="s">
        <v>566</v>
      </c>
      <c r="D167" s="46" t="str">
        <f t="shared" si="35"/>
        <v>artwork_fragment_aka_00314</v>
      </c>
      <c r="E167" s="46"/>
      <c r="F167" s="46" t="s">
        <v>673</v>
      </c>
      <c r="G167" s="58" t="s">
        <v>676</v>
      </c>
      <c r="H167" s="53" t="s">
        <v>569</v>
      </c>
      <c r="I167" s="94">
        <v>1.0</v>
      </c>
      <c r="J167" s="113"/>
      <c r="K167" s="114"/>
      <c r="L167" s="98"/>
      <c r="M167" s="98"/>
      <c r="N167" s="85"/>
      <c r="O167" s="85"/>
    </row>
    <row r="168">
      <c r="A168" s="99" t="s">
        <v>68</v>
      </c>
      <c r="B168" s="90" t="str">
        <f t="array" ref="B168">iferror(INDEX('作品'!D:D,MATCH(A168,'作品'!A:A,0),0),"error")</f>
        <v>ラーメン赤猫</v>
      </c>
      <c r="C168" s="53" t="s">
        <v>566</v>
      </c>
      <c r="D168" s="46" t="str">
        <f t="shared" si="35"/>
        <v>artwork_fragment_aka_00315</v>
      </c>
      <c r="E168" s="46"/>
      <c r="F168" s="46" t="s">
        <v>673</v>
      </c>
      <c r="G168" s="58" t="s">
        <v>677</v>
      </c>
      <c r="H168" s="53" t="s">
        <v>569</v>
      </c>
      <c r="I168" s="94">
        <v>1.0</v>
      </c>
      <c r="J168" s="113"/>
      <c r="K168" s="114"/>
      <c r="L168" s="98"/>
      <c r="M168" s="98"/>
      <c r="N168" s="85"/>
      <c r="O168" s="85"/>
    </row>
    <row r="169">
      <c r="A169" s="99" t="s">
        <v>68</v>
      </c>
      <c r="B169" s="90" t="str">
        <f t="array" ref="B169">iferror(INDEX('作品'!D:D,MATCH(A169,'作品'!A:A,0),0),"error")</f>
        <v>ラーメン赤猫</v>
      </c>
      <c r="C169" s="53" t="s">
        <v>566</v>
      </c>
      <c r="D169" s="46" t="str">
        <f t="shared" si="35"/>
        <v>artwork_fragment_aka_00316</v>
      </c>
      <c r="E169" s="46"/>
      <c r="F169" s="46" t="s">
        <v>673</v>
      </c>
      <c r="G169" s="58" t="s">
        <v>678</v>
      </c>
      <c r="H169" s="53" t="s">
        <v>569</v>
      </c>
      <c r="I169" s="94">
        <v>1.0</v>
      </c>
      <c r="J169" s="113"/>
      <c r="K169" s="114"/>
      <c r="L169" s="98"/>
      <c r="M169" s="98"/>
      <c r="N169" s="85"/>
      <c r="O169" s="85"/>
    </row>
    <row r="170">
      <c r="A170" s="99" t="s">
        <v>75</v>
      </c>
      <c r="B170" s="90" t="str">
        <f t="array" ref="B170">iferror(INDEX('作品'!D:D,MATCH(A170,'作品'!A:A,0),0),"error")</f>
        <v>トマトイプーのリコピン</v>
      </c>
      <c r="C170" s="53" t="s">
        <v>566</v>
      </c>
      <c r="D170" s="46" t="str">
        <f t="shared" ref="D170:D172" si="36">C170&amp;"_"&amp;A170&amp;"_"&amp;TEXT(countif($A$86:A170,A170),"00000")</f>
        <v>artwork_fragment_rik_00001</v>
      </c>
      <c r="E170" s="46"/>
      <c r="F170" s="46"/>
      <c r="G170" s="58" t="s">
        <v>679</v>
      </c>
      <c r="H170" s="53" t="s">
        <v>569</v>
      </c>
      <c r="I170" s="94">
        <v>1.0</v>
      </c>
      <c r="J170" s="113"/>
      <c r="K170" s="114"/>
      <c r="L170" s="98"/>
      <c r="M170" s="98"/>
      <c r="N170" s="85"/>
      <c r="O170" s="85"/>
    </row>
    <row r="171">
      <c r="A171" s="99" t="s">
        <v>75</v>
      </c>
      <c r="B171" s="90" t="str">
        <f t="array" ref="B171">iferror(INDEX('作品'!D:D,MATCH(A171,'作品'!A:A,0),0),"error")</f>
        <v>トマトイプーのリコピン</v>
      </c>
      <c r="C171" s="53" t="s">
        <v>566</v>
      </c>
      <c r="D171" s="46" t="str">
        <f t="shared" si="36"/>
        <v>artwork_fragment_rik_00002</v>
      </c>
      <c r="E171" s="46"/>
      <c r="F171" s="46"/>
      <c r="G171" s="58" t="s">
        <v>680</v>
      </c>
      <c r="H171" s="53" t="s">
        <v>569</v>
      </c>
      <c r="I171" s="94">
        <v>1.0</v>
      </c>
      <c r="J171" s="113"/>
      <c r="K171" s="114"/>
      <c r="L171" s="98"/>
      <c r="M171" s="98"/>
      <c r="N171" s="85"/>
      <c r="O171" s="85"/>
    </row>
    <row r="172">
      <c r="A172" s="99" t="s">
        <v>75</v>
      </c>
      <c r="B172" s="90" t="str">
        <f t="array" ref="B172">iferror(INDEX('作品'!D:D,MATCH(A172,'作品'!A:A,0),0),"error")</f>
        <v>トマトイプーのリコピン</v>
      </c>
      <c r="C172" s="53" t="s">
        <v>566</v>
      </c>
      <c r="D172" s="46" t="str">
        <f t="shared" si="36"/>
        <v>artwork_fragment_rik_00003</v>
      </c>
      <c r="E172" s="46"/>
      <c r="F172" s="46"/>
      <c r="G172" s="58" t="s">
        <v>681</v>
      </c>
      <c r="H172" s="53" t="s">
        <v>569</v>
      </c>
      <c r="I172" s="94">
        <v>1.0</v>
      </c>
      <c r="J172" s="113"/>
      <c r="K172" s="114"/>
      <c r="L172" s="98"/>
      <c r="M172" s="98"/>
      <c r="N172" s="85"/>
      <c r="O172" s="85"/>
    </row>
    <row r="173">
      <c r="A173" s="99" t="s">
        <v>80</v>
      </c>
      <c r="B173" s="90" t="str">
        <f t="array" ref="B173">iferror(INDEX('作品'!D:D,MATCH(A173,'作品'!A:A,0),0),"error")</f>
        <v>ダンダダン</v>
      </c>
      <c r="C173" s="53" t="s">
        <v>566</v>
      </c>
      <c r="D173" s="115" t="str">
        <f t="shared" ref="D173:D188" si="37">C173&amp;"_"&amp;A173&amp;"_"&amp;TEXT(countif($A$173:$A173,A173),"00100")</f>
        <v>artwork_fragment_dan_00101</v>
      </c>
      <c r="E173" s="115"/>
      <c r="F173" s="115" t="s">
        <v>682</v>
      </c>
      <c r="G173" s="58" t="s">
        <v>683</v>
      </c>
      <c r="H173" s="53" t="s">
        <v>569</v>
      </c>
      <c r="I173" s="94">
        <v>1.0</v>
      </c>
      <c r="J173" s="113"/>
      <c r="K173" s="116"/>
      <c r="L173" s="98"/>
      <c r="M173" s="98"/>
      <c r="N173" s="85"/>
      <c r="O173" s="85"/>
    </row>
    <row r="174">
      <c r="A174" s="99" t="s">
        <v>80</v>
      </c>
      <c r="B174" s="90" t="str">
        <f t="array" ref="B174">iferror(INDEX('作品'!D:D,MATCH(A174,'作品'!A:A,0),0),"error")</f>
        <v>ダンダダン</v>
      </c>
      <c r="C174" s="53" t="s">
        <v>566</v>
      </c>
      <c r="D174" s="115" t="str">
        <f t="shared" si="37"/>
        <v>artwork_fragment_dan_00102</v>
      </c>
      <c r="E174" s="115"/>
      <c r="F174" s="115" t="s">
        <v>682</v>
      </c>
      <c r="G174" s="58" t="s">
        <v>684</v>
      </c>
      <c r="H174" s="53" t="s">
        <v>569</v>
      </c>
      <c r="I174" s="94">
        <v>1.0</v>
      </c>
      <c r="J174" s="113"/>
      <c r="K174" s="116"/>
      <c r="L174" s="98"/>
      <c r="M174" s="98"/>
      <c r="N174" s="85"/>
      <c r="O174" s="85"/>
    </row>
    <row r="175">
      <c r="A175" s="99" t="s">
        <v>80</v>
      </c>
      <c r="B175" s="90" t="str">
        <f t="array" ref="B175">iferror(INDEX('作品'!D:D,MATCH(A175,'作品'!A:A,0),0),"error")</f>
        <v>ダンダダン</v>
      </c>
      <c r="C175" s="53" t="s">
        <v>566</v>
      </c>
      <c r="D175" s="115" t="str">
        <f t="shared" si="37"/>
        <v>artwork_fragment_dan_00103</v>
      </c>
      <c r="E175" s="115"/>
      <c r="F175" s="115" t="s">
        <v>682</v>
      </c>
      <c r="G175" s="58" t="s">
        <v>685</v>
      </c>
      <c r="H175" s="53" t="s">
        <v>569</v>
      </c>
      <c r="I175" s="94">
        <v>1.0</v>
      </c>
      <c r="J175" s="113"/>
      <c r="K175" s="116"/>
      <c r="L175" s="98"/>
      <c r="M175" s="98"/>
      <c r="N175" s="85"/>
      <c r="O175" s="85"/>
    </row>
    <row r="176">
      <c r="A176" s="99" t="s">
        <v>80</v>
      </c>
      <c r="B176" s="90" t="str">
        <f t="array" ref="B176">iferror(INDEX('作品'!D:D,MATCH(A176,'作品'!A:A,0),0),"error")</f>
        <v>ダンダダン</v>
      </c>
      <c r="C176" s="53" t="s">
        <v>566</v>
      </c>
      <c r="D176" s="115" t="str">
        <f t="shared" si="37"/>
        <v>artwork_fragment_dan_00104</v>
      </c>
      <c r="E176" s="115"/>
      <c r="F176" s="115" t="s">
        <v>686</v>
      </c>
      <c r="G176" s="58" t="s">
        <v>687</v>
      </c>
      <c r="H176" s="53" t="s">
        <v>569</v>
      </c>
      <c r="I176" s="94">
        <v>1.0</v>
      </c>
      <c r="J176" s="113"/>
      <c r="K176" s="116"/>
      <c r="L176" s="98"/>
      <c r="M176" s="98"/>
      <c r="N176" s="85"/>
      <c r="O176" s="85"/>
    </row>
    <row r="177">
      <c r="A177" s="99" t="s">
        <v>80</v>
      </c>
      <c r="B177" s="90" t="str">
        <f t="array" ref="B177">iferror(INDEX('作品'!D:D,MATCH(A177,'作品'!A:A,0),0),"error")</f>
        <v>ダンダダン</v>
      </c>
      <c r="C177" s="53" t="s">
        <v>566</v>
      </c>
      <c r="D177" s="115" t="str">
        <f t="shared" si="37"/>
        <v>artwork_fragment_dan_00105</v>
      </c>
      <c r="E177" s="115"/>
      <c r="F177" s="115" t="s">
        <v>686</v>
      </c>
      <c r="G177" s="58" t="s">
        <v>688</v>
      </c>
      <c r="H177" s="53" t="s">
        <v>569</v>
      </c>
      <c r="I177" s="94">
        <v>1.0</v>
      </c>
      <c r="J177" s="113"/>
      <c r="K177" s="116"/>
      <c r="L177" s="98"/>
      <c r="M177" s="98"/>
      <c r="N177" s="85"/>
      <c r="O177" s="85"/>
    </row>
    <row r="178">
      <c r="A178" s="99" t="s">
        <v>80</v>
      </c>
      <c r="B178" s="90" t="str">
        <f t="array" ref="B178">iferror(INDEX('作品'!D:D,MATCH(A178,'作品'!A:A,0),0),"error")</f>
        <v>ダンダダン</v>
      </c>
      <c r="C178" s="53" t="s">
        <v>566</v>
      </c>
      <c r="D178" s="115" t="str">
        <f t="shared" si="37"/>
        <v>artwork_fragment_dan_00106</v>
      </c>
      <c r="E178" s="115"/>
      <c r="F178" s="115" t="s">
        <v>686</v>
      </c>
      <c r="G178" s="58" t="s">
        <v>689</v>
      </c>
      <c r="H178" s="53" t="s">
        <v>569</v>
      </c>
      <c r="I178" s="94">
        <v>1.0</v>
      </c>
      <c r="J178" s="113"/>
      <c r="K178" s="116"/>
      <c r="L178" s="98"/>
      <c r="M178" s="98"/>
      <c r="N178" s="85"/>
      <c r="O178" s="85"/>
    </row>
    <row r="179">
      <c r="A179" s="99" t="s">
        <v>80</v>
      </c>
      <c r="B179" s="90" t="str">
        <f t="array" ref="B179">iferror(INDEX('作品'!D:D,MATCH(A179,'作品'!A:A,0),0),"error")</f>
        <v>ダンダダン</v>
      </c>
      <c r="C179" s="53" t="s">
        <v>566</v>
      </c>
      <c r="D179" s="115" t="str">
        <f t="shared" si="37"/>
        <v>artwork_fragment_dan_00107</v>
      </c>
      <c r="E179" s="115"/>
      <c r="F179" s="115" t="s">
        <v>690</v>
      </c>
      <c r="G179" s="58" t="s">
        <v>691</v>
      </c>
      <c r="H179" s="53" t="s">
        <v>569</v>
      </c>
      <c r="I179" s="94">
        <v>1.0</v>
      </c>
      <c r="J179" s="113"/>
      <c r="K179" s="116"/>
      <c r="L179" s="98"/>
      <c r="M179" s="98"/>
      <c r="N179" s="85"/>
      <c r="O179" s="85"/>
    </row>
    <row r="180">
      <c r="A180" s="99" t="s">
        <v>80</v>
      </c>
      <c r="B180" s="90" t="str">
        <f t="array" ref="B180">iferror(INDEX('作品'!D:D,MATCH(A180,'作品'!A:A,0),0),"error")</f>
        <v>ダンダダン</v>
      </c>
      <c r="C180" s="53" t="s">
        <v>566</v>
      </c>
      <c r="D180" s="115" t="str">
        <f t="shared" si="37"/>
        <v>artwork_fragment_dan_00108</v>
      </c>
      <c r="E180" s="115"/>
      <c r="F180" s="115" t="s">
        <v>690</v>
      </c>
      <c r="G180" s="58" t="s">
        <v>692</v>
      </c>
      <c r="H180" s="53" t="s">
        <v>569</v>
      </c>
      <c r="I180" s="94">
        <v>1.0</v>
      </c>
      <c r="J180" s="113"/>
      <c r="K180" s="116"/>
      <c r="L180" s="98"/>
      <c r="M180" s="98"/>
      <c r="N180" s="85"/>
      <c r="O180" s="85"/>
    </row>
    <row r="181">
      <c r="A181" s="99" t="s">
        <v>80</v>
      </c>
      <c r="B181" s="90" t="str">
        <f t="array" ref="B181">iferror(INDEX('作品'!D:D,MATCH(A181,'作品'!A:A,0),0),"error")</f>
        <v>ダンダダン</v>
      </c>
      <c r="C181" s="53" t="s">
        <v>566</v>
      </c>
      <c r="D181" s="115" t="str">
        <f t="shared" si="37"/>
        <v>artwork_fragment_dan_00109</v>
      </c>
      <c r="E181" s="115"/>
      <c r="F181" s="115" t="s">
        <v>690</v>
      </c>
      <c r="G181" s="58" t="s">
        <v>693</v>
      </c>
      <c r="H181" s="53" t="s">
        <v>569</v>
      </c>
      <c r="I181" s="94">
        <v>1.0</v>
      </c>
      <c r="J181" s="113"/>
      <c r="K181" s="116"/>
      <c r="L181" s="98"/>
      <c r="M181" s="98"/>
      <c r="N181" s="85"/>
      <c r="O181" s="85"/>
    </row>
    <row r="182">
      <c r="A182" s="99" t="s">
        <v>80</v>
      </c>
      <c r="B182" s="90" t="str">
        <f t="array" ref="B182">iferror(INDEX('作品'!D:D,MATCH(A182,'作品'!A:A,0),0),"error")</f>
        <v>ダンダダン</v>
      </c>
      <c r="C182" s="53" t="s">
        <v>566</v>
      </c>
      <c r="D182" s="115" t="str">
        <f t="shared" si="37"/>
        <v>artwork_fragment_dan_00110</v>
      </c>
      <c r="E182" s="115"/>
      <c r="F182" s="115" t="s">
        <v>694</v>
      </c>
      <c r="G182" s="58" t="s">
        <v>695</v>
      </c>
      <c r="H182" s="53" t="s">
        <v>569</v>
      </c>
      <c r="I182" s="94">
        <v>1.0</v>
      </c>
      <c r="J182" s="113"/>
      <c r="K182" s="116"/>
      <c r="L182" s="98"/>
      <c r="M182" s="98"/>
      <c r="N182" s="85"/>
      <c r="O182" s="85"/>
    </row>
    <row r="183">
      <c r="A183" s="99" t="s">
        <v>80</v>
      </c>
      <c r="B183" s="90" t="str">
        <f t="array" ref="B183">iferror(INDEX('作品'!D:D,MATCH(A183,'作品'!A:A,0),0),"error")</f>
        <v>ダンダダン</v>
      </c>
      <c r="C183" s="53" t="s">
        <v>566</v>
      </c>
      <c r="D183" s="115" t="str">
        <f t="shared" si="37"/>
        <v>artwork_fragment_dan_00111</v>
      </c>
      <c r="E183" s="115"/>
      <c r="F183" s="115" t="s">
        <v>694</v>
      </c>
      <c r="G183" s="58" t="s">
        <v>696</v>
      </c>
      <c r="H183" s="53" t="s">
        <v>569</v>
      </c>
      <c r="I183" s="94">
        <v>1.0</v>
      </c>
      <c r="J183" s="113"/>
      <c r="K183" s="116"/>
      <c r="L183" s="98"/>
      <c r="M183" s="98"/>
      <c r="N183" s="85"/>
      <c r="O183" s="85"/>
    </row>
    <row r="184">
      <c r="A184" s="99" t="s">
        <v>80</v>
      </c>
      <c r="B184" s="90" t="str">
        <f t="array" ref="B184">iferror(INDEX('作品'!D:D,MATCH(A184,'作品'!A:A,0),0),"error")</f>
        <v>ダンダダン</v>
      </c>
      <c r="C184" s="53" t="s">
        <v>566</v>
      </c>
      <c r="D184" s="115" t="str">
        <f t="shared" si="37"/>
        <v>artwork_fragment_dan_00112</v>
      </c>
      <c r="E184" s="115"/>
      <c r="F184" s="115" t="s">
        <v>694</v>
      </c>
      <c r="G184" s="58" t="s">
        <v>697</v>
      </c>
      <c r="H184" s="53" t="s">
        <v>569</v>
      </c>
      <c r="I184" s="94">
        <v>1.0</v>
      </c>
      <c r="J184" s="113"/>
      <c r="K184" s="116"/>
      <c r="L184" s="98"/>
      <c r="M184" s="98"/>
      <c r="N184" s="85"/>
      <c r="O184" s="85"/>
    </row>
    <row r="185">
      <c r="A185" s="99" t="s">
        <v>80</v>
      </c>
      <c r="B185" s="90" t="str">
        <f t="array" ref="B185">iferror(INDEX('作品'!D:D,MATCH(A185,'作品'!A:A,0),0),"error")</f>
        <v>ダンダダン</v>
      </c>
      <c r="C185" s="53" t="s">
        <v>566</v>
      </c>
      <c r="D185" s="115" t="str">
        <f t="shared" si="37"/>
        <v>artwork_fragment_dan_00113</v>
      </c>
      <c r="E185" s="115"/>
      <c r="F185" s="115" t="s">
        <v>698</v>
      </c>
      <c r="G185" s="58" t="s">
        <v>699</v>
      </c>
      <c r="H185" s="53" t="s">
        <v>569</v>
      </c>
      <c r="I185" s="94">
        <v>1.0</v>
      </c>
      <c r="J185" s="113"/>
      <c r="K185" s="116"/>
      <c r="L185" s="98"/>
      <c r="M185" s="98"/>
      <c r="N185" s="85"/>
      <c r="O185" s="85"/>
    </row>
    <row r="186">
      <c r="A186" s="99" t="s">
        <v>80</v>
      </c>
      <c r="B186" s="90" t="str">
        <f t="array" ref="B186">iferror(INDEX('作品'!D:D,MATCH(A186,'作品'!A:A,0),0),"error")</f>
        <v>ダンダダン</v>
      </c>
      <c r="C186" s="53" t="s">
        <v>566</v>
      </c>
      <c r="D186" s="115" t="str">
        <f t="shared" si="37"/>
        <v>artwork_fragment_dan_00114</v>
      </c>
      <c r="E186" s="115"/>
      <c r="F186" s="115" t="s">
        <v>698</v>
      </c>
      <c r="G186" s="58" t="s">
        <v>700</v>
      </c>
      <c r="H186" s="53" t="s">
        <v>569</v>
      </c>
      <c r="I186" s="94">
        <v>1.0</v>
      </c>
      <c r="J186" s="113"/>
      <c r="K186" s="116"/>
      <c r="L186" s="98"/>
      <c r="M186" s="98"/>
      <c r="N186" s="85"/>
      <c r="O186" s="85"/>
    </row>
    <row r="187">
      <c r="A187" s="99" t="s">
        <v>80</v>
      </c>
      <c r="B187" s="90" t="str">
        <f t="array" ref="B187">iferror(INDEX('作品'!D:D,MATCH(A187,'作品'!A:A,0),0),"error")</f>
        <v>ダンダダン</v>
      </c>
      <c r="C187" s="53" t="s">
        <v>566</v>
      </c>
      <c r="D187" s="115" t="str">
        <f t="shared" si="37"/>
        <v>artwork_fragment_dan_00115</v>
      </c>
      <c r="E187" s="115"/>
      <c r="F187" s="115" t="s">
        <v>698</v>
      </c>
      <c r="G187" s="58" t="s">
        <v>701</v>
      </c>
      <c r="H187" s="53" t="s">
        <v>569</v>
      </c>
      <c r="I187" s="94">
        <v>1.0</v>
      </c>
      <c r="J187" s="113"/>
      <c r="K187" s="116"/>
      <c r="L187" s="98"/>
      <c r="M187" s="98"/>
      <c r="N187" s="85"/>
      <c r="O187" s="85"/>
    </row>
    <row r="188">
      <c r="A188" s="99" t="s">
        <v>80</v>
      </c>
      <c r="B188" s="90" t="str">
        <f t="array" ref="B188">iferror(INDEX('作品'!D:D,MATCH(A188,'作品'!A:A,0),0),"error")</f>
        <v>ダンダダン</v>
      </c>
      <c r="C188" s="53" t="s">
        <v>566</v>
      </c>
      <c r="D188" s="115" t="str">
        <f t="shared" si="37"/>
        <v>artwork_fragment_dan_00116</v>
      </c>
      <c r="E188" s="115"/>
      <c r="F188" s="115" t="s">
        <v>698</v>
      </c>
      <c r="G188" s="58" t="s">
        <v>702</v>
      </c>
      <c r="H188" s="53" t="s">
        <v>569</v>
      </c>
      <c r="I188" s="94">
        <v>1.0</v>
      </c>
      <c r="J188" s="113"/>
      <c r="K188" s="116"/>
      <c r="L188" s="98"/>
      <c r="M188" s="98"/>
      <c r="N188" s="85"/>
      <c r="O188" s="85"/>
    </row>
    <row r="189">
      <c r="A189" s="99" t="s">
        <v>80</v>
      </c>
      <c r="B189" s="90" t="str">
        <f t="array" ref="B189">iferror(INDEX('作品'!D:D,MATCH(A189,'作品'!A:A,0),0),"error")</f>
        <v>ダンダダン</v>
      </c>
      <c r="C189" s="53" t="s">
        <v>566</v>
      </c>
      <c r="D189" s="115" t="str">
        <f t="shared" ref="D189:D204" si="38">C189&amp;"_"&amp;A189&amp;"_"&amp;TEXT(countif($A$189:$A189,A189),"00200")</f>
        <v>artwork_fragment_dan_00201</v>
      </c>
      <c r="E189" s="115"/>
      <c r="F189" s="115" t="s">
        <v>703</v>
      </c>
      <c r="G189" s="58" t="s">
        <v>704</v>
      </c>
      <c r="H189" s="53" t="s">
        <v>569</v>
      </c>
      <c r="I189" s="94">
        <v>1.0</v>
      </c>
      <c r="J189" s="113"/>
      <c r="K189" s="116"/>
      <c r="L189" s="98"/>
      <c r="M189" s="98"/>
      <c r="N189" s="85"/>
      <c r="O189" s="85"/>
    </row>
    <row r="190">
      <c r="A190" s="99" t="s">
        <v>80</v>
      </c>
      <c r="B190" s="90" t="str">
        <f t="array" ref="B190">iferror(INDEX('作品'!D:D,MATCH(A190,'作品'!A:A,0),0),"error")</f>
        <v>ダンダダン</v>
      </c>
      <c r="C190" s="53" t="s">
        <v>566</v>
      </c>
      <c r="D190" s="115" t="str">
        <f t="shared" si="38"/>
        <v>artwork_fragment_dan_00202</v>
      </c>
      <c r="E190" s="115"/>
      <c r="F190" s="115" t="s">
        <v>703</v>
      </c>
      <c r="G190" s="58" t="s">
        <v>705</v>
      </c>
      <c r="H190" s="53" t="s">
        <v>569</v>
      </c>
      <c r="I190" s="94">
        <v>1.0</v>
      </c>
      <c r="J190" s="113"/>
      <c r="K190" s="116"/>
      <c r="L190" s="98"/>
      <c r="M190" s="98"/>
      <c r="N190" s="85"/>
      <c r="O190" s="85"/>
    </row>
    <row r="191">
      <c r="A191" s="99" t="s">
        <v>80</v>
      </c>
      <c r="B191" s="90" t="str">
        <f t="array" ref="B191">iferror(INDEX('作品'!D:D,MATCH(A191,'作品'!A:A,0),0),"error")</f>
        <v>ダンダダン</v>
      </c>
      <c r="C191" s="53" t="s">
        <v>566</v>
      </c>
      <c r="D191" s="115" t="str">
        <f t="shared" si="38"/>
        <v>artwork_fragment_dan_00203</v>
      </c>
      <c r="E191" s="115"/>
      <c r="F191" s="115" t="s">
        <v>703</v>
      </c>
      <c r="G191" s="58" t="s">
        <v>706</v>
      </c>
      <c r="H191" s="53" t="s">
        <v>569</v>
      </c>
      <c r="I191" s="94">
        <v>1.0</v>
      </c>
      <c r="J191" s="113"/>
      <c r="K191" s="116"/>
      <c r="L191" s="98"/>
      <c r="M191" s="98"/>
      <c r="N191" s="85"/>
      <c r="O191" s="85"/>
    </row>
    <row r="192">
      <c r="A192" s="99" t="s">
        <v>80</v>
      </c>
      <c r="B192" s="90" t="str">
        <f t="array" ref="B192">iferror(INDEX('作品'!D:D,MATCH(A192,'作品'!A:A,0),0),"error")</f>
        <v>ダンダダン</v>
      </c>
      <c r="C192" s="53" t="s">
        <v>566</v>
      </c>
      <c r="D192" s="115" t="str">
        <f t="shared" si="38"/>
        <v>artwork_fragment_dan_00204</v>
      </c>
      <c r="E192" s="115"/>
      <c r="F192" s="115" t="s">
        <v>707</v>
      </c>
      <c r="G192" s="58" t="s">
        <v>708</v>
      </c>
      <c r="H192" s="53" t="s">
        <v>569</v>
      </c>
      <c r="I192" s="94">
        <v>1.0</v>
      </c>
      <c r="J192" s="113"/>
      <c r="K192" s="116"/>
      <c r="L192" s="98"/>
      <c r="M192" s="98"/>
      <c r="N192" s="85"/>
      <c r="O192" s="85"/>
    </row>
    <row r="193">
      <c r="A193" s="99" t="s">
        <v>80</v>
      </c>
      <c r="B193" s="90" t="str">
        <f t="array" ref="B193">iferror(INDEX('作品'!D:D,MATCH(A193,'作品'!A:A,0),0),"error")</f>
        <v>ダンダダン</v>
      </c>
      <c r="C193" s="53" t="s">
        <v>566</v>
      </c>
      <c r="D193" s="115" t="str">
        <f t="shared" si="38"/>
        <v>artwork_fragment_dan_00205</v>
      </c>
      <c r="E193" s="115"/>
      <c r="F193" s="115" t="s">
        <v>707</v>
      </c>
      <c r="G193" s="58" t="s">
        <v>709</v>
      </c>
      <c r="H193" s="53" t="s">
        <v>569</v>
      </c>
      <c r="I193" s="94">
        <v>1.0</v>
      </c>
      <c r="J193" s="113"/>
      <c r="K193" s="116"/>
      <c r="L193" s="98"/>
      <c r="M193" s="98"/>
      <c r="N193" s="85"/>
      <c r="O193" s="85"/>
    </row>
    <row r="194">
      <c r="A194" s="99" t="s">
        <v>80</v>
      </c>
      <c r="B194" s="90" t="str">
        <f t="array" ref="B194">iferror(INDEX('作品'!D:D,MATCH(A194,'作品'!A:A,0),0),"error")</f>
        <v>ダンダダン</v>
      </c>
      <c r="C194" s="53" t="s">
        <v>566</v>
      </c>
      <c r="D194" s="115" t="str">
        <f t="shared" si="38"/>
        <v>artwork_fragment_dan_00206</v>
      </c>
      <c r="E194" s="115"/>
      <c r="F194" s="115" t="s">
        <v>707</v>
      </c>
      <c r="G194" s="58" t="s">
        <v>710</v>
      </c>
      <c r="H194" s="53" t="s">
        <v>569</v>
      </c>
      <c r="I194" s="94">
        <v>1.0</v>
      </c>
      <c r="J194" s="113"/>
      <c r="K194" s="116"/>
      <c r="L194" s="98"/>
      <c r="M194" s="98"/>
      <c r="N194" s="85"/>
      <c r="O194" s="85"/>
    </row>
    <row r="195">
      <c r="A195" s="99" t="s">
        <v>80</v>
      </c>
      <c r="B195" s="90" t="str">
        <f t="array" ref="B195">iferror(INDEX('作品'!D:D,MATCH(A195,'作品'!A:A,0),0),"error")</f>
        <v>ダンダダン</v>
      </c>
      <c r="C195" s="53" t="s">
        <v>566</v>
      </c>
      <c r="D195" s="115" t="str">
        <f t="shared" si="38"/>
        <v>artwork_fragment_dan_00207</v>
      </c>
      <c r="E195" s="115"/>
      <c r="F195" s="115" t="s">
        <v>711</v>
      </c>
      <c r="G195" s="58" t="s">
        <v>712</v>
      </c>
      <c r="H195" s="53" t="s">
        <v>569</v>
      </c>
      <c r="I195" s="94">
        <v>1.0</v>
      </c>
      <c r="J195" s="113"/>
      <c r="K195" s="116"/>
      <c r="L195" s="98"/>
      <c r="M195" s="98"/>
      <c r="N195" s="85"/>
      <c r="O195" s="85"/>
    </row>
    <row r="196">
      <c r="A196" s="99" t="s">
        <v>80</v>
      </c>
      <c r="B196" s="90" t="str">
        <f t="array" ref="B196">iferror(INDEX('作品'!D:D,MATCH(A196,'作品'!A:A,0),0),"error")</f>
        <v>ダンダダン</v>
      </c>
      <c r="C196" s="53" t="s">
        <v>566</v>
      </c>
      <c r="D196" s="115" t="str">
        <f t="shared" si="38"/>
        <v>artwork_fragment_dan_00208</v>
      </c>
      <c r="E196" s="115"/>
      <c r="F196" s="115" t="s">
        <v>711</v>
      </c>
      <c r="G196" s="58" t="s">
        <v>713</v>
      </c>
      <c r="H196" s="53" t="s">
        <v>569</v>
      </c>
      <c r="I196" s="94">
        <v>1.0</v>
      </c>
      <c r="J196" s="113"/>
      <c r="K196" s="116"/>
      <c r="L196" s="98"/>
      <c r="M196" s="98"/>
      <c r="N196" s="85"/>
      <c r="O196" s="85"/>
    </row>
    <row r="197">
      <c r="A197" s="99" t="s">
        <v>80</v>
      </c>
      <c r="B197" s="90" t="str">
        <f t="array" ref="B197">iferror(INDEX('作品'!D:D,MATCH(A197,'作品'!A:A,0),0),"error")</f>
        <v>ダンダダン</v>
      </c>
      <c r="C197" s="53" t="s">
        <v>566</v>
      </c>
      <c r="D197" s="115" t="str">
        <f t="shared" si="38"/>
        <v>artwork_fragment_dan_00209</v>
      </c>
      <c r="E197" s="115"/>
      <c r="F197" s="115" t="s">
        <v>711</v>
      </c>
      <c r="G197" s="58" t="s">
        <v>714</v>
      </c>
      <c r="H197" s="53" t="s">
        <v>569</v>
      </c>
      <c r="I197" s="94">
        <v>1.0</v>
      </c>
      <c r="J197" s="113"/>
      <c r="K197" s="116"/>
      <c r="L197" s="98"/>
      <c r="M197" s="98"/>
      <c r="N197" s="85"/>
      <c r="O197" s="85"/>
    </row>
    <row r="198">
      <c r="A198" s="99" t="s">
        <v>80</v>
      </c>
      <c r="B198" s="90" t="str">
        <f t="array" ref="B198">iferror(INDEX('作品'!D:D,MATCH(A198,'作品'!A:A,0),0),"error")</f>
        <v>ダンダダン</v>
      </c>
      <c r="C198" s="53" t="s">
        <v>566</v>
      </c>
      <c r="D198" s="115" t="str">
        <f t="shared" si="38"/>
        <v>artwork_fragment_dan_00210</v>
      </c>
      <c r="E198" s="115"/>
      <c r="F198" s="115" t="s">
        <v>715</v>
      </c>
      <c r="G198" s="58" t="s">
        <v>716</v>
      </c>
      <c r="H198" s="53" t="s">
        <v>569</v>
      </c>
      <c r="I198" s="94">
        <v>1.0</v>
      </c>
      <c r="J198" s="113"/>
      <c r="K198" s="116"/>
      <c r="L198" s="98"/>
      <c r="M198" s="98"/>
      <c r="N198" s="85"/>
      <c r="O198" s="85"/>
    </row>
    <row r="199">
      <c r="A199" s="99" t="s">
        <v>80</v>
      </c>
      <c r="B199" s="90" t="str">
        <f t="array" ref="B199">iferror(INDEX('作品'!D:D,MATCH(A199,'作品'!A:A,0),0),"error")</f>
        <v>ダンダダン</v>
      </c>
      <c r="C199" s="53" t="s">
        <v>566</v>
      </c>
      <c r="D199" s="115" t="str">
        <f t="shared" si="38"/>
        <v>artwork_fragment_dan_00211</v>
      </c>
      <c r="E199" s="115"/>
      <c r="F199" s="115" t="s">
        <v>715</v>
      </c>
      <c r="G199" s="58" t="s">
        <v>717</v>
      </c>
      <c r="H199" s="53" t="s">
        <v>569</v>
      </c>
      <c r="I199" s="94">
        <v>1.0</v>
      </c>
      <c r="J199" s="113"/>
      <c r="K199" s="116"/>
      <c r="L199" s="98"/>
      <c r="M199" s="98"/>
      <c r="N199" s="85"/>
      <c r="O199" s="85"/>
    </row>
    <row r="200">
      <c r="A200" s="99" t="s">
        <v>80</v>
      </c>
      <c r="B200" s="90" t="str">
        <f t="array" ref="B200">iferror(INDEX('作品'!D:D,MATCH(A200,'作品'!A:A,0),0),"error")</f>
        <v>ダンダダン</v>
      </c>
      <c r="C200" s="53" t="s">
        <v>566</v>
      </c>
      <c r="D200" s="115" t="str">
        <f t="shared" si="38"/>
        <v>artwork_fragment_dan_00212</v>
      </c>
      <c r="E200" s="115"/>
      <c r="F200" s="115" t="s">
        <v>715</v>
      </c>
      <c r="G200" s="58" t="s">
        <v>718</v>
      </c>
      <c r="H200" s="53" t="s">
        <v>569</v>
      </c>
      <c r="I200" s="94">
        <v>1.0</v>
      </c>
      <c r="J200" s="113"/>
      <c r="K200" s="116"/>
      <c r="L200" s="98"/>
      <c r="M200" s="98"/>
      <c r="N200" s="85"/>
      <c r="O200" s="85"/>
    </row>
    <row r="201">
      <c r="A201" s="99" t="s">
        <v>80</v>
      </c>
      <c r="B201" s="90" t="str">
        <f t="array" ref="B201">iferror(INDEX('作品'!D:D,MATCH(A201,'作品'!A:A,0),0),"error")</f>
        <v>ダンダダン</v>
      </c>
      <c r="C201" s="53" t="s">
        <v>566</v>
      </c>
      <c r="D201" s="115" t="str">
        <f t="shared" si="38"/>
        <v>artwork_fragment_dan_00213</v>
      </c>
      <c r="E201" s="115"/>
      <c r="F201" s="115" t="s">
        <v>719</v>
      </c>
      <c r="G201" s="58" t="s">
        <v>720</v>
      </c>
      <c r="H201" s="53" t="s">
        <v>569</v>
      </c>
      <c r="I201" s="94">
        <v>1.0</v>
      </c>
      <c r="J201" s="113"/>
      <c r="K201" s="116"/>
      <c r="L201" s="98"/>
      <c r="M201" s="98"/>
      <c r="N201" s="85"/>
      <c r="O201" s="85"/>
    </row>
    <row r="202">
      <c r="A202" s="99" t="s">
        <v>80</v>
      </c>
      <c r="B202" s="90" t="str">
        <f t="array" ref="B202">iferror(INDEX('作品'!D:D,MATCH(A202,'作品'!A:A,0),0),"error")</f>
        <v>ダンダダン</v>
      </c>
      <c r="C202" s="53" t="s">
        <v>566</v>
      </c>
      <c r="D202" s="115" t="str">
        <f t="shared" si="38"/>
        <v>artwork_fragment_dan_00214</v>
      </c>
      <c r="E202" s="115"/>
      <c r="F202" s="115" t="s">
        <v>719</v>
      </c>
      <c r="G202" s="58" t="s">
        <v>721</v>
      </c>
      <c r="H202" s="53" t="s">
        <v>569</v>
      </c>
      <c r="I202" s="94">
        <v>1.0</v>
      </c>
      <c r="J202" s="113"/>
      <c r="K202" s="116"/>
      <c r="L202" s="98"/>
      <c r="M202" s="98"/>
      <c r="N202" s="85"/>
      <c r="O202" s="85"/>
    </row>
    <row r="203">
      <c r="A203" s="99" t="s">
        <v>80</v>
      </c>
      <c r="B203" s="90" t="str">
        <f t="array" ref="B203">iferror(INDEX('作品'!D:D,MATCH(A203,'作品'!A:A,0),0),"error")</f>
        <v>ダンダダン</v>
      </c>
      <c r="C203" s="53" t="s">
        <v>566</v>
      </c>
      <c r="D203" s="115" t="str">
        <f t="shared" si="38"/>
        <v>artwork_fragment_dan_00215</v>
      </c>
      <c r="E203" s="115"/>
      <c r="F203" s="115" t="s">
        <v>719</v>
      </c>
      <c r="G203" s="58" t="s">
        <v>722</v>
      </c>
      <c r="H203" s="53" t="s">
        <v>569</v>
      </c>
      <c r="I203" s="94">
        <v>1.0</v>
      </c>
      <c r="J203" s="113"/>
      <c r="K203" s="116"/>
      <c r="L203" s="98"/>
      <c r="M203" s="98"/>
      <c r="N203" s="85"/>
      <c r="O203" s="85"/>
    </row>
    <row r="204">
      <c r="A204" s="99" t="s">
        <v>80</v>
      </c>
      <c r="B204" s="90" t="str">
        <f t="array" ref="B204">iferror(INDEX('作品'!D:D,MATCH(A204,'作品'!A:A,0),0),"error")</f>
        <v>ダンダダン</v>
      </c>
      <c r="C204" s="53" t="s">
        <v>566</v>
      </c>
      <c r="D204" s="115" t="str">
        <f t="shared" si="38"/>
        <v>artwork_fragment_dan_00216</v>
      </c>
      <c r="E204" s="115"/>
      <c r="F204" s="115" t="s">
        <v>719</v>
      </c>
      <c r="G204" s="58" t="s">
        <v>723</v>
      </c>
      <c r="H204" s="53" t="s">
        <v>569</v>
      </c>
      <c r="I204" s="94">
        <v>1.0</v>
      </c>
      <c r="J204" s="113"/>
      <c r="K204" s="116"/>
      <c r="L204" s="98"/>
      <c r="M204" s="98"/>
      <c r="N204" s="85"/>
      <c r="O204" s="85"/>
    </row>
    <row r="205">
      <c r="A205" s="99" t="s">
        <v>80</v>
      </c>
      <c r="B205" s="90" t="str">
        <f t="array" ref="B205">iferror(INDEX('作品'!D:D,MATCH(A205,'作品'!A:A,0),0),"error")</f>
        <v>ダンダダン</v>
      </c>
      <c r="C205" s="53" t="s">
        <v>566</v>
      </c>
      <c r="D205" s="115" t="str">
        <f t="shared" ref="D205:D220" si="39">C205&amp;"_"&amp;A205&amp;"_"&amp;TEXT(countif($A$205:$A205,A205),"00300")</f>
        <v>artwork_fragment_dan_00301</v>
      </c>
      <c r="E205" s="115"/>
      <c r="F205" s="115" t="s">
        <v>724</v>
      </c>
      <c r="G205" s="58" t="s">
        <v>725</v>
      </c>
      <c r="H205" s="53" t="s">
        <v>569</v>
      </c>
      <c r="I205" s="94">
        <v>1.0</v>
      </c>
      <c r="J205" s="113"/>
      <c r="K205" s="116"/>
      <c r="L205" s="98"/>
      <c r="M205" s="98"/>
      <c r="N205" s="85"/>
      <c r="O205" s="85"/>
    </row>
    <row r="206">
      <c r="A206" s="99" t="s">
        <v>80</v>
      </c>
      <c r="B206" s="90" t="str">
        <f t="array" ref="B206">iferror(INDEX('作品'!D:D,MATCH(A206,'作品'!A:A,0),0),"error")</f>
        <v>ダンダダン</v>
      </c>
      <c r="C206" s="53" t="s">
        <v>566</v>
      </c>
      <c r="D206" s="115" t="str">
        <f t="shared" si="39"/>
        <v>artwork_fragment_dan_00302</v>
      </c>
      <c r="E206" s="115"/>
      <c r="F206" s="115" t="s">
        <v>724</v>
      </c>
      <c r="G206" s="58" t="s">
        <v>726</v>
      </c>
      <c r="H206" s="53" t="s">
        <v>569</v>
      </c>
      <c r="I206" s="94">
        <v>1.0</v>
      </c>
      <c r="J206" s="113"/>
      <c r="K206" s="116"/>
      <c r="L206" s="98"/>
      <c r="M206" s="98"/>
      <c r="N206" s="85"/>
      <c r="O206" s="85"/>
    </row>
    <row r="207">
      <c r="A207" s="99" t="s">
        <v>80</v>
      </c>
      <c r="B207" s="90" t="str">
        <f t="array" ref="B207">iferror(INDEX('作品'!D:D,MATCH(A207,'作品'!A:A,0),0),"error")</f>
        <v>ダンダダン</v>
      </c>
      <c r="C207" s="53" t="s">
        <v>566</v>
      </c>
      <c r="D207" s="115" t="str">
        <f t="shared" si="39"/>
        <v>artwork_fragment_dan_00303</v>
      </c>
      <c r="E207" s="115"/>
      <c r="F207" s="115" t="s">
        <v>724</v>
      </c>
      <c r="G207" s="58" t="s">
        <v>727</v>
      </c>
      <c r="H207" s="53" t="s">
        <v>569</v>
      </c>
      <c r="I207" s="94">
        <v>1.0</v>
      </c>
      <c r="J207" s="113"/>
      <c r="K207" s="116"/>
      <c r="L207" s="98"/>
      <c r="M207" s="98"/>
      <c r="N207" s="85"/>
      <c r="O207" s="85"/>
    </row>
    <row r="208">
      <c r="A208" s="99" t="s">
        <v>80</v>
      </c>
      <c r="B208" s="90" t="str">
        <f t="array" ref="B208">iferror(INDEX('作品'!D:D,MATCH(A208,'作品'!A:A,0),0),"error")</f>
        <v>ダンダダン</v>
      </c>
      <c r="C208" s="53" t="s">
        <v>566</v>
      </c>
      <c r="D208" s="115" t="str">
        <f t="shared" si="39"/>
        <v>artwork_fragment_dan_00304</v>
      </c>
      <c r="E208" s="115"/>
      <c r="F208" s="115" t="s">
        <v>728</v>
      </c>
      <c r="G208" s="58" t="s">
        <v>729</v>
      </c>
      <c r="H208" s="53" t="s">
        <v>569</v>
      </c>
      <c r="I208" s="94">
        <v>1.0</v>
      </c>
      <c r="J208" s="113"/>
      <c r="K208" s="116"/>
      <c r="L208" s="98"/>
      <c r="M208" s="98"/>
      <c r="N208" s="85"/>
      <c r="O208" s="85"/>
    </row>
    <row r="209">
      <c r="A209" s="99" t="s">
        <v>80</v>
      </c>
      <c r="B209" s="90" t="str">
        <f t="array" ref="B209">iferror(INDEX('作品'!D:D,MATCH(A209,'作品'!A:A,0),0),"error")</f>
        <v>ダンダダン</v>
      </c>
      <c r="C209" s="53" t="s">
        <v>566</v>
      </c>
      <c r="D209" s="115" t="str">
        <f t="shared" si="39"/>
        <v>artwork_fragment_dan_00305</v>
      </c>
      <c r="E209" s="115"/>
      <c r="F209" s="115" t="s">
        <v>728</v>
      </c>
      <c r="G209" s="58" t="s">
        <v>730</v>
      </c>
      <c r="H209" s="53" t="s">
        <v>569</v>
      </c>
      <c r="I209" s="94">
        <v>1.0</v>
      </c>
      <c r="J209" s="113"/>
      <c r="K209" s="116"/>
      <c r="L209" s="98"/>
      <c r="M209" s="98"/>
      <c r="N209" s="85"/>
      <c r="O209" s="85"/>
    </row>
    <row r="210">
      <c r="A210" s="99" t="s">
        <v>80</v>
      </c>
      <c r="B210" s="90" t="str">
        <f t="array" ref="B210">iferror(INDEX('作品'!D:D,MATCH(A210,'作品'!A:A,0),0),"error")</f>
        <v>ダンダダン</v>
      </c>
      <c r="C210" s="53" t="s">
        <v>566</v>
      </c>
      <c r="D210" s="115" t="str">
        <f t="shared" si="39"/>
        <v>artwork_fragment_dan_00306</v>
      </c>
      <c r="E210" s="115"/>
      <c r="F210" s="115" t="s">
        <v>728</v>
      </c>
      <c r="G210" s="58" t="s">
        <v>731</v>
      </c>
      <c r="H210" s="53" t="s">
        <v>569</v>
      </c>
      <c r="I210" s="94">
        <v>1.0</v>
      </c>
      <c r="J210" s="113"/>
      <c r="K210" s="116"/>
      <c r="L210" s="98"/>
      <c r="M210" s="98"/>
      <c r="N210" s="85"/>
      <c r="O210" s="85"/>
    </row>
    <row r="211">
      <c r="A211" s="99" t="s">
        <v>80</v>
      </c>
      <c r="B211" s="90" t="str">
        <f t="array" ref="B211">iferror(INDEX('作品'!D:D,MATCH(A211,'作品'!A:A,0),0),"error")</f>
        <v>ダンダダン</v>
      </c>
      <c r="C211" s="53" t="s">
        <v>566</v>
      </c>
      <c r="D211" s="115" t="str">
        <f t="shared" si="39"/>
        <v>artwork_fragment_dan_00307</v>
      </c>
      <c r="E211" s="115"/>
      <c r="F211" s="115" t="s">
        <v>732</v>
      </c>
      <c r="G211" s="58" t="s">
        <v>733</v>
      </c>
      <c r="H211" s="53" t="s">
        <v>569</v>
      </c>
      <c r="I211" s="94">
        <v>1.0</v>
      </c>
      <c r="J211" s="113"/>
      <c r="K211" s="116"/>
      <c r="L211" s="98"/>
      <c r="M211" s="98"/>
      <c r="N211" s="85"/>
      <c r="O211" s="85"/>
    </row>
    <row r="212">
      <c r="A212" s="99" t="s">
        <v>80</v>
      </c>
      <c r="B212" s="90" t="str">
        <f t="array" ref="B212">iferror(INDEX('作品'!D:D,MATCH(A212,'作品'!A:A,0),0),"error")</f>
        <v>ダンダダン</v>
      </c>
      <c r="C212" s="53" t="s">
        <v>566</v>
      </c>
      <c r="D212" s="115" t="str">
        <f t="shared" si="39"/>
        <v>artwork_fragment_dan_00308</v>
      </c>
      <c r="E212" s="115"/>
      <c r="F212" s="115" t="s">
        <v>732</v>
      </c>
      <c r="G212" s="58" t="s">
        <v>734</v>
      </c>
      <c r="H212" s="53" t="s">
        <v>569</v>
      </c>
      <c r="I212" s="94">
        <v>1.0</v>
      </c>
      <c r="J212" s="113"/>
      <c r="K212" s="116"/>
      <c r="L212" s="98"/>
      <c r="M212" s="98"/>
      <c r="N212" s="85"/>
      <c r="O212" s="85"/>
    </row>
    <row r="213">
      <c r="A213" s="99" t="s">
        <v>80</v>
      </c>
      <c r="B213" s="90" t="str">
        <f t="array" ref="B213">iferror(INDEX('作品'!D:D,MATCH(A213,'作品'!A:A,0),0),"error")</f>
        <v>ダンダダン</v>
      </c>
      <c r="C213" s="53" t="s">
        <v>566</v>
      </c>
      <c r="D213" s="115" t="str">
        <f t="shared" si="39"/>
        <v>artwork_fragment_dan_00309</v>
      </c>
      <c r="E213" s="115"/>
      <c r="F213" s="115" t="s">
        <v>732</v>
      </c>
      <c r="G213" s="58" t="s">
        <v>735</v>
      </c>
      <c r="H213" s="53" t="s">
        <v>569</v>
      </c>
      <c r="I213" s="94">
        <v>1.0</v>
      </c>
      <c r="J213" s="113"/>
      <c r="K213" s="116"/>
      <c r="L213" s="98"/>
      <c r="M213" s="98"/>
      <c r="N213" s="85"/>
      <c r="O213" s="85"/>
    </row>
    <row r="214">
      <c r="A214" s="99" t="s">
        <v>80</v>
      </c>
      <c r="B214" s="90" t="str">
        <f t="array" ref="B214">iferror(INDEX('作品'!D:D,MATCH(A214,'作品'!A:A,0),0),"error")</f>
        <v>ダンダダン</v>
      </c>
      <c r="C214" s="53" t="s">
        <v>566</v>
      </c>
      <c r="D214" s="115" t="str">
        <f t="shared" si="39"/>
        <v>artwork_fragment_dan_00310</v>
      </c>
      <c r="E214" s="115"/>
      <c r="F214" s="115" t="s">
        <v>736</v>
      </c>
      <c r="G214" s="58" t="s">
        <v>737</v>
      </c>
      <c r="H214" s="53" t="s">
        <v>569</v>
      </c>
      <c r="I214" s="94">
        <v>1.0</v>
      </c>
      <c r="J214" s="113"/>
      <c r="K214" s="116"/>
      <c r="L214" s="98"/>
      <c r="M214" s="98"/>
      <c r="N214" s="85"/>
      <c r="O214" s="85"/>
    </row>
    <row r="215">
      <c r="A215" s="99" t="s">
        <v>80</v>
      </c>
      <c r="B215" s="90" t="str">
        <f t="array" ref="B215">iferror(INDEX('作品'!D:D,MATCH(A215,'作品'!A:A,0),0),"error")</f>
        <v>ダンダダン</v>
      </c>
      <c r="C215" s="53" t="s">
        <v>566</v>
      </c>
      <c r="D215" s="115" t="str">
        <f t="shared" si="39"/>
        <v>artwork_fragment_dan_00311</v>
      </c>
      <c r="E215" s="115"/>
      <c r="F215" s="115" t="s">
        <v>736</v>
      </c>
      <c r="G215" s="58" t="s">
        <v>738</v>
      </c>
      <c r="H215" s="53" t="s">
        <v>569</v>
      </c>
      <c r="I215" s="94">
        <v>1.0</v>
      </c>
      <c r="J215" s="113"/>
      <c r="K215" s="116"/>
      <c r="L215" s="98"/>
      <c r="M215" s="98"/>
      <c r="N215" s="85"/>
      <c r="O215" s="85"/>
    </row>
    <row r="216">
      <c r="A216" s="99" t="s">
        <v>80</v>
      </c>
      <c r="B216" s="90" t="str">
        <f t="array" ref="B216">iferror(INDEX('作品'!D:D,MATCH(A216,'作品'!A:A,0),0),"error")</f>
        <v>ダンダダン</v>
      </c>
      <c r="C216" s="53" t="s">
        <v>566</v>
      </c>
      <c r="D216" s="115" t="str">
        <f t="shared" si="39"/>
        <v>artwork_fragment_dan_00312</v>
      </c>
      <c r="E216" s="115"/>
      <c r="F216" s="115" t="s">
        <v>736</v>
      </c>
      <c r="G216" s="58" t="s">
        <v>739</v>
      </c>
      <c r="H216" s="53" t="s">
        <v>569</v>
      </c>
      <c r="I216" s="94">
        <v>1.0</v>
      </c>
      <c r="J216" s="113"/>
      <c r="K216" s="116"/>
      <c r="L216" s="98"/>
      <c r="M216" s="98"/>
      <c r="N216" s="85"/>
      <c r="O216" s="85"/>
    </row>
    <row r="217">
      <c r="A217" s="99" t="s">
        <v>80</v>
      </c>
      <c r="B217" s="90" t="str">
        <f t="array" ref="B217">iferror(INDEX('作品'!D:D,MATCH(A217,'作品'!A:A,0),0),"error")</f>
        <v>ダンダダン</v>
      </c>
      <c r="C217" s="53" t="s">
        <v>566</v>
      </c>
      <c r="D217" s="115" t="str">
        <f t="shared" si="39"/>
        <v>artwork_fragment_dan_00313</v>
      </c>
      <c r="E217" s="115"/>
      <c r="F217" s="115" t="s">
        <v>740</v>
      </c>
      <c r="G217" s="58" t="s">
        <v>741</v>
      </c>
      <c r="H217" s="53" t="s">
        <v>569</v>
      </c>
      <c r="I217" s="94">
        <v>1.0</v>
      </c>
      <c r="J217" s="113"/>
      <c r="K217" s="116"/>
      <c r="L217" s="98"/>
      <c r="M217" s="98"/>
      <c r="N217" s="85"/>
      <c r="O217" s="85"/>
    </row>
    <row r="218">
      <c r="A218" s="99" t="s">
        <v>80</v>
      </c>
      <c r="B218" s="90" t="str">
        <f t="array" ref="B218">iferror(INDEX('作品'!D:D,MATCH(A218,'作品'!A:A,0),0),"error")</f>
        <v>ダンダダン</v>
      </c>
      <c r="C218" s="53" t="s">
        <v>566</v>
      </c>
      <c r="D218" s="115" t="str">
        <f t="shared" si="39"/>
        <v>artwork_fragment_dan_00314</v>
      </c>
      <c r="E218" s="115"/>
      <c r="F218" s="115" t="s">
        <v>740</v>
      </c>
      <c r="G218" s="58" t="s">
        <v>742</v>
      </c>
      <c r="H218" s="53" t="s">
        <v>569</v>
      </c>
      <c r="I218" s="94">
        <v>1.0</v>
      </c>
      <c r="J218" s="113"/>
      <c r="K218" s="116"/>
      <c r="L218" s="98"/>
      <c r="M218" s="98"/>
      <c r="N218" s="85"/>
      <c r="O218" s="85"/>
    </row>
    <row r="219">
      <c r="A219" s="99" t="s">
        <v>80</v>
      </c>
      <c r="B219" s="90" t="str">
        <f t="array" ref="B219">iferror(INDEX('作品'!D:D,MATCH(A219,'作品'!A:A,0),0),"error")</f>
        <v>ダンダダン</v>
      </c>
      <c r="C219" s="53" t="s">
        <v>566</v>
      </c>
      <c r="D219" s="115" t="str">
        <f t="shared" si="39"/>
        <v>artwork_fragment_dan_00315</v>
      </c>
      <c r="E219" s="115"/>
      <c r="F219" s="115" t="s">
        <v>740</v>
      </c>
      <c r="G219" s="58" t="s">
        <v>743</v>
      </c>
      <c r="H219" s="53" t="s">
        <v>569</v>
      </c>
      <c r="I219" s="94">
        <v>1.0</v>
      </c>
      <c r="J219" s="113"/>
      <c r="K219" s="116"/>
      <c r="L219" s="98"/>
      <c r="M219" s="98"/>
      <c r="N219" s="85"/>
      <c r="O219" s="85"/>
    </row>
    <row r="220">
      <c r="A220" s="99" t="s">
        <v>80</v>
      </c>
      <c r="B220" s="90" t="str">
        <f t="array" ref="B220">iferror(INDEX('作品'!D:D,MATCH(A220,'作品'!A:A,0),0),"error")</f>
        <v>ダンダダン</v>
      </c>
      <c r="C220" s="53" t="s">
        <v>566</v>
      </c>
      <c r="D220" s="115" t="str">
        <f t="shared" si="39"/>
        <v>artwork_fragment_dan_00316</v>
      </c>
      <c r="E220" s="115"/>
      <c r="F220" s="115" t="s">
        <v>740</v>
      </c>
      <c r="G220" s="58" t="s">
        <v>744</v>
      </c>
      <c r="H220" s="53" t="s">
        <v>569</v>
      </c>
      <c r="I220" s="94">
        <v>1.0</v>
      </c>
      <c r="J220" s="113"/>
      <c r="K220" s="116"/>
      <c r="L220" s="98"/>
      <c r="M220" s="98"/>
      <c r="N220" s="85"/>
      <c r="O220" s="85"/>
    </row>
    <row r="221">
      <c r="A221" s="99" t="s">
        <v>87</v>
      </c>
      <c r="B221" s="90" t="str">
        <f t="array" ref="B221">iferror(INDEX('作品'!D:D,MATCH(A221,'作品'!A:A,0),0),"error")</f>
        <v>姫様“拷問”の時間です</v>
      </c>
      <c r="C221" s="53" t="s">
        <v>566</v>
      </c>
      <c r="D221" s="115" t="str">
        <f t="shared" ref="D221:D236" si="40">C221&amp;"_"&amp;A221&amp;"_"&amp;TEXT(countif($A$221:$A221,A221),"00100")</f>
        <v>artwork_fragment_gom_00101</v>
      </c>
      <c r="E221" s="115"/>
      <c r="F221" s="115" t="s">
        <v>745</v>
      </c>
      <c r="G221" s="58" t="s">
        <v>746</v>
      </c>
      <c r="H221" s="53" t="s">
        <v>569</v>
      </c>
      <c r="I221" s="94">
        <v>1.0</v>
      </c>
      <c r="J221" s="113"/>
      <c r="K221" s="116"/>
      <c r="L221" s="98"/>
      <c r="M221" s="98"/>
      <c r="N221" s="85"/>
      <c r="O221" s="85"/>
    </row>
    <row r="222">
      <c r="A222" s="99" t="s">
        <v>87</v>
      </c>
      <c r="B222" s="90" t="str">
        <f t="array" ref="B222">iferror(INDEX('作品'!D:D,MATCH(A222,'作品'!A:A,0),0),"error")</f>
        <v>姫様“拷問”の時間です</v>
      </c>
      <c r="C222" s="53" t="s">
        <v>566</v>
      </c>
      <c r="D222" s="115" t="str">
        <f t="shared" si="40"/>
        <v>artwork_fragment_gom_00102</v>
      </c>
      <c r="E222" s="115"/>
      <c r="F222" s="115" t="s">
        <v>745</v>
      </c>
      <c r="G222" s="58" t="s">
        <v>747</v>
      </c>
      <c r="H222" s="53" t="s">
        <v>569</v>
      </c>
      <c r="I222" s="94">
        <v>1.0</v>
      </c>
      <c r="J222" s="113"/>
      <c r="K222" s="116"/>
      <c r="L222" s="98"/>
      <c r="M222" s="98"/>
      <c r="N222" s="85"/>
      <c r="O222" s="85"/>
    </row>
    <row r="223">
      <c r="A223" s="99" t="s">
        <v>87</v>
      </c>
      <c r="B223" s="90" t="str">
        <f t="array" ref="B223">iferror(INDEX('作品'!D:D,MATCH(A223,'作品'!A:A,0),0),"error")</f>
        <v>姫様“拷問”の時間です</v>
      </c>
      <c r="C223" s="53" t="s">
        <v>566</v>
      </c>
      <c r="D223" s="115" t="str">
        <f t="shared" si="40"/>
        <v>artwork_fragment_gom_00103</v>
      </c>
      <c r="E223" s="115"/>
      <c r="F223" s="115" t="s">
        <v>745</v>
      </c>
      <c r="G223" s="58" t="s">
        <v>748</v>
      </c>
      <c r="H223" s="53" t="s">
        <v>569</v>
      </c>
      <c r="I223" s="94">
        <v>1.0</v>
      </c>
      <c r="J223" s="113"/>
      <c r="K223" s="116"/>
      <c r="L223" s="98"/>
      <c r="M223" s="98"/>
      <c r="N223" s="85"/>
      <c r="O223" s="85"/>
    </row>
    <row r="224">
      <c r="A224" s="99" t="s">
        <v>87</v>
      </c>
      <c r="B224" s="90" t="str">
        <f t="array" ref="B224">iferror(INDEX('作品'!D:D,MATCH(A224,'作品'!A:A,0),0),"error")</f>
        <v>姫様“拷問”の時間です</v>
      </c>
      <c r="C224" s="53" t="s">
        <v>566</v>
      </c>
      <c r="D224" s="115" t="str">
        <f t="shared" si="40"/>
        <v>artwork_fragment_gom_00104</v>
      </c>
      <c r="E224" s="115"/>
      <c r="F224" s="115" t="s">
        <v>745</v>
      </c>
      <c r="G224" s="58" t="s">
        <v>749</v>
      </c>
      <c r="H224" s="53" t="s">
        <v>569</v>
      </c>
      <c r="I224" s="94">
        <v>1.0</v>
      </c>
      <c r="J224" s="113"/>
      <c r="K224" s="116"/>
      <c r="L224" s="98"/>
      <c r="M224" s="98"/>
      <c r="N224" s="85"/>
      <c r="O224" s="85"/>
    </row>
    <row r="225">
      <c r="A225" s="99" t="s">
        <v>87</v>
      </c>
      <c r="B225" s="90" t="str">
        <f t="array" ref="B225">iferror(INDEX('作品'!D:D,MATCH(A225,'作品'!A:A,0),0),"error")</f>
        <v>姫様“拷問”の時間です</v>
      </c>
      <c r="C225" s="53" t="s">
        <v>566</v>
      </c>
      <c r="D225" s="115" t="str">
        <f t="shared" si="40"/>
        <v>artwork_fragment_gom_00105</v>
      </c>
      <c r="E225" s="115"/>
      <c r="F225" s="115" t="s">
        <v>750</v>
      </c>
      <c r="G225" s="58" t="s">
        <v>751</v>
      </c>
      <c r="H225" s="53" t="s">
        <v>569</v>
      </c>
      <c r="I225" s="94">
        <v>1.0</v>
      </c>
      <c r="J225" s="113"/>
      <c r="K225" s="116"/>
      <c r="L225" s="98"/>
      <c r="M225" s="98"/>
      <c r="N225" s="85"/>
      <c r="O225" s="85"/>
    </row>
    <row r="226">
      <c r="A226" s="99" t="s">
        <v>87</v>
      </c>
      <c r="B226" s="90" t="str">
        <f t="array" ref="B226">iferror(INDEX('作品'!D:D,MATCH(A226,'作品'!A:A,0),0),"error")</f>
        <v>姫様“拷問”の時間です</v>
      </c>
      <c r="C226" s="53" t="s">
        <v>566</v>
      </c>
      <c r="D226" s="115" t="str">
        <f t="shared" si="40"/>
        <v>artwork_fragment_gom_00106</v>
      </c>
      <c r="E226" s="115"/>
      <c r="F226" s="115" t="s">
        <v>750</v>
      </c>
      <c r="G226" s="58" t="s">
        <v>752</v>
      </c>
      <c r="H226" s="53" t="s">
        <v>569</v>
      </c>
      <c r="I226" s="94">
        <v>1.0</v>
      </c>
      <c r="J226" s="113"/>
      <c r="K226" s="116"/>
      <c r="L226" s="98"/>
      <c r="M226" s="98"/>
      <c r="N226" s="85"/>
      <c r="O226" s="85"/>
    </row>
    <row r="227">
      <c r="A227" s="99" t="s">
        <v>87</v>
      </c>
      <c r="B227" s="90" t="str">
        <f t="array" ref="B227">iferror(INDEX('作品'!D:D,MATCH(A227,'作品'!A:A,0),0),"error")</f>
        <v>姫様“拷問”の時間です</v>
      </c>
      <c r="C227" s="53" t="s">
        <v>566</v>
      </c>
      <c r="D227" s="115" t="str">
        <f t="shared" si="40"/>
        <v>artwork_fragment_gom_00107</v>
      </c>
      <c r="E227" s="115"/>
      <c r="F227" s="115" t="s">
        <v>750</v>
      </c>
      <c r="G227" s="58" t="s">
        <v>753</v>
      </c>
      <c r="H227" s="53" t="s">
        <v>569</v>
      </c>
      <c r="I227" s="94">
        <v>1.0</v>
      </c>
      <c r="J227" s="113"/>
      <c r="K227" s="116"/>
      <c r="L227" s="98"/>
      <c r="M227" s="98"/>
      <c r="N227" s="85"/>
      <c r="O227" s="85"/>
    </row>
    <row r="228">
      <c r="A228" s="99" t="s">
        <v>87</v>
      </c>
      <c r="B228" s="90" t="str">
        <f t="array" ref="B228">iferror(INDEX('作品'!D:D,MATCH(A228,'作品'!A:A,0),0),"error")</f>
        <v>姫様“拷問”の時間です</v>
      </c>
      <c r="C228" s="53" t="s">
        <v>566</v>
      </c>
      <c r="D228" s="115" t="str">
        <f t="shared" si="40"/>
        <v>artwork_fragment_gom_00108</v>
      </c>
      <c r="E228" s="115"/>
      <c r="F228" s="115" t="s">
        <v>754</v>
      </c>
      <c r="G228" s="58" t="s">
        <v>755</v>
      </c>
      <c r="H228" s="53" t="s">
        <v>569</v>
      </c>
      <c r="I228" s="94">
        <v>1.0</v>
      </c>
      <c r="J228" s="113"/>
      <c r="K228" s="116"/>
      <c r="L228" s="98"/>
      <c r="M228" s="98"/>
      <c r="N228" s="85"/>
      <c r="O228" s="85"/>
    </row>
    <row r="229">
      <c r="A229" s="99" t="s">
        <v>87</v>
      </c>
      <c r="B229" s="90" t="str">
        <f t="array" ref="B229">iferror(INDEX('作品'!D:D,MATCH(A229,'作品'!A:A,0),0),"error")</f>
        <v>姫様“拷問”の時間です</v>
      </c>
      <c r="C229" s="53" t="s">
        <v>566</v>
      </c>
      <c r="D229" s="115" t="str">
        <f t="shared" si="40"/>
        <v>artwork_fragment_gom_00109</v>
      </c>
      <c r="E229" s="115"/>
      <c r="F229" s="115" t="s">
        <v>754</v>
      </c>
      <c r="G229" s="58" t="s">
        <v>756</v>
      </c>
      <c r="H229" s="53" t="s">
        <v>569</v>
      </c>
      <c r="I229" s="94">
        <v>1.0</v>
      </c>
      <c r="J229" s="113"/>
      <c r="K229" s="116"/>
      <c r="L229" s="98"/>
      <c r="M229" s="98"/>
      <c r="N229" s="85"/>
      <c r="O229" s="85"/>
    </row>
    <row r="230">
      <c r="A230" s="99" t="s">
        <v>87</v>
      </c>
      <c r="B230" s="90" t="str">
        <f t="array" ref="B230">iferror(INDEX('作品'!D:D,MATCH(A230,'作品'!A:A,0),0),"error")</f>
        <v>姫様“拷問”の時間です</v>
      </c>
      <c r="C230" s="53" t="s">
        <v>566</v>
      </c>
      <c r="D230" s="115" t="str">
        <f t="shared" si="40"/>
        <v>artwork_fragment_gom_00110</v>
      </c>
      <c r="E230" s="115"/>
      <c r="F230" s="115" t="s">
        <v>754</v>
      </c>
      <c r="G230" s="58" t="s">
        <v>757</v>
      </c>
      <c r="H230" s="53" t="s">
        <v>569</v>
      </c>
      <c r="I230" s="94">
        <v>1.0</v>
      </c>
      <c r="J230" s="113"/>
      <c r="K230" s="116"/>
      <c r="L230" s="98"/>
      <c r="M230" s="98"/>
      <c r="N230" s="85"/>
      <c r="O230" s="85"/>
    </row>
    <row r="231">
      <c r="A231" s="99" t="s">
        <v>87</v>
      </c>
      <c r="B231" s="90" t="str">
        <f t="array" ref="B231">iferror(INDEX('作品'!D:D,MATCH(A231,'作品'!A:A,0),0),"error")</f>
        <v>姫様“拷問”の時間です</v>
      </c>
      <c r="C231" s="53" t="s">
        <v>566</v>
      </c>
      <c r="D231" s="115" t="str">
        <f t="shared" si="40"/>
        <v>artwork_fragment_gom_00111</v>
      </c>
      <c r="E231" s="115"/>
      <c r="F231" s="115" t="s">
        <v>758</v>
      </c>
      <c r="G231" s="58" t="s">
        <v>759</v>
      </c>
      <c r="H231" s="53" t="s">
        <v>569</v>
      </c>
      <c r="I231" s="94">
        <v>1.0</v>
      </c>
      <c r="J231" s="113"/>
      <c r="K231" s="116"/>
      <c r="L231" s="98"/>
      <c r="M231" s="98"/>
      <c r="N231" s="85"/>
      <c r="O231" s="85"/>
    </row>
    <row r="232">
      <c r="A232" s="99" t="s">
        <v>87</v>
      </c>
      <c r="B232" s="90" t="str">
        <f t="array" ref="B232">iferror(INDEX('作品'!D:D,MATCH(A232,'作品'!A:A,0),0),"error")</f>
        <v>姫様“拷問”の時間です</v>
      </c>
      <c r="C232" s="53" t="s">
        <v>566</v>
      </c>
      <c r="D232" s="115" t="str">
        <f t="shared" si="40"/>
        <v>artwork_fragment_gom_00112</v>
      </c>
      <c r="E232" s="115"/>
      <c r="F232" s="115" t="s">
        <v>758</v>
      </c>
      <c r="G232" s="58" t="s">
        <v>760</v>
      </c>
      <c r="H232" s="53" t="s">
        <v>569</v>
      </c>
      <c r="I232" s="94">
        <v>1.0</v>
      </c>
      <c r="J232" s="113"/>
      <c r="K232" s="116"/>
      <c r="L232" s="98"/>
      <c r="M232" s="98"/>
      <c r="N232" s="85"/>
      <c r="O232" s="85"/>
    </row>
    <row r="233">
      <c r="A233" s="99" t="s">
        <v>87</v>
      </c>
      <c r="B233" s="90" t="str">
        <f t="array" ref="B233">iferror(INDEX('作品'!D:D,MATCH(A233,'作品'!A:A,0),0),"error")</f>
        <v>姫様“拷問”の時間です</v>
      </c>
      <c r="C233" s="53" t="s">
        <v>566</v>
      </c>
      <c r="D233" s="115" t="str">
        <f t="shared" si="40"/>
        <v>artwork_fragment_gom_00113</v>
      </c>
      <c r="E233" s="115"/>
      <c r="F233" s="115" t="s">
        <v>758</v>
      </c>
      <c r="G233" s="58" t="s">
        <v>761</v>
      </c>
      <c r="H233" s="53" t="s">
        <v>569</v>
      </c>
      <c r="I233" s="94">
        <v>1.0</v>
      </c>
      <c r="J233" s="113"/>
      <c r="K233" s="116"/>
      <c r="L233" s="98"/>
      <c r="M233" s="98"/>
      <c r="N233" s="85"/>
      <c r="O233" s="85"/>
    </row>
    <row r="234">
      <c r="A234" s="99" t="s">
        <v>87</v>
      </c>
      <c r="B234" s="90" t="str">
        <f t="array" ref="B234">iferror(INDEX('作品'!D:D,MATCH(A234,'作品'!A:A,0),0),"error")</f>
        <v>姫様“拷問”の時間です</v>
      </c>
      <c r="C234" s="53" t="s">
        <v>566</v>
      </c>
      <c r="D234" s="115" t="str">
        <f t="shared" si="40"/>
        <v>artwork_fragment_gom_00114</v>
      </c>
      <c r="E234" s="115"/>
      <c r="F234" s="115" t="s">
        <v>762</v>
      </c>
      <c r="G234" s="58" t="s">
        <v>763</v>
      </c>
      <c r="H234" s="53" t="s">
        <v>569</v>
      </c>
      <c r="I234" s="94">
        <v>1.0</v>
      </c>
      <c r="J234" s="113"/>
      <c r="K234" s="116"/>
      <c r="L234" s="98"/>
      <c r="M234" s="98"/>
      <c r="N234" s="85"/>
      <c r="O234" s="85"/>
    </row>
    <row r="235">
      <c r="A235" s="99" t="s">
        <v>87</v>
      </c>
      <c r="B235" s="90" t="str">
        <f t="array" ref="B235">iferror(INDEX('作品'!D:D,MATCH(A235,'作品'!A:A,0),0),"error")</f>
        <v>姫様“拷問”の時間です</v>
      </c>
      <c r="C235" s="53" t="s">
        <v>566</v>
      </c>
      <c r="D235" s="115" t="str">
        <f t="shared" si="40"/>
        <v>artwork_fragment_gom_00115</v>
      </c>
      <c r="E235" s="115"/>
      <c r="F235" s="115" t="s">
        <v>762</v>
      </c>
      <c r="G235" s="58" t="s">
        <v>764</v>
      </c>
      <c r="H235" s="53" t="s">
        <v>569</v>
      </c>
      <c r="I235" s="94">
        <v>1.0</v>
      </c>
      <c r="J235" s="113"/>
      <c r="K235" s="116"/>
      <c r="L235" s="98"/>
      <c r="M235" s="98"/>
      <c r="N235" s="85"/>
      <c r="O235" s="85"/>
    </row>
    <row r="236">
      <c r="A236" s="99" t="s">
        <v>87</v>
      </c>
      <c r="B236" s="90" t="str">
        <f t="array" ref="B236">iferror(INDEX('作品'!D:D,MATCH(A236,'作品'!A:A,0),0),"error")</f>
        <v>姫様“拷問”の時間です</v>
      </c>
      <c r="C236" s="53" t="s">
        <v>566</v>
      </c>
      <c r="D236" s="115" t="str">
        <f t="shared" si="40"/>
        <v>artwork_fragment_gom_00116</v>
      </c>
      <c r="E236" s="115"/>
      <c r="F236" s="115" t="s">
        <v>762</v>
      </c>
      <c r="G236" s="58" t="s">
        <v>765</v>
      </c>
      <c r="H236" s="53" t="s">
        <v>569</v>
      </c>
      <c r="I236" s="94">
        <v>1.0</v>
      </c>
      <c r="J236" s="113"/>
      <c r="K236" s="116"/>
      <c r="L236" s="98"/>
      <c r="M236" s="98"/>
      <c r="N236" s="85"/>
      <c r="O236" s="85"/>
    </row>
    <row r="237">
      <c r="A237" s="99" t="s">
        <v>87</v>
      </c>
      <c r="B237" s="90" t="str">
        <f t="array" ref="B237">iferror(INDEX('作品'!D:D,MATCH(A237,'作品'!A:A,0),0),"error")</f>
        <v>姫様“拷問”の時間です</v>
      </c>
      <c r="C237" s="53" t="s">
        <v>566</v>
      </c>
      <c r="D237" s="115" t="str">
        <f t="shared" ref="D237:D252" si="41">C237&amp;"_"&amp;A237&amp;"_"&amp;TEXT(countif($A$237:$A237,A237),"00200")</f>
        <v>artwork_fragment_gom_00201</v>
      </c>
      <c r="E237" s="115"/>
      <c r="F237" s="115" t="s">
        <v>766</v>
      </c>
      <c r="G237" s="58" t="s">
        <v>767</v>
      </c>
      <c r="H237" s="53" t="s">
        <v>569</v>
      </c>
      <c r="I237" s="94">
        <v>1.0</v>
      </c>
      <c r="J237" s="113"/>
      <c r="K237" s="114"/>
      <c r="L237" s="98"/>
      <c r="M237" s="98"/>
      <c r="N237" s="85"/>
      <c r="O237" s="85"/>
    </row>
    <row r="238">
      <c r="A238" s="99" t="s">
        <v>87</v>
      </c>
      <c r="B238" s="90" t="str">
        <f t="array" ref="B238">iferror(INDEX('作品'!D:D,MATCH(A238,'作品'!A:A,0),0),"error")</f>
        <v>姫様“拷問”の時間です</v>
      </c>
      <c r="C238" s="53" t="s">
        <v>566</v>
      </c>
      <c r="D238" s="115" t="str">
        <f t="shared" si="41"/>
        <v>artwork_fragment_gom_00202</v>
      </c>
      <c r="E238" s="115"/>
      <c r="F238" s="115" t="s">
        <v>766</v>
      </c>
      <c r="G238" s="58" t="s">
        <v>768</v>
      </c>
      <c r="H238" s="53" t="s">
        <v>569</v>
      </c>
      <c r="I238" s="94">
        <v>1.0</v>
      </c>
      <c r="J238" s="113"/>
      <c r="K238" s="114"/>
      <c r="L238" s="98"/>
      <c r="M238" s="98"/>
      <c r="N238" s="85"/>
      <c r="O238" s="85"/>
    </row>
    <row r="239">
      <c r="A239" s="99" t="s">
        <v>87</v>
      </c>
      <c r="B239" s="90" t="str">
        <f t="array" ref="B239">iferror(INDEX('作品'!D:D,MATCH(A239,'作品'!A:A,0),0),"error")</f>
        <v>姫様“拷問”の時間です</v>
      </c>
      <c r="C239" s="53" t="s">
        <v>566</v>
      </c>
      <c r="D239" s="115" t="str">
        <f t="shared" si="41"/>
        <v>artwork_fragment_gom_00203</v>
      </c>
      <c r="E239" s="115"/>
      <c r="F239" s="115" t="s">
        <v>766</v>
      </c>
      <c r="G239" s="58" t="s">
        <v>769</v>
      </c>
      <c r="H239" s="53" t="s">
        <v>569</v>
      </c>
      <c r="I239" s="94">
        <v>1.0</v>
      </c>
      <c r="J239" s="113"/>
      <c r="K239" s="114"/>
      <c r="L239" s="98"/>
      <c r="M239" s="98"/>
      <c r="N239" s="85"/>
      <c r="O239" s="85"/>
    </row>
    <row r="240">
      <c r="A240" s="99" t="s">
        <v>87</v>
      </c>
      <c r="B240" s="90" t="str">
        <f t="array" ref="B240">iferror(INDEX('作品'!D:D,MATCH(A240,'作品'!A:A,0),0),"error")</f>
        <v>姫様“拷問”の時間です</v>
      </c>
      <c r="C240" s="53" t="s">
        <v>566</v>
      </c>
      <c r="D240" s="115" t="str">
        <f t="shared" si="41"/>
        <v>artwork_fragment_gom_00204</v>
      </c>
      <c r="E240" s="115"/>
      <c r="F240" s="115" t="s">
        <v>770</v>
      </c>
      <c r="G240" s="58" t="s">
        <v>771</v>
      </c>
      <c r="H240" s="53" t="s">
        <v>569</v>
      </c>
      <c r="I240" s="94">
        <v>1.0</v>
      </c>
      <c r="J240" s="113"/>
      <c r="K240" s="114"/>
      <c r="L240" s="98"/>
      <c r="M240" s="98"/>
      <c r="N240" s="85"/>
      <c r="O240" s="85"/>
    </row>
    <row r="241">
      <c r="A241" s="99" t="s">
        <v>87</v>
      </c>
      <c r="B241" s="90" t="str">
        <f t="array" ref="B241">iferror(INDEX('作品'!D:D,MATCH(A241,'作品'!A:A,0),0),"error")</f>
        <v>姫様“拷問”の時間です</v>
      </c>
      <c r="C241" s="53" t="s">
        <v>566</v>
      </c>
      <c r="D241" s="115" t="str">
        <f t="shared" si="41"/>
        <v>artwork_fragment_gom_00205</v>
      </c>
      <c r="E241" s="115"/>
      <c r="F241" s="115" t="s">
        <v>770</v>
      </c>
      <c r="G241" s="58" t="s">
        <v>772</v>
      </c>
      <c r="H241" s="53" t="s">
        <v>569</v>
      </c>
      <c r="I241" s="94">
        <v>1.0</v>
      </c>
      <c r="J241" s="113"/>
      <c r="K241" s="114"/>
      <c r="L241" s="98"/>
      <c r="M241" s="98"/>
      <c r="N241" s="85"/>
      <c r="O241" s="85"/>
    </row>
    <row r="242">
      <c r="A242" s="99" t="s">
        <v>87</v>
      </c>
      <c r="B242" s="90" t="str">
        <f t="array" ref="B242">iferror(INDEX('作品'!D:D,MATCH(A242,'作品'!A:A,0),0),"error")</f>
        <v>姫様“拷問”の時間です</v>
      </c>
      <c r="C242" s="53" t="s">
        <v>566</v>
      </c>
      <c r="D242" s="115" t="str">
        <f t="shared" si="41"/>
        <v>artwork_fragment_gom_00206</v>
      </c>
      <c r="E242" s="115"/>
      <c r="F242" s="115" t="s">
        <v>770</v>
      </c>
      <c r="G242" s="58" t="s">
        <v>773</v>
      </c>
      <c r="H242" s="53" t="s">
        <v>569</v>
      </c>
      <c r="I242" s="94">
        <v>1.0</v>
      </c>
      <c r="J242" s="113"/>
      <c r="K242" s="114"/>
      <c r="L242" s="98"/>
      <c r="M242" s="98"/>
      <c r="N242" s="85"/>
      <c r="O242" s="85"/>
    </row>
    <row r="243">
      <c r="A243" s="99" t="s">
        <v>87</v>
      </c>
      <c r="B243" s="90" t="str">
        <f t="array" ref="B243">iferror(INDEX('作品'!D:D,MATCH(A243,'作品'!A:A,0),0),"error")</f>
        <v>姫様“拷問”の時間です</v>
      </c>
      <c r="C243" s="53" t="s">
        <v>566</v>
      </c>
      <c r="D243" s="115" t="str">
        <f t="shared" si="41"/>
        <v>artwork_fragment_gom_00207</v>
      </c>
      <c r="E243" s="115"/>
      <c r="F243" s="115" t="s">
        <v>774</v>
      </c>
      <c r="G243" s="58" t="s">
        <v>775</v>
      </c>
      <c r="H243" s="53" t="s">
        <v>569</v>
      </c>
      <c r="I243" s="94">
        <v>1.0</v>
      </c>
      <c r="J243" s="113"/>
      <c r="K243" s="114"/>
      <c r="L243" s="98"/>
      <c r="M243" s="98"/>
      <c r="N243" s="85"/>
      <c r="O243" s="85"/>
    </row>
    <row r="244">
      <c r="A244" s="99" t="s">
        <v>87</v>
      </c>
      <c r="B244" s="90" t="str">
        <f t="array" ref="B244">iferror(INDEX('作品'!D:D,MATCH(A244,'作品'!A:A,0),0),"error")</f>
        <v>姫様“拷問”の時間です</v>
      </c>
      <c r="C244" s="53" t="s">
        <v>566</v>
      </c>
      <c r="D244" s="115" t="str">
        <f t="shared" si="41"/>
        <v>artwork_fragment_gom_00208</v>
      </c>
      <c r="E244" s="115"/>
      <c r="F244" s="115" t="s">
        <v>774</v>
      </c>
      <c r="G244" s="58" t="s">
        <v>776</v>
      </c>
      <c r="H244" s="53" t="s">
        <v>569</v>
      </c>
      <c r="I244" s="94">
        <v>1.0</v>
      </c>
      <c r="J244" s="113"/>
      <c r="K244" s="114"/>
      <c r="L244" s="98"/>
      <c r="M244" s="98"/>
      <c r="N244" s="85"/>
      <c r="O244" s="85"/>
    </row>
    <row r="245">
      <c r="A245" s="99" t="s">
        <v>87</v>
      </c>
      <c r="B245" s="90" t="str">
        <f t="array" ref="B245">iferror(INDEX('作品'!D:D,MATCH(A245,'作品'!A:A,0),0),"error")</f>
        <v>姫様“拷問”の時間です</v>
      </c>
      <c r="C245" s="53" t="s">
        <v>566</v>
      </c>
      <c r="D245" s="115" t="str">
        <f t="shared" si="41"/>
        <v>artwork_fragment_gom_00209</v>
      </c>
      <c r="E245" s="115"/>
      <c r="F245" s="115" t="s">
        <v>774</v>
      </c>
      <c r="G245" s="58" t="s">
        <v>777</v>
      </c>
      <c r="H245" s="53" t="s">
        <v>569</v>
      </c>
      <c r="I245" s="94">
        <v>1.0</v>
      </c>
      <c r="J245" s="113"/>
      <c r="K245" s="114"/>
      <c r="L245" s="98"/>
      <c r="M245" s="98"/>
      <c r="N245" s="85"/>
      <c r="O245" s="85"/>
    </row>
    <row r="246">
      <c r="A246" s="99" t="s">
        <v>87</v>
      </c>
      <c r="B246" s="90" t="str">
        <f t="array" ref="B246">iferror(INDEX('作品'!D:D,MATCH(A246,'作品'!A:A,0),0),"error")</f>
        <v>姫様“拷問”の時間です</v>
      </c>
      <c r="C246" s="53" t="s">
        <v>566</v>
      </c>
      <c r="D246" s="115" t="str">
        <f t="shared" si="41"/>
        <v>artwork_fragment_gom_00210</v>
      </c>
      <c r="E246" s="115"/>
      <c r="F246" s="115" t="s">
        <v>778</v>
      </c>
      <c r="G246" s="58" t="s">
        <v>779</v>
      </c>
      <c r="H246" s="53" t="s">
        <v>569</v>
      </c>
      <c r="I246" s="94">
        <v>1.0</v>
      </c>
      <c r="J246" s="113"/>
      <c r="K246" s="114"/>
      <c r="L246" s="98"/>
      <c r="M246" s="98"/>
      <c r="N246" s="85"/>
      <c r="O246" s="85"/>
    </row>
    <row r="247">
      <c r="A247" s="99" t="s">
        <v>87</v>
      </c>
      <c r="B247" s="90" t="str">
        <f t="array" ref="B247">iferror(INDEX('作品'!D:D,MATCH(A247,'作品'!A:A,0),0),"error")</f>
        <v>姫様“拷問”の時間です</v>
      </c>
      <c r="C247" s="53" t="s">
        <v>566</v>
      </c>
      <c r="D247" s="115" t="str">
        <f t="shared" si="41"/>
        <v>artwork_fragment_gom_00211</v>
      </c>
      <c r="E247" s="115"/>
      <c r="F247" s="115" t="s">
        <v>778</v>
      </c>
      <c r="G247" s="58" t="s">
        <v>780</v>
      </c>
      <c r="H247" s="53" t="s">
        <v>569</v>
      </c>
      <c r="I247" s="94">
        <v>1.0</v>
      </c>
      <c r="J247" s="113"/>
      <c r="K247" s="114"/>
      <c r="L247" s="98"/>
      <c r="M247" s="98"/>
      <c r="N247" s="85"/>
      <c r="O247" s="85"/>
    </row>
    <row r="248">
      <c r="A248" s="99" t="s">
        <v>87</v>
      </c>
      <c r="B248" s="90" t="str">
        <f t="array" ref="B248">iferror(INDEX('作品'!D:D,MATCH(A248,'作品'!A:A,0),0),"error")</f>
        <v>姫様“拷問”の時間です</v>
      </c>
      <c r="C248" s="53" t="s">
        <v>566</v>
      </c>
      <c r="D248" s="115" t="str">
        <f t="shared" si="41"/>
        <v>artwork_fragment_gom_00212</v>
      </c>
      <c r="E248" s="115"/>
      <c r="F248" s="115" t="s">
        <v>778</v>
      </c>
      <c r="G248" s="58" t="s">
        <v>781</v>
      </c>
      <c r="H248" s="53" t="s">
        <v>569</v>
      </c>
      <c r="I248" s="94">
        <v>1.0</v>
      </c>
      <c r="J248" s="113"/>
      <c r="K248" s="114"/>
      <c r="L248" s="98"/>
      <c r="M248" s="98"/>
      <c r="N248" s="85"/>
      <c r="O248" s="85"/>
    </row>
    <row r="249">
      <c r="A249" s="99" t="s">
        <v>87</v>
      </c>
      <c r="B249" s="90" t="str">
        <f t="array" ref="B249">iferror(INDEX('作品'!D:D,MATCH(A249,'作品'!A:A,0),0),"error")</f>
        <v>姫様“拷問”の時間です</v>
      </c>
      <c r="C249" s="53" t="s">
        <v>566</v>
      </c>
      <c r="D249" s="115" t="str">
        <f t="shared" si="41"/>
        <v>artwork_fragment_gom_00213</v>
      </c>
      <c r="E249" s="115"/>
      <c r="F249" s="115" t="s">
        <v>782</v>
      </c>
      <c r="G249" s="58" t="s">
        <v>783</v>
      </c>
      <c r="H249" s="53" t="s">
        <v>569</v>
      </c>
      <c r="I249" s="94">
        <v>1.0</v>
      </c>
      <c r="J249" s="113"/>
      <c r="K249" s="114"/>
      <c r="L249" s="98"/>
      <c r="M249" s="98"/>
      <c r="N249" s="85"/>
      <c r="O249" s="85"/>
    </row>
    <row r="250">
      <c r="A250" s="99" t="s">
        <v>87</v>
      </c>
      <c r="B250" s="90" t="str">
        <f t="array" ref="B250">iferror(INDEX('作品'!D:D,MATCH(A250,'作品'!A:A,0),0),"error")</f>
        <v>姫様“拷問”の時間です</v>
      </c>
      <c r="C250" s="53" t="s">
        <v>566</v>
      </c>
      <c r="D250" s="115" t="str">
        <f t="shared" si="41"/>
        <v>artwork_fragment_gom_00214</v>
      </c>
      <c r="E250" s="115"/>
      <c r="F250" s="115" t="s">
        <v>782</v>
      </c>
      <c r="G250" s="58" t="s">
        <v>784</v>
      </c>
      <c r="H250" s="53" t="s">
        <v>569</v>
      </c>
      <c r="I250" s="94">
        <v>1.0</v>
      </c>
      <c r="J250" s="113"/>
      <c r="K250" s="114"/>
      <c r="L250" s="98"/>
      <c r="M250" s="98"/>
      <c r="N250" s="85"/>
      <c r="O250" s="85"/>
    </row>
    <row r="251">
      <c r="A251" s="99" t="s">
        <v>87</v>
      </c>
      <c r="B251" s="90" t="str">
        <f t="array" ref="B251">iferror(INDEX('作品'!D:D,MATCH(A251,'作品'!A:A,0),0),"error")</f>
        <v>姫様“拷問”の時間です</v>
      </c>
      <c r="C251" s="53" t="s">
        <v>566</v>
      </c>
      <c r="D251" s="115" t="str">
        <f t="shared" si="41"/>
        <v>artwork_fragment_gom_00215</v>
      </c>
      <c r="E251" s="115"/>
      <c r="F251" s="115" t="s">
        <v>782</v>
      </c>
      <c r="G251" s="58" t="s">
        <v>785</v>
      </c>
      <c r="H251" s="53" t="s">
        <v>569</v>
      </c>
      <c r="I251" s="94">
        <v>1.0</v>
      </c>
      <c r="J251" s="113"/>
      <c r="K251" s="114"/>
      <c r="L251" s="98"/>
      <c r="M251" s="98"/>
      <c r="N251" s="85"/>
      <c r="O251" s="85"/>
    </row>
    <row r="252">
      <c r="A252" s="99" t="s">
        <v>87</v>
      </c>
      <c r="B252" s="90" t="str">
        <f t="array" ref="B252">iferror(INDEX('作品'!D:D,MATCH(A252,'作品'!A:A,0),0),"error")</f>
        <v>姫様“拷問”の時間です</v>
      </c>
      <c r="C252" s="53" t="s">
        <v>566</v>
      </c>
      <c r="D252" s="115" t="str">
        <f t="shared" si="41"/>
        <v>artwork_fragment_gom_00216</v>
      </c>
      <c r="E252" s="115"/>
      <c r="F252" s="115" t="s">
        <v>782</v>
      </c>
      <c r="G252" s="58" t="s">
        <v>786</v>
      </c>
      <c r="H252" s="53" t="s">
        <v>569</v>
      </c>
      <c r="I252" s="94">
        <v>1.0</v>
      </c>
      <c r="J252" s="113"/>
      <c r="K252" s="114"/>
      <c r="L252" s="98"/>
      <c r="M252" s="98"/>
      <c r="N252" s="85"/>
      <c r="O252" s="85"/>
    </row>
    <row r="253">
      <c r="A253" s="99" t="s">
        <v>87</v>
      </c>
      <c r="B253" s="90" t="str">
        <f t="array" ref="B253">iferror(INDEX('作品'!D:D,MATCH(A253,'作品'!A:A,0),0),"error")</f>
        <v>姫様“拷問”の時間です</v>
      </c>
      <c r="C253" s="53" t="s">
        <v>566</v>
      </c>
      <c r="D253" s="115" t="str">
        <f t="shared" ref="D253:D268" si="42">C253&amp;"_"&amp;A253&amp;"_"&amp;TEXT(countif($A$253:$A253,A253),"00300")</f>
        <v>artwork_fragment_gom_00301</v>
      </c>
      <c r="E253" s="115"/>
      <c r="F253" s="115" t="s">
        <v>787</v>
      </c>
      <c r="G253" s="58" t="s">
        <v>788</v>
      </c>
      <c r="H253" s="53" t="s">
        <v>569</v>
      </c>
      <c r="I253" s="94">
        <v>1.0</v>
      </c>
      <c r="J253" s="113"/>
      <c r="K253" s="114"/>
      <c r="L253" s="98"/>
      <c r="M253" s="98"/>
      <c r="N253" s="85"/>
      <c r="O253" s="85"/>
    </row>
    <row r="254">
      <c r="A254" s="99" t="s">
        <v>87</v>
      </c>
      <c r="B254" s="90" t="str">
        <f t="array" ref="B254">iferror(INDEX('作品'!D:D,MATCH(A254,'作品'!A:A,0),0),"error")</f>
        <v>姫様“拷問”の時間です</v>
      </c>
      <c r="C254" s="53" t="s">
        <v>566</v>
      </c>
      <c r="D254" s="115" t="str">
        <f t="shared" si="42"/>
        <v>artwork_fragment_gom_00302</v>
      </c>
      <c r="E254" s="115"/>
      <c r="F254" s="115" t="s">
        <v>787</v>
      </c>
      <c r="G254" s="58" t="s">
        <v>789</v>
      </c>
      <c r="H254" s="53" t="s">
        <v>569</v>
      </c>
      <c r="I254" s="94">
        <v>1.0</v>
      </c>
      <c r="J254" s="113"/>
      <c r="K254" s="114"/>
      <c r="L254" s="98"/>
      <c r="M254" s="98"/>
      <c r="N254" s="85"/>
      <c r="O254" s="85"/>
    </row>
    <row r="255">
      <c r="A255" s="99" t="s">
        <v>87</v>
      </c>
      <c r="B255" s="90" t="str">
        <f t="array" ref="B255">iferror(INDEX('作品'!D:D,MATCH(A255,'作品'!A:A,0),0),"error")</f>
        <v>姫様“拷問”の時間です</v>
      </c>
      <c r="C255" s="53" t="s">
        <v>566</v>
      </c>
      <c r="D255" s="115" t="str">
        <f t="shared" si="42"/>
        <v>artwork_fragment_gom_00303</v>
      </c>
      <c r="E255" s="115"/>
      <c r="F255" s="115" t="s">
        <v>787</v>
      </c>
      <c r="G255" s="58" t="s">
        <v>790</v>
      </c>
      <c r="H255" s="53" t="s">
        <v>569</v>
      </c>
      <c r="I255" s="94">
        <v>1.0</v>
      </c>
      <c r="J255" s="113"/>
      <c r="K255" s="114"/>
      <c r="L255" s="98"/>
      <c r="M255" s="98"/>
      <c r="N255" s="85"/>
      <c r="O255" s="85"/>
    </row>
    <row r="256">
      <c r="A256" s="99" t="s">
        <v>87</v>
      </c>
      <c r="B256" s="90" t="str">
        <f t="array" ref="B256">iferror(INDEX('作品'!D:D,MATCH(A256,'作品'!A:A,0),0),"error")</f>
        <v>姫様“拷問”の時間です</v>
      </c>
      <c r="C256" s="53" t="s">
        <v>566</v>
      </c>
      <c r="D256" s="115" t="str">
        <f t="shared" si="42"/>
        <v>artwork_fragment_gom_00304</v>
      </c>
      <c r="E256" s="115"/>
      <c r="F256" s="115" t="s">
        <v>791</v>
      </c>
      <c r="G256" s="58" t="s">
        <v>792</v>
      </c>
      <c r="H256" s="53" t="s">
        <v>569</v>
      </c>
      <c r="I256" s="94">
        <v>1.0</v>
      </c>
      <c r="J256" s="113"/>
      <c r="K256" s="114"/>
      <c r="L256" s="98"/>
      <c r="M256" s="98"/>
      <c r="N256" s="85"/>
      <c r="O256" s="85"/>
    </row>
    <row r="257">
      <c r="A257" s="99" t="s">
        <v>87</v>
      </c>
      <c r="B257" s="90" t="str">
        <f t="array" ref="B257">iferror(INDEX('作品'!D:D,MATCH(A257,'作品'!A:A,0),0),"error")</f>
        <v>姫様“拷問”の時間です</v>
      </c>
      <c r="C257" s="53" t="s">
        <v>566</v>
      </c>
      <c r="D257" s="115" t="str">
        <f t="shared" si="42"/>
        <v>artwork_fragment_gom_00305</v>
      </c>
      <c r="E257" s="115"/>
      <c r="F257" s="115" t="s">
        <v>791</v>
      </c>
      <c r="G257" s="58" t="s">
        <v>793</v>
      </c>
      <c r="H257" s="53" t="s">
        <v>569</v>
      </c>
      <c r="I257" s="94">
        <v>1.0</v>
      </c>
      <c r="J257" s="113"/>
      <c r="K257" s="114"/>
      <c r="L257" s="98"/>
      <c r="M257" s="98"/>
      <c r="N257" s="85"/>
      <c r="O257" s="85"/>
    </row>
    <row r="258">
      <c r="A258" s="99" t="s">
        <v>87</v>
      </c>
      <c r="B258" s="90" t="str">
        <f t="array" ref="B258">iferror(INDEX('作品'!D:D,MATCH(A258,'作品'!A:A,0),0),"error")</f>
        <v>姫様“拷問”の時間です</v>
      </c>
      <c r="C258" s="53" t="s">
        <v>566</v>
      </c>
      <c r="D258" s="115" t="str">
        <f t="shared" si="42"/>
        <v>artwork_fragment_gom_00306</v>
      </c>
      <c r="E258" s="115"/>
      <c r="F258" s="115" t="s">
        <v>791</v>
      </c>
      <c r="G258" s="58" t="s">
        <v>794</v>
      </c>
      <c r="H258" s="53" t="s">
        <v>569</v>
      </c>
      <c r="I258" s="94">
        <v>1.0</v>
      </c>
      <c r="J258" s="113"/>
      <c r="K258" s="114"/>
      <c r="L258" s="98"/>
      <c r="M258" s="98"/>
      <c r="N258" s="85"/>
      <c r="O258" s="85"/>
    </row>
    <row r="259">
      <c r="A259" s="99" t="s">
        <v>87</v>
      </c>
      <c r="B259" s="90" t="str">
        <f t="array" ref="B259">iferror(INDEX('作品'!D:D,MATCH(A259,'作品'!A:A,0),0),"error")</f>
        <v>姫様“拷問”の時間です</v>
      </c>
      <c r="C259" s="53" t="s">
        <v>566</v>
      </c>
      <c r="D259" s="115" t="str">
        <f t="shared" si="42"/>
        <v>artwork_fragment_gom_00307</v>
      </c>
      <c r="E259" s="115"/>
      <c r="F259" s="115" t="s">
        <v>795</v>
      </c>
      <c r="G259" s="58" t="s">
        <v>796</v>
      </c>
      <c r="H259" s="53" t="s">
        <v>569</v>
      </c>
      <c r="I259" s="94">
        <v>1.0</v>
      </c>
      <c r="J259" s="113"/>
      <c r="K259" s="114"/>
      <c r="L259" s="98"/>
      <c r="M259" s="98"/>
      <c r="N259" s="85"/>
      <c r="O259" s="85"/>
    </row>
    <row r="260">
      <c r="A260" s="99" t="s">
        <v>87</v>
      </c>
      <c r="B260" s="90" t="str">
        <f t="array" ref="B260">iferror(INDEX('作品'!D:D,MATCH(A260,'作品'!A:A,0),0),"error")</f>
        <v>姫様“拷問”の時間です</v>
      </c>
      <c r="C260" s="53" t="s">
        <v>566</v>
      </c>
      <c r="D260" s="115" t="str">
        <f t="shared" si="42"/>
        <v>artwork_fragment_gom_00308</v>
      </c>
      <c r="E260" s="115"/>
      <c r="F260" s="115" t="s">
        <v>795</v>
      </c>
      <c r="G260" s="58" t="s">
        <v>797</v>
      </c>
      <c r="H260" s="53" t="s">
        <v>569</v>
      </c>
      <c r="I260" s="94">
        <v>1.0</v>
      </c>
      <c r="J260" s="113"/>
      <c r="K260" s="114"/>
      <c r="L260" s="98"/>
      <c r="M260" s="98"/>
      <c r="N260" s="85"/>
      <c r="O260" s="85"/>
    </row>
    <row r="261">
      <c r="A261" s="99" t="s">
        <v>87</v>
      </c>
      <c r="B261" s="90" t="str">
        <f t="array" ref="B261">iferror(INDEX('作品'!D:D,MATCH(A261,'作品'!A:A,0),0),"error")</f>
        <v>姫様“拷問”の時間です</v>
      </c>
      <c r="C261" s="53" t="s">
        <v>566</v>
      </c>
      <c r="D261" s="115" t="str">
        <f t="shared" si="42"/>
        <v>artwork_fragment_gom_00309</v>
      </c>
      <c r="E261" s="115"/>
      <c r="F261" s="115" t="s">
        <v>795</v>
      </c>
      <c r="G261" s="58" t="s">
        <v>798</v>
      </c>
      <c r="H261" s="53" t="s">
        <v>569</v>
      </c>
      <c r="I261" s="94">
        <v>1.0</v>
      </c>
      <c r="J261" s="113"/>
      <c r="K261" s="114"/>
      <c r="L261" s="98"/>
      <c r="M261" s="98"/>
      <c r="N261" s="85"/>
      <c r="O261" s="85"/>
    </row>
    <row r="262">
      <c r="A262" s="99" t="s">
        <v>87</v>
      </c>
      <c r="B262" s="90" t="str">
        <f t="array" ref="B262">iferror(INDEX('作品'!D:D,MATCH(A262,'作品'!A:A,0),0),"error")</f>
        <v>姫様“拷問”の時間です</v>
      </c>
      <c r="C262" s="53" t="s">
        <v>566</v>
      </c>
      <c r="D262" s="115" t="str">
        <f t="shared" si="42"/>
        <v>artwork_fragment_gom_00310</v>
      </c>
      <c r="E262" s="115"/>
      <c r="F262" s="115" t="s">
        <v>799</v>
      </c>
      <c r="G262" s="58" t="s">
        <v>800</v>
      </c>
      <c r="H262" s="53" t="s">
        <v>569</v>
      </c>
      <c r="I262" s="94">
        <v>1.0</v>
      </c>
      <c r="J262" s="113"/>
      <c r="K262" s="114"/>
      <c r="L262" s="98"/>
      <c r="M262" s="98"/>
      <c r="N262" s="85"/>
      <c r="O262" s="85"/>
    </row>
    <row r="263">
      <c r="A263" s="99" t="s">
        <v>87</v>
      </c>
      <c r="B263" s="90" t="str">
        <f t="array" ref="B263">iferror(INDEX('作品'!D:D,MATCH(A263,'作品'!A:A,0),0),"error")</f>
        <v>姫様“拷問”の時間です</v>
      </c>
      <c r="C263" s="53" t="s">
        <v>566</v>
      </c>
      <c r="D263" s="115" t="str">
        <f t="shared" si="42"/>
        <v>artwork_fragment_gom_00311</v>
      </c>
      <c r="E263" s="115"/>
      <c r="F263" s="115" t="s">
        <v>799</v>
      </c>
      <c r="G263" s="58" t="s">
        <v>801</v>
      </c>
      <c r="H263" s="53" t="s">
        <v>569</v>
      </c>
      <c r="I263" s="94">
        <v>1.0</v>
      </c>
      <c r="J263" s="113"/>
      <c r="K263" s="114"/>
      <c r="L263" s="98"/>
      <c r="M263" s="98"/>
      <c r="N263" s="85"/>
      <c r="O263" s="85"/>
    </row>
    <row r="264">
      <c r="A264" s="99" t="s">
        <v>87</v>
      </c>
      <c r="B264" s="90" t="str">
        <f t="array" ref="B264">iferror(INDEX('作品'!D:D,MATCH(A264,'作品'!A:A,0),0),"error")</f>
        <v>姫様“拷問”の時間です</v>
      </c>
      <c r="C264" s="53" t="s">
        <v>566</v>
      </c>
      <c r="D264" s="115" t="str">
        <f t="shared" si="42"/>
        <v>artwork_fragment_gom_00312</v>
      </c>
      <c r="E264" s="115"/>
      <c r="F264" s="115" t="s">
        <v>799</v>
      </c>
      <c r="G264" s="58" t="s">
        <v>802</v>
      </c>
      <c r="H264" s="53" t="s">
        <v>569</v>
      </c>
      <c r="I264" s="94">
        <v>1.0</v>
      </c>
      <c r="J264" s="113"/>
      <c r="K264" s="114"/>
      <c r="L264" s="98"/>
      <c r="M264" s="98"/>
      <c r="N264" s="85"/>
      <c r="O264" s="85"/>
    </row>
    <row r="265">
      <c r="A265" s="99" t="s">
        <v>87</v>
      </c>
      <c r="B265" s="90" t="str">
        <f t="array" ref="B265">iferror(INDEX('作品'!D:D,MATCH(A265,'作品'!A:A,0),0),"error")</f>
        <v>姫様“拷問”の時間です</v>
      </c>
      <c r="C265" s="53" t="s">
        <v>566</v>
      </c>
      <c r="D265" s="115" t="str">
        <f t="shared" si="42"/>
        <v>artwork_fragment_gom_00313</v>
      </c>
      <c r="E265" s="115"/>
      <c r="F265" s="115" t="s">
        <v>803</v>
      </c>
      <c r="G265" s="58" t="s">
        <v>804</v>
      </c>
      <c r="H265" s="53" t="s">
        <v>569</v>
      </c>
      <c r="I265" s="94">
        <v>1.0</v>
      </c>
      <c r="J265" s="113"/>
      <c r="K265" s="114"/>
      <c r="L265" s="98"/>
      <c r="M265" s="98"/>
      <c r="N265" s="85"/>
      <c r="O265" s="85"/>
    </row>
    <row r="266">
      <c r="A266" s="99" t="s">
        <v>87</v>
      </c>
      <c r="B266" s="90" t="str">
        <f t="array" ref="B266">iferror(INDEX('作品'!D:D,MATCH(A266,'作品'!A:A,0),0),"error")</f>
        <v>姫様“拷問”の時間です</v>
      </c>
      <c r="C266" s="53" t="s">
        <v>566</v>
      </c>
      <c r="D266" s="115" t="str">
        <f t="shared" si="42"/>
        <v>artwork_fragment_gom_00314</v>
      </c>
      <c r="E266" s="115"/>
      <c r="F266" s="115" t="s">
        <v>803</v>
      </c>
      <c r="G266" s="58" t="s">
        <v>805</v>
      </c>
      <c r="H266" s="53" t="s">
        <v>569</v>
      </c>
      <c r="I266" s="94">
        <v>1.0</v>
      </c>
      <c r="J266" s="113"/>
      <c r="K266" s="114"/>
      <c r="L266" s="98"/>
      <c r="M266" s="98"/>
      <c r="N266" s="85"/>
      <c r="O266" s="85"/>
    </row>
    <row r="267">
      <c r="A267" s="99" t="s">
        <v>87</v>
      </c>
      <c r="B267" s="90" t="str">
        <f t="array" ref="B267">iferror(INDEX('作品'!D:D,MATCH(A267,'作品'!A:A,0),0),"error")</f>
        <v>姫様“拷問”の時間です</v>
      </c>
      <c r="C267" s="53" t="s">
        <v>566</v>
      </c>
      <c r="D267" s="115" t="str">
        <f t="shared" si="42"/>
        <v>artwork_fragment_gom_00315</v>
      </c>
      <c r="E267" s="115"/>
      <c r="F267" s="115" t="s">
        <v>803</v>
      </c>
      <c r="G267" s="58" t="s">
        <v>806</v>
      </c>
      <c r="H267" s="53" t="s">
        <v>569</v>
      </c>
      <c r="I267" s="94">
        <v>1.0</v>
      </c>
      <c r="J267" s="113"/>
      <c r="K267" s="114"/>
      <c r="L267" s="98"/>
      <c r="M267" s="98"/>
      <c r="N267" s="85"/>
      <c r="O267" s="85"/>
    </row>
    <row r="268">
      <c r="A268" s="99" t="s">
        <v>87</v>
      </c>
      <c r="B268" s="90" t="str">
        <f t="array" ref="B268">iferror(INDEX('作品'!D:D,MATCH(A268,'作品'!A:A,0),0),"error")</f>
        <v>姫様“拷問”の時間です</v>
      </c>
      <c r="C268" s="53" t="s">
        <v>566</v>
      </c>
      <c r="D268" s="115" t="str">
        <f t="shared" si="42"/>
        <v>artwork_fragment_gom_00316</v>
      </c>
      <c r="E268" s="115"/>
      <c r="F268" s="115" t="s">
        <v>803</v>
      </c>
      <c r="G268" s="58" t="s">
        <v>807</v>
      </c>
      <c r="H268" s="53" t="s">
        <v>569</v>
      </c>
      <c r="I268" s="94">
        <v>1.0</v>
      </c>
      <c r="J268" s="113"/>
      <c r="K268" s="114"/>
      <c r="L268" s="98"/>
      <c r="M268" s="98"/>
      <c r="N268" s="85"/>
      <c r="O268" s="85"/>
    </row>
    <row r="269">
      <c r="A269" s="99" t="s">
        <v>92</v>
      </c>
      <c r="B269" s="90" t="str">
        <f t="array" ref="B269">iferror(INDEX('作品'!D:D,MATCH(A269,'作品'!A:A,0),0),"error")</f>
        <v>チェンソーマン</v>
      </c>
      <c r="C269" s="53" t="s">
        <v>566</v>
      </c>
      <c r="D269" s="115" t="str">
        <f t="shared" ref="D269:D292" si="43">C269&amp;"_"&amp;A269&amp;"_"&amp;TEXT(countif($A$86:A269,A269),"00000")</f>
        <v>artwork_fragment_chi_00001</v>
      </c>
      <c r="E269" s="115"/>
      <c r="F269" s="115"/>
      <c r="G269" s="58" t="s">
        <v>808</v>
      </c>
      <c r="H269" s="53" t="s">
        <v>569</v>
      </c>
      <c r="I269" s="94">
        <v>1.0</v>
      </c>
      <c r="J269" s="113"/>
      <c r="K269" s="114"/>
      <c r="L269" s="98"/>
      <c r="M269" s="98"/>
      <c r="N269" s="85"/>
      <c r="O269" s="85"/>
    </row>
    <row r="270">
      <c r="A270" s="99" t="s">
        <v>92</v>
      </c>
      <c r="B270" s="90" t="str">
        <f t="array" ref="B270">iferror(INDEX('作品'!D:D,MATCH(A270,'作品'!A:A,0),0),"error")</f>
        <v>チェンソーマン</v>
      </c>
      <c r="C270" s="53" t="s">
        <v>566</v>
      </c>
      <c r="D270" s="115" t="str">
        <f t="shared" si="43"/>
        <v>artwork_fragment_chi_00002</v>
      </c>
      <c r="E270" s="115"/>
      <c r="F270" s="115"/>
      <c r="G270" s="58" t="s">
        <v>809</v>
      </c>
      <c r="H270" s="53" t="s">
        <v>569</v>
      </c>
      <c r="I270" s="94">
        <v>1.0</v>
      </c>
      <c r="J270" s="113"/>
      <c r="K270" s="114"/>
      <c r="L270" s="98"/>
      <c r="M270" s="98"/>
      <c r="N270" s="85"/>
      <c r="O270" s="85"/>
    </row>
    <row r="271">
      <c r="A271" s="99" t="s">
        <v>92</v>
      </c>
      <c r="B271" s="90" t="str">
        <f t="array" ref="B271">iferror(INDEX('作品'!D:D,MATCH(A271,'作品'!A:A,0),0),"error")</f>
        <v>チェンソーマン</v>
      </c>
      <c r="C271" s="53" t="s">
        <v>566</v>
      </c>
      <c r="D271" s="115" t="str">
        <f t="shared" si="43"/>
        <v>artwork_fragment_chi_00003</v>
      </c>
      <c r="E271" s="115"/>
      <c r="F271" s="115"/>
      <c r="G271" s="58" t="s">
        <v>810</v>
      </c>
      <c r="H271" s="53" t="s">
        <v>569</v>
      </c>
      <c r="I271" s="94">
        <v>1.0</v>
      </c>
      <c r="J271" s="113"/>
      <c r="K271" s="114"/>
      <c r="L271" s="98"/>
      <c r="M271" s="98"/>
      <c r="N271" s="85"/>
      <c r="O271" s="85"/>
    </row>
    <row r="272">
      <c r="A272" s="99" t="s">
        <v>109</v>
      </c>
      <c r="B272" s="90" t="str">
        <f t="array" ref="B272">iferror(INDEX('作品'!D:D,MATCH(A272,'作品'!A:A,0),0),"error")</f>
        <v>忘却バッテリー</v>
      </c>
      <c r="C272" s="53" t="s">
        <v>566</v>
      </c>
      <c r="D272" s="115" t="str">
        <f t="shared" si="43"/>
        <v>artwork_fragment_bat_00001</v>
      </c>
      <c r="E272" s="115"/>
      <c r="F272" s="115"/>
      <c r="G272" s="58" t="s">
        <v>811</v>
      </c>
      <c r="H272" s="53" t="s">
        <v>569</v>
      </c>
      <c r="I272" s="94">
        <v>1.0</v>
      </c>
      <c r="J272" s="113"/>
      <c r="K272" s="114"/>
      <c r="L272" s="98"/>
      <c r="M272" s="98"/>
      <c r="N272" s="85"/>
      <c r="O272" s="85"/>
    </row>
    <row r="273">
      <c r="A273" s="99" t="s">
        <v>109</v>
      </c>
      <c r="B273" s="90" t="str">
        <f t="array" ref="B273">iferror(INDEX('作品'!D:D,MATCH(A273,'作品'!A:A,0),0),"error")</f>
        <v>忘却バッテリー</v>
      </c>
      <c r="C273" s="53" t="s">
        <v>566</v>
      </c>
      <c r="D273" s="115" t="str">
        <f t="shared" si="43"/>
        <v>artwork_fragment_bat_00002</v>
      </c>
      <c r="E273" s="115"/>
      <c r="F273" s="115"/>
      <c r="G273" s="58" t="s">
        <v>812</v>
      </c>
      <c r="H273" s="53" t="s">
        <v>569</v>
      </c>
      <c r="I273" s="94">
        <v>1.0</v>
      </c>
      <c r="J273" s="113"/>
      <c r="K273" s="114"/>
      <c r="L273" s="98"/>
      <c r="M273" s="98"/>
      <c r="N273" s="85"/>
      <c r="O273" s="85"/>
    </row>
    <row r="274">
      <c r="A274" s="99" t="s">
        <v>109</v>
      </c>
      <c r="B274" s="90" t="str">
        <f t="array" ref="B274">iferror(INDEX('作品'!D:D,MATCH(A274,'作品'!A:A,0),0),"error")</f>
        <v>忘却バッテリー</v>
      </c>
      <c r="C274" s="53" t="s">
        <v>566</v>
      </c>
      <c r="D274" s="115" t="str">
        <f t="shared" si="43"/>
        <v>artwork_fragment_bat_00003</v>
      </c>
      <c r="E274" s="115"/>
      <c r="F274" s="115"/>
      <c r="G274" s="58" t="s">
        <v>813</v>
      </c>
      <c r="H274" s="53" t="s">
        <v>569</v>
      </c>
      <c r="I274" s="94">
        <v>1.0</v>
      </c>
      <c r="J274" s="113"/>
      <c r="K274" s="114"/>
      <c r="L274" s="98"/>
      <c r="M274" s="98"/>
      <c r="N274" s="85"/>
      <c r="O274" s="85"/>
    </row>
    <row r="275">
      <c r="A275" s="99" t="s">
        <v>115</v>
      </c>
      <c r="B275" s="90" t="str">
        <f t="array" ref="B275">iferror(INDEX('作品'!D:D,MATCH(A275,'作品'!A:A,0),0),"error")</f>
        <v>怪獣８号</v>
      </c>
      <c r="C275" s="53" t="s">
        <v>566</v>
      </c>
      <c r="D275" s="115" t="str">
        <f t="shared" si="43"/>
        <v>artwork_fragment_kai_00001</v>
      </c>
      <c r="E275" s="115"/>
      <c r="F275" s="115"/>
      <c r="G275" s="58" t="s">
        <v>814</v>
      </c>
      <c r="H275" s="53" t="s">
        <v>569</v>
      </c>
      <c r="I275" s="94">
        <v>1.0</v>
      </c>
      <c r="J275" s="113"/>
      <c r="K275" s="114"/>
      <c r="L275" s="98"/>
      <c r="M275" s="98"/>
      <c r="N275" s="85"/>
      <c r="O275" s="85"/>
    </row>
    <row r="276">
      <c r="A276" s="99" t="s">
        <v>115</v>
      </c>
      <c r="B276" s="90" t="str">
        <f t="array" ref="B276">iferror(INDEX('作品'!D:D,MATCH(A276,'作品'!A:A,0),0),"error")</f>
        <v>怪獣８号</v>
      </c>
      <c r="C276" s="53" t="s">
        <v>566</v>
      </c>
      <c r="D276" s="115" t="str">
        <f t="shared" si="43"/>
        <v>artwork_fragment_kai_00002</v>
      </c>
      <c r="E276" s="115"/>
      <c r="F276" s="115"/>
      <c r="G276" s="58" t="s">
        <v>815</v>
      </c>
      <c r="H276" s="53" t="s">
        <v>569</v>
      </c>
      <c r="I276" s="94">
        <v>1.0</v>
      </c>
      <c r="J276" s="113"/>
      <c r="K276" s="114"/>
      <c r="L276" s="98"/>
      <c r="M276" s="98"/>
      <c r="N276" s="85"/>
      <c r="O276" s="85"/>
    </row>
    <row r="277">
      <c r="A277" s="99" t="s">
        <v>115</v>
      </c>
      <c r="B277" s="90" t="str">
        <f t="array" ref="B277">iferror(INDEX('作品'!D:D,MATCH(A277,'作品'!A:A,0),0),"error")</f>
        <v>怪獣８号</v>
      </c>
      <c r="C277" s="53" t="s">
        <v>566</v>
      </c>
      <c r="D277" s="115" t="str">
        <f t="shared" si="43"/>
        <v>artwork_fragment_kai_00003</v>
      </c>
      <c r="E277" s="115"/>
      <c r="F277" s="115"/>
      <c r="G277" s="58" t="s">
        <v>816</v>
      </c>
      <c r="H277" s="53" t="s">
        <v>569</v>
      </c>
      <c r="I277" s="94">
        <v>1.0</v>
      </c>
      <c r="J277" s="113"/>
      <c r="K277" s="114"/>
      <c r="L277" s="98"/>
      <c r="M277" s="98"/>
      <c r="N277" s="85"/>
      <c r="O277" s="85"/>
    </row>
    <row r="278">
      <c r="A278" s="99" t="s">
        <v>121</v>
      </c>
      <c r="B278" s="90" t="str">
        <f t="array" ref="B278">iferror(INDEX('作品'!D:D,MATCH(A278,'作品'!A:A,0),0),"error")</f>
        <v>2.5次元の誘惑</v>
      </c>
      <c r="C278" s="53" t="s">
        <v>566</v>
      </c>
      <c r="D278" s="115" t="str">
        <f t="shared" si="43"/>
        <v>artwork_fragment_yuw_00001</v>
      </c>
      <c r="E278" s="115"/>
      <c r="F278" s="115"/>
      <c r="G278" s="58" t="s">
        <v>817</v>
      </c>
      <c r="H278" s="53" t="s">
        <v>569</v>
      </c>
      <c r="I278" s="94">
        <v>1.0</v>
      </c>
      <c r="J278" s="113"/>
      <c r="K278" s="114"/>
      <c r="L278" s="98"/>
      <c r="M278" s="98"/>
      <c r="N278" s="85"/>
      <c r="O278" s="85"/>
    </row>
    <row r="279">
      <c r="A279" s="99" t="s">
        <v>121</v>
      </c>
      <c r="B279" s="90" t="str">
        <f t="array" ref="B279">iferror(INDEX('作品'!D:D,MATCH(A279,'作品'!A:A,0),0),"error")</f>
        <v>2.5次元の誘惑</v>
      </c>
      <c r="C279" s="53" t="s">
        <v>566</v>
      </c>
      <c r="D279" s="115" t="str">
        <f t="shared" si="43"/>
        <v>artwork_fragment_yuw_00002</v>
      </c>
      <c r="E279" s="115"/>
      <c r="F279" s="115"/>
      <c r="G279" s="58" t="s">
        <v>818</v>
      </c>
      <c r="H279" s="53" t="s">
        <v>569</v>
      </c>
      <c r="I279" s="94">
        <v>1.0</v>
      </c>
      <c r="J279" s="113"/>
      <c r="K279" s="114"/>
      <c r="L279" s="98"/>
      <c r="M279" s="98"/>
      <c r="N279" s="85"/>
      <c r="O279" s="85"/>
    </row>
    <row r="280">
      <c r="A280" s="99" t="s">
        <v>121</v>
      </c>
      <c r="B280" s="90" t="str">
        <f t="array" ref="B280">iferror(INDEX('作品'!D:D,MATCH(A280,'作品'!A:A,0),0),"error")</f>
        <v>2.5次元の誘惑</v>
      </c>
      <c r="C280" s="53" t="s">
        <v>566</v>
      </c>
      <c r="D280" s="115" t="str">
        <f t="shared" si="43"/>
        <v>artwork_fragment_yuw_00003</v>
      </c>
      <c r="E280" s="115"/>
      <c r="F280" s="115"/>
      <c r="G280" s="58" t="s">
        <v>819</v>
      </c>
      <c r="H280" s="53" t="s">
        <v>569</v>
      </c>
      <c r="I280" s="94">
        <v>1.0</v>
      </c>
      <c r="J280" s="113"/>
      <c r="K280" s="114"/>
      <c r="L280" s="98"/>
      <c r="M280" s="98"/>
      <c r="N280" s="85"/>
      <c r="O280" s="85"/>
    </row>
    <row r="281">
      <c r="A281" s="99" t="s">
        <v>127</v>
      </c>
      <c r="B281" s="90" t="str">
        <f t="array" ref="B281">iferror(INDEX('作品'!D:D,MATCH(A281,'作品'!A:A,0),0),"error")</f>
        <v>魔都精兵のスレイブ</v>
      </c>
      <c r="C281" s="53" t="s">
        <v>566</v>
      </c>
      <c r="D281" s="115" t="str">
        <f t="shared" si="43"/>
        <v>artwork_fragment_sur_00001</v>
      </c>
      <c r="E281" s="115"/>
      <c r="F281" s="115"/>
      <c r="G281" s="58" t="s">
        <v>820</v>
      </c>
      <c r="H281" s="53" t="s">
        <v>569</v>
      </c>
      <c r="I281" s="94">
        <v>1.0</v>
      </c>
      <c r="J281" s="113"/>
      <c r="K281" s="114"/>
      <c r="L281" s="98"/>
      <c r="M281" s="98"/>
      <c r="N281" s="85"/>
      <c r="O281" s="85"/>
    </row>
    <row r="282">
      <c r="A282" s="99" t="s">
        <v>127</v>
      </c>
      <c r="B282" s="90" t="str">
        <f t="array" ref="B282">iferror(INDEX('作品'!D:D,MATCH(A282,'作品'!A:A,0),0),"error")</f>
        <v>魔都精兵のスレイブ</v>
      </c>
      <c r="C282" s="53" t="s">
        <v>566</v>
      </c>
      <c r="D282" s="115" t="str">
        <f t="shared" si="43"/>
        <v>artwork_fragment_sur_00002</v>
      </c>
      <c r="E282" s="115"/>
      <c r="F282" s="115"/>
      <c r="G282" s="58" t="s">
        <v>821</v>
      </c>
      <c r="H282" s="53" t="s">
        <v>569</v>
      </c>
      <c r="I282" s="94">
        <v>1.0</v>
      </c>
      <c r="J282" s="113"/>
      <c r="K282" s="114"/>
      <c r="L282" s="98"/>
      <c r="M282" s="98"/>
      <c r="N282" s="85"/>
      <c r="O282" s="85"/>
    </row>
    <row r="283">
      <c r="A283" s="99" t="s">
        <v>127</v>
      </c>
      <c r="B283" s="90" t="str">
        <f t="array" ref="B283">iferror(INDEX('作品'!D:D,MATCH(A283,'作品'!A:A,0),0),"error")</f>
        <v>魔都精兵のスレイブ</v>
      </c>
      <c r="C283" s="53" t="s">
        <v>566</v>
      </c>
      <c r="D283" s="115" t="str">
        <f t="shared" si="43"/>
        <v>artwork_fragment_sur_00003</v>
      </c>
      <c r="E283" s="115"/>
      <c r="F283" s="115"/>
      <c r="G283" s="58" t="s">
        <v>822</v>
      </c>
      <c r="H283" s="53" t="s">
        <v>569</v>
      </c>
      <c r="I283" s="94">
        <v>1.0</v>
      </c>
      <c r="J283" s="113"/>
      <c r="K283" s="114"/>
      <c r="L283" s="98"/>
      <c r="M283" s="98"/>
      <c r="N283" s="85"/>
      <c r="O283" s="85"/>
    </row>
    <row r="284">
      <c r="A284" s="99" t="s">
        <v>132</v>
      </c>
      <c r="B284" s="90" t="str">
        <f t="array" ref="B284">iferror(INDEX('作品'!D:D,MATCH(A284,'作品'!A:A,0),0),"error")</f>
        <v>鴨乃橋ロンの禁断推理</v>
      </c>
      <c r="C284" s="53" t="s">
        <v>566</v>
      </c>
      <c r="D284" s="115" t="str">
        <f t="shared" si="43"/>
        <v>artwork_fragment_ron_00001</v>
      </c>
      <c r="E284" s="115"/>
      <c r="F284" s="115"/>
      <c r="G284" s="58" t="s">
        <v>823</v>
      </c>
      <c r="H284" s="53" t="s">
        <v>569</v>
      </c>
      <c r="I284" s="94">
        <v>1.0</v>
      </c>
      <c r="J284" s="113"/>
      <c r="K284" s="114"/>
      <c r="L284" s="98"/>
      <c r="M284" s="98"/>
      <c r="N284" s="85"/>
      <c r="O284" s="85"/>
    </row>
    <row r="285">
      <c r="A285" s="99" t="s">
        <v>132</v>
      </c>
      <c r="B285" s="90" t="str">
        <f t="array" ref="B285">iferror(INDEX('作品'!D:D,MATCH(A285,'作品'!A:A,0),0),"error")</f>
        <v>鴨乃橋ロンの禁断推理</v>
      </c>
      <c r="C285" s="53" t="s">
        <v>566</v>
      </c>
      <c r="D285" s="115" t="str">
        <f t="shared" si="43"/>
        <v>artwork_fragment_ron_00002</v>
      </c>
      <c r="E285" s="115"/>
      <c r="F285" s="115"/>
      <c r="G285" s="58" t="s">
        <v>824</v>
      </c>
      <c r="H285" s="53" t="s">
        <v>569</v>
      </c>
      <c r="I285" s="94">
        <v>1.0</v>
      </c>
      <c r="J285" s="113"/>
      <c r="K285" s="114"/>
      <c r="L285" s="98"/>
      <c r="M285" s="98"/>
      <c r="N285" s="85"/>
      <c r="O285" s="85"/>
    </row>
    <row r="286">
      <c r="A286" s="99" t="s">
        <v>132</v>
      </c>
      <c r="B286" s="90" t="str">
        <f t="array" ref="B286">iferror(INDEX('作品'!D:D,MATCH(A286,'作品'!A:A,0),0),"error")</f>
        <v>鴨乃橋ロンの禁断推理</v>
      </c>
      <c r="C286" s="53" t="s">
        <v>566</v>
      </c>
      <c r="D286" s="115" t="str">
        <f t="shared" si="43"/>
        <v>artwork_fragment_ron_00003</v>
      </c>
      <c r="E286" s="115"/>
      <c r="F286" s="115"/>
      <c r="G286" s="58" t="s">
        <v>825</v>
      </c>
      <c r="H286" s="53" t="s">
        <v>569</v>
      </c>
      <c r="I286" s="94">
        <v>1.0</v>
      </c>
      <c r="J286" s="113"/>
      <c r="K286" s="114"/>
      <c r="L286" s="98"/>
      <c r="M286" s="98"/>
      <c r="N286" s="85"/>
      <c r="O286" s="85"/>
    </row>
    <row r="287">
      <c r="A287" s="99" t="s">
        <v>138</v>
      </c>
      <c r="B287" s="90" t="str">
        <f t="array" ref="B287">iferror(INDEX('作品'!D:D,MATCH(A287,'作品'!A:A,0),0),"error")</f>
        <v>阿波連さんははかれない</v>
      </c>
      <c r="C287" s="53" t="s">
        <v>566</v>
      </c>
      <c r="D287" s="115" t="str">
        <f t="shared" si="43"/>
        <v>artwork_fragment_aha_00001</v>
      </c>
      <c r="E287" s="115"/>
      <c r="F287" s="115"/>
      <c r="G287" s="58" t="s">
        <v>826</v>
      </c>
      <c r="H287" s="53" t="s">
        <v>569</v>
      </c>
      <c r="I287" s="94">
        <v>1.0</v>
      </c>
      <c r="J287" s="113"/>
      <c r="K287" s="114"/>
      <c r="L287" s="98"/>
      <c r="M287" s="98"/>
      <c r="N287" s="85"/>
      <c r="O287" s="85"/>
    </row>
    <row r="288">
      <c r="A288" s="99" t="s">
        <v>138</v>
      </c>
      <c r="B288" s="90" t="str">
        <f t="array" ref="B288">iferror(INDEX('作品'!D:D,MATCH(A288,'作品'!A:A,0),0),"error")</f>
        <v>阿波連さんははかれない</v>
      </c>
      <c r="C288" s="53" t="s">
        <v>566</v>
      </c>
      <c r="D288" s="115" t="str">
        <f t="shared" si="43"/>
        <v>artwork_fragment_aha_00002</v>
      </c>
      <c r="E288" s="115"/>
      <c r="F288" s="115"/>
      <c r="G288" s="58" t="s">
        <v>827</v>
      </c>
      <c r="H288" s="53" t="s">
        <v>569</v>
      </c>
      <c r="I288" s="94">
        <v>1.0</v>
      </c>
      <c r="J288" s="113"/>
      <c r="K288" s="114"/>
      <c r="L288" s="98"/>
      <c r="M288" s="98"/>
      <c r="N288" s="85"/>
      <c r="O288" s="85"/>
    </row>
    <row r="289">
      <c r="A289" s="99" t="s">
        <v>138</v>
      </c>
      <c r="B289" s="90" t="str">
        <f t="array" ref="B289">iferror(INDEX('作品'!D:D,MATCH(A289,'作品'!A:A,0),0),"error")</f>
        <v>阿波連さんははかれない</v>
      </c>
      <c r="C289" s="53" t="s">
        <v>566</v>
      </c>
      <c r="D289" s="115" t="str">
        <f t="shared" si="43"/>
        <v>artwork_fragment_aha_00003</v>
      </c>
      <c r="E289" s="115"/>
      <c r="F289" s="115"/>
      <c r="G289" s="58" t="s">
        <v>828</v>
      </c>
      <c r="H289" s="53" t="s">
        <v>569</v>
      </c>
      <c r="I289" s="94">
        <v>1.0</v>
      </c>
      <c r="J289" s="113"/>
      <c r="K289" s="114"/>
      <c r="L289" s="98"/>
      <c r="M289" s="98"/>
      <c r="N289" s="85"/>
      <c r="O289" s="85"/>
    </row>
    <row r="290">
      <c r="A290" s="99" t="s">
        <v>153</v>
      </c>
      <c r="B290" s="90" t="str">
        <f t="array" ref="B290">iferror(INDEX('作品'!D:D,MATCH(A290,'作品'!A:A,0),0),"error")</f>
        <v>タコピーの原罪</v>
      </c>
      <c r="C290" s="53" t="s">
        <v>566</v>
      </c>
      <c r="D290" s="115" t="str">
        <f t="shared" si="43"/>
        <v>artwork_fragment_tak_00001</v>
      </c>
      <c r="E290" s="115"/>
      <c r="F290" s="115"/>
      <c r="G290" s="58" t="s">
        <v>829</v>
      </c>
      <c r="H290" s="53" t="s">
        <v>569</v>
      </c>
      <c r="I290" s="94">
        <v>1.0</v>
      </c>
      <c r="J290" s="113"/>
      <c r="K290" s="114"/>
      <c r="L290" s="98"/>
      <c r="M290" s="98"/>
      <c r="N290" s="85"/>
      <c r="O290" s="85"/>
    </row>
    <row r="291">
      <c r="A291" s="99" t="s">
        <v>153</v>
      </c>
      <c r="B291" s="90" t="str">
        <f t="array" ref="B291">iferror(INDEX('作品'!D:D,MATCH(A291,'作品'!A:A,0),0),"error")</f>
        <v>タコピーの原罪</v>
      </c>
      <c r="C291" s="53" t="s">
        <v>566</v>
      </c>
      <c r="D291" s="115" t="str">
        <f t="shared" si="43"/>
        <v>artwork_fragment_tak_00002</v>
      </c>
      <c r="E291" s="115"/>
      <c r="F291" s="115"/>
      <c r="G291" s="58" t="s">
        <v>830</v>
      </c>
      <c r="H291" s="53" t="s">
        <v>569</v>
      </c>
      <c r="I291" s="94">
        <v>1.0</v>
      </c>
      <c r="J291" s="113"/>
      <c r="K291" s="114"/>
      <c r="L291" s="98"/>
      <c r="M291" s="98"/>
      <c r="N291" s="85"/>
      <c r="O291" s="85"/>
    </row>
    <row r="292">
      <c r="A292" s="99" t="s">
        <v>153</v>
      </c>
      <c r="B292" s="90" t="str">
        <f t="array" ref="B292">iferror(INDEX('作品'!D:D,MATCH(A292,'作品'!A:A,0),0),"error")</f>
        <v>タコピーの原罪</v>
      </c>
      <c r="C292" s="53" t="s">
        <v>566</v>
      </c>
      <c r="D292" s="115" t="str">
        <f t="shared" si="43"/>
        <v>artwork_fragment_tak_00003</v>
      </c>
      <c r="E292" s="115"/>
      <c r="F292" s="115"/>
      <c r="G292" s="58" t="s">
        <v>831</v>
      </c>
      <c r="H292" s="53" t="s">
        <v>569</v>
      </c>
      <c r="I292" s="94">
        <v>1.0</v>
      </c>
      <c r="J292" s="113"/>
      <c r="K292" s="116"/>
      <c r="L292" s="98"/>
      <c r="M292" s="98"/>
      <c r="N292" s="85"/>
      <c r="O292" s="85"/>
    </row>
    <row r="293">
      <c r="A293" s="99" t="s">
        <v>148</v>
      </c>
      <c r="B293" s="90" t="str">
        <f t="array" ref="B293">iferror(INDEX('作品'!D:D,MATCH(A293,'作品'!A:A,0),0),"error")</f>
        <v>地獄楽</v>
      </c>
      <c r="C293" s="53" t="s">
        <v>566</v>
      </c>
      <c r="D293" s="115" t="str">
        <f t="shared" ref="D293:D308" si="44">C293&amp;"_"&amp;A293&amp;"_"&amp;TEXT(countif($A$293:$A293,A293),"00100")</f>
        <v>artwork_fragment_jig_00101</v>
      </c>
      <c r="E293" s="115"/>
      <c r="F293" s="115" t="s">
        <v>832</v>
      </c>
      <c r="G293" s="58" t="s">
        <v>833</v>
      </c>
      <c r="H293" s="53" t="s">
        <v>569</v>
      </c>
      <c r="I293" s="94">
        <v>1.0</v>
      </c>
      <c r="J293" s="113"/>
      <c r="K293" s="116"/>
      <c r="L293" s="98"/>
      <c r="M293" s="98"/>
      <c r="N293" s="85"/>
      <c r="O293" s="85"/>
    </row>
    <row r="294">
      <c r="A294" s="99" t="s">
        <v>148</v>
      </c>
      <c r="B294" s="90" t="str">
        <f t="array" ref="B294">iferror(INDEX('作品'!D:D,MATCH(A294,'作品'!A:A,0),0),"error")</f>
        <v>地獄楽</v>
      </c>
      <c r="C294" s="53" t="s">
        <v>566</v>
      </c>
      <c r="D294" s="115" t="str">
        <f t="shared" si="44"/>
        <v>artwork_fragment_jig_00102</v>
      </c>
      <c r="E294" s="115"/>
      <c r="F294" s="115" t="s">
        <v>832</v>
      </c>
      <c r="G294" s="58" t="s">
        <v>834</v>
      </c>
      <c r="H294" s="53" t="s">
        <v>569</v>
      </c>
      <c r="I294" s="94">
        <v>1.0</v>
      </c>
      <c r="J294" s="113"/>
      <c r="K294" s="116"/>
      <c r="L294" s="98"/>
      <c r="M294" s="98"/>
      <c r="N294" s="85"/>
      <c r="O294" s="85"/>
    </row>
    <row r="295">
      <c r="A295" s="99" t="s">
        <v>148</v>
      </c>
      <c r="B295" s="90" t="str">
        <f t="array" ref="B295">iferror(INDEX('作品'!D:D,MATCH(A295,'作品'!A:A,0),0),"error")</f>
        <v>地獄楽</v>
      </c>
      <c r="C295" s="53" t="s">
        <v>566</v>
      </c>
      <c r="D295" s="115" t="str">
        <f t="shared" si="44"/>
        <v>artwork_fragment_jig_00103</v>
      </c>
      <c r="E295" s="115"/>
      <c r="F295" s="115" t="s">
        <v>832</v>
      </c>
      <c r="G295" s="58" t="s">
        <v>835</v>
      </c>
      <c r="H295" s="53" t="s">
        <v>569</v>
      </c>
      <c r="I295" s="94">
        <v>1.0</v>
      </c>
      <c r="J295" s="113"/>
      <c r="K295" s="116"/>
      <c r="L295" s="98"/>
      <c r="M295" s="98"/>
      <c r="N295" s="85"/>
      <c r="O295" s="85"/>
    </row>
    <row r="296">
      <c r="A296" s="99" t="s">
        <v>148</v>
      </c>
      <c r="B296" s="90" t="str">
        <f t="array" ref="B296">iferror(INDEX('作品'!D:D,MATCH(A296,'作品'!A:A,0),0),"error")</f>
        <v>地獄楽</v>
      </c>
      <c r="C296" s="53" t="s">
        <v>566</v>
      </c>
      <c r="D296" s="115" t="str">
        <f t="shared" si="44"/>
        <v>artwork_fragment_jig_00104</v>
      </c>
      <c r="E296" s="115"/>
      <c r="F296" s="115" t="s">
        <v>836</v>
      </c>
      <c r="G296" s="58" t="s">
        <v>837</v>
      </c>
      <c r="H296" s="53" t="s">
        <v>569</v>
      </c>
      <c r="I296" s="94">
        <v>1.0</v>
      </c>
      <c r="J296" s="113"/>
      <c r="K296" s="116"/>
      <c r="L296" s="98"/>
      <c r="M296" s="98"/>
      <c r="N296" s="85"/>
      <c r="O296" s="85"/>
    </row>
    <row r="297">
      <c r="A297" s="99" t="s">
        <v>148</v>
      </c>
      <c r="B297" s="90" t="str">
        <f t="array" ref="B297">iferror(INDEX('作品'!D:D,MATCH(A297,'作品'!A:A,0),0),"error")</f>
        <v>地獄楽</v>
      </c>
      <c r="C297" s="53" t="s">
        <v>566</v>
      </c>
      <c r="D297" s="115" t="str">
        <f t="shared" si="44"/>
        <v>artwork_fragment_jig_00105</v>
      </c>
      <c r="E297" s="115"/>
      <c r="F297" s="115" t="s">
        <v>836</v>
      </c>
      <c r="G297" s="58" t="s">
        <v>838</v>
      </c>
      <c r="H297" s="53" t="s">
        <v>569</v>
      </c>
      <c r="I297" s="94">
        <v>1.0</v>
      </c>
      <c r="J297" s="113"/>
      <c r="K297" s="116"/>
      <c r="L297" s="98"/>
      <c r="M297" s="98"/>
      <c r="N297" s="85"/>
      <c r="O297" s="85"/>
    </row>
    <row r="298">
      <c r="A298" s="99" t="s">
        <v>148</v>
      </c>
      <c r="B298" s="90" t="str">
        <f t="array" ref="B298">iferror(INDEX('作品'!D:D,MATCH(A298,'作品'!A:A,0),0),"error")</f>
        <v>地獄楽</v>
      </c>
      <c r="C298" s="53" t="s">
        <v>566</v>
      </c>
      <c r="D298" s="115" t="str">
        <f t="shared" si="44"/>
        <v>artwork_fragment_jig_00106</v>
      </c>
      <c r="E298" s="115"/>
      <c r="F298" s="115" t="s">
        <v>836</v>
      </c>
      <c r="G298" s="58" t="s">
        <v>839</v>
      </c>
      <c r="H298" s="53" t="s">
        <v>569</v>
      </c>
      <c r="I298" s="94">
        <v>1.0</v>
      </c>
      <c r="J298" s="113"/>
      <c r="K298" s="116"/>
      <c r="L298" s="98"/>
      <c r="M298" s="98"/>
      <c r="N298" s="85"/>
      <c r="O298" s="85"/>
    </row>
    <row r="299">
      <c r="A299" s="99" t="s">
        <v>148</v>
      </c>
      <c r="B299" s="90" t="str">
        <f t="array" ref="B299">iferror(INDEX('作品'!D:D,MATCH(A299,'作品'!A:A,0),0),"error")</f>
        <v>地獄楽</v>
      </c>
      <c r="C299" s="53" t="s">
        <v>566</v>
      </c>
      <c r="D299" s="115" t="str">
        <f t="shared" si="44"/>
        <v>artwork_fragment_jig_00107</v>
      </c>
      <c r="E299" s="115"/>
      <c r="F299" s="115" t="s">
        <v>840</v>
      </c>
      <c r="G299" s="58" t="s">
        <v>841</v>
      </c>
      <c r="H299" s="53" t="s">
        <v>569</v>
      </c>
      <c r="I299" s="94">
        <v>1.0</v>
      </c>
      <c r="J299" s="113"/>
      <c r="K299" s="116"/>
      <c r="L299" s="98"/>
      <c r="M299" s="98"/>
      <c r="N299" s="85"/>
      <c r="O299" s="85"/>
    </row>
    <row r="300">
      <c r="A300" s="99" t="s">
        <v>148</v>
      </c>
      <c r="B300" s="90" t="str">
        <f t="array" ref="B300">iferror(INDEX('作品'!D:D,MATCH(A300,'作品'!A:A,0),0),"error")</f>
        <v>地獄楽</v>
      </c>
      <c r="C300" s="53" t="s">
        <v>566</v>
      </c>
      <c r="D300" s="115" t="str">
        <f t="shared" si="44"/>
        <v>artwork_fragment_jig_00108</v>
      </c>
      <c r="E300" s="115"/>
      <c r="F300" s="115" t="s">
        <v>840</v>
      </c>
      <c r="G300" s="58" t="s">
        <v>842</v>
      </c>
      <c r="H300" s="53" t="s">
        <v>569</v>
      </c>
      <c r="I300" s="94">
        <v>1.0</v>
      </c>
      <c r="J300" s="113"/>
      <c r="K300" s="116"/>
      <c r="L300" s="98"/>
      <c r="M300" s="98"/>
      <c r="N300" s="85"/>
      <c r="O300" s="85"/>
    </row>
    <row r="301">
      <c r="A301" s="99" t="s">
        <v>148</v>
      </c>
      <c r="B301" s="90" t="str">
        <f t="array" ref="B301">iferror(INDEX('作品'!D:D,MATCH(A301,'作品'!A:A,0),0),"error")</f>
        <v>地獄楽</v>
      </c>
      <c r="C301" s="53" t="s">
        <v>566</v>
      </c>
      <c r="D301" s="115" t="str">
        <f t="shared" si="44"/>
        <v>artwork_fragment_jig_00109</v>
      </c>
      <c r="E301" s="115"/>
      <c r="F301" s="115" t="s">
        <v>840</v>
      </c>
      <c r="G301" s="58" t="s">
        <v>843</v>
      </c>
      <c r="H301" s="53" t="s">
        <v>569</v>
      </c>
      <c r="I301" s="94">
        <v>1.0</v>
      </c>
      <c r="J301" s="113"/>
      <c r="K301" s="116"/>
      <c r="L301" s="98"/>
      <c r="M301" s="98"/>
      <c r="N301" s="85"/>
      <c r="O301" s="85"/>
    </row>
    <row r="302">
      <c r="A302" s="99" t="s">
        <v>148</v>
      </c>
      <c r="B302" s="90" t="str">
        <f t="array" ref="B302">iferror(INDEX('作品'!D:D,MATCH(A302,'作品'!A:A,0),0),"error")</f>
        <v>地獄楽</v>
      </c>
      <c r="C302" s="53" t="s">
        <v>566</v>
      </c>
      <c r="D302" s="115" t="str">
        <f t="shared" si="44"/>
        <v>artwork_fragment_jig_00110</v>
      </c>
      <c r="E302" s="115"/>
      <c r="F302" s="115" t="s">
        <v>844</v>
      </c>
      <c r="G302" s="58" t="s">
        <v>845</v>
      </c>
      <c r="H302" s="53" t="s">
        <v>569</v>
      </c>
      <c r="I302" s="94">
        <v>1.0</v>
      </c>
      <c r="J302" s="113"/>
      <c r="K302" s="116"/>
      <c r="L302" s="98"/>
      <c r="M302" s="98"/>
      <c r="N302" s="85"/>
      <c r="O302" s="85"/>
    </row>
    <row r="303">
      <c r="A303" s="99" t="s">
        <v>148</v>
      </c>
      <c r="B303" s="90" t="str">
        <f t="array" ref="B303">iferror(INDEX('作品'!D:D,MATCH(A303,'作品'!A:A,0),0),"error")</f>
        <v>地獄楽</v>
      </c>
      <c r="C303" s="53" t="s">
        <v>566</v>
      </c>
      <c r="D303" s="115" t="str">
        <f t="shared" si="44"/>
        <v>artwork_fragment_jig_00111</v>
      </c>
      <c r="E303" s="115"/>
      <c r="F303" s="115" t="s">
        <v>844</v>
      </c>
      <c r="G303" s="58" t="s">
        <v>846</v>
      </c>
      <c r="H303" s="53" t="s">
        <v>569</v>
      </c>
      <c r="I303" s="94">
        <v>1.0</v>
      </c>
      <c r="J303" s="113"/>
      <c r="K303" s="116"/>
      <c r="L303" s="98"/>
      <c r="M303" s="98"/>
      <c r="N303" s="85"/>
      <c r="O303" s="85"/>
    </row>
    <row r="304">
      <c r="A304" s="99" t="s">
        <v>148</v>
      </c>
      <c r="B304" s="90" t="str">
        <f t="array" ref="B304">iferror(INDEX('作品'!D:D,MATCH(A304,'作品'!A:A,0),0),"error")</f>
        <v>地獄楽</v>
      </c>
      <c r="C304" s="53" t="s">
        <v>566</v>
      </c>
      <c r="D304" s="115" t="str">
        <f t="shared" si="44"/>
        <v>artwork_fragment_jig_00112</v>
      </c>
      <c r="E304" s="115"/>
      <c r="F304" s="115" t="s">
        <v>844</v>
      </c>
      <c r="G304" s="58" t="s">
        <v>847</v>
      </c>
      <c r="H304" s="53" t="s">
        <v>569</v>
      </c>
      <c r="I304" s="94">
        <v>1.0</v>
      </c>
      <c r="J304" s="113"/>
      <c r="K304" s="116"/>
      <c r="L304" s="98"/>
      <c r="M304" s="98"/>
      <c r="N304" s="85"/>
      <c r="O304" s="85"/>
    </row>
    <row r="305">
      <c r="A305" s="99" t="s">
        <v>148</v>
      </c>
      <c r="B305" s="90" t="str">
        <f t="array" ref="B305">iferror(INDEX('作品'!D:D,MATCH(A305,'作品'!A:A,0),0),"error")</f>
        <v>地獄楽</v>
      </c>
      <c r="C305" s="53" t="s">
        <v>566</v>
      </c>
      <c r="D305" s="115" t="str">
        <f t="shared" si="44"/>
        <v>artwork_fragment_jig_00113</v>
      </c>
      <c r="E305" s="115"/>
      <c r="F305" s="115" t="s">
        <v>848</v>
      </c>
      <c r="G305" s="58" t="s">
        <v>849</v>
      </c>
      <c r="H305" s="53" t="s">
        <v>569</v>
      </c>
      <c r="I305" s="94">
        <v>1.0</v>
      </c>
      <c r="J305" s="113"/>
      <c r="K305" s="116"/>
      <c r="L305" s="98"/>
      <c r="M305" s="98"/>
      <c r="N305" s="85"/>
      <c r="O305" s="85"/>
    </row>
    <row r="306">
      <c r="A306" s="99" t="s">
        <v>148</v>
      </c>
      <c r="B306" s="90" t="str">
        <f t="array" ref="B306">iferror(INDEX('作品'!D:D,MATCH(A306,'作品'!A:A,0),0),"error")</f>
        <v>地獄楽</v>
      </c>
      <c r="C306" s="53" t="s">
        <v>566</v>
      </c>
      <c r="D306" s="115" t="str">
        <f t="shared" si="44"/>
        <v>artwork_fragment_jig_00114</v>
      </c>
      <c r="E306" s="115"/>
      <c r="F306" s="115" t="s">
        <v>848</v>
      </c>
      <c r="G306" s="58" t="s">
        <v>850</v>
      </c>
      <c r="H306" s="53" t="s">
        <v>569</v>
      </c>
      <c r="I306" s="94">
        <v>1.0</v>
      </c>
      <c r="J306" s="113"/>
      <c r="K306" s="116"/>
      <c r="L306" s="98"/>
      <c r="M306" s="98"/>
      <c r="N306" s="85"/>
      <c r="O306" s="85"/>
    </row>
    <row r="307">
      <c r="A307" s="99" t="s">
        <v>148</v>
      </c>
      <c r="B307" s="90" t="str">
        <f t="array" ref="B307">iferror(INDEX('作品'!D:D,MATCH(A307,'作品'!A:A,0),0),"error")</f>
        <v>地獄楽</v>
      </c>
      <c r="C307" s="53" t="s">
        <v>566</v>
      </c>
      <c r="D307" s="115" t="str">
        <f t="shared" si="44"/>
        <v>artwork_fragment_jig_00115</v>
      </c>
      <c r="E307" s="115"/>
      <c r="F307" s="115" t="s">
        <v>848</v>
      </c>
      <c r="G307" s="58" t="s">
        <v>851</v>
      </c>
      <c r="H307" s="53" t="s">
        <v>569</v>
      </c>
      <c r="I307" s="94">
        <v>1.0</v>
      </c>
      <c r="J307" s="113"/>
      <c r="K307" s="116"/>
      <c r="L307" s="98"/>
      <c r="M307" s="98"/>
      <c r="N307" s="85"/>
      <c r="O307" s="85"/>
    </row>
    <row r="308">
      <c r="A308" s="99" t="s">
        <v>148</v>
      </c>
      <c r="B308" s="90" t="str">
        <f t="array" ref="B308">iferror(INDEX('作品'!D:D,MATCH(A308,'作品'!A:A,0),0),"error")</f>
        <v>地獄楽</v>
      </c>
      <c r="C308" s="53" t="s">
        <v>566</v>
      </c>
      <c r="D308" s="115" t="str">
        <f t="shared" si="44"/>
        <v>artwork_fragment_jig_00116</v>
      </c>
      <c r="E308" s="115"/>
      <c r="F308" s="115" t="s">
        <v>848</v>
      </c>
      <c r="G308" s="58" t="s">
        <v>852</v>
      </c>
      <c r="H308" s="53" t="s">
        <v>569</v>
      </c>
      <c r="I308" s="94">
        <v>1.0</v>
      </c>
      <c r="J308" s="113"/>
      <c r="K308" s="114"/>
      <c r="L308" s="98"/>
      <c r="M308" s="98"/>
      <c r="N308" s="85"/>
      <c r="O308" s="85"/>
    </row>
    <row r="309">
      <c r="A309" s="99" t="s">
        <v>148</v>
      </c>
      <c r="B309" s="90" t="str">
        <f t="array" ref="B309">iferror(INDEX('作品'!D:D,MATCH(A309,'作品'!A:A,0),0),"error")</f>
        <v>地獄楽</v>
      </c>
      <c r="C309" s="53" t="s">
        <v>566</v>
      </c>
      <c r="D309" s="115" t="str">
        <f t="shared" ref="D309:D324" si="45">C309&amp;"_"&amp;A309&amp;"_"&amp;TEXT(countif($A$309:$A309,A309),"00200")</f>
        <v>artwork_fragment_jig_00201</v>
      </c>
      <c r="E309" s="115"/>
      <c r="F309" s="115" t="s">
        <v>853</v>
      </c>
      <c r="G309" s="58" t="s">
        <v>854</v>
      </c>
      <c r="H309" s="53" t="s">
        <v>569</v>
      </c>
      <c r="I309" s="94">
        <v>1.0</v>
      </c>
      <c r="J309" s="113"/>
      <c r="K309" s="114"/>
      <c r="L309" s="98"/>
      <c r="M309" s="98"/>
      <c r="N309" s="85"/>
      <c r="O309" s="85"/>
    </row>
    <row r="310">
      <c r="A310" s="99" t="s">
        <v>148</v>
      </c>
      <c r="B310" s="90" t="str">
        <f t="array" ref="B310">iferror(INDEX('作品'!D:D,MATCH(A310,'作品'!A:A,0),0),"error")</f>
        <v>地獄楽</v>
      </c>
      <c r="C310" s="53" t="s">
        <v>566</v>
      </c>
      <c r="D310" s="115" t="str">
        <f t="shared" si="45"/>
        <v>artwork_fragment_jig_00202</v>
      </c>
      <c r="E310" s="115"/>
      <c r="F310" s="115" t="s">
        <v>853</v>
      </c>
      <c r="G310" s="58" t="s">
        <v>855</v>
      </c>
      <c r="H310" s="53" t="s">
        <v>569</v>
      </c>
      <c r="I310" s="94">
        <v>1.0</v>
      </c>
      <c r="J310" s="113"/>
      <c r="K310" s="114"/>
      <c r="L310" s="98"/>
      <c r="M310" s="98"/>
      <c r="N310" s="85"/>
      <c r="O310" s="85"/>
    </row>
    <row r="311">
      <c r="A311" s="99" t="s">
        <v>148</v>
      </c>
      <c r="B311" s="90" t="str">
        <f t="array" ref="B311">iferror(INDEX('作品'!D:D,MATCH(A311,'作品'!A:A,0),0),"error")</f>
        <v>地獄楽</v>
      </c>
      <c r="C311" s="53" t="s">
        <v>566</v>
      </c>
      <c r="D311" s="115" t="str">
        <f t="shared" si="45"/>
        <v>artwork_fragment_jig_00203</v>
      </c>
      <c r="E311" s="115"/>
      <c r="F311" s="115" t="s">
        <v>853</v>
      </c>
      <c r="G311" s="58" t="s">
        <v>856</v>
      </c>
      <c r="H311" s="53" t="s">
        <v>569</v>
      </c>
      <c r="I311" s="94">
        <v>1.0</v>
      </c>
      <c r="J311" s="113"/>
      <c r="K311" s="114"/>
      <c r="L311" s="98"/>
      <c r="M311" s="98"/>
      <c r="N311" s="85"/>
      <c r="O311" s="85"/>
    </row>
    <row r="312">
      <c r="A312" s="99" t="s">
        <v>148</v>
      </c>
      <c r="B312" s="90" t="str">
        <f t="array" ref="B312">iferror(INDEX('作品'!D:D,MATCH(A312,'作品'!A:A,0),0),"error")</f>
        <v>地獄楽</v>
      </c>
      <c r="C312" s="53" t="s">
        <v>566</v>
      </c>
      <c r="D312" s="115" t="str">
        <f t="shared" si="45"/>
        <v>artwork_fragment_jig_00204</v>
      </c>
      <c r="E312" s="115"/>
      <c r="F312" s="115" t="s">
        <v>857</v>
      </c>
      <c r="G312" s="58" t="s">
        <v>858</v>
      </c>
      <c r="H312" s="53" t="s">
        <v>569</v>
      </c>
      <c r="I312" s="94">
        <v>1.0</v>
      </c>
      <c r="J312" s="113"/>
      <c r="K312" s="114"/>
      <c r="L312" s="98"/>
      <c r="M312" s="98"/>
      <c r="N312" s="85"/>
      <c r="O312" s="85"/>
    </row>
    <row r="313">
      <c r="A313" s="99" t="s">
        <v>148</v>
      </c>
      <c r="B313" s="90" t="str">
        <f t="array" ref="B313">iferror(INDEX('作品'!D:D,MATCH(A313,'作品'!A:A,0),0),"error")</f>
        <v>地獄楽</v>
      </c>
      <c r="C313" s="53" t="s">
        <v>566</v>
      </c>
      <c r="D313" s="115" t="str">
        <f t="shared" si="45"/>
        <v>artwork_fragment_jig_00205</v>
      </c>
      <c r="E313" s="115"/>
      <c r="F313" s="115" t="s">
        <v>857</v>
      </c>
      <c r="G313" s="58" t="s">
        <v>859</v>
      </c>
      <c r="H313" s="53" t="s">
        <v>569</v>
      </c>
      <c r="I313" s="94">
        <v>1.0</v>
      </c>
      <c r="J313" s="113"/>
      <c r="K313" s="114"/>
      <c r="L313" s="98"/>
      <c r="M313" s="98"/>
      <c r="N313" s="85"/>
      <c r="O313" s="85"/>
    </row>
    <row r="314">
      <c r="A314" s="99" t="s">
        <v>148</v>
      </c>
      <c r="B314" s="90" t="str">
        <f t="array" ref="B314">iferror(INDEX('作品'!D:D,MATCH(A314,'作品'!A:A,0),0),"error")</f>
        <v>地獄楽</v>
      </c>
      <c r="C314" s="53" t="s">
        <v>566</v>
      </c>
      <c r="D314" s="115" t="str">
        <f t="shared" si="45"/>
        <v>artwork_fragment_jig_00206</v>
      </c>
      <c r="E314" s="115"/>
      <c r="F314" s="115" t="s">
        <v>857</v>
      </c>
      <c r="G314" s="58" t="s">
        <v>860</v>
      </c>
      <c r="H314" s="53" t="s">
        <v>569</v>
      </c>
      <c r="I314" s="94">
        <v>1.0</v>
      </c>
      <c r="J314" s="113"/>
      <c r="K314" s="114"/>
      <c r="L314" s="98"/>
      <c r="M314" s="98"/>
      <c r="N314" s="85"/>
      <c r="O314" s="85"/>
    </row>
    <row r="315">
      <c r="A315" s="99" t="s">
        <v>148</v>
      </c>
      <c r="B315" s="90" t="str">
        <f t="array" ref="B315">iferror(INDEX('作品'!D:D,MATCH(A315,'作品'!A:A,0),0),"error")</f>
        <v>地獄楽</v>
      </c>
      <c r="C315" s="53" t="s">
        <v>566</v>
      </c>
      <c r="D315" s="115" t="str">
        <f t="shared" si="45"/>
        <v>artwork_fragment_jig_00207</v>
      </c>
      <c r="E315" s="115"/>
      <c r="F315" s="115" t="s">
        <v>861</v>
      </c>
      <c r="G315" s="58" t="s">
        <v>862</v>
      </c>
      <c r="H315" s="53" t="s">
        <v>569</v>
      </c>
      <c r="I315" s="94">
        <v>1.0</v>
      </c>
      <c r="J315" s="113"/>
      <c r="K315" s="114"/>
      <c r="L315" s="98"/>
      <c r="M315" s="98"/>
      <c r="N315" s="85"/>
      <c r="O315" s="85"/>
    </row>
    <row r="316">
      <c r="A316" s="99" t="s">
        <v>148</v>
      </c>
      <c r="B316" s="90" t="str">
        <f t="array" ref="B316">iferror(INDEX('作品'!D:D,MATCH(A316,'作品'!A:A,0),0),"error")</f>
        <v>地獄楽</v>
      </c>
      <c r="C316" s="53" t="s">
        <v>566</v>
      </c>
      <c r="D316" s="115" t="str">
        <f t="shared" si="45"/>
        <v>artwork_fragment_jig_00208</v>
      </c>
      <c r="E316" s="115"/>
      <c r="F316" s="115" t="s">
        <v>861</v>
      </c>
      <c r="G316" s="58" t="s">
        <v>863</v>
      </c>
      <c r="H316" s="53" t="s">
        <v>569</v>
      </c>
      <c r="I316" s="94">
        <v>1.0</v>
      </c>
      <c r="J316" s="113"/>
      <c r="K316" s="114"/>
      <c r="L316" s="98"/>
      <c r="M316" s="98"/>
      <c r="N316" s="85"/>
      <c r="O316" s="85"/>
    </row>
    <row r="317">
      <c r="A317" s="99" t="s">
        <v>148</v>
      </c>
      <c r="B317" s="90" t="str">
        <f t="array" ref="B317">iferror(INDEX('作品'!D:D,MATCH(A317,'作品'!A:A,0),0),"error")</f>
        <v>地獄楽</v>
      </c>
      <c r="C317" s="53" t="s">
        <v>566</v>
      </c>
      <c r="D317" s="115" t="str">
        <f t="shared" si="45"/>
        <v>artwork_fragment_jig_00209</v>
      </c>
      <c r="E317" s="115"/>
      <c r="F317" s="115" t="s">
        <v>861</v>
      </c>
      <c r="G317" s="58" t="s">
        <v>864</v>
      </c>
      <c r="H317" s="53" t="s">
        <v>569</v>
      </c>
      <c r="I317" s="94">
        <v>1.0</v>
      </c>
      <c r="J317" s="113"/>
      <c r="K317" s="114"/>
      <c r="L317" s="98"/>
      <c r="M317" s="98"/>
      <c r="N317" s="85"/>
      <c r="O317" s="85"/>
    </row>
    <row r="318">
      <c r="A318" s="99" t="s">
        <v>148</v>
      </c>
      <c r="B318" s="90" t="str">
        <f t="array" ref="B318">iferror(INDEX('作品'!D:D,MATCH(A318,'作品'!A:A,0),0),"error")</f>
        <v>地獄楽</v>
      </c>
      <c r="C318" s="53" t="s">
        <v>566</v>
      </c>
      <c r="D318" s="115" t="str">
        <f t="shared" si="45"/>
        <v>artwork_fragment_jig_00210</v>
      </c>
      <c r="E318" s="115"/>
      <c r="F318" s="115" t="s">
        <v>865</v>
      </c>
      <c r="G318" s="58" t="s">
        <v>866</v>
      </c>
      <c r="H318" s="53" t="s">
        <v>569</v>
      </c>
      <c r="I318" s="94">
        <v>1.0</v>
      </c>
      <c r="J318" s="113"/>
      <c r="K318" s="114"/>
      <c r="L318" s="98"/>
      <c r="M318" s="98"/>
      <c r="N318" s="85"/>
      <c r="O318" s="85"/>
    </row>
    <row r="319">
      <c r="A319" s="99" t="s">
        <v>148</v>
      </c>
      <c r="B319" s="90" t="str">
        <f t="array" ref="B319">iferror(INDEX('作品'!D:D,MATCH(A319,'作品'!A:A,0),0),"error")</f>
        <v>地獄楽</v>
      </c>
      <c r="C319" s="53" t="s">
        <v>566</v>
      </c>
      <c r="D319" s="115" t="str">
        <f t="shared" si="45"/>
        <v>artwork_fragment_jig_00211</v>
      </c>
      <c r="E319" s="115"/>
      <c r="F319" s="115" t="s">
        <v>865</v>
      </c>
      <c r="G319" s="58" t="s">
        <v>867</v>
      </c>
      <c r="H319" s="53" t="s">
        <v>569</v>
      </c>
      <c r="I319" s="94">
        <v>1.0</v>
      </c>
      <c r="J319" s="113"/>
      <c r="K319" s="114"/>
      <c r="L319" s="98"/>
      <c r="M319" s="98"/>
      <c r="N319" s="85"/>
      <c r="O319" s="85"/>
    </row>
    <row r="320">
      <c r="A320" s="99" t="s">
        <v>148</v>
      </c>
      <c r="B320" s="90" t="str">
        <f t="array" ref="B320">iferror(INDEX('作品'!D:D,MATCH(A320,'作品'!A:A,0),0),"error")</f>
        <v>地獄楽</v>
      </c>
      <c r="C320" s="53" t="s">
        <v>566</v>
      </c>
      <c r="D320" s="115" t="str">
        <f t="shared" si="45"/>
        <v>artwork_fragment_jig_00212</v>
      </c>
      <c r="E320" s="115"/>
      <c r="F320" s="115" t="s">
        <v>865</v>
      </c>
      <c r="G320" s="58" t="s">
        <v>868</v>
      </c>
      <c r="H320" s="53" t="s">
        <v>569</v>
      </c>
      <c r="I320" s="94">
        <v>1.0</v>
      </c>
      <c r="J320" s="113"/>
      <c r="K320" s="114"/>
      <c r="L320" s="98"/>
      <c r="M320" s="98"/>
      <c r="N320" s="85"/>
      <c r="O320" s="85"/>
    </row>
    <row r="321">
      <c r="A321" s="99" t="s">
        <v>148</v>
      </c>
      <c r="B321" s="90" t="str">
        <f t="array" ref="B321">iferror(INDEX('作品'!D:D,MATCH(A321,'作品'!A:A,0),0),"error")</f>
        <v>地獄楽</v>
      </c>
      <c r="C321" s="53" t="s">
        <v>566</v>
      </c>
      <c r="D321" s="115" t="str">
        <f t="shared" si="45"/>
        <v>artwork_fragment_jig_00213</v>
      </c>
      <c r="E321" s="115"/>
      <c r="F321" s="115" t="s">
        <v>869</v>
      </c>
      <c r="G321" s="58" t="s">
        <v>870</v>
      </c>
      <c r="H321" s="53" t="s">
        <v>569</v>
      </c>
      <c r="I321" s="94">
        <v>1.0</v>
      </c>
      <c r="J321" s="113"/>
      <c r="K321" s="114"/>
      <c r="L321" s="98"/>
      <c r="M321" s="98"/>
      <c r="N321" s="85"/>
      <c r="O321" s="85"/>
    </row>
    <row r="322">
      <c r="A322" s="99" t="s">
        <v>148</v>
      </c>
      <c r="B322" s="90" t="str">
        <f t="array" ref="B322">iferror(INDEX('作品'!D:D,MATCH(A322,'作品'!A:A,0),0),"error")</f>
        <v>地獄楽</v>
      </c>
      <c r="C322" s="53" t="s">
        <v>566</v>
      </c>
      <c r="D322" s="115" t="str">
        <f t="shared" si="45"/>
        <v>artwork_fragment_jig_00214</v>
      </c>
      <c r="E322" s="115"/>
      <c r="F322" s="115" t="s">
        <v>869</v>
      </c>
      <c r="G322" s="58" t="s">
        <v>871</v>
      </c>
      <c r="H322" s="53" t="s">
        <v>569</v>
      </c>
      <c r="I322" s="94">
        <v>1.0</v>
      </c>
      <c r="J322" s="113"/>
      <c r="K322" s="114"/>
      <c r="L322" s="98"/>
      <c r="M322" s="98"/>
      <c r="N322" s="85"/>
      <c r="O322" s="85"/>
    </row>
    <row r="323">
      <c r="A323" s="99" t="s">
        <v>148</v>
      </c>
      <c r="B323" s="90" t="str">
        <f t="array" ref="B323">iferror(INDEX('作品'!D:D,MATCH(A323,'作品'!A:A,0),0),"error")</f>
        <v>地獄楽</v>
      </c>
      <c r="C323" s="53" t="s">
        <v>566</v>
      </c>
      <c r="D323" s="115" t="str">
        <f t="shared" si="45"/>
        <v>artwork_fragment_jig_00215</v>
      </c>
      <c r="E323" s="115"/>
      <c r="F323" s="115" t="s">
        <v>869</v>
      </c>
      <c r="G323" s="58" t="s">
        <v>872</v>
      </c>
      <c r="H323" s="53" t="s">
        <v>569</v>
      </c>
      <c r="I323" s="94">
        <v>1.0</v>
      </c>
      <c r="J323" s="113"/>
      <c r="K323" s="114"/>
      <c r="L323" s="98"/>
      <c r="M323" s="98"/>
      <c r="N323" s="85"/>
      <c r="O323" s="85"/>
    </row>
    <row r="324">
      <c r="A324" s="99" t="s">
        <v>148</v>
      </c>
      <c r="B324" s="90" t="str">
        <f t="array" ref="B324">iferror(INDEX('作品'!D:D,MATCH(A324,'作品'!A:A,0),0),"error")</f>
        <v>地獄楽</v>
      </c>
      <c r="C324" s="53" t="s">
        <v>566</v>
      </c>
      <c r="D324" s="115" t="str">
        <f t="shared" si="45"/>
        <v>artwork_fragment_jig_00216</v>
      </c>
      <c r="E324" s="115"/>
      <c r="F324" s="115" t="s">
        <v>869</v>
      </c>
      <c r="G324" s="58" t="s">
        <v>873</v>
      </c>
      <c r="H324" s="53" t="s">
        <v>569</v>
      </c>
      <c r="I324" s="94">
        <v>1.0</v>
      </c>
      <c r="J324" s="113"/>
      <c r="K324" s="114"/>
      <c r="L324" s="98"/>
      <c r="M324" s="98"/>
      <c r="N324" s="85"/>
      <c r="O324" s="85"/>
    </row>
    <row r="325">
      <c r="A325" s="99" t="s">
        <v>148</v>
      </c>
      <c r="B325" s="90" t="str">
        <f t="array" ref="B325">iferror(INDEX('作品'!D:D,MATCH(A325,'作品'!A:A,0),0),"error")</f>
        <v>地獄楽</v>
      </c>
      <c r="C325" s="53" t="s">
        <v>566</v>
      </c>
      <c r="D325" s="115" t="str">
        <f t="shared" ref="D325:D340" si="46">C325&amp;"_"&amp;A325&amp;"_"&amp;TEXT(countif($A$325:$A325,A325),"00300")</f>
        <v>artwork_fragment_jig_00301</v>
      </c>
      <c r="E325" s="115"/>
      <c r="F325" s="115" t="s">
        <v>874</v>
      </c>
      <c r="G325" s="58" t="s">
        <v>875</v>
      </c>
      <c r="H325" s="53" t="s">
        <v>569</v>
      </c>
      <c r="I325" s="94">
        <v>1.0</v>
      </c>
      <c r="J325" s="113"/>
      <c r="K325" s="114"/>
      <c r="L325" s="98"/>
      <c r="M325" s="98"/>
      <c r="N325" s="85"/>
      <c r="O325" s="85"/>
    </row>
    <row r="326">
      <c r="A326" s="99" t="s">
        <v>148</v>
      </c>
      <c r="B326" s="90" t="str">
        <f t="array" ref="B326">iferror(INDEX('作品'!D:D,MATCH(A326,'作品'!A:A,0),0),"error")</f>
        <v>地獄楽</v>
      </c>
      <c r="C326" s="53" t="s">
        <v>566</v>
      </c>
      <c r="D326" s="115" t="str">
        <f t="shared" si="46"/>
        <v>artwork_fragment_jig_00302</v>
      </c>
      <c r="E326" s="115"/>
      <c r="F326" s="115" t="s">
        <v>874</v>
      </c>
      <c r="G326" s="58" t="s">
        <v>876</v>
      </c>
      <c r="H326" s="53" t="s">
        <v>569</v>
      </c>
      <c r="I326" s="94">
        <v>1.0</v>
      </c>
      <c r="J326" s="113"/>
      <c r="K326" s="114"/>
      <c r="L326" s="98"/>
      <c r="M326" s="98"/>
      <c r="N326" s="85"/>
      <c r="O326" s="85"/>
    </row>
    <row r="327">
      <c r="A327" s="99" t="s">
        <v>148</v>
      </c>
      <c r="B327" s="90" t="str">
        <f t="array" ref="B327">iferror(INDEX('作品'!D:D,MATCH(A327,'作品'!A:A,0),0),"error")</f>
        <v>地獄楽</v>
      </c>
      <c r="C327" s="53" t="s">
        <v>566</v>
      </c>
      <c r="D327" s="115" t="str">
        <f t="shared" si="46"/>
        <v>artwork_fragment_jig_00303</v>
      </c>
      <c r="E327" s="115"/>
      <c r="F327" s="115" t="s">
        <v>874</v>
      </c>
      <c r="G327" s="58" t="s">
        <v>877</v>
      </c>
      <c r="H327" s="53" t="s">
        <v>569</v>
      </c>
      <c r="I327" s="94">
        <v>1.0</v>
      </c>
      <c r="J327" s="113"/>
      <c r="K327" s="114"/>
      <c r="L327" s="98"/>
      <c r="M327" s="98"/>
      <c r="N327" s="85"/>
      <c r="O327" s="85"/>
    </row>
    <row r="328">
      <c r="A328" s="99" t="s">
        <v>148</v>
      </c>
      <c r="B328" s="90" t="str">
        <f t="array" ref="B328">iferror(INDEX('作品'!D:D,MATCH(A328,'作品'!A:A,0),0),"error")</f>
        <v>地獄楽</v>
      </c>
      <c r="C328" s="53" t="s">
        <v>566</v>
      </c>
      <c r="D328" s="115" t="str">
        <f t="shared" si="46"/>
        <v>artwork_fragment_jig_00304</v>
      </c>
      <c r="E328" s="115"/>
      <c r="F328" s="115" t="s">
        <v>878</v>
      </c>
      <c r="G328" s="58" t="s">
        <v>879</v>
      </c>
      <c r="H328" s="53" t="s">
        <v>569</v>
      </c>
      <c r="I328" s="94">
        <v>1.0</v>
      </c>
      <c r="J328" s="113"/>
      <c r="K328" s="114"/>
      <c r="L328" s="98"/>
      <c r="M328" s="98"/>
      <c r="N328" s="85"/>
      <c r="O328" s="85"/>
    </row>
    <row r="329">
      <c r="A329" s="99" t="s">
        <v>148</v>
      </c>
      <c r="B329" s="90" t="str">
        <f t="array" ref="B329">iferror(INDEX('作品'!D:D,MATCH(A329,'作品'!A:A,0),0),"error")</f>
        <v>地獄楽</v>
      </c>
      <c r="C329" s="53" t="s">
        <v>566</v>
      </c>
      <c r="D329" s="115" t="str">
        <f t="shared" si="46"/>
        <v>artwork_fragment_jig_00305</v>
      </c>
      <c r="E329" s="115"/>
      <c r="F329" s="115" t="s">
        <v>878</v>
      </c>
      <c r="G329" s="58" t="s">
        <v>880</v>
      </c>
      <c r="H329" s="53" t="s">
        <v>569</v>
      </c>
      <c r="I329" s="94">
        <v>1.0</v>
      </c>
      <c r="J329" s="113"/>
      <c r="K329" s="114"/>
      <c r="L329" s="98"/>
      <c r="M329" s="98"/>
      <c r="N329" s="85"/>
      <c r="O329" s="85"/>
    </row>
    <row r="330">
      <c r="A330" s="99" t="s">
        <v>148</v>
      </c>
      <c r="B330" s="90" t="str">
        <f t="array" ref="B330">iferror(INDEX('作品'!D:D,MATCH(A330,'作品'!A:A,0),0),"error")</f>
        <v>地獄楽</v>
      </c>
      <c r="C330" s="53" t="s">
        <v>566</v>
      </c>
      <c r="D330" s="115" t="str">
        <f t="shared" si="46"/>
        <v>artwork_fragment_jig_00306</v>
      </c>
      <c r="E330" s="115"/>
      <c r="F330" s="115" t="s">
        <v>878</v>
      </c>
      <c r="G330" s="58" t="s">
        <v>881</v>
      </c>
      <c r="H330" s="53" t="s">
        <v>569</v>
      </c>
      <c r="I330" s="94">
        <v>1.0</v>
      </c>
      <c r="J330" s="113"/>
      <c r="K330" s="114"/>
      <c r="L330" s="98"/>
      <c r="M330" s="98"/>
      <c r="N330" s="85"/>
      <c r="O330" s="85"/>
    </row>
    <row r="331">
      <c r="A331" s="99" t="s">
        <v>148</v>
      </c>
      <c r="B331" s="90" t="str">
        <f t="array" ref="B331">iferror(INDEX('作品'!D:D,MATCH(A331,'作品'!A:A,0),0),"error")</f>
        <v>地獄楽</v>
      </c>
      <c r="C331" s="53" t="s">
        <v>566</v>
      </c>
      <c r="D331" s="115" t="str">
        <f t="shared" si="46"/>
        <v>artwork_fragment_jig_00307</v>
      </c>
      <c r="E331" s="115"/>
      <c r="F331" s="115" t="s">
        <v>882</v>
      </c>
      <c r="G331" s="58" t="s">
        <v>883</v>
      </c>
      <c r="H331" s="53" t="s">
        <v>569</v>
      </c>
      <c r="I331" s="94">
        <v>1.0</v>
      </c>
      <c r="J331" s="113"/>
      <c r="K331" s="114"/>
      <c r="L331" s="98"/>
      <c r="M331" s="98"/>
      <c r="N331" s="85"/>
      <c r="O331" s="85"/>
    </row>
    <row r="332">
      <c r="A332" s="99" t="s">
        <v>148</v>
      </c>
      <c r="B332" s="90" t="str">
        <f t="array" ref="B332">iferror(INDEX('作品'!D:D,MATCH(A332,'作品'!A:A,0),0),"error")</f>
        <v>地獄楽</v>
      </c>
      <c r="C332" s="53" t="s">
        <v>566</v>
      </c>
      <c r="D332" s="115" t="str">
        <f t="shared" si="46"/>
        <v>artwork_fragment_jig_00308</v>
      </c>
      <c r="E332" s="115"/>
      <c r="F332" s="115" t="s">
        <v>882</v>
      </c>
      <c r="G332" s="58" t="s">
        <v>884</v>
      </c>
      <c r="H332" s="53" t="s">
        <v>569</v>
      </c>
      <c r="I332" s="94">
        <v>1.0</v>
      </c>
      <c r="J332" s="113"/>
      <c r="K332" s="114"/>
      <c r="L332" s="98"/>
      <c r="M332" s="98"/>
      <c r="N332" s="85"/>
      <c r="O332" s="85"/>
    </row>
    <row r="333">
      <c r="A333" s="99" t="s">
        <v>148</v>
      </c>
      <c r="B333" s="90" t="str">
        <f t="array" ref="B333">iferror(INDEX('作品'!D:D,MATCH(A333,'作品'!A:A,0),0),"error")</f>
        <v>地獄楽</v>
      </c>
      <c r="C333" s="53" t="s">
        <v>566</v>
      </c>
      <c r="D333" s="115" t="str">
        <f t="shared" si="46"/>
        <v>artwork_fragment_jig_00309</v>
      </c>
      <c r="E333" s="115"/>
      <c r="F333" s="115" t="s">
        <v>882</v>
      </c>
      <c r="G333" s="58" t="s">
        <v>885</v>
      </c>
      <c r="H333" s="53" t="s">
        <v>569</v>
      </c>
      <c r="I333" s="94">
        <v>1.0</v>
      </c>
      <c r="J333" s="113"/>
      <c r="K333" s="114"/>
      <c r="L333" s="98"/>
      <c r="M333" s="98"/>
      <c r="N333" s="85"/>
      <c r="O333" s="85"/>
    </row>
    <row r="334">
      <c r="A334" s="99" t="s">
        <v>148</v>
      </c>
      <c r="B334" s="90" t="str">
        <f t="array" ref="B334">iferror(INDEX('作品'!D:D,MATCH(A334,'作品'!A:A,0),0),"error")</f>
        <v>地獄楽</v>
      </c>
      <c r="C334" s="53" t="s">
        <v>566</v>
      </c>
      <c r="D334" s="115" t="str">
        <f t="shared" si="46"/>
        <v>artwork_fragment_jig_00310</v>
      </c>
      <c r="E334" s="115"/>
      <c r="F334" s="115" t="s">
        <v>886</v>
      </c>
      <c r="G334" s="58" t="s">
        <v>887</v>
      </c>
      <c r="H334" s="53" t="s">
        <v>569</v>
      </c>
      <c r="I334" s="94">
        <v>1.0</v>
      </c>
      <c r="J334" s="113"/>
      <c r="K334" s="114"/>
      <c r="L334" s="98"/>
      <c r="M334" s="98"/>
      <c r="N334" s="85"/>
      <c r="O334" s="85"/>
    </row>
    <row r="335">
      <c r="A335" s="99" t="s">
        <v>148</v>
      </c>
      <c r="B335" s="90" t="str">
        <f t="array" ref="B335">iferror(INDEX('作品'!D:D,MATCH(A335,'作品'!A:A,0),0),"error")</f>
        <v>地獄楽</v>
      </c>
      <c r="C335" s="53" t="s">
        <v>566</v>
      </c>
      <c r="D335" s="115" t="str">
        <f t="shared" si="46"/>
        <v>artwork_fragment_jig_00311</v>
      </c>
      <c r="E335" s="115"/>
      <c r="F335" s="115" t="s">
        <v>886</v>
      </c>
      <c r="G335" s="58" t="s">
        <v>888</v>
      </c>
      <c r="H335" s="53" t="s">
        <v>569</v>
      </c>
      <c r="I335" s="94">
        <v>1.0</v>
      </c>
      <c r="J335" s="113"/>
      <c r="K335" s="114"/>
      <c r="L335" s="98"/>
      <c r="M335" s="98"/>
      <c r="N335" s="85"/>
      <c r="O335" s="85"/>
    </row>
    <row r="336">
      <c r="A336" s="99" t="s">
        <v>148</v>
      </c>
      <c r="B336" s="90" t="str">
        <f t="array" ref="B336">iferror(INDEX('作品'!D:D,MATCH(A336,'作品'!A:A,0),0),"error")</f>
        <v>地獄楽</v>
      </c>
      <c r="C336" s="53" t="s">
        <v>566</v>
      </c>
      <c r="D336" s="115" t="str">
        <f t="shared" si="46"/>
        <v>artwork_fragment_jig_00312</v>
      </c>
      <c r="E336" s="115"/>
      <c r="F336" s="115" t="s">
        <v>886</v>
      </c>
      <c r="G336" s="58" t="s">
        <v>889</v>
      </c>
      <c r="H336" s="53" t="s">
        <v>569</v>
      </c>
      <c r="I336" s="94">
        <v>1.0</v>
      </c>
      <c r="J336" s="113"/>
      <c r="K336" s="114"/>
      <c r="L336" s="98"/>
      <c r="M336" s="98"/>
      <c r="N336" s="85"/>
      <c r="O336" s="85"/>
    </row>
    <row r="337">
      <c r="A337" s="99" t="s">
        <v>148</v>
      </c>
      <c r="B337" s="90" t="str">
        <f t="array" ref="B337">iferror(INDEX('作品'!D:D,MATCH(A337,'作品'!A:A,0),0),"error")</f>
        <v>地獄楽</v>
      </c>
      <c r="C337" s="53" t="s">
        <v>566</v>
      </c>
      <c r="D337" s="115" t="str">
        <f t="shared" si="46"/>
        <v>artwork_fragment_jig_00313</v>
      </c>
      <c r="E337" s="115"/>
      <c r="F337" s="115" t="s">
        <v>890</v>
      </c>
      <c r="G337" s="58" t="s">
        <v>891</v>
      </c>
      <c r="H337" s="53" t="s">
        <v>569</v>
      </c>
      <c r="I337" s="94">
        <v>1.0</v>
      </c>
      <c r="J337" s="113"/>
      <c r="K337" s="114"/>
      <c r="L337" s="98"/>
      <c r="M337" s="98"/>
      <c r="N337" s="85"/>
      <c r="O337" s="85"/>
    </row>
    <row r="338">
      <c r="A338" s="99" t="s">
        <v>148</v>
      </c>
      <c r="B338" s="90" t="str">
        <f t="array" ref="B338">iferror(INDEX('作品'!D:D,MATCH(A338,'作品'!A:A,0),0),"error")</f>
        <v>地獄楽</v>
      </c>
      <c r="C338" s="53" t="s">
        <v>566</v>
      </c>
      <c r="D338" s="115" t="str">
        <f t="shared" si="46"/>
        <v>artwork_fragment_jig_00314</v>
      </c>
      <c r="E338" s="115"/>
      <c r="F338" s="115" t="s">
        <v>890</v>
      </c>
      <c r="G338" s="58" t="s">
        <v>892</v>
      </c>
      <c r="H338" s="53" t="s">
        <v>569</v>
      </c>
      <c r="I338" s="94">
        <v>1.0</v>
      </c>
      <c r="J338" s="113"/>
      <c r="K338" s="114"/>
      <c r="L338" s="98"/>
      <c r="M338" s="98"/>
      <c r="N338" s="85"/>
      <c r="O338" s="85"/>
    </row>
    <row r="339">
      <c r="A339" s="99" t="s">
        <v>148</v>
      </c>
      <c r="B339" s="90" t="str">
        <f t="array" ref="B339">iferror(INDEX('作品'!D:D,MATCH(A339,'作品'!A:A,0),0),"error")</f>
        <v>地獄楽</v>
      </c>
      <c r="C339" s="53" t="s">
        <v>566</v>
      </c>
      <c r="D339" s="115" t="str">
        <f t="shared" si="46"/>
        <v>artwork_fragment_jig_00315</v>
      </c>
      <c r="E339" s="115"/>
      <c r="F339" s="115" t="s">
        <v>890</v>
      </c>
      <c r="G339" s="58" t="s">
        <v>893</v>
      </c>
      <c r="H339" s="53" t="s">
        <v>569</v>
      </c>
      <c r="I339" s="94">
        <v>1.0</v>
      </c>
      <c r="J339" s="113"/>
      <c r="K339" s="114"/>
      <c r="L339" s="98"/>
      <c r="M339" s="98"/>
      <c r="N339" s="85"/>
      <c r="O339" s="85"/>
    </row>
    <row r="340">
      <c r="A340" s="99" t="s">
        <v>148</v>
      </c>
      <c r="B340" s="90" t="str">
        <f t="array" ref="B340">iferror(INDEX('作品'!D:D,MATCH(A340,'作品'!A:A,0),0),"error")</f>
        <v>地獄楽</v>
      </c>
      <c r="C340" s="53" t="s">
        <v>566</v>
      </c>
      <c r="D340" s="115" t="str">
        <f t="shared" si="46"/>
        <v>artwork_fragment_jig_00316</v>
      </c>
      <c r="E340" s="115"/>
      <c r="F340" s="115" t="s">
        <v>890</v>
      </c>
      <c r="G340" s="58" t="s">
        <v>894</v>
      </c>
      <c r="H340" s="53" t="s">
        <v>569</v>
      </c>
      <c r="I340" s="94">
        <v>1.0</v>
      </c>
      <c r="J340" s="113"/>
      <c r="K340" s="114"/>
      <c r="L340" s="98"/>
      <c r="M340" s="98"/>
      <c r="N340" s="85"/>
      <c r="O340" s="85"/>
    </row>
    <row r="341">
      <c r="A341" s="99" t="s">
        <v>148</v>
      </c>
      <c r="B341" s="90" t="str">
        <f t="array" ref="B341">iferror(INDEX('作品'!D:D,MATCH(A341,'作品'!A:A,0),0),"error")</f>
        <v>地獄楽</v>
      </c>
      <c r="C341" s="53" t="s">
        <v>566</v>
      </c>
      <c r="D341" s="115" t="str">
        <f t="shared" ref="D341:D356" si="47">C341&amp;"_"&amp;A341&amp;"_"&amp;TEXT(countif($A$341:$A341,A341),"00400")</f>
        <v>artwork_fragment_jig_00401</v>
      </c>
      <c r="E341" s="115"/>
      <c r="F341" s="115" t="s">
        <v>895</v>
      </c>
      <c r="G341" s="58" t="s">
        <v>896</v>
      </c>
      <c r="H341" s="53" t="s">
        <v>569</v>
      </c>
      <c r="I341" s="94">
        <v>1.0</v>
      </c>
      <c r="J341" s="113"/>
      <c r="K341" s="114"/>
      <c r="L341" s="98"/>
      <c r="M341" s="98"/>
      <c r="N341" s="85"/>
      <c r="O341" s="85"/>
    </row>
    <row r="342">
      <c r="A342" s="99" t="s">
        <v>148</v>
      </c>
      <c r="B342" s="90" t="str">
        <f t="array" ref="B342">iferror(INDEX('作品'!D:D,MATCH(A342,'作品'!A:A,0),0),"error")</f>
        <v>地獄楽</v>
      </c>
      <c r="C342" s="53" t="s">
        <v>566</v>
      </c>
      <c r="D342" s="115" t="str">
        <f t="shared" si="47"/>
        <v>artwork_fragment_jig_00402</v>
      </c>
      <c r="E342" s="115"/>
      <c r="F342" s="115" t="s">
        <v>895</v>
      </c>
      <c r="G342" s="58" t="s">
        <v>897</v>
      </c>
      <c r="H342" s="53" t="s">
        <v>569</v>
      </c>
      <c r="I342" s="94">
        <v>1.0</v>
      </c>
      <c r="J342" s="113"/>
      <c r="K342" s="114"/>
      <c r="L342" s="98"/>
      <c r="M342" s="98"/>
      <c r="N342" s="85"/>
      <c r="O342" s="85"/>
    </row>
    <row r="343">
      <c r="A343" s="99" t="s">
        <v>148</v>
      </c>
      <c r="B343" s="90" t="str">
        <f t="array" ref="B343">iferror(INDEX('作品'!D:D,MATCH(A343,'作品'!A:A,0),0),"error")</f>
        <v>地獄楽</v>
      </c>
      <c r="C343" s="53" t="s">
        <v>566</v>
      </c>
      <c r="D343" s="115" t="str">
        <f t="shared" si="47"/>
        <v>artwork_fragment_jig_00403</v>
      </c>
      <c r="E343" s="115"/>
      <c r="F343" s="115" t="s">
        <v>895</v>
      </c>
      <c r="G343" s="58" t="s">
        <v>898</v>
      </c>
      <c r="H343" s="53" t="s">
        <v>569</v>
      </c>
      <c r="I343" s="94">
        <v>1.0</v>
      </c>
      <c r="J343" s="113"/>
      <c r="K343" s="114"/>
      <c r="L343" s="98"/>
      <c r="M343" s="98"/>
      <c r="N343" s="85"/>
      <c r="O343" s="85"/>
    </row>
    <row r="344">
      <c r="A344" s="99" t="s">
        <v>148</v>
      </c>
      <c r="B344" s="90" t="str">
        <f t="array" ref="B344">iferror(INDEX('作品'!D:D,MATCH(A344,'作品'!A:A,0),0),"error")</f>
        <v>地獄楽</v>
      </c>
      <c r="C344" s="53" t="s">
        <v>566</v>
      </c>
      <c r="D344" s="115" t="str">
        <f t="shared" si="47"/>
        <v>artwork_fragment_jig_00404</v>
      </c>
      <c r="E344" s="115"/>
      <c r="F344" s="115" t="s">
        <v>899</v>
      </c>
      <c r="G344" s="58" t="s">
        <v>900</v>
      </c>
      <c r="H344" s="53" t="s">
        <v>569</v>
      </c>
      <c r="I344" s="94">
        <v>1.0</v>
      </c>
      <c r="J344" s="113"/>
      <c r="K344" s="114"/>
      <c r="L344" s="98"/>
      <c r="M344" s="98"/>
      <c r="N344" s="85"/>
      <c r="O344" s="85"/>
    </row>
    <row r="345">
      <c r="A345" s="99" t="s">
        <v>148</v>
      </c>
      <c r="B345" s="90" t="str">
        <f t="array" ref="B345">iferror(INDEX('作品'!D:D,MATCH(A345,'作品'!A:A,0),0),"error")</f>
        <v>地獄楽</v>
      </c>
      <c r="C345" s="53" t="s">
        <v>566</v>
      </c>
      <c r="D345" s="115" t="str">
        <f t="shared" si="47"/>
        <v>artwork_fragment_jig_00405</v>
      </c>
      <c r="E345" s="115"/>
      <c r="F345" s="115" t="s">
        <v>899</v>
      </c>
      <c r="G345" s="58" t="s">
        <v>901</v>
      </c>
      <c r="H345" s="53" t="s">
        <v>569</v>
      </c>
      <c r="I345" s="94">
        <v>1.0</v>
      </c>
      <c r="J345" s="113"/>
      <c r="K345" s="114"/>
      <c r="L345" s="98"/>
      <c r="M345" s="98"/>
      <c r="N345" s="85"/>
      <c r="O345" s="85"/>
    </row>
    <row r="346">
      <c r="A346" s="99" t="s">
        <v>148</v>
      </c>
      <c r="B346" s="90" t="str">
        <f t="array" ref="B346">iferror(INDEX('作品'!D:D,MATCH(A346,'作品'!A:A,0),0),"error")</f>
        <v>地獄楽</v>
      </c>
      <c r="C346" s="53" t="s">
        <v>566</v>
      </c>
      <c r="D346" s="115" t="str">
        <f t="shared" si="47"/>
        <v>artwork_fragment_jig_00406</v>
      </c>
      <c r="E346" s="115"/>
      <c r="F346" s="115" t="s">
        <v>899</v>
      </c>
      <c r="G346" s="58" t="s">
        <v>902</v>
      </c>
      <c r="H346" s="53" t="s">
        <v>569</v>
      </c>
      <c r="I346" s="94">
        <v>1.0</v>
      </c>
      <c r="J346" s="113"/>
      <c r="K346" s="114"/>
      <c r="L346" s="98"/>
      <c r="M346" s="98"/>
      <c r="N346" s="85"/>
      <c r="O346" s="85"/>
    </row>
    <row r="347">
      <c r="A347" s="99" t="s">
        <v>148</v>
      </c>
      <c r="B347" s="90" t="str">
        <f t="array" ref="B347">iferror(INDEX('作品'!D:D,MATCH(A347,'作品'!A:A,0),0),"error")</f>
        <v>地獄楽</v>
      </c>
      <c r="C347" s="53" t="s">
        <v>566</v>
      </c>
      <c r="D347" s="115" t="str">
        <f t="shared" si="47"/>
        <v>artwork_fragment_jig_00407</v>
      </c>
      <c r="E347" s="115"/>
      <c r="F347" s="115" t="s">
        <v>903</v>
      </c>
      <c r="G347" s="58" t="s">
        <v>904</v>
      </c>
      <c r="H347" s="53" t="s">
        <v>569</v>
      </c>
      <c r="I347" s="94">
        <v>1.0</v>
      </c>
      <c r="J347" s="113"/>
      <c r="K347" s="114"/>
      <c r="L347" s="98"/>
      <c r="M347" s="98"/>
      <c r="N347" s="85"/>
      <c r="O347" s="85"/>
    </row>
    <row r="348">
      <c r="A348" s="99" t="s">
        <v>148</v>
      </c>
      <c r="B348" s="90" t="str">
        <f t="array" ref="B348">iferror(INDEX('作品'!D:D,MATCH(A348,'作品'!A:A,0),0),"error")</f>
        <v>地獄楽</v>
      </c>
      <c r="C348" s="53" t="s">
        <v>566</v>
      </c>
      <c r="D348" s="115" t="str">
        <f t="shared" si="47"/>
        <v>artwork_fragment_jig_00408</v>
      </c>
      <c r="E348" s="115"/>
      <c r="F348" s="115" t="s">
        <v>903</v>
      </c>
      <c r="G348" s="58" t="s">
        <v>905</v>
      </c>
      <c r="H348" s="53" t="s">
        <v>569</v>
      </c>
      <c r="I348" s="94">
        <v>1.0</v>
      </c>
      <c r="J348" s="113"/>
      <c r="K348" s="114"/>
      <c r="L348" s="98"/>
      <c r="M348" s="98"/>
      <c r="N348" s="85"/>
      <c r="O348" s="85"/>
    </row>
    <row r="349">
      <c r="A349" s="99" t="s">
        <v>148</v>
      </c>
      <c r="B349" s="90" t="str">
        <f t="array" ref="B349">iferror(INDEX('作品'!D:D,MATCH(A349,'作品'!A:A,0),0),"error")</f>
        <v>地獄楽</v>
      </c>
      <c r="C349" s="53" t="s">
        <v>566</v>
      </c>
      <c r="D349" s="115" t="str">
        <f t="shared" si="47"/>
        <v>artwork_fragment_jig_00409</v>
      </c>
      <c r="E349" s="115"/>
      <c r="F349" s="115" t="s">
        <v>903</v>
      </c>
      <c r="G349" s="58" t="s">
        <v>906</v>
      </c>
      <c r="H349" s="53" t="s">
        <v>569</v>
      </c>
      <c r="I349" s="94">
        <v>1.0</v>
      </c>
      <c r="J349" s="113"/>
      <c r="K349" s="114"/>
      <c r="L349" s="98"/>
      <c r="M349" s="98"/>
      <c r="N349" s="85"/>
      <c r="O349" s="85"/>
    </row>
    <row r="350">
      <c r="A350" s="99" t="s">
        <v>148</v>
      </c>
      <c r="B350" s="90" t="str">
        <f t="array" ref="B350">iferror(INDEX('作品'!D:D,MATCH(A350,'作品'!A:A,0),0),"error")</f>
        <v>地獄楽</v>
      </c>
      <c r="C350" s="53" t="s">
        <v>566</v>
      </c>
      <c r="D350" s="115" t="str">
        <f t="shared" si="47"/>
        <v>artwork_fragment_jig_00410</v>
      </c>
      <c r="E350" s="115"/>
      <c r="F350" s="115" t="s">
        <v>907</v>
      </c>
      <c r="G350" s="58" t="s">
        <v>908</v>
      </c>
      <c r="H350" s="53" t="s">
        <v>569</v>
      </c>
      <c r="I350" s="94">
        <v>1.0</v>
      </c>
      <c r="J350" s="113"/>
      <c r="K350" s="114"/>
      <c r="L350" s="98"/>
      <c r="M350" s="98"/>
      <c r="N350" s="85"/>
      <c r="O350" s="85"/>
    </row>
    <row r="351">
      <c r="A351" s="99" t="s">
        <v>148</v>
      </c>
      <c r="B351" s="90" t="str">
        <f t="array" ref="B351">iferror(INDEX('作品'!D:D,MATCH(A351,'作品'!A:A,0),0),"error")</f>
        <v>地獄楽</v>
      </c>
      <c r="C351" s="53" t="s">
        <v>566</v>
      </c>
      <c r="D351" s="115" t="str">
        <f t="shared" si="47"/>
        <v>artwork_fragment_jig_00411</v>
      </c>
      <c r="E351" s="115"/>
      <c r="F351" s="115" t="s">
        <v>907</v>
      </c>
      <c r="G351" s="58" t="s">
        <v>909</v>
      </c>
      <c r="H351" s="53" t="s">
        <v>569</v>
      </c>
      <c r="I351" s="94">
        <v>1.0</v>
      </c>
      <c r="J351" s="113"/>
      <c r="K351" s="114"/>
      <c r="L351" s="98"/>
      <c r="M351" s="98"/>
      <c r="N351" s="85"/>
      <c r="O351" s="85"/>
    </row>
    <row r="352">
      <c r="A352" s="99" t="s">
        <v>148</v>
      </c>
      <c r="B352" s="90" t="str">
        <f t="array" ref="B352">iferror(INDEX('作品'!D:D,MATCH(A352,'作品'!A:A,0),0),"error")</f>
        <v>地獄楽</v>
      </c>
      <c r="C352" s="53" t="s">
        <v>566</v>
      </c>
      <c r="D352" s="115" t="str">
        <f t="shared" si="47"/>
        <v>artwork_fragment_jig_00412</v>
      </c>
      <c r="E352" s="115"/>
      <c r="F352" s="115" t="s">
        <v>907</v>
      </c>
      <c r="G352" s="58" t="s">
        <v>910</v>
      </c>
      <c r="H352" s="53" t="s">
        <v>569</v>
      </c>
      <c r="I352" s="94">
        <v>1.0</v>
      </c>
      <c r="J352" s="113"/>
      <c r="K352" s="114"/>
      <c r="L352" s="98"/>
      <c r="M352" s="98"/>
      <c r="N352" s="85"/>
      <c r="O352" s="85"/>
    </row>
    <row r="353">
      <c r="A353" s="99" t="s">
        <v>148</v>
      </c>
      <c r="B353" s="90" t="str">
        <f t="array" ref="B353">iferror(INDEX('作品'!D:D,MATCH(A353,'作品'!A:A,0),0),"error")</f>
        <v>地獄楽</v>
      </c>
      <c r="C353" s="53" t="s">
        <v>566</v>
      </c>
      <c r="D353" s="115" t="str">
        <f t="shared" si="47"/>
        <v>artwork_fragment_jig_00413</v>
      </c>
      <c r="E353" s="115"/>
      <c r="F353" s="115" t="s">
        <v>911</v>
      </c>
      <c r="G353" s="58" t="s">
        <v>912</v>
      </c>
      <c r="H353" s="53" t="s">
        <v>569</v>
      </c>
      <c r="I353" s="94">
        <v>1.0</v>
      </c>
      <c r="J353" s="113"/>
      <c r="K353" s="114"/>
      <c r="L353" s="98"/>
      <c r="M353" s="98"/>
      <c r="N353" s="85"/>
      <c r="O353" s="85"/>
    </row>
    <row r="354">
      <c r="A354" s="99" t="s">
        <v>148</v>
      </c>
      <c r="B354" s="90" t="str">
        <f t="array" ref="B354">iferror(INDEX('作品'!D:D,MATCH(A354,'作品'!A:A,0),0),"error")</f>
        <v>地獄楽</v>
      </c>
      <c r="C354" s="53" t="s">
        <v>566</v>
      </c>
      <c r="D354" s="115" t="str">
        <f t="shared" si="47"/>
        <v>artwork_fragment_jig_00414</v>
      </c>
      <c r="E354" s="115"/>
      <c r="F354" s="115" t="s">
        <v>911</v>
      </c>
      <c r="G354" s="58" t="s">
        <v>913</v>
      </c>
      <c r="H354" s="53" t="s">
        <v>569</v>
      </c>
      <c r="I354" s="94">
        <v>1.0</v>
      </c>
      <c r="J354" s="113"/>
      <c r="K354" s="114"/>
      <c r="L354" s="98"/>
      <c r="M354" s="98"/>
      <c r="N354" s="85"/>
      <c r="O354" s="85"/>
    </row>
    <row r="355">
      <c r="A355" s="99" t="s">
        <v>148</v>
      </c>
      <c r="B355" s="90" t="str">
        <f t="array" ref="B355">iferror(INDEX('作品'!D:D,MATCH(A355,'作品'!A:A,0),0),"error")</f>
        <v>地獄楽</v>
      </c>
      <c r="C355" s="53" t="s">
        <v>566</v>
      </c>
      <c r="D355" s="115" t="str">
        <f t="shared" si="47"/>
        <v>artwork_fragment_jig_00415</v>
      </c>
      <c r="E355" s="115"/>
      <c r="F355" s="115" t="s">
        <v>911</v>
      </c>
      <c r="G355" s="58" t="s">
        <v>914</v>
      </c>
      <c r="H355" s="53" t="s">
        <v>569</v>
      </c>
      <c r="I355" s="94">
        <v>1.0</v>
      </c>
      <c r="J355" s="113"/>
      <c r="K355" s="114"/>
      <c r="L355" s="98"/>
      <c r="M355" s="98"/>
      <c r="N355" s="85"/>
      <c r="O355" s="85"/>
    </row>
    <row r="356">
      <c r="A356" s="99" t="s">
        <v>148</v>
      </c>
      <c r="B356" s="90" t="str">
        <f t="array" ref="B356">iferror(INDEX('作品'!D:D,MATCH(A356,'作品'!A:A,0),0),"error")</f>
        <v>地獄楽</v>
      </c>
      <c r="C356" s="53" t="s">
        <v>566</v>
      </c>
      <c r="D356" s="115" t="str">
        <f t="shared" si="47"/>
        <v>artwork_fragment_jig_00416</v>
      </c>
      <c r="E356" s="115"/>
      <c r="F356" s="115" t="s">
        <v>911</v>
      </c>
      <c r="G356" s="58" t="s">
        <v>915</v>
      </c>
      <c r="H356" s="53" t="s">
        <v>569</v>
      </c>
      <c r="I356" s="94">
        <v>1.0</v>
      </c>
      <c r="J356" s="113"/>
      <c r="K356" s="114"/>
      <c r="L356" s="98"/>
      <c r="M356" s="98"/>
      <c r="N356" s="85"/>
      <c r="O356" s="85"/>
    </row>
    <row r="357">
      <c r="A357" s="89" t="s">
        <v>98</v>
      </c>
      <c r="B357" s="90" t="str">
        <f t="array" ref="B357">iferror(INDEX('作品'!D:D,MATCH(A357,'作品'!A:A,0),0),"error")</f>
        <v>株式会社マジルミエ</v>
      </c>
      <c r="C357" s="53" t="s">
        <v>566</v>
      </c>
      <c r="D357" s="115" t="str">
        <f t="shared" ref="D357:D365" si="48">C357&amp;"_"&amp;A357&amp;"_"&amp;TEXT(countif($A$86:A357,A357),"00000")</f>
        <v>artwork_fragment_mag_00001</v>
      </c>
      <c r="E357" s="115"/>
      <c r="F357" s="115"/>
      <c r="G357" s="58" t="s">
        <v>916</v>
      </c>
      <c r="H357" s="53" t="s">
        <v>569</v>
      </c>
      <c r="I357" s="94">
        <v>1.0</v>
      </c>
      <c r="J357" s="113"/>
      <c r="K357" s="114"/>
      <c r="L357" s="98"/>
      <c r="M357" s="98"/>
      <c r="N357" s="85"/>
      <c r="O357" s="85"/>
    </row>
    <row r="358">
      <c r="A358" s="89" t="s">
        <v>98</v>
      </c>
      <c r="B358" s="90" t="str">
        <f t="array" ref="B358">iferror(INDEX('作品'!D:D,MATCH(A358,'作品'!A:A,0),0),"error")</f>
        <v>株式会社マジルミエ</v>
      </c>
      <c r="C358" s="53" t="s">
        <v>566</v>
      </c>
      <c r="D358" s="115" t="str">
        <f t="shared" si="48"/>
        <v>artwork_fragment_mag_00002</v>
      </c>
      <c r="E358" s="115"/>
      <c r="F358" s="115"/>
      <c r="G358" s="58" t="s">
        <v>917</v>
      </c>
      <c r="H358" s="53" t="s">
        <v>569</v>
      </c>
      <c r="I358" s="94">
        <v>1.0</v>
      </c>
      <c r="J358" s="113"/>
      <c r="K358" s="114"/>
      <c r="L358" s="98"/>
      <c r="M358" s="98"/>
      <c r="N358" s="85"/>
      <c r="O358" s="85"/>
    </row>
    <row r="359">
      <c r="A359" s="89" t="s">
        <v>98</v>
      </c>
      <c r="B359" s="90" t="str">
        <f t="array" ref="B359">iferror(INDEX('作品'!D:D,MATCH(A359,'作品'!A:A,0),0),"error")</f>
        <v>株式会社マジルミエ</v>
      </c>
      <c r="C359" s="53" t="s">
        <v>566</v>
      </c>
      <c r="D359" s="115" t="str">
        <f t="shared" si="48"/>
        <v>artwork_fragment_mag_00003</v>
      </c>
      <c r="E359" s="115"/>
      <c r="F359" s="115"/>
      <c r="G359" s="58" t="s">
        <v>918</v>
      </c>
      <c r="H359" s="53" t="s">
        <v>569</v>
      </c>
      <c r="I359" s="94">
        <v>1.0</v>
      </c>
      <c r="J359" s="113"/>
      <c r="K359" s="114"/>
      <c r="L359" s="98"/>
      <c r="M359" s="98"/>
      <c r="N359" s="85"/>
      <c r="O359" s="85"/>
    </row>
    <row r="360">
      <c r="A360" s="99" t="s">
        <v>103</v>
      </c>
      <c r="B360" s="90" t="str">
        <f t="array" ref="B360">iferror(INDEX('作品'!D:D,MATCH(A360,'作品'!A:A,0),0),"error")</f>
        <v>道産子ギャルはなまらめんこい</v>
      </c>
      <c r="C360" s="53" t="s">
        <v>566</v>
      </c>
      <c r="D360" s="115" t="str">
        <f t="shared" si="48"/>
        <v>artwork_fragment_dos_00001</v>
      </c>
      <c r="E360" s="115"/>
      <c r="F360" s="115"/>
      <c r="G360" s="58" t="s">
        <v>919</v>
      </c>
      <c r="H360" s="53" t="s">
        <v>569</v>
      </c>
      <c r="I360" s="94">
        <v>1.0</v>
      </c>
      <c r="J360" s="113"/>
      <c r="K360" s="114"/>
      <c r="L360" s="98"/>
      <c r="M360" s="98"/>
      <c r="N360" s="85"/>
      <c r="O360" s="85"/>
    </row>
    <row r="361">
      <c r="A361" s="99" t="s">
        <v>103</v>
      </c>
      <c r="B361" s="90" t="str">
        <f t="array" ref="B361">iferror(INDEX('作品'!D:D,MATCH(A361,'作品'!A:A,0),0),"error")</f>
        <v>道産子ギャルはなまらめんこい</v>
      </c>
      <c r="C361" s="53" t="s">
        <v>566</v>
      </c>
      <c r="D361" s="115" t="str">
        <f t="shared" si="48"/>
        <v>artwork_fragment_dos_00002</v>
      </c>
      <c r="E361" s="115"/>
      <c r="F361" s="115"/>
      <c r="G361" s="58" t="s">
        <v>920</v>
      </c>
      <c r="H361" s="53" t="s">
        <v>569</v>
      </c>
      <c r="I361" s="94">
        <v>1.0</v>
      </c>
      <c r="J361" s="113"/>
      <c r="K361" s="114"/>
      <c r="L361" s="98"/>
      <c r="M361" s="98"/>
      <c r="N361" s="85"/>
      <c r="O361" s="85"/>
    </row>
    <row r="362">
      <c r="A362" s="99" t="s">
        <v>103</v>
      </c>
      <c r="B362" s="90" t="str">
        <f t="array" ref="B362">iferror(INDEX('作品'!D:D,MATCH(A362,'作品'!A:A,0),0),"error")</f>
        <v>道産子ギャルはなまらめんこい</v>
      </c>
      <c r="C362" s="53" t="s">
        <v>566</v>
      </c>
      <c r="D362" s="115" t="str">
        <f t="shared" si="48"/>
        <v>artwork_fragment_dos_00003</v>
      </c>
      <c r="E362" s="115"/>
      <c r="F362" s="115"/>
      <c r="G362" s="58" t="s">
        <v>921</v>
      </c>
      <c r="H362" s="53" t="s">
        <v>569</v>
      </c>
      <c r="I362" s="94">
        <v>1.0</v>
      </c>
      <c r="J362" s="113"/>
      <c r="K362" s="114"/>
      <c r="L362" s="98"/>
      <c r="M362" s="98"/>
      <c r="N362" s="85"/>
      <c r="O362" s="85"/>
    </row>
    <row r="363">
      <c r="A363" s="99" t="s">
        <v>143</v>
      </c>
      <c r="B363" s="90" t="str">
        <f t="array" ref="B363">iferror(INDEX('作品'!D:D,MATCH(A363,'作品'!A:A,0),0),"error")</f>
        <v>サマータイムレンダ</v>
      </c>
      <c r="C363" s="53" t="s">
        <v>566</v>
      </c>
      <c r="D363" s="115" t="str">
        <f t="shared" si="48"/>
        <v>artwork_fragment_sum_00001</v>
      </c>
      <c r="E363" s="115"/>
      <c r="F363" s="115"/>
      <c r="G363" s="58" t="s">
        <v>922</v>
      </c>
      <c r="H363" s="53" t="s">
        <v>569</v>
      </c>
      <c r="I363" s="94">
        <v>1.0</v>
      </c>
      <c r="J363" s="113"/>
      <c r="K363" s="114"/>
      <c r="L363" s="98"/>
      <c r="M363" s="98"/>
      <c r="N363" s="85"/>
      <c r="O363" s="85"/>
    </row>
    <row r="364">
      <c r="A364" s="99" t="s">
        <v>143</v>
      </c>
      <c r="B364" s="90" t="str">
        <f t="array" ref="B364">iferror(INDEX('作品'!D:D,MATCH(A364,'作品'!A:A,0),0),"error")</f>
        <v>サマータイムレンダ</v>
      </c>
      <c r="C364" s="53" t="s">
        <v>566</v>
      </c>
      <c r="D364" s="115" t="str">
        <f t="shared" si="48"/>
        <v>artwork_fragment_sum_00002</v>
      </c>
      <c r="E364" s="115"/>
      <c r="F364" s="115"/>
      <c r="G364" s="58" t="s">
        <v>923</v>
      </c>
      <c r="H364" s="53" t="s">
        <v>569</v>
      </c>
      <c r="I364" s="94">
        <v>1.0</v>
      </c>
      <c r="J364" s="113"/>
      <c r="K364" s="114"/>
      <c r="L364" s="98"/>
      <c r="M364" s="98"/>
      <c r="N364" s="85"/>
      <c r="O364" s="85"/>
    </row>
    <row r="365">
      <c r="A365" s="99" t="s">
        <v>143</v>
      </c>
      <c r="B365" s="90" t="str">
        <f t="array" ref="B365">iferror(INDEX('作品'!D:D,MATCH(A365,'作品'!A:A,0),0),"error")</f>
        <v>サマータイムレンダ</v>
      </c>
      <c r="C365" s="53" t="s">
        <v>566</v>
      </c>
      <c r="D365" s="115" t="str">
        <f t="shared" si="48"/>
        <v>artwork_fragment_sum_00003</v>
      </c>
      <c r="E365" s="115"/>
      <c r="F365" s="115"/>
      <c r="G365" s="58" t="s">
        <v>924</v>
      </c>
      <c r="H365" s="53" t="s">
        <v>569</v>
      </c>
      <c r="I365" s="94">
        <v>1.0</v>
      </c>
      <c r="J365" s="113"/>
      <c r="K365" s="114"/>
      <c r="L365" s="98"/>
      <c r="M365" s="98"/>
      <c r="N365" s="85"/>
      <c r="O365" s="85"/>
    </row>
    <row r="366">
      <c r="A366" s="89" t="s">
        <v>158</v>
      </c>
      <c r="B366" s="90" t="str">
        <f t="array" ref="B366">iferror(INDEX('作品'!D:D,MATCH(A366,'作品'!A:A,0),0),"error")</f>
        <v>【推しの子】</v>
      </c>
      <c r="C366" s="53" t="s">
        <v>566</v>
      </c>
      <c r="D366" s="115" t="str">
        <f t="shared" ref="D366:D381" si="49">C366&amp;"_"&amp;A366&amp;"_"&amp;TEXT(countif($A$173:$A366,A366),"00100")</f>
        <v>artwork_fragment_osh_00101</v>
      </c>
      <c r="E366" s="115"/>
      <c r="F366" s="115" t="s">
        <v>925</v>
      </c>
      <c r="G366" s="58" t="s">
        <v>926</v>
      </c>
      <c r="H366" s="53" t="s">
        <v>569</v>
      </c>
      <c r="I366" s="94">
        <v>1.0</v>
      </c>
      <c r="J366" s="113"/>
      <c r="K366" s="114"/>
      <c r="L366" s="117"/>
      <c r="M366" s="117"/>
      <c r="N366" s="85"/>
      <c r="O366" s="85"/>
    </row>
    <row r="367">
      <c r="A367" s="89" t="s">
        <v>158</v>
      </c>
      <c r="B367" s="90" t="str">
        <f t="array" ref="B367">iferror(INDEX('作品'!D:D,MATCH(A367,'作品'!A:A,0),0),"error")</f>
        <v>【推しの子】</v>
      </c>
      <c r="C367" s="53" t="s">
        <v>566</v>
      </c>
      <c r="D367" s="115" t="str">
        <f t="shared" si="49"/>
        <v>artwork_fragment_osh_00102</v>
      </c>
      <c r="E367" s="115"/>
      <c r="F367" s="115" t="s">
        <v>925</v>
      </c>
      <c r="G367" s="58" t="s">
        <v>927</v>
      </c>
      <c r="H367" s="53" t="s">
        <v>569</v>
      </c>
      <c r="I367" s="94">
        <v>1.0</v>
      </c>
      <c r="J367" s="113"/>
      <c r="K367" s="114"/>
      <c r="L367" s="117"/>
      <c r="M367" s="117"/>
      <c r="N367" s="85"/>
      <c r="O367" s="85"/>
    </row>
    <row r="368">
      <c r="A368" s="89" t="s">
        <v>158</v>
      </c>
      <c r="B368" s="90" t="str">
        <f t="array" ref="B368">iferror(INDEX('作品'!D:D,MATCH(A368,'作品'!A:A,0),0),"error")</f>
        <v>【推しの子】</v>
      </c>
      <c r="C368" s="53" t="s">
        <v>566</v>
      </c>
      <c r="D368" s="115" t="str">
        <f t="shared" si="49"/>
        <v>artwork_fragment_osh_00103</v>
      </c>
      <c r="E368" s="115"/>
      <c r="F368" s="115" t="s">
        <v>925</v>
      </c>
      <c r="G368" s="58" t="s">
        <v>928</v>
      </c>
      <c r="H368" s="53" t="s">
        <v>569</v>
      </c>
      <c r="I368" s="94">
        <v>1.0</v>
      </c>
      <c r="J368" s="113"/>
      <c r="K368" s="114"/>
      <c r="L368" s="117"/>
      <c r="M368" s="117"/>
      <c r="N368" s="85"/>
      <c r="O368" s="85"/>
    </row>
    <row r="369">
      <c r="A369" s="89" t="s">
        <v>158</v>
      </c>
      <c r="B369" s="90" t="str">
        <f t="array" ref="B369">iferror(INDEX('作品'!D:D,MATCH(A369,'作品'!A:A,0),0),"error")</f>
        <v>【推しの子】</v>
      </c>
      <c r="C369" s="53" t="s">
        <v>566</v>
      </c>
      <c r="D369" s="115" t="str">
        <f t="shared" si="49"/>
        <v>artwork_fragment_osh_00104</v>
      </c>
      <c r="E369" s="115"/>
      <c r="F369" s="115" t="s">
        <v>925</v>
      </c>
      <c r="G369" s="58" t="s">
        <v>929</v>
      </c>
      <c r="H369" s="53" t="s">
        <v>569</v>
      </c>
      <c r="I369" s="94">
        <v>1.0</v>
      </c>
      <c r="J369" s="113"/>
      <c r="K369" s="114"/>
      <c r="L369" s="117"/>
      <c r="M369" s="117"/>
      <c r="N369" s="85"/>
      <c r="O369" s="85"/>
    </row>
    <row r="370">
      <c r="A370" s="89" t="s">
        <v>158</v>
      </c>
      <c r="B370" s="90" t="str">
        <f t="array" ref="B370">iferror(INDEX('作品'!D:D,MATCH(A370,'作品'!A:A,0),0),"error")</f>
        <v>【推しの子】</v>
      </c>
      <c r="C370" s="53" t="s">
        <v>566</v>
      </c>
      <c r="D370" s="115" t="str">
        <f t="shared" si="49"/>
        <v>artwork_fragment_osh_00105</v>
      </c>
      <c r="E370" s="115"/>
      <c r="F370" s="115" t="s">
        <v>925</v>
      </c>
      <c r="G370" s="58" t="s">
        <v>930</v>
      </c>
      <c r="H370" s="53" t="s">
        <v>569</v>
      </c>
      <c r="I370" s="94">
        <v>1.0</v>
      </c>
      <c r="J370" s="113"/>
      <c r="K370" s="114"/>
      <c r="L370" s="117"/>
      <c r="M370" s="117"/>
      <c r="N370" s="85"/>
      <c r="O370" s="85"/>
    </row>
    <row r="371">
      <c r="A371" s="89" t="s">
        <v>158</v>
      </c>
      <c r="B371" s="90" t="str">
        <f t="array" ref="B371">iferror(INDEX('作品'!D:D,MATCH(A371,'作品'!A:A,0),0),"error")</f>
        <v>【推しの子】</v>
      </c>
      <c r="C371" s="53" t="s">
        <v>566</v>
      </c>
      <c r="D371" s="115" t="str">
        <f t="shared" si="49"/>
        <v>artwork_fragment_osh_00106</v>
      </c>
      <c r="E371" s="115"/>
      <c r="F371" s="115" t="s">
        <v>931</v>
      </c>
      <c r="G371" s="58" t="s">
        <v>932</v>
      </c>
      <c r="H371" s="53" t="s">
        <v>569</v>
      </c>
      <c r="I371" s="94">
        <v>1.0</v>
      </c>
      <c r="J371" s="113"/>
      <c r="K371" s="114"/>
      <c r="L371" s="117"/>
      <c r="M371" s="117"/>
      <c r="N371" s="85"/>
      <c r="O371" s="85"/>
    </row>
    <row r="372">
      <c r="A372" s="89" t="s">
        <v>158</v>
      </c>
      <c r="B372" s="90" t="str">
        <f t="array" ref="B372">iferror(INDEX('作品'!D:D,MATCH(A372,'作品'!A:A,0),0),"error")</f>
        <v>【推しの子】</v>
      </c>
      <c r="C372" s="53" t="s">
        <v>566</v>
      </c>
      <c r="D372" s="115" t="str">
        <f t="shared" si="49"/>
        <v>artwork_fragment_osh_00107</v>
      </c>
      <c r="E372" s="115"/>
      <c r="F372" s="115" t="s">
        <v>931</v>
      </c>
      <c r="G372" s="58" t="s">
        <v>933</v>
      </c>
      <c r="H372" s="53" t="s">
        <v>569</v>
      </c>
      <c r="I372" s="94">
        <v>1.0</v>
      </c>
      <c r="J372" s="113"/>
      <c r="K372" s="114"/>
      <c r="L372" s="117"/>
      <c r="M372" s="117"/>
      <c r="N372" s="85"/>
      <c r="O372" s="85"/>
    </row>
    <row r="373">
      <c r="A373" s="89" t="s">
        <v>158</v>
      </c>
      <c r="B373" s="90" t="str">
        <f t="array" ref="B373">iferror(INDEX('作品'!D:D,MATCH(A373,'作品'!A:A,0),0),"error")</f>
        <v>【推しの子】</v>
      </c>
      <c r="C373" s="53" t="s">
        <v>566</v>
      </c>
      <c r="D373" s="115" t="str">
        <f t="shared" si="49"/>
        <v>artwork_fragment_osh_00108</v>
      </c>
      <c r="E373" s="115"/>
      <c r="F373" s="115" t="s">
        <v>931</v>
      </c>
      <c r="G373" s="58" t="s">
        <v>934</v>
      </c>
      <c r="H373" s="53" t="s">
        <v>569</v>
      </c>
      <c r="I373" s="94">
        <v>1.0</v>
      </c>
      <c r="J373" s="113"/>
      <c r="K373" s="114"/>
      <c r="L373" s="117"/>
      <c r="M373" s="117"/>
      <c r="N373" s="85"/>
      <c r="O373" s="85"/>
    </row>
    <row r="374">
      <c r="A374" s="89" t="s">
        <v>158</v>
      </c>
      <c r="B374" s="90" t="str">
        <f t="array" ref="B374">iferror(INDEX('作品'!D:D,MATCH(A374,'作品'!A:A,0),0),"error")</f>
        <v>【推しの子】</v>
      </c>
      <c r="C374" s="53" t="s">
        <v>566</v>
      </c>
      <c r="D374" s="115" t="str">
        <f t="shared" si="49"/>
        <v>artwork_fragment_osh_00109</v>
      </c>
      <c r="E374" s="115"/>
      <c r="F374" s="115" t="s">
        <v>931</v>
      </c>
      <c r="G374" s="58" t="s">
        <v>935</v>
      </c>
      <c r="H374" s="53" t="s">
        <v>569</v>
      </c>
      <c r="I374" s="94">
        <v>1.0</v>
      </c>
      <c r="J374" s="113"/>
      <c r="K374" s="114"/>
      <c r="L374" s="117"/>
      <c r="M374" s="117"/>
      <c r="N374" s="85"/>
      <c r="O374" s="85"/>
    </row>
    <row r="375">
      <c r="A375" s="89" t="s">
        <v>158</v>
      </c>
      <c r="B375" s="90" t="str">
        <f t="array" ref="B375">iferror(INDEX('作品'!D:D,MATCH(A375,'作品'!A:A,0),0),"error")</f>
        <v>【推しの子】</v>
      </c>
      <c r="C375" s="53" t="s">
        <v>566</v>
      </c>
      <c r="D375" s="115" t="str">
        <f t="shared" si="49"/>
        <v>artwork_fragment_osh_00110</v>
      </c>
      <c r="E375" s="115"/>
      <c r="F375" s="115" t="s">
        <v>931</v>
      </c>
      <c r="G375" s="58" t="s">
        <v>936</v>
      </c>
      <c r="H375" s="53" t="s">
        <v>569</v>
      </c>
      <c r="I375" s="94">
        <v>1.0</v>
      </c>
      <c r="J375" s="113"/>
      <c r="K375" s="114"/>
      <c r="L375" s="117"/>
      <c r="M375" s="117"/>
      <c r="N375" s="85"/>
      <c r="O375" s="85"/>
    </row>
    <row r="376">
      <c r="A376" s="89" t="s">
        <v>158</v>
      </c>
      <c r="B376" s="90" t="str">
        <f t="array" ref="B376">iferror(INDEX('作品'!D:D,MATCH(A376,'作品'!A:A,0),0),"error")</f>
        <v>【推しの子】</v>
      </c>
      <c r="C376" s="53" t="s">
        <v>566</v>
      </c>
      <c r="D376" s="115" t="str">
        <f t="shared" si="49"/>
        <v>artwork_fragment_osh_00111</v>
      </c>
      <c r="E376" s="115"/>
      <c r="F376" s="115" t="s">
        <v>937</v>
      </c>
      <c r="G376" s="58" t="s">
        <v>938</v>
      </c>
      <c r="H376" s="53" t="s">
        <v>569</v>
      </c>
      <c r="I376" s="94">
        <v>1.0</v>
      </c>
      <c r="J376" s="113"/>
      <c r="K376" s="114"/>
      <c r="L376" s="117"/>
      <c r="M376" s="117"/>
      <c r="N376" s="85"/>
      <c r="O376" s="85"/>
    </row>
    <row r="377">
      <c r="A377" s="89" t="s">
        <v>158</v>
      </c>
      <c r="B377" s="90" t="str">
        <f t="array" ref="B377">iferror(INDEX('作品'!D:D,MATCH(A377,'作品'!A:A,0),0),"error")</f>
        <v>【推しの子】</v>
      </c>
      <c r="C377" s="53" t="s">
        <v>566</v>
      </c>
      <c r="D377" s="115" t="str">
        <f t="shared" si="49"/>
        <v>artwork_fragment_osh_00112</v>
      </c>
      <c r="E377" s="115"/>
      <c r="F377" s="115" t="s">
        <v>937</v>
      </c>
      <c r="G377" s="58" t="s">
        <v>939</v>
      </c>
      <c r="H377" s="53" t="s">
        <v>569</v>
      </c>
      <c r="I377" s="94">
        <v>1.0</v>
      </c>
      <c r="J377" s="113"/>
      <c r="K377" s="114"/>
      <c r="L377" s="117"/>
      <c r="M377" s="117"/>
      <c r="N377" s="85"/>
      <c r="O377" s="85"/>
    </row>
    <row r="378">
      <c r="A378" s="89" t="s">
        <v>158</v>
      </c>
      <c r="B378" s="90" t="str">
        <f t="array" ref="B378">iferror(INDEX('作品'!D:D,MATCH(A378,'作品'!A:A,0),0),"error")</f>
        <v>【推しの子】</v>
      </c>
      <c r="C378" s="53" t="s">
        <v>566</v>
      </c>
      <c r="D378" s="115" t="str">
        <f t="shared" si="49"/>
        <v>artwork_fragment_osh_00113</v>
      </c>
      <c r="E378" s="115"/>
      <c r="F378" s="115" t="s">
        <v>937</v>
      </c>
      <c r="G378" s="58" t="s">
        <v>940</v>
      </c>
      <c r="H378" s="53" t="s">
        <v>569</v>
      </c>
      <c r="I378" s="94">
        <v>1.0</v>
      </c>
      <c r="J378" s="113"/>
      <c r="K378" s="114"/>
      <c r="L378" s="117"/>
      <c r="M378" s="117"/>
      <c r="N378" s="85"/>
      <c r="O378" s="85"/>
    </row>
    <row r="379">
      <c r="A379" s="89" t="s">
        <v>158</v>
      </c>
      <c r="B379" s="90" t="str">
        <f t="array" ref="B379">iferror(INDEX('作品'!D:D,MATCH(A379,'作品'!A:A,0),0),"error")</f>
        <v>【推しの子】</v>
      </c>
      <c r="C379" s="53" t="s">
        <v>566</v>
      </c>
      <c r="D379" s="115" t="str">
        <f t="shared" si="49"/>
        <v>artwork_fragment_osh_00114</v>
      </c>
      <c r="E379" s="115"/>
      <c r="F379" s="115" t="s">
        <v>937</v>
      </c>
      <c r="G379" s="58" t="s">
        <v>941</v>
      </c>
      <c r="H379" s="53" t="s">
        <v>569</v>
      </c>
      <c r="I379" s="94">
        <v>1.0</v>
      </c>
      <c r="J379" s="113"/>
      <c r="K379" s="114"/>
      <c r="L379" s="117"/>
      <c r="M379" s="117"/>
      <c r="N379" s="85"/>
      <c r="O379" s="85"/>
    </row>
    <row r="380">
      <c r="A380" s="89" t="s">
        <v>158</v>
      </c>
      <c r="B380" s="90" t="str">
        <f t="array" ref="B380">iferror(INDEX('作品'!D:D,MATCH(A380,'作品'!A:A,0),0),"error")</f>
        <v>【推しの子】</v>
      </c>
      <c r="C380" s="53" t="s">
        <v>566</v>
      </c>
      <c r="D380" s="115" t="str">
        <f t="shared" si="49"/>
        <v>artwork_fragment_osh_00115</v>
      </c>
      <c r="E380" s="115"/>
      <c r="F380" s="115" t="s">
        <v>937</v>
      </c>
      <c r="G380" s="58" t="s">
        <v>942</v>
      </c>
      <c r="H380" s="53" t="s">
        <v>569</v>
      </c>
      <c r="I380" s="94">
        <v>1.0</v>
      </c>
      <c r="J380" s="113"/>
      <c r="K380" s="114"/>
      <c r="L380" s="117"/>
      <c r="M380" s="117"/>
      <c r="N380" s="85"/>
      <c r="O380" s="85"/>
    </row>
    <row r="381">
      <c r="A381" s="89" t="s">
        <v>158</v>
      </c>
      <c r="B381" s="90" t="str">
        <f t="array" ref="B381">iferror(INDEX('作品'!D:D,MATCH(A381,'作品'!A:A,0),0),"error")</f>
        <v>【推しの子】</v>
      </c>
      <c r="C381" s="53" t="s">
        <v>566</v>
      </c>
      <c r="D381" s="115" t="str">
        <f t="shared" si="49"/>
        <v>artwork_fragment_osh_00116</v>
      </c>
      <c r="E381" s="115"/>
      <c r="F381" s="115" t="s">
        <v>937</v>
      </c>
      <c r="G381" s="58" t="s">
        <v>943</v>
      </c>
      <c r="H381" s="53" t="s">
        <v>569</v>
      </c>
      <c r="I381" s="94">
        <v>1.0</v>
      </c>
      <c r="J381" s="113"/>
      <c r="K381" s="114"/>
      <c r="L381" s="117"/>
      <c r="M381" s="117"/>
      <c r="N381" s="85"/>
      <c r="O381" s="85"/>
    </row>
    <row r="382">
      <c r="A382" s="89" t="s">
        <v>158</v>
      </c>
      <c r="B382" s="90" t="str">
        <f t="array" ref="B382">iferror(INDEX('作品'!D:D,MATCH(A382,'作品'!A:A,0),0),"error")</f>
        <v>【推しの子】</v>
      </c>
      <c r="C382" s="53" t="s">
        <v>566</v>
      </c>
      <c r="D382" s="115" t="str">
        <f t="shared" ref="D382:D397" si="50">C382&amp;"_"&amp;A382&amp;"_"&amp;TEXT(countif($A$237:$A382,A382),"00200")</f>
        <v>artwork_fragment_osh_00217</v>
      </c>
      <c r="E382" s="115"/>
      <c r="F382" s="115" t="s">
        <v>944</v>
      </c>
      <c r="G382" s="58" t="s">
        <v>929</v>
      </c>
      <c r="H382" s="53" t="s">
        <v>569</v>
      </c>
      <c r="I382" s="94">
        <v>1.0</v>
      </c>
      <c r="J382" s="113"/>
      <c r="K382" s="114"/>
      <c r="L382" s="117"/>
      <c r="M382" s="117"/>
      <c r="N382" s="85"/>
      <c r="O382" s="85"/>
    </row>
    <row r="383">
      <c r="A383" s="89" t="s">
        <v>158</v>
      </c>
      <c r="B383" s="90" t="str">
        <f t="array" ref="B383">iferror(INDEX('作品'!D:D,MATCH(A383,'作品'!A:A,0),0),"error")</f>
        <v>【推しの子】</v>
      </c>
      <c r="C383" s="53" t="s">
        <v>566</v>
      </c>
      <c r="D383" s="115" t="str">
        <f t="shared" si="50"/>
        <v>artwork_fragment_osh_00218</v>
      </c>
      <c r="E383" s="115"/>
      <c r="F383" s="115" t="s">
        <v>944</v>
      </c>
      <c r="G383" s="58" t="s">
        <v>930</v>
      </c>
      <c r="H383" s="53" t="s">
        <v>569</v>
      </c>
      <c r="I383" s="94">
        <v>1.0</v>
      </c>
      <c r="J383" s="113"/>
      <c r="K383" s="114"/>
      <c r="L383" s="117"/>
      <c r="M383" s="117"/>
      <c r="N383" s="85"/>
      <c r="O383" s="85"/>
    </row>
    <row r="384">
      <c r="A384" s="89" t="s">
        <v>158</v>
      </c>
      <c r="B384" s="90" t="str">
        <f t="array" ref="B384">iferror(INDEX('作品'!D:D,MATCH(A384,'作品'!A:A,0),0),"error")</f>
        <v>【推しの子】</v>
      </c>
      <c r="C384" s="53" t="s">
        <v>566</v>
      </c>
      <c r="D384" s="115" t="str">
        <f t="shared" si="50"/>
        <v>artwork_fragment_osh_00219</v>
      </c>
      <c r="E384" s="115"/>
      <c r="F384" s="115" t="s">
        <v>944</v>
      </c>
      <c r="G384" s="58" t="s">
        <v>927</v>
      </c>
      <c r="H384" s="53" t="s">
        <v>569</v>
      </c>
      <c r="I384" s="94">
        <v>1.0</v>
      </c>
      <c r="J384" s="113"/>
      <c r="K384" s="114"/>
      <c r="L384" s="117"/>
      <c r="M384" s="117"/>
      <c r="N384" s="85"/>
      <c r="O384" s="85"/>
    </row>
    <row r="385">
      <c r="A385" s="89" t="s">
        <v>158</v>
      </c>
      <c r="B385" s="90" t="str">
        <f t="array" ref="B385">iferror(INDEX('作品'!D:D,MATCH(A385,'作品'!A:A,0),0),"error")</f>
        <v>【推しの子】</v>
      </c>
      <c r="C385" s="53" t="s">
        <v>566</v>
      </c>
      <c r="D385" s="115" t="str">
        <f t="shared" si="50"/>
        <v>artwork_fragment_osh_00220</v>
      </c>
      <c r="E385" s="115"/>
      <c r="F385" s="115" t="s">
        <v>944</v>
      </c>
      <c r="G385" s="58" t="s">
        <v>934</v>
      </c>
      <c r="H385" s="53" t="s">
        <v>569</v>
      </c>
      <c r="I385" s="94">
        <v>1.0</v>
      </c>
      <c r="J385" s="113"/>
      <c r="K385" s="114"/>
      <c r="L385" s="117"/>
      <c r="M385" s="117"/>
      <c r="N385" s="85"/>
      <c r="O385" s="85"/>
    </row>
    <row r="386">
      <c r="A386" s="89" t="s">
        <v>158</v>
      </c>
      <c r="B386" s="90" t="str">
        <f t="array" ref="B386">iferror(INDEX('作品'!D:D,MATCH(A386,'作品'!A:A,0),0),"error")</f>
        <v>【推しの子】</v>
      </c>
      <c r="C386" s="53" t="s">
        <v>566</v>
      </c>
      <c r="D386" s="115" t="str">
        <f t="shared" si="50"/>
        <v>artwork_fragment_osh_00221</v>
      </c>
      <c r="E386" s="115"/>
      <c r="F386" s="115" t="s">
        <v>944</v>
      </c>
      <c r="G386" s="58" t="s">
        <v>932</v>
      </c>
      <c r="H386" s="53" t="s">
        <v>569</v>
      </c>
      <c r="I386" s="94">
        <v>1.0</v>
      </c>
      <c r="J386" s="113"/>
      <c r="K386" s="114"/>
      <c r="L386" s="117"/>
      <c r="M386" s="117"/>
      <c r="N386" s="85"/>
      <c r="O386" s="85"/>
    </row>
    <row r="387">
      <c r="A387" s="89" t="s">
        <v>158</v>
      </c>
      <c r="B387" s="90" t="str">
        <f t="array" ref="B387">iferror(INDEX('作品'!D:D,MATCH(A387,'作品'!A:A,0),0),"error")</f>
        <v>【推しの子】</v>
      </c>
      <c r="C387" s="53" t="s">
        <v>566</v>
      </c>
      <c r="D387" s="115" t="str">
        <f t="shared" si="50"/>
        <v>artwork_fragment_osh_00222</v>
      </c>
      <c r="E387" s="115"/>
      <c r="F387" s="115" t="s">
        <v>945</v>
      </c>
      <c r="G387" s="58" t="s">
        <v>943</v>
      </c>
      <c r="H387" s="53" t="s">
        <v>569</v>
      </c>
      <c r="I387" s="94">
        <v>1.0</v>
      </c>
      <c r="J387" s="113"/>
      <c r="K387" s="114"/>
      <c r="L387" s="117"/>
      <c r="M387" s="117"/>
      <c r="N387" s="85"/>
      <c r="O387" s="85"/>
    </row>
    <row r="388">
      <c r="A388" s="89" t="s">
        <v>158</v>
      </c>
      <c r="B388" s="90" t="str">
        <f t="array" ref="B388">iferror(INDEX('作品'!D:D,MATCH(A388,'作品'!A:A,0),0),"error")</f>
        <v>【推しの子】</v>
      </c>
      <c r="C388" s="53" t="s">
        <v>566</v>
      </c>
      <c r="D388" s="115" t="str">
        <f t="shared" si="50"/>
        <v>artwork_fragment_osh_00223</v>
      </c>
      <c r="E388" s="115"/>
      <c r="F388" s="115" t="s">
        <v>945</v>
      </c>
      <c r="G388" s="58" t="s">
        <v>940</v>
      </c>
      <c r="H388" s="53" t="s">
        <v>569</v>
      </c>
      <c r="I388" s="94">
        <v>1.0</v>
      </c>
      <c r="J388" s="113"/>
      <c r="K388" s="114"/>
      <c r="L388" s="117"/>
      <c r="M388" s="117"/>
      <c r="N388" s="85"/>
      <c r="O388" s="85"/>
    </row>
    <row r="389">
      <c r="A389" s="89" t="s">
        <v>158</v>
      </c>
      <c r="B389" s="90" t="str">
        <f t="array" ref="B389">iferror(INDEX('作品'!D:D,MATCH(A389,'作品'!A:A,0),0),"error")</f>
        <v>【推しの子】</v>
      </c>
      <c r="C389" s="53" t="s">
        <v>566</v>
      </c>
      <c r="D389" s="115" t="str">
        <f t="shared" si="50"/>
        <v>artwork_fragment_osh_00224</v>
      </c>
      <c r="E389" s="115"/>
      <c r="F389" s="115" t="s">
        <v>945</v>
      </c>
      <c r="G389" s="58" t="s">
        <v>933</v>
      </c>
      <c r="H389" s="53" t="s">
        <v>569</v>
      </c>
      <c r="I389" s="94">
        <v>1.0</v>
      </c>
      <c r="J389" s="113"/>
      <c r="K389" s="114"/>
      <c r="L389" s="117"/>
      <c r="M389" s="117"/>
      <c r="N389" s="85"/>
      <c r="O389" s="85"/>
    </row>
    <row r="390">
      <c r="A390" s="89" t="s">
        <v>158</v>
      </c>
      <c r="B390" s="90" t="str">
        <f t="array" ref="B390">iferror(INDEX('作品'!D:D,MATCH(A390,'作品'!A:A,0),0),"error")</f>
        <v>【推しの子】</v>
      </c>
      <c r="C390" s="53" t="s">
        <v>566</v>
      </c>
      <c r="D390" s="115" t="str">
        <f t="shared" si="50"/>
        <v>artwork_fragment_osh_00225</v>
      </c>
      <c r="E390" s="115"/>
      <c r="F390" s="115" t="s">
        <v>945</v>
      </c>
      <c r="G390" s="58" t="s">
        <v>939</v>
      </c>
      <c r="H390" s="53" t="s">
        <v>569</v>
      </c>
      <c r="I390" s="94">
        <v>1.0</v>
      </c>
      <c r="J390" s="113"/>
      <c r="K390" s="114"/>
      <c r="L390" s="117"/>
      <c r="M390" s="117"/>
      <c r="N390" s="85"/>
      <c r="O390" s="85"/>
    </row>
    <row r="391">
      <c r="A391" s="89" t="s">
        <v>158</v>
      </c>
      <c r="B391" s="90" t="str">
        <f t="array" ref="B391">iferror(INDEX('作品'!D:D,MATCH(A391,'作品'!A:A,0),0),"error")</f>
        <v>【推しの子】</v>
      </c>
      <c r="C391" s="53" t="s">
        <v>566</v>
      </c>
      <c r="D391" s="115" t="str">
        <f t="shared" si="50"/>
        <v>artwork_fragment_osh_00226</v>
      </c>
      <c r="E391" s="115"/>
      <c r="F391" s="115" t="s">
        <v>945</v>
      </c>
      <c r="G391" s="58" t="s">
        <v>926</v>
      </c>
      <c r="H391" s="53" t="s">
        <v>569</v>
      </c>
      <c r="I391" s="94">
        <v>1.0</v>
      </c>
      <c r="J391" s="113"/>
      <c r="K391" s="114"/>
      <c r="L391" s="117"/>
      <c r="M391" s="117"/>
      <c r="N391" s="85"/>
      <c r="O391" s="85"/>
    </row>
    <row r="392">
      <c r="A392" s="89" t="s">
        <v>158</v>
      </c>
      <c r="B392" s="90" t="str">
        <f t="array" ref="B392">iferror(INDEX('作品'!D:D,MATCH(A392,'作品'!A:A,0),0),"error")</f>
        <v>【推しの子】</v>
      </c>
      <c r="C392" s="53" t="s">
        <v>566</v>
      </c>
      <c r="D392" s="115" t="str">
        <f t="shared" si="50"/>
        <v>artwork_fragment_osh_00227</v>
      </c>
      <c r="E392" s="115"/>
      <c r="F392" s="115" t="s">
        <v>946</v>
      </c>
      <c r="G392" s="58" t="s">
        <v>936</v>
      </c>
      <c r="H392" s="53" t="s">
        <v>569</v>
      </c>
      <c r="I392" s="94">
        <v>1.0</v>
      </c>
      <c r="J392" s="113"/>
      <c r="K392" s="114"/>
      <c r="L392" s="117"/>
      <c r="M392" s="117"/>
      <c r="N392" s="85"/>
      <c r="O392" s="85"/>
    </row>
    <row r="393">
      <c r="A393" s="89" t="s">
        <v>158</v>
      </c>
      <c r="B393" s="90" t="str">
        <f t="array" ref="B393">iferror(INDEX('作品'!D:D,MATCH(A393,'作品'!A:A,0),0),"error")</f>
        <v>【推しの子】</v>
      </c>
      <c r="C393" s="53" t="s">
        <v>566</v>
      </c>
      <c r="D393" s="115" t="str">
        <f t="shared" si="50"/>
        <v>artwork_fragment_osh_00228</v>
      </c>
      <c r="E393" s="115"/>
      <c r="F393" s="115" t="s">
        <v>946</v>
      </c>
      <c r="G393" s="58" t="s">
        <v>941</v>
      </c>
      <c r="H393" s="53" t="s">
        <v>569</v>
      </c>
      <c r="I393" s="94">
        <v>1.0</v>
      </c>
      <c r="J393" s="113"/>
      <c r="K393" s="114"/>
      <c r="L393" s="117"/>
      <c r="M393" s="117"/>
      <c r="N393" s="85"/>
      <c r="O393" s="85"/>
    </row>
    <row r="394">
      <c r="A394" s="89" t="s">
        <v>158</v>
      </c>
      <c r="B394" s="90" t="str">
        <f t="array" ref="B394">iferror(INDEX('作品'!D:D,MATCH(A394,'作品'!A:A,0),0),"error")</f>
        <v>【推しの子】</v>
      </c>
      <c r="C394" s="53" t="s">
        <v>566</v>
      </c>
      <c r="D394" s="115" t="str">
        <f t="shared" si="50"/>
        <v>artwork_fragment_osh_00229</v>
      </c>
      <c r="E394" s="115"/>
      <c r="F394" s="115" t="s">
        <v>946</v>
      </c>
      <c r="G394" s="58" t="s">
        <v>938</v>
      </c>
      <c r="H394" s="53" t="s">
        <v>569</v>
      </c>
      <c r="I394" s="94">
        <v>1.0</v>
      </c>
      <c r="J394" s="113"/>
      <c r="K394" s="114"/>
      <c r="L394" s="117"/>
      <c r="M394" s="117"/>
      <c r="N394" s="85"/>
      <c r="O394" s="85"/>
    </row>
    <row r="395">
      <c r="A395" s="89" t="s">
        <v>158</v>
      </c>
      <c r="B395" s="90" t="str">
        <f t="array" ref="B395">iferror(INDEX('作品'!D:D,MATCH(A395,'作品'!A:A,0),0),"error")</f>
        <v>【推しの子】</v>
      </c>
      <c r="C395" s="53" t="s">
        <v>566</v>
      </c>
      <c r="D395" s="115" t="str">
        <f t="shared" si="50"/>
        <v>artwork_fragment_osh_00230</v>
      </c>
      <c r="E395" s="115"/>
      <c r="F395" s="115" t="s">
        <v>946</v>
      </c>
      <c r="G395" s="58" t="s">
        <v>935</v>
      </c>
      <c r="H395" s="53" t="s">
        <v>569</v>
      </c>
      <c r="I395" s="94">
        <v>1.0</v>
      </c>
      <c r="J395" s="113"/>
      <c r="K395" s="114"/>
      <c r="L395" s="117"/>
      <c r="M395" s="117"/>
      <c r="N395" s="85"/>
      <c r="O395" s="85"/>
    </row>
    <row r="396">
      <c r="A396" s="89" t="s">
        <v>158</v>
      </c>
      <c r="B396" s="90" t="str">
        <f t="array" ref="B396">iferror(INDEX('作品'!D:D,MATCH(A396,'作品'!A:A,0),0),"error")</f>
        <v>【推しの子】</v>
      </c>
      <c r="C396" s="53" t="s">
        <v>566</v>
      </c>
      <c r="D396" s="115" t="str">
        <f t="shared" si="50"/>
        <v>artwork_fragment_osh_00231</v>
      </c>
      <c r="E396" s="115"/>
      <c r="F396" s="115" t="s">
        <v>946</v>
      </c>
      <c r="G396" s="58" t="s">
        <v>928</v>
      </c>
      <c r="H396" s="53" t="s">
        <v>569</v>
      </c>
      <c r="I396" s="94">
        <v>1.0</v>
      </c>
      <c r="J396" s="113"/>
      <c r="K396" s="114"/>
      <c r="L396" s="117"/>
      <c r="M396" s="117"/>
      <c r="N396" s="85"/>
      <c r="O396" s="85"/>
    </row>
    <row r="397">
      <c r="A397" s="89" t="s">
        <v>158</v>
      </c>
      <c r="B397" s="90" t="str">
        <f t="array" ref="B397">iferror(INDEX('作品'!D:D,MATCH(A397,'作品'!A:A,0),0),"error")</f>
        <v>【推しの子】</v>
      </c>
      <c r="C397" s="53" t="s">
        <v>566</v>
      </c>
      <c r="D397" s="115" t="str">
        <f t="shared" si="50"/>
        <v>artwork_fragment_osh_00232</v>
      </c>
      <c r="E397" s="115"/>
      <c r="F397" s="115" t="s">
        <v>946</v>
      </c>
      <c r="G397" s="58" t="s">
        <v>942</v>
      </c>
      <c r="H397" s="53" t="s">
        <v>569</v>
      </c>
      <c r="I397" s="94">
        <v>1.0</v>
      </c>
      <c r="J397" s="113"/>
      <c r="K397" s="114"/>
      <c r="L397" s="117"/>
      <c r="M397" s="117"/>
      <c r="N397" s="85"/>
      <c r="O397" s="85"/>
    </row>
    <row r="398">
      <c r="A398" s="89" t="s">
        <v>158</v>
      </c>
      <c r="B398" s="90" t="str">
        <f t="array" ref="B398">iferror(INDEX('作品'!D:D,MATCH(A398,'作品'!A:A,0),0),"error")</f>
        <v>【推しの子】</v>
      </c>
      <c r="C398" s="53" t="s">
        <v>566</v>
      </c>
      <c r="D398" s="115" t="str">
        <f t="shared" ref="D398:D413" si="51">C398&amp;"_"&amp;A398&amp;"_"&amp;TEXT(countif($A$325:$A398,A398),"00300")</f>
        <v>artwork_fragment_osh_00333</v>
      </c>
      <c r="E398" s="115"/>
      <c r="F398" s="115" t="s">
        <v>947</v>
      </c>
      <c r="G398" s="58" t="s">
        <v>936</v>
      </c>
      <c r="H398" s="53" t="s">
        <v>569</v>
      </c>
      <c r="I398" s="94">
        <v>1.0</v>
      </c>
      <c r="J398" s="113"/>
      <c r="K398" s="114"/>
      <c r="L398" s="117"/>
      <c r="M398" s="117"/>
      <c r="N398" s="85"/>
      <c r="O398" s="85"/>
    </row>
    <row r="399">
      <c r="A399" s="89" t="s">
        <v>158</v>
      </c>
      <c r="B399" s="90" t="str">
        <f t="array" ref="B399">iferror(INDEX('作品'!D:D,MATCH(A399,'作品'!A:A,0),0),"error")</f>
        <v>【推しの子】</v>
      </c>
      <c r="C399" s="53" t="s">
        <v>566</v>
      </c>
      <c r="D399" s="115" t="str">
        <f t="shared" si="51"/>
        <v>artwork_fragment_osh_00334</v>
      </c>
      <c r="E399" s="115"/>
      <c r="F399" s="115" t="s">
        <v>947</v>
      </c>
      <c r="G399" s="58" t="s">
        <v>929</v>
      </c>
      <c r="H399" s="53" t="s">
        <v>569</v>
      </c>
      <c r="I399" s="94">
        <v>1.0</v>
      </c>
      <c r="J399" s="113"/>
      <c r="K399" s="114"/>
      <c r="L399" s="117"/>
      <c r="M399" s="117"/>
      <c r="N399" s="85"/>
      <c r="O399" s="85"/>
    </row>
    <row r="400">
      <c r="A400" s="89" t="s">
        <v>158</v>
      </c>
      <c r="B400" s="90" t="str">
        <f t="array" ref="B400">iferror(INDEX('作品'!D:D,MATCH(A400,'作品'!A:A,0),0),"error")</f>
        <v>【推しの子】</v>
      </c>
      <c r="C400" s="53" t="s">
        <v>566</v>
      </c>
      <c r="D400" s="115" t="str">
        <f t="shared" si="51"/>
        <v>artwork_fragment_osh_00335</v>
      </c>
      <c r="E400" s="115"/>
      <c r="F400" s="115" t="s">
        <v>947</v>
      </c>
      <c r="G400" s="58" t="s">
        <v>934</v>
      </c>
      <c r="H400" s="53" t="s">
        <v>569</v>
      </c>
      <c r="I400" s="94">
        <v>1.0</v>
      </c>
      <c r="J400" s="113"/>
      <c r="K400" s="114"/>
      <c r="L400" s="117"/>
      <c r="M400" s="117"/>
      <c r="N400" s="85"/>
      <c r="O400" s="85"/>
    </row>
    <row r="401">
      <c r="A401" s="89" t="s">
        <v>158</v>
      </c>
      <c r="B401" s="90" t="str">
        <f t="array" ref="B401">iferror(INDEX('作品'!D:D,MATCH(A401,'作品'!A:A,0),0),"error")</f>
        <v>【推しの子】</v>
      </c>
      <c r="C401" s="53" t="s">
        <v>566</v>
      </c>
      <c r="D401" s="115" t="str">
        <f t="shared" si="51"/>
        <v>artwork_fragment_osh_00336</v>
      </c>
      <c r="E401" s="115"/>
      <c r="F401" s="115" t="s">
        <v>947</v>
      </c>
      <c r="G401" s="58" t="s">
        <v>928</v>
      </c>
      <c r="H401" s="53" t="s">
        <v>569</v>
      </c>
      <c r="I401" s="94">
        <v>1.0</v>
      </c>
      <c r="J401" s="113"/>
      <c r="K401" s="114"/>
      <c r="L401" s="117"/>
      <c r="M401" s="117"/>
      <c r="N401" s="85"/>
      <c r="O401" s="85"/>
    </row>
    <row r="402">
      <c r="A402" s="89" t="s">
        <v>158</v>
      </c>
      <c r="B402" s="90" t="str">
        <f t="array" ref="B402">iferror(INDEX('作品'!D:D,MATCH(A402,'作品'!A:A,0),0),"error")</f>
        <v>【推しの子】</v>
      </c>
      <c r="C402" s="53" t="s">
        <v>566</v>
      </c>
      <c r="D402" s="115" t="str">
        <f t="shared" si="51"/>
        <v>artwork_fragment_osh_00337</v>
      </c>
      <c r="E402" s="115"/>
      <c r="F402" s="115" t="s">
        <v>947</v>
      </c>
      <c r="G402" s="58" t="s">
        <v>938</v>
      </c>
      <c r="H402" s="53" t="s">
        <v>569</v>
      </c>
      <c r="I402" s="94">
        <v>1.0</v>
      </c>
      <c r="J402" s="113"/>
      <c r="K402" s="114"/>
      <c r="L402" s="117"/>
      <c r="M402" s="117"/>
      <c r="N402" s="85"/>
      <c r="O402" s="85"/>
    </row>
    <row r="403">
      <c r="A403" s="89" t="s">
        <v>158</v>
      </c>
      <c r="B403" s="90" t="str">
        <f t="array" ref="B403">iferror(INDEX('作品'!D:D,MATCH(A403,'作品'!A:A,0),0),"error")</f>
        <v>【推しの子】</v>
      </c>
      <c r="C403" s="53" t="s">
        <v>566</v>
      </c>
      <c r="D403" s="115" t="str">
        <f t="shared" si="51"/>
        <v>artwork_fragment_osh_00338</v>
      </c>
      <c r="E403" s="115"/>
      <c r="F403" s="115" t="s">
        <v>948</v>
      </c>
      <c r="G403" s="58" t="s">
        <v>933</v>
      </c>
      <c r="H403" s="53" t="s">
        <v>569</v>
      </c>
      <c r="I403" s="94">
        <v>1.0</v>
      </c>
      <c r="J403" s="113"/>
      <c r="K403" s="114"/>
      <c r="L403" s="117"/>
      <c r="M403" s="117"/>
      <c r="N403" s="85"/>
      <c r="O403" s="85"/>
    </row>
    <row r="404">
      <c r="A404" s="89" t="s">
        <v>158</v>
      </c>
      <c r="B404" s="90" t="str">
        <f t="array" ref="B404">iferror(INDEX('作品'!D:D,MATCH(A404,'作品'!A:A,0),0),"error")</f>
        <v>【推しの子】</v>
      </c>
      <c r="C404" s="53" t="s">
        <v>566</v>
      </c>
      <c r="D404" s="115" t="str">
        <f t="shared" si="51"/>
        <v>artwork_fragment_osh_00339</v>
      </c>
      <c r="E404" s="115"/>
      <c r="F404" s="115" t="s">
        <v>948</v>
      </c>
      <c r="G404" s="58" t="s">
        <v>935</v>
      </c>
      <c r="H404" s="53" t="s">
        <v>569</v>
      </c>
      <c r="I404" s="94">
        <v>1.0</v>
      </c>
      <c r="J404" s="113"/>
      <c r="K404" s="114"/>
      <c r="L404" s="117"/>
      <c r="M404" s="117"/>
      <c r="N404" s="85"/>
      <c r="O404" s="85"/>
    </row>
    <row r="405">
      <c r="A405" s="89" t="s">
        <v>158</v>
      </c>
      <c r="B405" s="90" t="str">
        <f t="array" ref="B405">iferror(INDEX('作品'!D:D,MATCH(A405,'作品'!A:A,0),0),"error")</f>
        <v>【推しの子】</v>
      </c>
      <c r="C405" s="53" t="s">
        <v>566</v>
      </c>
      <c r="D405" s="115" t="str">
        <f t="shared" si="51"/>
        <v>artwork_fragment_osh_00340</v>
      </c>
      <c r="E405" s="115"/>
      <c r="F405" s="115" t="s">
        <v>948</v>
      </c>
      <c r="G405" s="58" t="s">
        <v>943</v>
      </c>
      <c r="H405" s="53" t="s">
        <v>569</v>
      </c>
      <c r="I405" s="94">
        <v>1.0</v>
      </c>
      <c r="J405" s="113"/>
      <c r="K405" s="114"/>
      <c r="L405" s="117"/>
      <c r="M405" s="117"/>
      <c r="N405" s="85"/>
      <c r="O405" s="85"/>
    </row>
    <row r="406">
      <c r="A406" s="89" t="s">
        <v>158</v>
      </c>
      <c r="B406" s="90" t="str">
        <f t="array" ref="B406">iferror(INDEX('作品'!D:D,MATCH(A406,'作品'!A:A,0),0),"error")</f>
        <v>【推しの子】</v>
      </c>
      <c r="C406" s="53" t="s">
        <v>566</v>
      </c>
      <c r="D406" s="115" t="str">
        <f t="shared" si="51"/>
        <v>artwork_fragment_osh_00341</v>
      </c>
      <c r="E406" s="115"/>
      <c r="F406" s="115" t="s">
        <v>948</v>
      </c>
      <c r="G406" s="58" t="s">
        <v>926</v>
      </c>
      <c r="H406" s="53" t="s">
        <v>569</v>
      </c>
      <c r="I406" s="94">
        <v>1.0</v>
      </c>
      <c r="J406" s="113"/>
      <c r="K406" s="114"/>
      <c r="L406" s="117"/>
      <c r="M406" s="117"/>
      <c r="N406" s="85"/>
      <c r="O406" s="85"/>
    </row>
    <row r="407">
      <c r="A407" s="89" t="s">
        <v>158</v>
      </c>
      <c r="B407" s="90" t="str">
        <f t="array" ref="B407">iferror(INDEX('作品'!D:D,MATCH(A407,'作品'!A:A,0),0),"error")</f>
        <v>【推しの子】</v>
      </c>
      <c r="C407" s="53" t="s">
        <v>566</v>
      </c>
      <c r="D407" s="115" t="str">
        <f t="shared" si="51"/>
        <v>artwork_fragment_osh_00342</v>
      </c>
      <c r="E407" s="115"/>
      <c r="F407" s="115" t="s">
        <v>948</v>
      </c>
      <c r="G407" s="58" t="s">
        <v>941</v>
      </c>
      <c r="H407" s="53" t="s">
        <v>569</v>
      </c>
      <c r="I407" s="94">
        <v>1.0</v>
      </c>
      <c r="J407" s="113"/>
      <c r="K407" s="114"/>
      <c r="L407" s="117"/>
      <c r="M407" s="117"/>
      <c r="N407" s="85"/>
      <c r="O407" s="85"/>
    </row>
    <row r="408">
      <c r="A408" s="89" t="s">
        <v>158</v>
      </c>
      <c r="B408" s="90" t="str">
        <f t="array" ref="B408">iferror(INDEX('作品'!D:D,MATCH(A408,'作品'!A:A,0),0),"error")</f>
        <v>【推しの子】</v>
      </c>
      <c r="C408" s="53" t="s">
        <v>566</v>
      </c>
      <c r="D408" s="115" t="str">
        <f t="shared" si="51"/>
        <v>artwork_fragment_osh_00343</v>
      </c>
      <c r="E408" s="115"/>
      <c r="F408" s="115" t="s">
        <v>949</v>
      </c>
      <c r="G408" s="58" t="s">
        <v>939</v>
      </c>
      <c r="H408" s="53" t="s">
        <v>569</v>
      </c>
      <c r="I408" s="94">
        <v>1.0</v>
      </c>
      <c r="J408" s="113"/>
      <c r="K408" s="114"/>
      <c r="L408" s="117"/>
      <c r="M408" s="117"/>
      <c r="N408" s="85"/>
      <c r="O408" s="85"/>
    </row>
    <row r="409">
      <c r="A409" s="89" t="s">
        <v>158</v>
      </c>
      <c r="B409" s="90" t="str">
        <f t="array" ref="B409">iferror(INDEX('作品'!D:D,MATCH(A409,'作品'!A:A,0),0),"error")</f>
        <v>【推しの子】</v>
      </c>
      <c r="C409" s="53" t="s">
        <v>566</v>
      </c>
      <c r="D409" s="115" t="str">
        <f t="shared" si="51"/>
        <v>artwork_fragment_osh_00344</v>
      </c>
      <c r="E409" s="115"/>
      <c r="F409" s="115" t="s">
        <v>949</v>
      </c>
      <c r="G409" s="58" t="s">
        <v>927</v>
      </c>
      <c r="H409" s="53" t="s">
        <v>569</v>
      </c>
      <c r="I409" s="94">
        <v>1.0</v>
      </c>
      <c r="J409" s="113"/>
      <c r="K409" s="114"/>
      <c r="L409" s="117"/>
      <c r="M409" s="117"/>
      <c r="N409" s="85"/>
      <c r="O409" s="85"/>
    </row>
    <row r="410">
      <c r="A410" s="89" t="s">
        <v>158</v>
      </c>
      <c r="B410" s="90" t="str">
        <f t="array" ref="B410">iferror(INDEX('作品'!D:D,MATCH(A410,'作品'!A:A,0),0),"error")</f>
        <v>【推しの子】</v>
      </c>
      <c r="C410" s="53" t="s">
        <v>566</v>
      </c>
      <c r="D410" s="115" t="str">
        <f t="shared" si="51"/>
        <v>artwork_fragment_osh_00345</v>
      </c>
      <c r="E410" s="115"/>
      <c r="F410" s="115" t="s">
        <v>949</v>
      </c>
      <c r="G410" s="58" t="s">
        <v>932</v>
      </c>
      <c r="H410" s="53" t="s">
        <v>569</v>
      </c>
      <c r="I410" s="94">
        <v>1.0</v>
      </c>
      <c r="J410" s="113"/>
      <c r="K410" s="114"/>
      <c r="L410" s="117"/>
      <c r="M410" s="117"/>
      <c r="N410" s="85"/>
      <c r="O410" s="85"/>
    </row>
    <row r="411">
      <c r="A411" s="89" t="s">
        <v>158</v>
      </c>
      <c r="B411" s="90" t="str">
        <f t="array" ref="B411">iferror(INDEX('作品'!D:D,MATCH(A411,'作品'!A:A,0),0),"error")</f>
        <v>【推しの子】</v>
      </c>
      <c r="C411" s="53" t="s">
        <v>566</v>
      </c>
      <c r="D411" s="115" t="str">
        <f t="shared" si="51"/>
        <v>artwork_fragment_osh_00346</v>
      </c>
      <c r="E411" s="115"/>
      <c r="F411" s="115" t="s">
        <v>949</v>
      </c>
      <c r="G411" s="58" t="s">
        <v>942</v>
      </c>
      <c r="H411" s="53" t="s">
        <v>569</v>
      </c>
      <c r="I411" s="94">
        <v>1.0</v>
      </c>
      <c r="J411" s="113"/>
      <c r="K411" s="114"/>
      <c r="L411" s="117"/>
      <c r="M411" s="117"/>
      <c r="N411" s="85"/>
      <c r="O411" s="85"/>
    </row>
    <row r="412">
      <c r="A412" s="89" t="s">
        <v>158</v>
      </c>
      <c r="B412" s="90" t="str">
        <f t="array" ref="B412">iferror(INDEX('作品'!D:D,MATCH(A412,'作品'!A:A,0),0),"error")</f>
        <v>【推しの子】</v>
      </c>
      <c r="C412" s="53" t="s">
        <v>566</v>
      </c>
      <c r="D412" s="115" t="str">
        <f t="shared" si="51"/>
        <v>artwork_fragment_osh_00347</v>
      </c>
      <c r="E412" s="115"/>
      <c r="F412" s="115" t="s">
        <v>949</v>
      </c>
      <c r="G412" s="58" t="s">
        <v>930</v>
      </c>
      <c r="H412" s="53" t="s">
        <v>569</v>
      </c>
      <c r="I412" s="94">
        <v>1.0</v>
      </c>
      <c r="J412" s="113"/>
      <c r="K412" s="114"/>
      <c r="L412" s="117"/>
      <c r="M412" s="117"/>
      <c r="N412" s="85"/>
      <c r="O412" s="85"/>
    </row>
    <row r="413">
      <c r="A413" s="89" t="s">
        <v>158</v>
      </c>
      <c r="B413" s="90" t="str">
        <f t="array" ref="B413">iferror(INDEX('作品'!D:D,MATCH(A413,'作品'!A:A,0),0),"error")</f>
        <v>【推しの子】</v>
      </c>
      <c r="C413" s="53" t="s">
        <v>566</v>
      </c>
      <c r="D413" s="115" t="str">
        <f t="shared" si="51"/>
        <v>artwork_fragment_osh_00348</v>
      </c>
      <c r="E413" s="115"/>
      <c r="F413" s="115" t="s">
        <v>949</v>
      </c>
      <c r="G413" s="58" t="s">
        <v>940</v>
      </c>
      <c r="H413" s="53" t="s">
        <v>569</v>
      </c>
      <c r="I413" s="94">
        <v>1.0</v>
      </c>
      <c r="J413" s="113"/>
      <c r="K413" s="114"/>
      <c r="L413" s="117"/>
      <c r="M413" s="117"/>
      <c r="N413" s="85"/>
      <c r="O413" s="85"/>
    </row>
    <row r="414" ht="9.0" customHeight="1">
      <c r="A414" s="118"/>
      <c r="B414" s="87"/>
      <c r="C414" s="87"/>
      <c r="D414" s="87"/>
      <c r="E414" s="87"/>
      <c r="F414" s="87"/>
      <c r="G414" s="87"/>
      <c r="H414" s="87"/>
      <c r="I414" s="87"/>
      <c r="J414" s="87"/>
      <c r="K414" s="87"/>
      <c r="L414" s="87"/>
      <c r="M414" s="88"/>
      <c r="N414" s="85"/>
      <c r="O414" s="85"/>
    </row>
    <row r="415">
      <c r="A415" s="98"/>
      <c r="B415" s="98"/>
      <c r="C415" s="98"/>
      <c r="D415" s="98"/>
      <c r="E415" s="98"/>
      <c r="F415" s="98"/>
      <c r="G415" s="98"/>
      <c r="H415" s="98"/>
      <c r="I415" s="98"/>
      <c r="J415" s="113"/>
      <c r="K415" s="113"/>
      <c r="L415" s="98"/>
      <c r="M415" s="98"/>
      <c r="N415" s="85"/>
      <c r="O415" s="85"/>
    </row>
  </sheetData>
  <mergeCells count="4">
    <mergeCell ref="A2:M2"/>
    <mergeCell ref="A58:M58"/>
    <mergeCell ref="A85:M85"/>
    <mergeCell ref="A414:M414"/>
  </mergeCells>
  <conditionalFormatting sqref="A1:A9 B1:B2 C1:O415 A11:A13 A15:A25 A42:A415 B42:B85 B414:B415">
    <cfRule type="expression" dxfId="1" priority="1">
      <formula>isformula(A1)</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26.13"/>
    <col customWidth="1" min="3" max="3" width="8.88"/>
    <col customWidth="1" min="4" max="4" width="14.13"/>
    <col customWidth="1" min="5" max="5" width="24.63"/>
    <col customWidth="1" min="6" max="6" width="31.63"/>
    <col customWidth="1" min="7" max="7" width="21.0"/>
    <col customWidth="1" min="9" max="9" width="14.63"/>
    <col customWidth="1" min="12" max="12" width="13.88"/>
    <col customWidth="1" min="13" max="13" width="15.5"/>
    <col customWidth="1" min="14" max="15" width="15.75"/>
    <col customWidth="1" min="16" max="16" width="14.13"/>
    <col customWidth="1" min="17" max="17" width="15.88"/>
    <col customWidth="1" min="18" max="18" width="11.5"/>
    <col customWidth="1" min="19" max="19" width="15.5"/>
    <col customWidth="1" min="20" max="20" width="13.88"/>
    <col customWidth="1" min="21" max="21" width="16.13"/>
    <col customWidth="1" min="22" max="22" width="17.0"/>
    <col customWidth="1" min="23" max="23" width="27.38"/>
    <col customWidth="1" min="24" max="24" width="22.38"/>
    <col customWidth="1" min="25" max="25" width="20.0"/>
    <col customWidth="1" min="26" max="26" width="19.38"/>
    <col customWidth="1" min="27" max="27" width="18.5"/>
    <col customWidth="1" min="28" max="28" width="42.63"/>
    <col customWidth="1" min="29" max="29" width="15.5"/>
    <col customWidth="1" min="30" max="30" width="11.5"/>
    <col customWidth="1" min="31" max="31" width="31.63"/>
    <col customWidth="1" min="32" max="32" width="20.5"/>
    <col customWidth="1" min="33" max="33" width="37.88"/>
    <col customWidth="1" min="34" max="34" width="53.25"/>
  </cols>
  <sheetData>
    <row r="1" ht="15.0" customHeight="1">
      <c r="A1" s="38" t="s">
        <v>950</v>
      </c>
      <c r="B1" s="38" t="s">
        <v>43</v>
      </c>
      <c r="C1" s="39" t="s">
        <v>951</v>
      </c>
      <c r="D1" s="39" t="s">
        <v>952</v>
      </c>
      <c r="E1" s="40" t="s">
        <v>292</v>
      </c>
      <c r="F1" s="41" t="s">
        <v>293</v>
      </c>
      <c r="G1" s="41" t="s">
        <v>953</v>
      </c>
      <c r="H1" s="43" t="s">
        <v>422</v>
      </c>
      <c r="I1" s="38" t="s">
        <v>954</v>
      </c>
      <c r="J1" s="38" t="s">
        <v>955</v>
      </c>
      <c r="K1" s="38" t="s">
        <v>956</v>
      </c>
      <c r="L1" s="38" t="s">
        <v>957</v>
      </c>
      <c r="M1" s="38" t="s">
        <v>958</v>
      </c>
      <c r="N1" s="38" t="s">
        <v>959</v>
      </c>
      <c r="O1" s="38" t="s">
        <v>960</v>
      </c>
      <c r="P1" s="38" t="s">
        <v>961</v>
      </c>
      <c r="Q1" s="119" t="s">
        <v>958</v>
      </c>
      <c r="R1" s="119" t="s">
        <v>962</v>
      </c>
      <c r="S1" s="120" t="s">
        <v>963</v>
      </c>
      <c r="T1" s="120" t="s">
        <v>964</v>
      </c>
      <c r="U1" s="42" t="s">
        <v>294</v>
      </c>
      <c r="V1" s="43" t="s">
        <v>295</v>
      </c>
      <c r="W1" s="43" t="s">
        <v>965</v>
      </c>
      <c r="X1" s="38" t="s">
        <v>966</v>
      </c>
      <c r="Y1" s="43" t="s">
        <v>967</v>
      </c>
      <c r="Z1" s="38" t="s">
        <v>968</v>
      </c>
      <c r="AA1" s="38" t="s">
        <v>969</v>
      </c>
      <c r="AB1" s="43" t="s">
        <v>58</v>
      </c>
      <c r="AC1" s="121" t="s">
        <v>970</v>
      </c>
      <c r="AD1" s="122" t="s">
        <v>971</v>
      </c>
      <c r="AE1" s="38" t="s">
        <v>296</v>
      </c>
      <c r="AF1" s="38" t="s">
        <v>972</v>
      </c>
      <c r="AG1" s="38" t="s">
        <v>427</v>
      </c>
      <c r="AH1" s="123"/>
    </row>
    <row r="2">
      <c r="A2" s="44" t="s">
        <v>60</v>
      </c>
      <c r="B2" s="124" t="str">
        <f t="array" ref="B2">iferror(INDEX('作品'!D:D,MATCH(A2,'作品'!A:A,0),0),"error")</f>
        <v>SPY×FAMILY</v>
      </c>
      <c r="C2" s="46" t="s">
        <v>973</v>
      </c>
      <c r="D2" s="47" t="str">
        <f t="shared" ref="D2:D172" si="1">K2&amp;"_"&amp;A2&amp;"_"&amp;C2</f>
        <v>chara_spy_00001</v>
      </c>
      <c r="E2" s="47" t="s">
        <v>974</v>
      </c>
      <c r="F2" s="48" t="s">
        <v>974</v>
      </c>
      <c r="G2" s="48" t="s">
        <v>975</v>
      </c>
      <c r="H2" s="45" t="s">
        <v>976</v>
      </c>
      <c r="I2" s="59" t="s">
        <v>977</v>
      </c>
      <c r="J2" s="55" t="s">
        <v>978</v>
      </c>
      <c r="K2" s="55" t="s">
        <v>979</v>
      </c>
      <c r="L2" s="59" t="s">
        <v>980</v>
      </c>
      <c r="M2" s="59" t="s">
        <v>64</v>
      </c>
      <c r="N2" s="59" t="s">
        <v>981</v>
      </c>
      <c r="O2" s="59" t="s">
        <v>64</v>
      </c>
      <c r="P2" s="125" t="str">
        <f t="shared" ref="P2:P10" si="2">RIGHT(D2,5)</f>
        <v>00001</v>
      </c>
      <c r="Q2" s="126" t="s">
        <v>64</v>
      </c>
      <c r="R2" s="126" t="s">
        <v>64</v>
      </c>
      <c r="S2" s="126" t="s">
        <v>982</v>
      </c>
      <c r="T2" s="126" t="s">
        <v>983</v>
      </c>
      <c r="U2" s="49">
        <v>45922.458333333336</v>
      </c>
      <c r="V2" s="50">
        <v>390812.49998842593</v>
      </c>
      <c r="W2" s="127" t="str">
        <f t="shared" ref="W2:W25" si="3">"catchcopy_character_"&amp;text(D2,"000000")&amp;".png"</f>
        <v>catchcopy_character_chara_spy_00001.png</v>
      </c>
      <c r="X2" s="128" t="str">
        <f t="shared" ref="X2:X39" si="4">"enemy_icon_"&amp;K2&amp;"_"&amp;A2&amp;"_"&amp;C2</f>
        <v>enemy_icon_chara_spy_00001</v>
      </c>
      <c r="Y2" s="128" t="str">
        <f t="shared" ref="Y2:Y39" si="5">"boss_icon_"&amp;K2&amp;"_"&amp;A2&amp;"_"&amp;C2</f>
        <v>boss_icon_chara_spy_00001</v>
      </c>
      <c r="Z2" s="129"/>
      <c r="AA2" s="59" t="s">
        <v>984</v>
      </c>
      <c r="AB2" s="130" t="s">
        <v>985</v>
      </c>
      <c r="AC2" s="131" t="s">
        <v>986</v>
      </c>
      <c r="AD2" s="132"/>
      <c r="AE2" s="133" t="s">
        <v>987</v>
      </c>
      <c r="AF2" s="45" t="s">
        <v>988</v>
      </c>
      <c r="AG2" s="134" t="s">
        <v>989</v>
      </c>
      <c r="AH2" s="135"/>
    </row>
    <row r="3">
      <c r="A3" s="44" t="s">
        <v>60</v>
      </c>
      <c r="B3" s="124" t="str">
        <f t="array" ref="B3">iferror(INDEX('作品'!D:D,MATCH(A3,'作品'!A:A,0),0),"error")</f>
        <v>SPY×FAMILY</v>
      </c>
      <c r="C3" s="46" t="s">
        <v>990</v>
      </c>
      <c r="D3" s="47" t="str">
        <f t="shared" si="1"/>
        <v>chara_spy_00002</v>
      </c>
      <c r="E3" s="47"/>
      <c r="F3" s="136" t="s">
        <v>991</v>
      </c>
      <c r="G3" s="48" t="s">
        <v>992</v>
      </c>
      <c r="H3" s="45" t="s">
        <v>993</v>
      </c>
      <c r="I3" s="59" t="s">
        <v>994</v>
      </c>
      <c r="J3" s="55" t="s">
        <v>978</v>
      </c>
      <c r="K3" s="55" t="s">
        <v>979</v>
      </c>
      <c r="L3" s="59" t="s">
        <v>980</v>
      </c>
      <c r="M3" s="59" t="s">
        <v>64</v>
      </c>
      <c r="N3" s="59" t="s">
        <v>981</v>
      </c>
      <c r="O3" s="59" t="s">
        <v>64</v>
      </c>
      <c r="P3" s="125" t="str">
        <f t="shared" si="2"/>
        <v>00002</v>
      </c>
      <c r="Q3" s="126" t="s">
        <v>64</v>
      </c>
      <c r="R3" s="126" t="s">
        <v>64</v>
      </c>
      <c r="S3" s="126" t="s">
        <v>995</v>
      </c>
      <c r="T3" s="126" t="s">
        <v>996</v>
      </c>
      <c r="U3" s="137" t="s">
        <v>997</v>
      </c>
      <c r="V3" s="50">
        <v>390812.49998842593</v>
      </c>
      <c r="W3" s="127" t="str">
        <f t="shared" si="3"/>
        <v>catchcopy_character_chara_spy_00002.png</v>
      </c>
      <c r="X3" s="128" t="str">
        <f t="shared" si="4"/>
        <v>enemy_icon_chara_spy_00002</v>
      </c>
      <c r="Y3" s="128" t="str">
        <f t="shared" si="5"/>
        <v>boss_icon_chara_spy_00002</v>
      </c>
      <c r="Z3" s="129"/>
      <c r="AA3" s="59"/>
      <c r="AB3" s="130" t="s">
        <v>998</v>
      </c>
      <c r="AC3" s="131" t="s">
        <v>999</v>
      </c>
      <c r="AD3" s="132"/>
      <c r="AE3" s="60"/>
      <c r="AF3" s="45"/>
      <c r="AG3" s="138" t="s">
        <v>1000</v>
      </c>
      <c r="AH3" s="139"/>
    </row>
    <row r="4">
      <c r="A4" s="44" t="s">
        <v>60</v>
      </c>
      <c r="B4" s="124" t="str">
        <f t="array" ref="B4">iferror(INDEX('作品'!D:D,MATCH(A4,'作品'!A:A,0),0),"error")</f>
        <v>SPY×FAMILY</v>
      </c>
      <c r="C4" s="46" t="s">
        <v>1001</v>
      </c>
      <c r="D4" s="47" t="str">
        <f t="shared" si="1"/>
        <v>chara_spy_00101</v>
      </c>
      <c r="E4" s="47" t="s">
        <v>1002</v>
      </c>
      <c r="F4" s="45" t="s">
        <v>1002</v>
      </c>
      <c r="G4" s="45" t="s">
        <v>1003</v>
      </c>
      <c r="H4" s="45" t="s">
        <v>976</v>
      </c>
      <c r="I4" s="59" t="s">
        <v>977</v>
      </c>
      <c r="J4" s="55" t="s">
        <v>1004</v>
      </c>
      <c r="K4" s="55" t="s">
        <v>979</v>
      </c>
      <c r="L4" s="59" t="s">
        <v>1005</v>
      </c>
      <c r="M4" s="59" t="s">
        <v>1006</v>
      </c>
      <c r="N4" s="59" t="s">
        <v>1007</v>
      </c>
      <c r="O4" s="59" t="s">
        <v>1006</v>
      </c>
      <c r="P4" s="125" t="str">
        <f t="shared" si="2"/>
        <v>00101</v>
      </c>
      <c r="Q4" s="126" t="s">
        <v>1008</v>
      </c>
      <c r="R4" s="126" t="s">
        <v>1009</v>
      </c>
      <c r="S4" s="126" t="s">
        <v>1010</v>
      </c>
      <c r="T4" s="126" t="s">
        <v>1011</v>
      </c>
      <c r="U4" s="49">
        <v>45922.458333333336</v>
      </c>
      <c r="V4" s="50">
        <v>390812.49998842593</v>
      </c>
      <c r="W4" s="127" t="str">
        <f t="shared" si="3"/>
        <v>catchcopy_character_chara_spy_00101.png</v>
      </c>
      <c r="X4" s="128" t="str">
        <f t="shared" si="4"/>
        <v>enemy_icon_chara_spy_00101</v>
      </c>
      <c r="Y4" s="128" t="str">
        <f t="shared" si="5"/>
        <v>boss_icon_chara_spy_00101</v>
      </c>
      <c r="Z4" s="59" t="s">
        <v>1012</v>
      </c>
      <c r="AA4" s="59" t="s">
        <v>1013</v>
      </c>
      <c r="AB4" s="130" t="s">
        <v>985</v>
      </c>
      <c r="AC4" s="131" t="s">
        <v>986</v>
      </c>
      <c r="AD4" s="132"/>
      <c r="AE4" s="133" t="s">
        <v>987</v>
      </c>
      <c r="AF4" s="45" t="s">
        <v>988</v>
      </c>
      <c r="AG4" s="138" t="s">
        <v>989</v>
      </c>
      <c r="AH4" s="139"/>
    </row>
    <row r="5">
      <c r="A5" s="44" t="s">
        <v>60</v>
      </c>
      <c r="B5" s="124" t="str">
        <f t="array" ref="B5">iferror(INDEX('作品'!D:D,MATCH(A5,'作品'!A:A,0),0),"error")</f>
        <v>SPY×FAMILY</v>
      </c>
      <c r="C5" s="46" t="s">
        <v>1014</v>
      </c>
      <c r="D5" s="47" t="str">
        <f t="shared" si="1"/>
        <v>chara_spy_00201</v>
      </c>
      <c r="E5" s="47" t="s">
        <v>1015</v>
      </c>
      <c r="F5" s="45" t="s">
        <v>1015</v>
      </c>
      <c r="G5" s="45" t="s">
        <v>1016</v>
      </c>
      <c r="H5" s="45" t="s">
        <v>976</v>
      </c>
      <c r="I5" s="59" t="s">
        <v>977</v>
      </c>
      <c r="J5" s="55" t="s">
        <v>1017</v>
      </c>
      <c r="K5" s="55" t="s">
        <v>979</v>
      </c>
      <c r="L5" s="59" t="s">
        <v>1005</v>
      </c>
      <c r="M5" s="59" t="s">
        <v>1018</v>
      </c>
      <c r="N5" s="59" t="s">
        <v>1019</v>
      </c>
      <c r="O5" s="59" t="s">
        <v>1020</v>
      </c>
      <c r="P5" s="125" t="str">
        <f t="shared" si="2"/>
        <v>00201</v>
      </c>
      <c r="Q5" s="126" t="s">
        <v>1021</v>
      </c>
      <c r="R5" s="140" t="s">
        <v>1022</v>
      </c>
      <c r="S5" s="126" t="s">
        <v>1010</v>
      </c>
      <c r="T5" s="141" t="s">
        <v>1023</v>
      </c>
      <c r="U5" s="49">
        <v>45922.458333333336</v>
      </c>
      <c r="V5" s="50">
        <v>390812.49998842593</v>
      </c>
      <c r="W5" s="127" t="str">
        <f t="shared" si="3"/>
        <v>catchcopy_character_chara_spy_00201.png</v>
      </c>
      <c r="X5" s="128" t="str">
        <f t="shared" si="4"/>
        <v>enemy_icon_chara_spy_00201</v>
      </c>
      <c r="Y5" s="128" t="str">
        <f t="shared" si="5"/>
        <v>boss_icon_chara_spy_00201</v>
      </c>
      <c r="Z5" s="59" t="s">
        <v>1024</v>
      </c>
      <c r="AA5" s="59" t="s">
        <v>1025</v>
      </c>
      <c r="AB5" s="130" t="s">
        <v>985</v>
      </c>
      <c r="AC5" s="131" t="s">
        <v>986</v>
      </c>
      <c r="AD5" s="132"/>
      <c r="AE5" s="133" t="s">
        <v>987</v>
      </c>
      <c r="AF5" s="45" t="s">
        <v>988</v>
      </c>
      <c r="AG5" s="138" t="s">
        <v>989</v>
      </c>
      <c r="AH5" s="139"/>
    </row>
    <row r="6">
      <c r="A6" s="44" t="s">
        <v>60</v>
      </c>
      <c r="B6" s="124" t="str">
        <f t="array" ref="B6">iferror(INDEX('作品'!D:D,MATCH(A6,'作品'!A:A,0),0),"error")</f>
        <v>SPY×FAMILY</v>
      </c>
      <c r="C6" s="46" t="s">
        <v>1026</v>
      </c>
      <c r="D6" s="47" t="str">
        <f t="shared" si="1"/>
        <v>chara_spy_00301</v>
      </c>
      <c r="E6" s="47" t="s">
        <v>306</v>
      </c>
      <c r="F6" s="45" t="s">
        <v>306</v>
      </c>
      <c r="G6" s="45" t="s">
        <v>1027</v>
      </c>
      <c r="H6" s="45" t="s">
        <v>1028</v>
      </c>
      <c r="I6" s="59" t="s">
        <v>1029</v>
      </c>
      <c r="J6" s="55" t="s">
        <v>978</v>
      </c>
      <c r="K6" s="55" t="s">
        <v>979</v>
      </c>
      <c r="L6" s="59" t="s">
        <v>980</v>
      </c>
      <c r="M6" s="59" t="s">
        <v>64</v>
      </c>
      <c r="N6" s="59" t="s">
        <v>981</v>
      </c>
      <c r="O6" s="59" t="s">
        <v>64</v>
      </c>
      <c r="P6" s="125" t="str">
        <f t="shared" si="2"/>
        <v>00301</v>
      </c>
      <c r="Q6" s="126" t="s">
        <v>64</v>
      </c>
      <c r="R6" s="126" t="s">
        <v>64</v>
      </c>
      <c r="S6" s="126" t="s">
        <v>1030</v>
      </c>
      <c r="T6" s="126" t="s">
        <v>983</v>
      </c>
      <c r="U6" s="137">
        <v>45936.625</v>
      </c>
      <c r="V6" s="50">
        <v>390812.49998842593</v>
      </c>
      <c r="W6" s="127" t="str">
        <f t="shared" si="3"/>
        <v>catchcopy_character_chara_spy_00301.png</v>
      </c>
      <c r="X6" s="128" t="str">
        <f t="shared" si="4"/>
        <v>enemy_icon_chara_spy_00301</v>
      </c>
      <c r="Y6" s="128" t="str">
        <f t="shared" si="5"/>
        <v>boss_icon_chara_spy_00301</v>
      </c>
      <c r="Z6" s="129"/>
      <c r="AA6" s="59" t="s">
        <v>1031</v>
      </c>
      <c r="AB6" s="130" t="s">
        <v>1032</v>
      </c>
      <c r="AC6" s="131" t="s">
        <v>986</v>
      </c>
      <c r="AD6" s="132"/>
      <c r="AE6" s="133" t="s">
        <v>987</v>
      </c>
      <c r="AF6" s="45" t="s">
        <v>988</v>
      </c>
      <c r="AG6" s="138" t="s">
        <v>1033</v>
      </c>
      <c r="AH6" s="139"/>
    </row>
    <row r="7">
      <c r="A7" s="44" t="s">
        <v>60</v>
      </c>
      <c r="B7" s="124" t="str">
        <f t="array" ref="B7">iferror(INDEX('作品'!D:D,MATCH(A7,'作品'!A:A,0),0),"error")</f>
        <v>SPY×FAMILY</v>
      </c>
      <c r="C7" s="46" t="s">
        <v>1034</v>
      </c>
      <c r="D7" s="47" t="str">
        <f t="shared" si="1"/>
        <v>chara_spy_00401</v>
      </c>
      <c r="E7" s="47" t="s">
        <v>308</v>
      </c>
      <c r="F7" s="45" t="s">
        <v>308</v>
      </c>
      <c r="G7" s="45" t="s">
        <v>1035</v>
      </c>
      <c r="H7" s="45" t="s">
        <v>1028</v>
      </c>
      <c r="I7" s="59" t="s">
        <v>1029</v>
      </c>
      <c r="J7" s="55" t="s">
        <v>1036</v>
      </c>
      <c r="K7" s="55" t="s">
        <v>979</v>
      </c>
      <c r="L7" s="59" t="s">
        <v>1037</v>
      </c>
      <c r="M7" s="59" t="s">
        <v>1038</v>
      </c>
      <c r="N7" s="59" t="s">
        <v>1039</v>
      </c>
      <c r="O7" s="59" t="s">
        <v>1038</v>
      </c>
      <c r="P7" s="125" t="str">
        <f t="shared" si="2"/>
        <v>00401</v>
      </c>
      <c r="Q7" s="126" t="s">
        <v>1040</v>
      </c>
      <c r="R7" s="126" t="s">
        <v>1041</v>
      </c>
      <c r="S7" s="126" t="s">
        <v>1042</v>
      </c>
      <c r="T7" s="126" t="s">
        <v>1043</v>
      </c>
      <c r="U7" s="137">
        <v>45936.625</v>
      </c>
      <c r="V7" s="50">
        <v>390812.49998842593</v>
      </c>
      <c r="W7" s="127" t="str">
        <f t="shared" si="3"/>
        <v>catchcopy_character_chara_spy_00401.png</v>
      </c>
      <c r="X7" s="128" t="str">
        <f t="shared" si="4"/>
        <v>enemy_icon_chara_spy_00401</v>
      </c>
      <c r="Y7" s="128" t="str">
        <f t="shared" si="5"/>
        <v>boss_icon_chara_spy_00401</v>
      </c>
      <c r="Z7" s="59" t="s">
        <v>1044</v>
      </c>
      <c r="AA7" s="59" t="s">
        <v>1045</v>
      </c>
      <c r="AB7" s="130" t="s">
        <v>985</v>
      </c>
      <c r="AC7" s="131" t="s">
        <v>986</v>
      </c>
      <c r="AD7" s="132"/>
      <c r="AE7" s="133" t="s">
        <v>987</v>
      </c>
      <c r="AF7" s="45" t="s">
        <v>988</v>
      </c>
      <c r="AG7" s="138" t="s">
        <v>989</v>
      </c>
      <c r="AH7" s="139"/>
    </row>
    <row r="8">
      <c r="A8" s="44" t="s">
        <v>60</v>
      </c>
      <c r="B8" s="124" t="str">
        <f t="array" ref="B8">iferror(INDEX('作品'!D:D,MATCH(A8,'作品'!A:A,0),0),"error")</f>
        <v>SPY×FAMILY</v>
      </c>
      <c r="C8" s="46" t="s">
        <v>1046</v>
      </c>
      <c r="D8" s="47" t="str">
        <f t="shared" si="1"/>
        <v>chara_spy_00501</v>
      </c>
      <c r="E8" s="47" t="s">
        <v>1047</v>
      </c>
      <c r="F8" s="142" t="s">
        <v>1048</v>
      </c>
      <c r="G8" s="45" t="s">
        <v>1049</v>
      </c>
      <c r="H8" s="45" t="s">
        <v>976</v>
      </c>
      <c r="I8" s="59" t="s">
        <v>977</v>
      </c>
      <c r="J8" s="55" t="s">
        <v>1050</v>
      </c>
      <c r="K8" s="55" t="s">
        <v>979</v>
      </c>
      <c r="L8" s="59" t="s">
        <v>1037</v>
      </c>
      <c r="M8" s="59" t="s">
        <v>1020</v>
      </c>
      <c r="N8" s="59" t="s">
        <v>1039</v>
      </c>
      <c r="O8" s="59" t="s">
        <v>64</v>
      </c>
      <c r="P8" s="125" t="str">
        <f t="shared" si="2"/>
        <v>00501</v>
      </c>
      <c r="Q8" s="141" t="s">
        <v>1051</v>
      </c>
      <c r="R8" s="140" t="s">
        <v>1052</v>
      </c>
      <c r="S8" s="126" t="s">
        <v>1053</v>
      </c>
      <c r="T8" s="141" t="s">
        <v>1054</v>
      </c>
      <c r="U8" s="137">
        <v>45936.625</v>
      </c>
      <c r="V8" s="50">
        <v>390812.49998842593</v>
      </c>
      <c r="W8" s="127" t="str">
        <f t="shared" si="3"/>
        <v>catchcopy_character_chara_spy_00501.png</v>
      </c>
      <c r="X8" s="128" t="str">
        <f t="shared" si="4"/>
        <v>enemy_icon_chara_spy_00501</v>
      </c>
      <c r="Y8" s="128" t="str">
        <f t="shared" si="5"/>
        <v>boss_icon_chara_spy_00501</v>
      </c>
      <c r="Z8" s="129"/>
      <c r="AA8" s="59" t="s">
        <v>1055</v>
      </c>
      <c r="AB8" s="130" t="s">
        <v>1032</v>
      </c>
      <c r="AC8" s="131" t="s">
        <v>986</v>
      </c>
      <c r="AD8" s="132"/>
      <c r="AE8" s="133" t="s">
        <v>987</v>
      </c>
      <c r="AF8" s="45" t="s">
        <v>988</v>
      </c>
      <c r="AG8" s="138" t="s">
        <v>1033</v>
      </c>
      <c r="AH8" s="139"/>
    </row>
    <row r="9">
      <c r="A9" s="44" t="s">
        <v>68</v>
      </c>
      <c r="B9" s="124" t="str">
        <f t="array" ref="B9">iferror(INDEX('作品'!D:D,MATCH(A9,'作品'!A:A,0),0),"error")</f>
        <v>ラーメン赤猫</v>
      </c>
      <c r="C9" s="46" t="s">
        <v>973</v>
      </c>
      <c r="D9" s="47" t="str">
        <f t="shared" si="1"/>
        <v>chara_aka_00001</v>
      </c>
      <c r="E9" s="47" t="s">
        <v>310</v>
      </c>
      <c r="F9" s="45" t="s">
        <v>310</v>
      </c>
      <c r="G9" s="45" t="s">
        <v>1056</v>
      </c>
      <c r="H9" s="45" t="s">
        <v>1057</v>
      </c>
      <c r="I9" s="59" t="s">
        <v>1058</v>
      </c>
      <c r="J9" s="55" t="s">
        <v>1017</v>
      </c>
      <c r="K9" s="55" t="s">
        <v>979</v>
      </c>
      <c r="L9" s="59" t="s">
        <v>1037</v>
      </c>
      <c r="M9" s="59" t="s">
        <v>1020</v>
      </c>
      <c r="N9" s="59" t="s">
        <v>1039</v>
      </c>
      <c r="O9" s="59" t="s">
        <v>1018</v>
      </c>
      <c r="P9" s="125" t="str">
        <f t="shared" si="2"/>
        <v>00001</v>
      </c>
      <c r="Q9" s="143" t="s">
        <v>1059</v>
      </c>
      <c r="R9" s="143" t="s">
        <v>1060</v>
      </c>
      <c r="S9" s="143"/>
      <c r="T9" s="143" t="s">
        <v>1011</v>
      </c>
      <c r="U9" s="49">
        <v>45922.458333333336</v>
      </c>
      <c r="V9" s="50">
        <v>390812.49998842593</v>
      </c>
      <c r="W9" s="127" t="str">
        <f t="shared" si="3"/>
        <v>catchcopy_character_chara_aka_00001.png</v>
      </c>
      <c r="X9" s="128" t="str">
        <f t="shared" si="4"/>
        <v>enemy_icon_chara_aka_00001</v>
      </c>
      <c r="Y9" s="128" t="str">
        <f t="shared" si="5"/>
        <v>boss_icon_chara_aka_00001</v>
      </c>
      <c r="Z9" s="129"/>
      <c r="AA9" s="144" t="s">
        <v>1061</v>
      </c>
      <c r="AB9" s="145" t="s">
        <v>985</v>
      </c>
      <c r="AC9" s="53" t="s">
        <v>986</v>
      </c>
      <c r="AD9" s="54"/>
      <c r="AE9" s="133" t="s">
        <v>987</v>
      </c>
      <c r="AF9" s="45" t="s">
        <v>988</v>
      </c>
      <c r="AG9" s="138" t="s">
        <v>989</v>
      </c>
      <c r="AH9" s="139"/>
    </row>
    <row r="10">
      <c r="A10" s="44" t="s">
        <v>68</v>
      </c>
      <c r="B10" s="124" t="str">
        <f t="array" ref="B10">iferror(INDEX('作品'!D:D,MATCH(A10,'作品'!A:A,0),0),"error")</f>
        <v>ラーメン赤猫</v>
      </c>
      <c r="C10" s="46" t="s">
        <v>1001</v>
      </c>
      <c r="D10" s="47" t="str">
        <f t="shared" si="1"/>
        <v>chara_aka_00101</v>
      </c>
      <c r="E10" s="47" t="s">
        <v>312</v>
      </c>
      <c r="F10" s="45" t="s">
        <v>312</v>
      </c>
      <c r="G10" s="45" t="s">
        <v>1062</v>
      </c>
      <c r="H10" s="45" t="s">
        <v>1057</v>
      </c>
      <c r="I10" s="59" t="s">
        <v>1058</v>
      </c>
      <c r="J10" s="55" t="s">
        <v>1017</v>
      </c>
      <c r="K10" s="55" t="s">
        <v>979</v>
      </c>
      <c r="L10" s="59" t="s">
        <v>1063</v>
      </c>
      <c r="M10" s="59" t="s">
        <v>1020</v>
      </c>
      <c r="N10" s="59" t="s">
        <v>1039</v>
      </c>
      <c r="O10" s="59" t="s">
        <v>1018</v>
      </c>
      <c r="P10" s="125" t="str">
        <f t="shared" si="2"/>
        <v>00101</v>
      </c>
      <c r="Q10" s="143" t="s">
        <v>1064</v>
      </c>
      <c r="R10" s="115" t="s">
        <v>1065</v>
      </c>
      <c r="S10" s="115" t="s">
        <v>1066</v>
      </c>
      <c r="T10" s="115" t="s">
        <v>1067</v>
      </c>
      <c r="U10" s="49">
        <v>45922.458333333336</v>
      </c>
      <c r="V10" s="50">
        <v>390812.49998842593</v>
      </c>
      <c r="W10" s="127" t="str">
        <f t="shared" si="3"/>
        <v>catchcopy_character_chara_aka_00101.png</v>
      </c>
      <c r="X10" s="128" t="str">
        <f t="shared" si="4"/>
        <v>enemy_icon_chara_aka_00101</v>
      </c>
      <c r="Y10" s="128" t="str">
        <f t="shared" si="5"/>
        <v>boss_icon_chara_aka_00101</v>
      </c>
      <c r="Z10" s="144" t="s">
        <v>1068</v>
      </c>
      <c r="AA10" s="144" t="s">
        <v>1069</v>
      </c>
      <c r="AB10" s="145" t="s">
        <v>985</v>
      </c>
      <c r="AC10" s="53" t="s">
        <v>986</v>
      </c>
      <c r="AD10" s="54"/>
      <c r="AE10" s="133" t="s">
        <v>987</v>
      </c>
      <c r="AF10" s="45" t="s">
        <v>988</v>
      </c>
      <c r="AG10" s="138" t="s">
        <v>989</v>
      </c>
      <c r="AH10" s="139"/>
    </row>
    <row r="11">
      <c r="A11" s="44" t="s">
        <v>68</v>
      </c>
      <c r="B11" s="124" t="str">
        <f t="array" ref="B11">iferror(INDEX('作品'!D:D,MATCH(A11,'作品'!A:A,0),0),"error")</f>
        <v>ラーメン赤猫</v>
      </c>
      <c r="C11" s="46" t="s">
        <v>1014</v>
      </c>
      <c r="D11" s="47" t="str">
        <f t="shared" si="1"/>
        <v>chara_aka_00201</v>
      </c>
      <c r="E11" s="47" t="s">
        <v>1070</v>
      </c>
      <c r="F11" s="45" t="s">
        <v>1070</v>
      </c>
      <c r="G11" s="45" t="s">
        <v>1071</v>
      </c>
      <c r="H11" s="45" t="s">
        <v>1028</v>
      </c>
      <c r="I11" s="59" t="s">
        <v>1029</v>
      </c>
      <c r="J11" s="55" t="s">
        <v>1017</v>
      </c>
      <c r="K11" s="55" t="s">
        <v>979</v>
      </c>
      <c r="L11" s="59" t="s">
        <v>1072</v>
      </c>
      <c r="M11" s="59"/>
      <c r="N11" s="59"/>
      <c r="O11" s="59"/>
      <c r="P11" s="125"/>
      <c r="Q11" s="143" t="s">
        <v>1073</v>
      </c>
      <c r="R11" s="115" t="s">
        <v>1074</v>
      </c>
      <c r="S11" s="115" t="s">
        <v>1075</v>
      </c>
      <c r="T11" s="115" t="s">
        <v>1076</v>
      </c>
      <c r="U11" s="58" t="s">
        <v>1077</v>
      </c>
      <c r="V11" s="50">
        <v>390812.49998842593</v>
      </c>
      <c r="W11" s="127" t="str">
        <f t="shared" si="3"/>
        <v>catchcopy_character_chara_aka_00201.png</v>
      </c>
      <c r="X11" s="128" t="str">
        <f t="shared" si="4"/>
        <v>enemy_icon_chara_aka_00201</v>
      </c>
      <c r="Y11" s="128" t="str">
        <f t="shared" si="5"/>
        <v>boss_icon_chara_aka_00201</v>
      </c>
      <c r="Z11" s="144" t="s">
        <v>1068</v>
      </c>
      <c r="AA11" s="144" t="s">
        <v>1069</v>
      </c>
      <c r="AB11" s="145" t="s">
        <v>1077</v>
      </c>
      <c r="AC11" s="53" t="s">
        <v>999</v>
      </c>
      <c r="AD11" s="54"/>
      <c r="AE11" s="133" t="s">
        <v>987</v>
      </c>
      <c r="AF11" s="45"/>
      <c r="AG11" s="138" t="s">
        <v>1078</v>
      </c>
      <c r="AH11" s="139"/>
    </row>
    <row r="12">
      <c r="A12" s="146" t="s">
        <v>68</v>
      </c>
      <c r="B12" s="147" t="str">
        <f t="array" ref="B12">iferror(INDEX('作品'!D:D,MATCH(A12,'作品'!A:A,0),0),"error")</f>
        <v>ラーメン赤猫</v>
      </c>
      <c r="C12" s="115" t="s">
        <v>1026</v>
      </c>
      <c r="D12" s="148" t="str">
        <f t="shared" si="1"/>
        <v>chara_aka_00301</v>
      </c>
      <c r="E12" s="47" t="s">
        <v>1079</v>
      </c>
      <c r="F12" s="142" t="s">
        <v>1079</v>
      </c>
      <c r="G12" s="149"/>
      <c r="H12" s="142" t="s">
        <v>1028</v>
      </c>
      <c r="I12" s="131" t="s">
        <v>1029</v>
      </c>
      <c r="J12" s="150" t="s">
        <v>1036</v>
      </c>
      <c r="K12" s="150" t="s">
        <v>979</v>
      </c>
      <c r="L12" s="131" t="s">
        <v>1005</v>
      </c>
      <c r="M12" s="131" t="s">
        <v>1020</v>
      </c>
      <c r="N12" s="151"/>
      <c r="O12" s="131" t="s">
        <v>1006</v>
      </c>
      <c r="P12" s="152"/>
      <c r="Q12" s="143" t="s">
        <v>1011</v>
      </c>
      <c r="R12" s="115" t="s">
        <v>1080</v>
      </c>
      <c r="S12" s="115" t="s">
        <v>1081</v>
      </c>
      <c r="T12" s="115" t="s">
        <v>1082</v>
      </c>
      <c r="U12" s="58" t="s">
        <v>1077</v>
      </c>
      <c r="V12" s="50">
        <v>390812.49998842593</v>
      </c>
      <c r="W12" s="127" t="str">
        <f t="shared" si="3"/>
        <v>catchcopy_character_chara_aka_00301.png</v>
      </c>
      <c r="X12" s="153" t="str">
        <f t="shared" si="4"/>
        <v>enemy_icon_chara_aka_00301</v>
      </c>
      <c r="Y12" s="153" t="str">
        <f t="shared" si="5"/>
        <v>boss_icon_chara_aka_00301</v>
      </c>
      <c r="Z12" s="144" t="s">
        <v>1068</v>
      </c>
      <c r="AA12" s="144" t="s">
        <v>1069</v>
      </c>
      <c r="AB12" s="154" t="s">
        <v>1077</v>
      </c>
      <c r="AC12" s="142" t="s">
        <v>999</v>
      </c>
      <c r="AD12" s="155"/>
      <c r="AE12" s="133" t="s">
        <v>987</v>
      </c>
      <c r="AF12" s="149"/>
      <c r="AG12" s="138" t="s">
        <v>1078</v>
      </c>
      <c r="AH12" s="139"/>
    </row>
    <row r="13">
      <c r="A13" s="44" t="s">
        <v>75</v>
      </c>
      <c r="B13" s="124" t="str">
        <f t="array" ref="B13">iferror(INDEX('作品'!D:D,MATCH(A13,'作品'!A:A,0),0),"error")</f>
        <v>トマトイプーのリコピン</v>
      </c>
      <c r="C13" s="46" t="s">
        <v>973</v>
      </c>
      <c r="D13" s="47" t="str">
        <f t="shared" si="1"/>
        <v>chara_rik_00001</v>
      </c>
      <c r="E13" s="47" t="s">
        <v>314</v>
      </c>
      <c r="F13" s="45" t="s">
        <v>314</v>
      </c>
      <c r="G13" s="45" t="s">
        <v>1083</v>
      </c>
      <c r="H13" s="45" t="s">
        <v>1057</v>
      </c>
      <c r="I13" s="59" t="s">
        <v>1058</v>
      </c>
      <c r="J13" s="55" t="s">
        <v>1017</v>
      </c>
      <c r="K13" s="55" t="s">
        <v>979</v>
      </c>
      <c r="L13" s="59" t="s">
        <v>1005</v>
      </c>
      <c r="M13" s="59" t="s">
        <v>1038</v>
      </c>
      <c r="N13" s="59" t="s">
        <v>1039</v>
      </c>
      <c r="O13" s="59" t="s">
        <v>1038</v>
      </c>
      <c r="P13" s="125" t="str">
        <f t="shared" ref="P13:P20" si="6">RIGHT(D13,5)</f>
        <v>00001</v>
      </c>
      <c r="Q13" s="143" t="s">
        <v>1008</v>
      </c>
      <c r="R13" s="143" t="s">
        <v>1084</v>
      </c>
      <c r="S13" s="143" t="s">
        <v>1085</v>
      </c>
      <c r="T13" s="143" t="s">
        <v>1086</v>
      </c>
      <c r="U13" s="49">
        <v>45922.458333333336</v>
      </c>
      <c r="V13" s="50">
        <v>390812.49998842593</v>
      </c>
      <c r="W13" s="127" t="str">
        <f t="shared" si="3"/>
        <v>catchcopy_character_chara_rik_00001.png</v>
      </c>
      <c r="X13" s="128" t="str">
        <f t="shared" si="4"/>
        <v>enemy_icon_chara_rik_00001</v>
      </c>
      <c r="Y13" s="128" t="str">
        <f t="shared" si="5"/>
        <v>boss_icon_chara_rik_00001</v>
      </c>
      <c r="Z13" s="144" t="s">
        <v>1087</v>
      </c>
      <c r="AA13" s="144" t="s">
        <v>1088</v>
      </c>
      <c r="AB13" s="145" t="s">
        <v>985</v>
      </c>
      <c r="AC13" s="53" t="s">
        <v>986</v>
      </c>
      <c r="AD13" s="54"/>
      <c r="AE13" s="133" t="s">
        <v>987</v>
      </c>
      <c r="AF13" s="45" t="s">
        <v>988</v>
      </c>
      <c r="AG13" s="138" t="s">
        <v>989</v>
      </c>
      <c r="AH13" s="139"/>
    </row>
    <row r="14">
      <c r="A14" s="44" t="s">
        <v>75</v>
      </c>
      <c r="B14" s="124" t="str">
        <f t="array" ref="B14">iferror(INDEX('作品'!D:D,MATCH(A14,'作品'!A:A,0),0),"error")</f>
        <v>トマトイプーのリコピン</v>
      </c>
      <c r="C14" s="46" t="s">
        <v>1001</v>
      </c>
      <c r="D14" s="47" t="str">
        <f t="shared" si="1"/>
        <v>chara_rik_00101</v>
      </c>
      <c r="E14" s="47" t="s">
        <v>316</v>
      </c>
      <c r="F14" s="45" t="s">
        <v>316</v>
      </c>
      <c r="G14" s="45" t="s">
        <v>1089</v>
      </c>
      <c r="H14" s="45" t="s">
        <v>1057</v>
      </c>
      <c r="I14" s="59" t="s">
        <v>1090</v>
      </c>
      <c r="J14" s="55" t="s">
        <v>1017</v>
      </c>
      <c r="K14" s="55" t="s">
        <v>979</v>
      </c>
      <c r="L14" s="59" t="s">
        <v>1072</v>
      </c>
      <c r="M14" s="59" t="s">
        <v>1038</v>
      </c>
      <c r="N14" s="59" t="s">
        <v>1019</v>
      </c>
      <c r="O14" s="59" t="s">
        <v>64</v>
      </c>
      <c r="P14" s="125" t="str">
        <f t="shared" si="6"/>
        <v>00101</v>
      </c>
      <c r="Q14" s="143" t="s">
        <v>1091</v>
      </c>
      <c r="R14" s="143" t="s">
        <v>1092</v>
      </c>
      <c r="S14" s="143" t="s">
        <v>1093</v>
      </c>
      <c r="T14" s="143" t="s">
        <v>1094</v>
      </c>
      <c r="U14" s="49">
        <v>45922.458333333336</v>
      </c>
      <c r="V14" s="50">
        <v>390812.49998842593</v>
      </c>
      <c r="W14" s="127" t="str">
        <f t="shared" si="3"/>
        <v>catchcopy_character_chara_rik_00101.png</v>
      </c>
      <c r="X14" s="128" t="str">
        <f t="shared" si="4"/>
        <v>enemy_icon_chara_rik_00101</v>
      </c>
      <c r="Y14" s="128" t="str">
        <f t="shared" si="5"/>
        <v>boss_icon_chara_rik_00101</v>
      </c>
      <c r="Z14" s="144" t="s">
        <v>1095</v>
      </c>
      <c r="AA14" s="144" t="s">
        <v>1096</v>
      </c>
      <c r="AB14" s="145" t="s">
        <v>985</v>
      </c>
      <c r="AC14" s="53" t="s">
        <v>986</v>
      </c>
      <c r="AD14" s="54"/>
      <c r="AE14" s="133" t="s">
        <v>987</v>
      </c>
      <c r="AF14" s="45" t="s">
        <v>988</v>
      </c>
      <c r="AG14" s="138" t="s">
        <v>989</v>
      </c>
      <c r="AH14" s="139"/>
    </row>
    <row r="15">
      <c r="A15" s="44" t="s">
        <v>80</v>
      </c>
      <c r="B15" s="124" t="str">
        <f t="array" ref="B15">iferror(INDEX('作品'!D:D,MATCH(A15,'作品'!A:A,0),0),"error")</f>
        <v>ダンダダン</v>
      </c>
      <c r="C15" s="46" t="s">
        <v>973</v>
      </c>
      <c r="D15" s="47" t="str">
        <f t="shared" si="1"/>
        <v>chara_dan_00001</v>
      </c>
      <c r="E15" s="47" t="s">
        <v>1097</v>
      </c>
      <c r="F15" s="45" t="s">
        <v>1097</v>
      </c>
      <c r="G15" s="45" t="s">
        <v>1098</v>
      </c>
      <c r="H15" s="45" t="s">
        <v>1057</v>
      </c>
      <c r="I15" s="59" t="s">
        <v>1058</v>
      </c>
      <c r="J15" s="55" t="s">
        <v>1017</v>
      </c>
      <c r="K15" s="55" t="s">
        <v>979</v>
      </c>
      <c r="L15" s="59" t="s">
        <v>1037</v>
      </c>
      <c r="M15" s="59" t="s">
        <v>1020</v>
      </c>
      <c r="N15" s="59" t="s">
        <v>1039</v>
      </c>
      <c r="O15" s="59" t="s">
        <v>64</v>
      </c>
      <c r="P15" s="125" t="str">
        <f t="shared" si="6"/>
        <v>00001</v>
      </c>
      <c r="Q15" s="143" t="s">
        <v>1099</v>
      </c>
      <c r="R15" s="143" t="s">
        <v>1100</v>
      </c>
      <c r="S15" s="143" t="s">
        <v>1101</v>
      </c>
      <c r="T15" s="143" t="s">
        <v>1102</v>
      </c>
      <c r="U15" s="49">
        <v>45922.458333333336</v>
      </c>
      <c r="V15" s="50">
        <v>390812.49998842593</v>
      </c>
      <c r="W15" s="127" t="str">
        <f t="shared" si="3"/>
        <v>catchcopy_character_chara_dan_00001.png</v>
      </c>
      <c r="X15" s="128" t="str">
        <f t="shared" si="4"/>
        <v>enemy_icon_chara_dan_00001</v>
      </c>
      <c r="Y15" s="128" t="str">
        <f t="shared" si="5"/>
        <v>boss_icon_chara_dan_00001</v>
      </c>
      <c r="Z15" s="144" t="s">
        <v>1103</v>
      </c>
      <c r="AA15" s="144" t="s">
        <v>1104</v>
      </c>
      <c r="AB15" s="145" t="s">
        <v>985</v>
      </c>
      <c r="AC15" s="53" t="s">
        <v>986</v>
      </c>
      <c r="AD15" s="54"/>
      <c r="AE15" s="133" t="s">
        <v>987</v>
      </c>
      <c r="AF15" s="45" t="s">
        <v>1105</v>
      </c>
      <c r="AG15" s="138" t="s">
        <v>989</v>
      </c>
      <c r="AH15" s="139"/>
    </row>
    <row r="16">
      <c r="A16" s="44" t="s">
        <v>80</v>
      </c>
      <c r="B16" s="124" t="str">
        <f t="array" ref="B16">iferror(INDEX('作品'!D:D,MATCH(A16,'作品'!A:A,0),0),"error")</f>
        <v>ダンダダン</v>
      </c>
      <c r="C16" s="46" t="s">
        <v>990</v>
      </c>
      <c r="D16" s="47" t="str">
        <f t="shared" si="1"/>
        <v>chara_dan_00002</v>
      </c>
      <c r="E16" s="47" t="s">
        <v>1106</v>
      </c>
      <c r="F16" s="45" t="s">
        <v>1106</v>
      </c>
      <c r="G16" s="45" t="s">
        <v>1107</v>
      </c>
      <c r="H16" s="45" t="s">
        <v>976</v>
      </c>
      <c r="I16" s="59" t="s">
        <v>977</v>
      </c>
      <c r="J16" s="55" t="s">
        <v>1050</v>
      </c>
      <c r="K16" s="55" t="s">
        <v>979</v>
      </c>
      <c r="L16" s="59" t="s">
        <v>1005</v>
      </c>
      <c r="M16" s="59" t="s">
        <v>1020</v>
      </c>
      <c r="N16" s="59" t="s">
        <v>1019</v>
      </c>
      <c r="O16" s="59" t="s">
        <v>1020</v>
      </c>
      <c r="P16" s="125" t="str">
        <f t="shared" si="6"/>
        <v>00002</v>
      </c>
      <c r="Q16" s="115" t="s">
        <v>1108</v>
      </c>
      <c r="R16" s="115" t="s">
        <v>1109</v>
      </c>
      <c r="S16" s="115" t="s">
        <v>1110</v>
      </c>
      <c r="T16" s="115" t="s">
        <v>1111</v>
      </c>
      <c r="U16" s="49">
        <v>45922.458333333336</v>
      </c>
      <c r="V16" s="50">
        <v>390812.49998842593</v>
      </c>
      <c r="W16" s="127" t="str">
        <f t="shared" si="3"/>
        <v>catchcopy_character_chara_dan_00002.png</v>
      </c>
      <c r="X16" s="128" t="str">
        <f t="shared" si="4"/>
        <v>enemy_icon_chara_dan_00002</v>
      </c>
      <c r="Y16" s="128" t="str">
        <f t="shared" si="5"/>
        <v>boss_icon_chara_dan_00002</v>
      </c>
      <c r="Z16" s="129"/>
      <c r="AA16" s="144" t="s">
        <v>1112</v>
      </c>
      <c r="AB16" s="145" t="s">
        <v>985</v>
      </c>
      <c r="AC16" s="53" t="s">
        <v>986</v>
      </c>
      <c r="AD16" s="54"/>
      <c r="AE16" s="133" t="s">
        <v>987</v>
      </c>
      <c r="AF16" s="45" t="s">
        <v>1105</v>
      </c>
      <c r="AG16" s="138" t="s">
        <v>989</v>
      </c>
      <c r="AH16" s="139"/>
    </row>
    <row r="17">
      <c r="A17" s="44" t="s">
        <v>80</v>
      </c>
      <c r="B17" s="124" t="str">
        <f t="array" ref="B17">iferror(INDEX('作品'!D:D,MATCH(A17,'作品'!A:A,0),0),"error")</f>
        <v>ダンダダン</v>
      </c>
      <c r="C17" s="46" t="s">
        <v>1001</v>
      </c>
      <c r="D17" s="47" t="str">
        <f t="shared" si="1"/>
        <v>chara_dan_00101</v>
      </c>
      <c r="E17" s="47" t="s">
        <v>1113</v>
      </c>
      <c r="F17" s="45" t="s">
        <v>1113</v>
      </c>
      <c r="G17" s="45" t="s">
        <v>1114</v>
      </c>
      <c r="H17" s="45" t="s">
        <v>993</v>
      </c>
      <c r="I17" s="59" t="s">
        <v>1115</v>
      </c>
      <c r="J17" s="55" t="s">
        <v>1017</v>
      </c>
      <c r="K17" s="55" t="s">
        <v>979</v>
      </c>
      <c r="L17" s="59" t="s">
        <v>1005</v>
      </c>
      <c r="M17" s="59" t="s">
        <v>1020</v>
      </c>
      <c r="N17" s="59" t="s">
        <v>1019</v>
      </c>
      <c r="O17" s="59" t="s">
        <v>1020</v>
      </c>
      <c r="P17" s="125" t="str">
        <f t="shared" si="6"/>
        <v>00101</v>
      </c>
      <c r="Q17" s="143" t="s">
        <v>1116</v>
      </c>
      <c r="R17" s="143" t="s">
        <v>1041</v>
      </c>
      <c r="S17" s="143" t="s">
        <v>1117</v>
      </c>
      <c r="T17" s="143" t="s">
        <v>1116</v>
      </c>
      <c r="U17" s="49">
        <v>45922.458333333336</v>
      </c>
      <c r="V17" s="50">
        <v>390812.49998842593</v>
      </c>
      <c r="W17" s="127" t="str">
        <f t="shared" si="3"/>
        <v>catchcopy_character_chara_dan_00101.png</v>
      </c>
      <c r="X17" s="128" t="str">
        <f t="shared" si="4"/>
        <v>enemy_icon_chara_dan_00101</v>
      </c>
      <c r="Y17" s="128" t="str">
        <f t="shared" si="5"/>
        <v>boss_icon_chara_dan_00101</v>
      </c>
      <c r="Z17" s="144" t="s">
        <v>1118</v>
      </c>
      <c r="AA17" s="144" t="s">
        <v>1119</v>
      </c>
      <c r="AB17" s="145" t="s">
        <v>985</v>
      </c>
      <c r="AC17" s="53" t="s">
        <v>986</v>
      </c>
      <c r="AD17" s="54"/>
      <c r="AE17" s="133" t="s">
        <v>987</v>
      </c>
      <c r="AF17" s="45" t="s">
        <v>1120</v>
      </c>
      <c r="AG17" s="138" t="s">
        <v>989</v>
      </c>
      <c r="AH17" s="139"/>
    </row>
    <row r="18">
      <c r="A18" s="44" t="s">
        <v>80</v>
      </c>
      <c r="B18" s="124" t="str">
        <f t="array" ref="B18">iferror(INDEX('作品'!D:D,MATCH(A18,'作品'!A:A,0),0),"error")</f>
        <v>ダンダダン</v>
      </c>
      <c r="C18" s="46" t="s">
        <v>1014</v>
      </c>
      <c r="D18" s="47" t="str">
        <f t="shared" si="1"/>
        <v>chara_dan_00201</v>
      </c>
      <c r="E18" s="47" t="s">
        <v>1121</v>
      </c>
      <c r="F18" s="45" t="s">
        <v>1121</v>
      </c>
      <c r="G18" s="45" t="s">
        <v>1122</v>
      </c>
      <c r="H18" s="45" t="s">
        <v>1028</v>
      </c>
      <c r="I18" s="59" t="s">
        <v>1029</v>
      </c>
      <c r="J18" s="55" t="s">
        <v>1050</v>
      </c>
      <c r="K18" s="55" t="s">
        <v>979</v>
      </c>
      <c r="L18" s="59" t="s">
        <v>1072</v>
      </c>
      <c r="M18" s="59" t="s">
        <v>1038</v>
      </c>
      <c r="N18" s="59" t="s">
        <v>1039</v>
      </c>
      <c r="O18" s="59" t="s">
        <v>64</v>
      </c>
      <c r="P18" s="125" t="str">
        <f t="shared" si="6"/>
        <v>00201</v>
      </c>
      <c r="Q18" s="143" t="s">
        <v>1123</v>
      </c>
      <c r="R18" s="143" t="s">
        <v>1124</v>
      </c>
      <c r="S18" s="143" t="s">
        <v>1010</v>
      </c>
      <c r="T18" s="143" t="s">
        <v>1125</v>
      </c>
      <c r="U18" s="137">
        <v>45952.625</v>
      </c>
      <c r="V18" s="50">
        <v>390812.49998842593</v>
      </c>
      <c r="W18" s="127" t="str">
        <f t="shared" si="3"/>
        <v>catchcopy_character_chara_dan_00201.png</v>
      </c>
      <c r="X18" s="128" t="str">
        <f t="shared" si="4"/>
        <v>enemy_icon_chara_dan_00201</v>
      </c>
      <c r="Y18" s="128" t="str">
        <f t="shared" si="5"/>
        <v>boss_icon_chara_dan_00201</v>
      </c>
      <c r="Z18" s="144" t="s">
        <v>1126</v>
      </c>
      <c r="AA18" s="144" t="s">
        <v>1127</v>
      </c>
      <c r="AB18" s="145" t="s">
        <v>1128</v>
      </c>
      <c r="AC18" s="53" t="s">
        <v>986</v>
      </c>
      <c r="AD18" s="54"/>
      <c r="AE18" s="133" t="s">
        <v>987</v>
      </c>
      <c r="AF18" s="45" t="s">
        <v>988</v>
      </c>
      <c r="AG18" s="138" t="s">
        <v>1129</v>
      </c>
      <c r="AH18" s="139"/>
    </row>
    <row r="19">
      <c r="A19" s="44" t="s">
        <v>80</v>
      </c>
      <c r="B19" s="124" t="str">
        <f t="array" ref="B19">iferror(INDEX('作品'!D:D,MATCH(A19,'作品'!A:A,0),0),"error")</f>
        <v>ダンダダン</v>
      </c>
      <c r="C19" s="46" t="s">
        <v>1130</v>
      </c>
      <c r="D19" s="47" t="str">
        <f t="shared" si="1"/>
        <v>chara_dan_00202</v>
      </c>
      <c r="E19" s="47" t="s">
        <v>1131</v>
      </c>
      <c r="F19" s="45" t="s">
        <v>1131</v>
      </c>
      <c r="G19" s="45" t="s">
        <v>1132</v>
      </c>
      <c r="H19" s="45" t="s">
        <v>976</v>
      </c>
      <c r="I19" s="59" t="s">
        <v>977</v>
      </c>
      <c r="J19" s="55" t="s">
        <v>1036</v>
      </c>
      <c r="K19" s="55" t="s">
        <v>979</v>
      </c>
      <c r="L19" s="59" t="s">
        <v>1005</v>
      </c>
      <c r="M19" s="59" t="s">
        <v>1020</v>
      </c>
      <c r="N19" s="59" t="s">
        <v>1019</v>
      </c>
      <c r="O19" s="59" t="s">
        <v>1020</v>
      </c>
      <c r="P19" s="125" t="str">
        <f t="shared" si="6"/>
        <v>00202</v>
      </c>
      <c r="Q19" s="143" t="s">
        <v>1073</v>
      </c>
      <c r="R19" s="143" t="s">
        <v>1133</v>
      </c>
      <c r="S19" s="143" t="s">
        <v>1134</v>
      </c>
      <c r="T19" s="143" t="s">
        <v>1135</v>
      </c>
      <c r="U19" s="137">
        <v>45952.625</v>
      </c>
      <c r="V19" s="50">
        <v>390812.49998842593</v>
      </c>
      <c r="W19" s="127" t="str">
        <f t="shared" si="3"/>
        <v>catchcopy_character_chara_dan_00202.png</v>
      </c>
      <c r="X19" s="128" t="str">
        <f t="shared" si="4"/>
        <v>enemy_icon_chara_dan_00202</v>
      </c>
      <c r="Y19" s="128" t="str">
        <f t="shared" si="5"/>
        <v>boss_icon_chara_dan_00202</v>
      </c>
      <c r="Z19" s="144" t="s">
        <v>1136</v>
      </c>
      <c r="AA19" s="144" t="s">
        <v>1137</v>
      </c>
      <c r="AB19" s="145" t="s">
        <v>1128</v>
      </c>
      <c r="AC19" s="53" t="s">
        <v>986</v>
      </c>
      <c r="AD19" s="54"/>
      <c r="AE19" s="133" t="s">
        <v>987</v>
      </c>
      <c r="AF19" s="45" t="s">
        <v>988</v>
      </c>
      <c r="AG19" s="138" t="s">
        <v>1129</v>
      </c>
      <c r="AH19" s="139"/>
    </row>
    <row r="20">
      <c r="A20" s="44" t="s">
        <v>80</v>
      </c>
      <c r="B20" s="124" t="str">
        <f t="array" ref="B20">iferror(INDEX('作品'!D:D,MATCH(A20,'作品'!A:A,0),0),"error")</f>
        <v>ダンダダン</v>
      </c>
      <c r="C20" s="46" t="s">
        <v>1026</v>
      </c>
      <c r="D20" s="47" t="str">
        <f t="shared" si="1"/>
        <v>chara_dan_00301</v>
      </c>
      <c r="E20" s="47" t="s">
        <v>1138</v>
      </c>
      <c r="F20" s="45" t="s">
        <v>1138</v>
      </c>
      <c r="G20" s="45" t="s">
        <v>1139</v>
      </c>
      <c r="H20" s="45" t="s">
        <v>1028</v>
      </c>
      <c r="I20" s="59" t="s">
        <v>1029</v>
      </c>
      <c r="J20" s="55" t="s">
        <v>1004</v>
      </c>
      <c r="K20" s="55" t="s">
        <v>979</v>
      </c>
      <c r="L20" s="59" t="s">
        <v>1037</v>
      </c>
      <c r="M20" s="59" t="s">
        <v>1020</v>
      </c>
      <c r="N20" s="59" t="s">
        <v>1039</v>
      </c>
      <c r="O20" s="59" t="s">
        <v>64</v>
      </c>
      <c r="P20" s="125" t="str">
        <f t="shared" si="6"/>
        <v>00301</v>
      </c>
      <c r="Q20" s="143" t="s">
        <v>1140</v>
      </c>
      <c r="R20" s="115" t="s">
        <v>1141</v>
      </c>
      <c r="S20" s="143" t="s">
        <v>1142</v>
      </c>
      <c r="T20" s="143" t="s">
        <v>1143</v>
      </c>
      <c r="U20" s="137">
        <v>45952.625</v>
      </c>
      <c r="V20" s="50">
        <v>390812.49998842593</v>
      </c>
      <c r="W20" s="127" t="str">
        <f t="shared" si="3"/>
        <v>catchcopy_character_chara_dan_00301.png</v>
      </c>
      <c r="X20" s="128" t="str">
        <f t="shared" si="4"/>
        <v>enemy_icon_chara_dan_00301</v>
      </c>
      <c r="Y20" s="128" t="str">
        <f t="shared" si="5"/>
        <v>boss_icon_chara_dan_00301</v>
      </c>
      <c r="Z20" s="144" t="s">
        <v>1144</v>
      </c>
      <c r="AA20" s="144" t="s">
        <v>1145</v>
      </c>
      <c r="AB20" s="145" t="s">
        <v>1128</v>
      </c>
      <c r="AC20" s="53" t="s">
        <v>986</v>
      </c>
      <c r="AD20" s="54"/>
      <c r="AE20" s="133" t="s">
        <v>987</v>
      </c>
      <c r="AF20" s="45" t="s">
        <v>988</v>
      </c>
      <c r="AG20" s="138" t="s">
        <v>1129</v>
      </c>
      <c r="AH20" s="139"/>
    </row>
    <row r="21">
      <c r="A21" s="156" t="s">
        <v>80</v>
      </c>
      <c r="B21" s="157" t="str">
        <f t="array" ref="B21">iferror(INDEX('作品'!D:D,MATCH(A21,'作品'!A:A,0),0),"error")</f>
        <v>ダンダダン</v>
      </c>
      <c r="C21" s="158" t="s">
        <v>1046</v>
      </c>
      <c r="D21" s="159" t="str">
        <f t="shared" si="1"/>
        <v>chara_dan_00501</v>
      </c>
      <c r="E21" s="159" t="s">
        <v>1146</v>
      </c>
      <c r="F21" s="157" t="s">
        <v>991</v>
      </c>
      <c r="G21" s="157"/>
      <c r="H21" s="157" t="s">
        <v>993</v>
      </c>
      <c r="I21" s="129" t="s">
        <v>994</v>
      </c>
      <c r="J21" s="160" t="s">
        <v>1050</v>
      </c>
      <c r="K21" s="160" t="s">
        <v>979</v>
      </c>
      <c r="L21" s="129" t="s">
        <v>1037</v>
      </c>
      <c r="M21" s="129" t="s">
        <v>1038</v>
      </c>
      <c r="N21" s="129" t="s">
        <v>1039</v>
      </c>
      <c r="O21" s="129" t="s">
        <v>1020</v>
      </c>
      <c r="P21" s="161"/>
      <c r="Q21" s="162" t="s">
        <v>1147</v>
      </c>
      <c r="R21" s="162" t="s">
        <v>1148</v>
      </c>
      <c r="S21" s="162" t="s">
        <v>1093</v>
      </c>
      <c r="T21" s="162" t="s">
        <v>1149</v>
      </c>
      <c r="U21" s="163" t="s">
        <v>997</v>
      </c>
      <c r="V21" s="164">
        <v>390812.49998842593</v>
      </c>
      <c r="W21" s="165" t="str">
        <f t="shared" si="3"/>
        <v>catchcopy_character_chara_dan_00501.png</v>
      </c>
      <c r="X21" s="166" t="str">
        <f t="shared" si="4"/>
        <v>enemy_icon_chara_dan_00501</v>
      </c>
      <c r="Y21" s="166" t="str">
        <f t="shared" si="5"/>
        <v>boss_icon_chara_dan_00501</v>
      </c>
      <c r="Z21" s="167"/>
      <c r="AA21" s="167"/>
      <c r="AB21" s="168" t="s">
        <v>1150</v>
      </c>
      <c r="AC21" s="169"/>
      <c r="AD21" s="170"/>
      <c r="AE21" s="171"/>
      <c r="AF21" s="157" t="s">
        <v>988</v>
      </c>
      <c r="AG21" s="138" t="s">
        <v>1000</v>
      </c>
      <c r="AH21" s="139"/>
    </row>
    <row r="22">
      <c r="A22" s="44" t="s">
        <v>80</v>
      </c>
      <c r="B22" s="124" t="str">
        <f t="array" ref="B22">iferror(INDEX('作品'!D:D,MATCH(A22,'作品'!A:A,0),0),"error")</f>
        <v>ダンダダン</v>
      </c>
      <c r="C22" s="46" t="s">
        <v>1151</v>
      </c>
      <c r="D22" s="47" t="str">
        <f t="shared" si="1"/>
        <v>chara_dan_00601</v>
      </c>
      <c r="E22" s="47" t="s">
        <v>1152</v>
      </c>
      <c r="F22" s="136" t="s">
        <v>991</v>
      </c>
      <c r="G22" s="136"/>
      <c r="H22" s="45" t="s">
        <v>976</v>
      </c>
      <c r="I22" s="59" t="s">
        <v>977</v>
      </c>
      <c r="J22" s="55" t="s">
        <v>1004</v>
      </c>
      <c r="K22" s="55" t="s">
        <v>979</v>
      </c>
      <c r="L22" s="59" t="s">
        <v>1072</v>
      </c>
      <c r="M22" s="59" t="s">
        <v>1020</v>
      </c>
      <c r="N22" s="59" t="s">
        <v>1039</v>
      </c>
      <c r="O22" s="59" t="s">
        <v>64</v>
      </c>
      <c r="P22" s="125"/>
      <c r="Q22" s="143" t="s">
        <v>1073</v>
      </c>
      <c r="R22" s="143" t="s">
        <v>1153</v>
      </c>
      <c r="S22" s="143" t="s">
        <v>1154</v>
      </c>
      <c r="T22" s="143" t="s">
        <v>1155</v>
      </c>
      <c r="U22" s="137" t="s">
        <v>1156</v>
      </c>
      <c r="V22" s="50">
        <v>390812.49998842593</v>
      </c>
      <c r="W22" s="127" t="str">
        <f t="shared" si="3"/>
        <v>catchcopy_character_chara_dan_00601.png</v>
      </c>
      <c r="X22" s="128" t="str">
        <f t="shared" si="4"/>
        <v>enemy_icon_chara_dan_00601</v>
      </c>
      <c r="Y22" s="128" t="str">
        <f t="shared" si="5"/>
        <v>boss_icon_chara_dan_00601</v>
      </c>
      <c r="Z22" s="172"/>
      <c r="AA22" s="172"/>
      <c r="AB22" s="145" t="s">
        <v>1157</v>
      </c>
      <c r="AC22" s="53"/>
      <c r="AD22" s="54"/>
      <c r="AE22" s="60"/>
      <c r="AF22" s="45" t="s">
        <v>988</v>
      </c>
      <c r="AG22" s="139" t="s">
        <v>1000</v>
      </c>
    </row>
    <row r="23">
      <c r="A23" s="44" t="s">
        <v>87</v>
      </c>
      <c r="B23" s="124" t="str">
        <f t="array" ref="B23">iferror(INDEX('作品'!D:D,MATCH(A23,'作品'!A:A,0),0),"error")</f>
        <v>姫様“拷問”の時間です</v>
      </c>
      <c r="C23" s="46" t="s">
        <v>973</v>
      </c>
      <c r="D23" s="47" t="str">
        <f t="shared" si="1"/>
        <v>chara_gom_00001</v>
      </c>
      <c r="E23" s="47" t="s">
        <v>1158</v>
      </c>
      <c r="F23" s="45" t="s">
        <v>1158</v>
      </c>
      <c r="G23" s="45" t="s">
        <v>1159</v>
      </c>
      <c r="H23" s="45" t="s">
        <v>976</v>
      </c>
      <c r="I23" s="59" t="s">
        <v>977</v>
      </c>
      <c r="J23" s="55" t="s">
        <v>1036</v>
      </c>
      <c r="K23" s="55" t="s">
        <v>979</v>
      </c>
      <c r="L23" s="59" t="s">
        <v>1037</v>
      </c>
      <c r="M23" s="59" t="s">
        <v>1020</v>
      </c>
      <c r="N23" s="59" t="s">
        <v>1039</v>
      </c>
      <c r="O23" s="59" t="s">
        <v>64</v>
      </c>
      <c r="P23" s="125" t="str">
        <f t="shared" ref="P23:P25" si="7">RIGHT(D23,5)</f>
        <v>00001</v>
      </c>
      <c r="Q23" s="143" t="s">
        <v>1160</v>
      </c>
      <c r="R23" s="143" t="s">
        <v>1161</v>
      </c>
      <c r="S23" s="115" t="s">
        <v>1101</v>
      </c>
      <c r="T23" s="143" t="s">
        <v>1162</v>
      </c>
      <c r="U23" s="49">
        <v>45922.458333333336</v>
      </c>
      <c r="V23" s="50">
        <v>390812.49998842593</v>
      </c>
      <c r="W23" s="127" t="str">
        <f t="shared" si="3"/>
        <v>catchcopy_character_chara_gom_00001.png</v>
      </c>
      <c r="X23" s="128" t="str">
        <f t="shared" si="4"/>
        <v>enemy_icon_chara_gom_00001</v>
      </c>
      <c r="Y23" s="128" t="str">
        <f t="shared" si="5"/>
        <v>boss_icon_chara_gom_00001</v>
      </c>
      <c r="Z23" s="144" t="s">
        <v>1163</v>
      </c>
      <c r="AA23" s="144" t="s">
        <v>1164</v>
      </c>
      <c r="AB23" s="145" t="s">
        <v>985</v>
      </c>
      <c r="AC23" s="53" t="s">
        <v>986</v>
      </c>
      <c r="AD23" s="54"/>
      <c r="AE23" s="133" t="s">
        <v>987</v>
      </c>
      <c r="AF23" s="45" t="s">
        <v>1120</v>
      </c>
      <c r="AG23" s="139" t="s">
        <v>989</v>
      </c>
    </row>
    <row r="24">
      <c r="A24" s="44" t="s">
        <v>87</v>
      </c>
      <c r="B24" s="124" t="str">
        <f t="array" ref="B24">iferror(INDEX('作品'!D:D,MATCH(A24,'作品'!A:A,0),0),"error")</f>
        <v>姫様“拷問”の時間です</v>
      </c>
      <c r="C24" s="46" t="s">
        <v>1001</v>
      </c>
      <c r="D24" s="47" t="str">
        <f t="shared" si="1"/>
        <v>chara_gom_00101</v>
      </c>
      <c r="E24" s="47" t="s">
        <v>330</v>
      </c>
      <c r="F24" s="45" t="s">
        <v>330</v>
      </c>
      <c r="G24" s="45" t="s">
        <v>1165</v>
      </c>
      <c r="H24" s="45" t="s">
        <v>1028</v>
      </c>
      <c r="I24" s="59" t="s">
        <v>1166</v>
      </c>
      <c r="J24" s="55" t="s">
        <v>1004</v>
      </c>
      <c r="K24" s="55" t="s">
        <v>979</v>
      </c>
      <c r="L24" s="59" t="s">
        <v>1063</v>
      </c>
      <c r="M24" s="59" t="s">
        <v>1038</v>
      </c>
      <c r="N24" s="59" t="s">
        <v>1039</v>
      </c>
      <c r="O24" s="59" t="s">
        <v>1020</v>
      </c>
      <c r="P24" s="125" t="str">
        <f t="shared" si="7"/>
        <v>00101</v>
      </c>
      <c r="Q24" s="173" t="s">
        <v>1043</v>
      </c>
      <c r="R24" s="143" t="s">
        <v>1167</v>
      </c>
      <c r="S24" s="173" t="s">
        <v>1168</v>
      </c>
      <c r="T24" s="143" t="s">
        <v>1169</v>
      </c>
      <c r="U24" s="49">
        <v>45922.458333333336</v>
      </c>
      <c r="V24" s="50">
        <v>390812.49998842593</v>
      </c>
      <c r="W24" s="127" t="str">
        <f t="shared" si="3"/>
        <v>catchcopy_character_chara_gom_00101.png</v>
      </c>
      <c r="X24" s="128" t="str">
        <f t="shared" si="4"/>
        <v>enemy_icon_chara_gom_00101</v>
      </c>
      <c r="Y24" s="128" t="str">
        <f t="shared" si="5"/>
        <v>boss_icon_chara_gom_00101</v>
      </c>
      <c r="Z24" s="144" t="s">
        <v>1170</v>
      </c>
      <c r="AA24" s="144" t="s">
        <v>1171</v>
      </c>
      <c r="AB24" s="145" t="s">
        <v>985</v>
      </c>
      <c r="AC24" s="53" t="s">
        <v>986</v>
      </c>
      <c r="AD24" s="54"/>
      <c r="AE24" s="133" t="s">
        <v>987</v>
      </c>
      <c r="AF24" s="45" t="s">
        <v>1105</v>
      </c>
      <c r="AG24" s="139" t="s">
        <v>989</v>
      </c>
    </row>
    <row r="25">
      <c r="A25" s="44" t="s">
        <v>87</v>
      </c>
      <c r="B25" s="124" t="str">
        <f t="array" ref="B25">iferror(INDEX('作品'!D:D,MATCH(A25,'作品'!A:A,0),0),"error")</f>
        <v>姫様“拷問”の時間です</v>
      </c>
      <c r="C25" s="46" t="s">
        <v>1014</v>
      </c>
      <c r="D25" s="47" t="str">
        <f t="shared" si="1"/>
        <v>chara_gom_00201</v>
      </c>
      <c r="E25" s="47" t="s">
        <v>408</v>
      </c>
      <c r="F25" s="45" t="s">
        <v>408</v>
      </c>
      <c r="G25" s="45" t="s">
        <v>1172</v>
      </c>
      <c r="H25" s="45" t="s">
        <v>1057</v>
      </c>
      <c r="I25" s="59" t="s">
        <v>1090</v>
      </c>
      <c r="J25" s="55" t="s">
        <v>1004</v>
      </c>
      <c r="K25" s="55" t="s">
        <v>979</v>
      </c>
      <c r="L25" s="59" t="s">
        <v>1005</v>
      </c>
      <c r="M25" s="59" t="s">
        <v>1020</v>
      </c>
      <c r="N25" s="59" t="s">
        <v>1007</v>
      </c>
      <c r="O25" s="59" t="s">
        <v>1020</v>
      </c>
      <c r="P25" s="125" t="str">
        <f t="shared" si="7"/>
        <v>00201</v>
      </c>
      <c r="Q25" s="143" t="s">
        <v>1099</v>
      </c>
      <c r="R25" s="143" t="s">
        <v>1173</v>
      </c>
      <c r="S25" s="143" t="s">
        <v>1174</v>
      </c>
      <c r="T25" s="143" t="s">
        <v>1175</v>
      </c>
      <c r="U25" s="49">
        <v>45922.458333333336</v>
      </c>
      <c r="V25" s="50">
        <v>390812.49998842593</v>
      </c>
      <c r="W25" s="127" t="str">
        <f t="shared" si="3"/>
        <v>catchcopy_character_chara_gom_00201.png</v>
      </c>
      <c r="X25" s="128" t="str">
        <f t="shared" si="4"/>
        <v>enemy_icon_chara_gom_00201</v>
      </c>
      <c r="Y25" s="128" t="str">
        <f t="shared" si="5"/>
        <v>boss_icon_chara_gom_00201</v>
      </c>
      <c r="Z25" s="144" t="s">
        <v>1176</v>
      </c>
      <c r="AA25" s="144" t="s">
        <v>1177</v>
      </c>
      <c r="AB25" s="145" t="s">
        <v>985</v>
      </c>
      <c r="AC25" s="53" t="s">
        <v>986</v>
      </c>
      <c r="AD25" s="54"/>
      <c r="AE25" s="133" t="s">
        <v>987</v>
      </c>
      <c r="AF25" s="45" t="s">
        <v>988</v>
      </c>
      <c r="AG25" s="139" t="s">
        <v>989</v>
      </c>
    </row>
    <row r="26">
      <c r="A26" s="44" t="s">
        <v>87</v>
      </c>
      <c r="B26" s="124" t="str">
        <f t="array" ref="B26">iferror(INDEX('作品'!D:D,MATCH(A26,'作品'!A:A,0),0),"error")</f>
        <v>姫様“拷問”の時間です</v>
      </c>
      <c r="C26" s="46" t="s">
        <v>1026</v>
      </c>
      <c r="D26" s="47" t="str">
        <f t="shared" si="1"/>
        <v>chara_gom_00301</v>
      </c>
      <c r="E26" s="47" t="s">
        <v>1178</v>
      </c>
      <c r="F26" s="136" t="s">
        <v>991</v>
      </c>
      <c r="G26" s="136"/>
      <c r="H26" s="45" t="s">
        <v>976</v>
      </c>
      <c r="I26" s="59" t="s">
        <v>977</v>
      </c>
      <c r="J26" s="55" t="s">
        <v>1017</v>
      </c>
      <c r="K26" s="55" t="s">
        <v>979</v>
      </c>
      <c r="L26" s="59" t="s">
        <v>1005</v>
      </c>
      <c r="M26" s="59"/>
      <c r="N26" s="59"/>
      <c r="O26" s="59"/>
      <c r="P26" s="125"/>
      <c r="Q26" s="143" t="s">
        <v>1073</v>
      </c>
      <c r="R26" s="143" t="s">
        <v>1179</v>
      </c>
      <c r="S26" s="143" t="s">
        <v>1093</v>
      </c>
      <c r="T26" s="115" t="s">
        <v>1180</v>
      </c>
      <c r="U26" s="174" t="s">
        <v>1181</v>
      </c>
      <c r="V26" s="50">
        <v>390812.49998842593</v>
      </c>
      <c r="W26" s="127"/>
      <c r="X26" s="128" t="str">
        <f t="shared" si="4"/>
        <v>enemy_icon_chara_gom_00301</v>
      </c>
      <c r="Y26" s="128" t="str">
        <f t="shared" si="5"/>
        <v>boss_icon_chara_gom_00301</v>
      </c>
      <c r="Z26" s="144"/>
      <c r="AA26" s="144"/>
      <c r="AB26" s="145" t="s">
        <v>1182</v>
      </c>
      <c r="AC26" s="53"/>
      <c r="AD26" s="54"/>
      <c r="AE26" s="60"/>
      <c r="AF26" s="45"/>
      <c r="AG26" s="139" t="s">
        <v>1000</v>
      </c>
    </row>
    <row r="27">
      <c r="A27" s="44" t="s">
        <v>87</v>
      </c>
      <c r="B27" s="124" t="str">
        <f t="array" ref="B27">iferror(INDEX('作品'!D:D,MATCH(A27,'作品'!A:A,0),0),"error")</f>
        <v>姫様“拷問”の時間です</v>
      </c>
      <c r="C27" s="46" t="s">
        <v>1034</v>
      </c>
      <c r="D27" s="47" t="str">
        <f t="shared" si="1"/>
        <v>chara_gom_00401</v>
      </c>
      <c r="E27" s="47" t="s">
        <v>1183</v>
      </c>
      <c r="F27" s="136" t="s">
        <v>991</v>
      </c>
      <c r="G27" s="136"/>
      <c r="H27" s="45" t="s">
        <v>993</v>
      </c>
      <c r="I27" s="59" t="s">
        <v>1115</v>
      </c>
      <c r="J27" s="55" t="s">
        <v>978</v>
      </c>
      <c r="K27" s="55" t="s">
        <v>979</v>
      </c>
      <c r="L27" s="59" t="s">
        <v>980</v>
      </c>
      <c r="M27" s="59" t="s">
        <v>64</v>
      </c>
      <c r="N27" s="59"/>
      <c r="O27" s="59"/>
      <c r="P27" s="125"/>
      <c r="Q27" s="143" t="s">
        <v>64</v>
      </c>
      <c r="R27" s="143" t="s">
        <v>64</v>
      </c>
      <c r="S27" s="143" t="s">
        <v>1154</v>
      </c>
      <c r="T27" s="115" t="s">
        <v>1184</v>
      </c>
      <c r="U27" s="174" t="s">
        <v>1181</v>
      </c>
      <c r="V27" s="50">
        <v>390812.49998842593</v>
      </c>
      <c r="W27" s="127"/>
      <c r="X27" s="128" t="str">
        <f t="shared" si="4"/>
        <v>enemy_icon_chara_gom_00401</v>
      </c>
      <c r="Y27" s="128" t="str">
        <f t="shared" si="5"/>
        <v>boss_icon_chara_gom_00401</v>
      </c>
      <c r="Z27" s="144"/>
      <c r="AA27" s="144"/>
      <c r="AB27" s="145" t="s">
        <v>1182</v>
      </c>
      <c r="AC27" s="53"/>
      <c r="AD27" s="54"/>
      <c r="AE27" s="60"/>
      <c r="AF27" s="45"/>
      <c r="AG27" s="139" t="s">
        <v>1000</v>
      </c>
    </row>
    <row r="28">
      <c r="A28" s="44" t="s">
        <v>87</v>
      </c>
      <c r="B28" s="124" t="str">
        <f t="array" ref="B28">iferror(INDEX('作品'!D:D,MATCH(A28,'作品'!A:A,0),0),"error")</f>
        <v>姫様“拷問”の時間です</v>
      </c>
      <c r="C28" s="46" t="s">
        <v>1046</v>
      </c>
      <c r="D28" s="47" t="str">
        <f t="shared" si="1"/>
        <v>chara_gom_00501</v>
      </c>
      <c r="E28" s="47" t="s">
        <v>1185</v>
      </c>
      <c r="F28" s="136" t="s">
        <v>991</v>
      </c>
      <c r="G28" s="136"/>
      <c r="H28" s="45" t="s">
        <v>1028</v>
      </c>
      <c r="I28" s="59" t="s">
        <v>1029</v>
      </c>
      <c r="J28" s="55" t="s">
        <v>1036</v>
      </c>
      <c r="K28" s="55" t="s">
        <v>979</v>
      </c>
      <c r="L28" s="59" t="s">
        <v>1005</v>
      </c>
      <c r="M28" s="59" t="s">
        <v>1006</v>
      </c>
      <c r="N28" s="59" t="s">
        <v>1007</v>
      </c>
      <c r="O28" s="59" t="s">
        <v>1006</v>
      </c>
      <c r="P28" s="59" t="s">
        <v>1007</v>
      </c>
      <c r="Q28" s="143" t="s">
        <v>1073</v>
      </c>
      <c r="R28" s="143" t="s">
        <v>1186</v>
      </c>
      <c r="S28" s="143" t="s">
        <v>1093</v>
      </c>
      <c r="T28" s="143" t="s">
        <v>1187</v>
      </c>
      <c r="U28" s="174" t="s">
        <v>1181</v>
      </c>
      <c r="V28" s="50">
        <v>390812.49998842593</v>
      </c>
      <c r="W28" s="127"/>
      <c r="X28" s="128" t="str">
        <f t="shared" si="4"/>
        <v>enemy_icon_chara_gom_00501</v>
      </c>
      <c r="Y28" s="128" t="str">
        <f t="shared" si="5"/>
        <v>boss_icon_chara_gom_00501</v>
      </c>
      <c r="Z28" s="144"/>
      <c r="AA28" s="144"/>
      <c r="AB28" s="145" t="s">
        <v>1182</v>
      </c>
      <c r="AC28" s="53"/>
      <c r="AD28" s="54"/>
      <c r="AE28" s="60"/>
      <c r="AF28" s="45"/>
      <c r="AG28" s="139" t="s">
        <v>1000</v>
      </c>
    </row>
    <row r="29">
      <c r="A29" s="44" t="s">
        <v>87</v>
      </c>
      <c r="B29" s="124" t="str">
        <f t="array" ref="B29">iferror(INDEX('作品'!D:D,MATCH(A29,'作品'!A:A,0),0),"error")</f>
        <v>姫様“拷問”の時間です</v>
      </c>
      <c r="C29" s="46" t="s">
        <v>1151</v>
      </c>
      <c r="D29" s="47" t="str">
        <f t="shared" si="1"/>
        <v>chara_gom_00601</v>
      </c>
      <c r="E29" s="47" t="s">
        <v>1188</v>
      </c>
      <c r="F29" s="136" t="s">
        <v>991</v>
      </c>
      <c r="G29" s="136"/>
      <c r="H29" s="45" t="s">
        <v>1028</v>
      </c>
      <c r="I29" s="59" t="s">
        <v>1029</v>
      </c>
      <c r="J29" s="55" t="s">
        <v>1017</v>
      </c>
      <c r="K29" s="55" t="s">
        <v>979</v>
      </c>
      <c r="L29" s="59" t="s">
        <v>1063</v>
      </c>
      <c r="M29" s="59" t="s">
        <v>1038</v>
      </c>
      <c r="N29" s="59" t="s">
        <v>1039</v>
      </c>
      <c r="O29" s="59" t="s">
        <v>1038</v>
      </c>
      <c r="P29" s="59" t="s">
        <v>1039</v>
      </c>
      <c r="Q29" s="143" t="s">
        <v>1073</v>
      </c>
      <c r="R29" s="143" t="s">
        <v>1189</v>
      </c>
      <c r="S29" s="143" t="s">
        <v>1053</v>
      </c>
      <c r="T29" s="115" t="s">
        <v>1190</v>
      </c>
      <c r="U29" s="174" t="s">
        <v>1181</v>
      </c>
      <c r="V29" s="50">
        <v>390812.49998842593</v>
      </c>
      <c r="W29" s="127"/>
      <c r="X29" s="128" t="str">
        <f t="shared" si="4"/>
        <v>enemy_icon_chara_gom_00601</v>
      </c>
      <c r="Y29" s="128" t="str">
        <f t="shared" si="5"/>
        <v>boss_icon_chara_gom_00601</v>
      </c>
      <c r="Z29" s="144"/>
      <c r="AA29" s="144"/>
      <c r="AB29" s="145" t="s">
        <v>1182</v>
      </c>
      <c r="AC29" s="53"/>
      <c r="AD29" s="54"/>
      <c r="AE29" s="60"/>
      <c r="AF29" s="45"/>
      <c r="AG29" s="139" t="s">
        <v>1000</v>
      </c>
    </row>
    <row r="30">
      <c r="A30" s="44" t="s">
        <v>87</v>
      </c>
      <c r="B30" s="124" t="str">
        <f t="array" ref="B30">iferror(INDEX('作品'!D:D,MATCH(A30,'作品'!A:A,0),0),"error")</f>
        <v>姫様“拷問”の時間です</v>
      </c>
      <c r="C30" s="46" t="s">
        <v>1191</v>
      </c>
      <c r="D30" s="47" t="str">
        <f t="shared" si="1"/>
        <v>chara_gom_00701</v>
      </c>
      <c r="E30" s="47" t="s">
        <v>1192</v>
      </c>
      <c r="F30" s="136" t="s">
        <v>991</v>
      </c>
      <c r="G30" s="136"/>
      <c r="H30" s="45" t="s">
        <v>1028</v>
      </c>
      <c r="I30" s="59" t="s">
        <v>1029</v>
      </c>
      <c r="J30" s="55" t="s">
        <v>1050</v>
      </c>
      <c r="K30" s="55" t="s">
        <v>979</v>
      </c>
      <c r="L30" s="59" t="s">
        <v>1037</v>
      </c>
      <c r="M30" s="59"/>
      <c r="N30" s="59"/>
      <c r="O30" s="59"/>
      <c r="P30" s="125"/>
      <c r="Q30" s="115" t="s">
        <v>1091</v>
      </c>
      <c r="R30" s="143" t="s">
        <v>1193</v>
      </c>
      <c r="S30" s="115" t="s">
        <v>1194</v>
      </c>
      <c r="T30" s="115" t="s">
        <v>1195</v>
      </c>
      <c r="U30" s="137" t="s">
        <v>997</v>
      </c>
      <c r="V30" s="50">
        <v>390812.49998842593</v>
      </c>
      <c r="W30" s="127"/>
      <c r="X30" s="128" t="str">
        <f t="shared" si="4"/>
        <v>enemy_icon_chara_gom_00701</v>
      </c>
      <c r="Y30" s="128" t="str">
        <f t="shared" si="5"/>
        <v>boss_icon_chara_gom_00701</v>
      </c>
      <c r="Z30" s="144"/>
      <c r="AA30" s="144"/>
      <c r="AB30" s="145" t="s">
        <v>1182</v>
      </c>
      <c r="AC30" s="53"/>
      <c r="AD30" s="54"/>
      <c r="AE30" s="60"/>
      <c r="AF30" s="45"/>
      <c r="AG30" s="139" t="s">
        <v>1000</v>
      </c>
    </row>
    <row r="31">
      <c r="A31" s="44" t="s">
        <v>92</v>
      </c>
      <c r="B31" s="124" t="str">
        <f t="array" ref="B31">iferror(INDEX('作品'!D:D,MATCH(A31,'作品'!A:A,0),0),"error")</f>
        <v>チェンソーマン</v>
      </c>
      <c r="C31" s="46" t="s">
        <v>973</v>
      </c>
      <c r="D31" s="47" t="str">
        <f t="shared" si="1"/>
        <v>chara_chi_00001</v>
      </c>
      <c r="E31" s="47" t="s">
        <v>333</v>
      </c>
      <c r="F31" s="45" t="s">
        <v>333</v>
      </c>
      <c r="G31" s="45" t="s">
        <v>1196</v>
      </c>
      <c r="H31" s="45" t="s">
        <v>1057</v>
      </c>
      <c r="I31" s="59" t="s">
        <v>1058</v>
      </c>
      <c r="J31" s="55" t="s">
        <v>1036</v>
      </c>
      <c r="K31" s="55" t="s">
        <v>979</v>
      </c>
      <c r="L31" s="59" t="s">
        <v>1005</v>
      </c>
      <c r="M31" s="59" t="s">
        <v>1018</v>
      </c>
      <c r="N31" s="59" t="s">
        <v>1039</v>
      </c>
      <c r="O31" s="59" t="s">
        <v>1020</v>
      </c>
      <c r="P31" s="125" t="str">
        <f t="shared" ref="P31:P33" si="8">RIGHT(D31,5)</f>
        <v>00001</v>
      </c>
      <c r="Q31" s="115" t="s">
        <v>1197</v>
      </c>
      <c r="R31" s="115" t="s">
        <v>1100</v>
      </c>
      <c r="S31" s="115" t="s">
        <v>1198</v>
      </c>
      <c r="T31" s="115" t="s">
        <v>1091</v>
      </c>
      <c r="U31" s="175">
        <v>45922.458333333336</v>
      </c>
      <c r="V31" s="176">
        <v>390812.49998842593</v>
      </c>
      <c r="W31" s="51" t="str">
        <f t="shared" ref="W31:W33" si="9">"catchcopy_character_"&amp;text(D31,"000000")&amp;".png"</f>
        <v>catchcopy_character_chara_chi_00001.png</v>
      </c>
      <c r="X31" s="128" t="str">
        <f t="shared" si="4"/>
        <v>enemy_icon_chara_chi_00001</v>
      </c>
      <c r="Y31" s="128" t="str">
        <f t="shared" si="5"/>
        <v>boss_icon_chara_chi_00001</v>
      </c>
      <c r="Z31" s="144" t="s">
        <v>1199</v>
      </c>
      <c r="AA31" s="144" t="s">
        <v>1200</v>
      </c>
      <c r="AB31" s="145" t="s">
        <v>985</v>
      </c>
      <c r="AC31" s="53" t="s">
        <v>986</v>
      </c>
      <c r="AD31" s="54"/>
      <c r="AE31" s="133" t="s">
        <v>1201</v>
      </c>
      <c r="AF31" s="45" t="s">
        <v>988</v>
      </c>
      <c r="AG31" s="139" t="s">
        <v>989</v>
      </c>
    </row>
    <row r="32">
      <c r="A32" s="44" t="s">
        <v>92</v>
      </c>
      <c r="B32" s="124" t="str">
        <f t="array" ref="B32">iferror(INDEX('作品'!D:D,MATCH(A32,'作品'!A:A,0),0),"error")</f>
        <v>チェンソーマン</v>
      </c>
      <c r="C32" s="46" t="s">
        <v>990</v>
      </c>
      <c r="D32" s="47" t="str">
        <f t="shared" si="1"/>
        <v>chara_chi_00002</v>
      </c>
      <c r="E32" s="47" t="s">
        <v>1202</v>
      </c>
      <c r="F32" s="45" t="s">
        <v>1202</v>
      </c>
      <c r="G32" s="45" t="s">
        <v>1203</v>
      </c>
      <c r="H32" s="45" t="s">
        <v>976</v>
      </c>
      <c r="I32" s="59" t="s">
        <v>977</v>
      </c>
      <c r="J32" s="55" t="s">
        <v>1004</v>
      </c>
      <c r="K32" s="55" t="s">
        <v>979</v>
      </c>
      <c r="L32" s="59" t="s">
        <v>1063</v>
      </c>
      <c r="M32" s="59" t="s">
        <v>1018</v>
      </c>
      <c r="N32" s="59" t="s">
        <v>1039</v>
      </c>
      <c r="O32" s="59" t="s">
        <v>1018</v>
      </c>
      <c r="P32" s="125" t="str">
        <f t="shared" si="8"/>
        <v>00002</v>
      </c>
      <c r="Q32" s="115" t="s">
        <v>1204</v>
      </c>
      <c r="R32" s="115" t="s">
        <v>1205</v>
      </c>
      <c r="S32" s="115" t="s">
        <v>1206</v>
      </c>
      <c r="T32" s="115" t="s">
        <v>1207</v>
      </c>
      <c r="U32" s="49">
        <v>45922.458333333336</v>
      </c>
      <c r="V32" s="50">
        <v>390812.49998842593</v>
      </c>
      <c r="W32" s="127" t="str">
        <f t="shared" si="9"/>
        <v>catchcopy_character_chara_chi_00002.png</v>
      </c>
      <c r="X32" s="128" t="str">
        <f t="shared" si="4"/>
        <v>enemy_icon_chara_chi_00002</v>
      </c>
      <c r="Y32" s="128" t="str">
        <f t="shared" si="5"/>
        <v>boss_icon_chara_chi_00002</v>
      </c>
      <c r="Z32" s="144" t="s">
        <v>1208</v>
      </c>
      <c r="AA32" s="144" t="s">
        <v>1209</v>
      </c>
      <c r="AB32" s="145" t="s">
        <v>985</v>
      </c>
      <c r="AC32" s="53" t="s">
        <v>986</v>
      </c>
      <c r="AD32" s="54"/>
      <c r="AE32" s="133" t="s">
        <v>1210</v>
      </c>
      <c r="AF32" s="45" t="s">
        <v>988</v>
      </c>
      <c r="AG32" s="139" t="s">
        <v>989</v>
      </c>
    </row>
    <row r="33">
      <c r="A33" s="44" t="s">
        <v>92</v>
      </c>
      <c r="B33" s="124" t="str">
        <f t="array" ref="B33">iferror(INDEX('作品'!D:D,MATCH(A33,'作品'!A:A,0),0),"error")</f>
        <v>チェンソーマン</v>
      </c>
      <c r="C33" s="46" t="s">
        <v>1014</v>
      </c>
      <c r="D33" s="47" t="str">
        <f t="shared" si="1"/>
        <v>chara_chi_00201</v>
      </c>
      <c r="E33" s="47" t="s">
        <v>1211</v>
      </c>
      <c r="F33" s="45" t="s">
        <v>1211</v>
      </c>
      <c r="G33" s="45" t="s">
        <v>1212</v>
      </c>
      <c r="H33" s="45" t="s">
        <v>993</v>
      </c>
      <c r="I33" s="59" t="s">
        <v>1115</v>
      </c>
      <c r="J33" s="55" t="s">
        <v>1036</v>
      </c>
      <c r="K33" s="55" t="s">
        <v>979</v>
      </c>
      <c r="L33" s="59" t="s">
        <v>1005</v>
      </c>
      <c r="M33" s="59" t="s">
        <v>1020</v>
      </c>
      <c r="N33" s="59" t="s">
        <v>1039</v>
      </c>
      <c r="O33" s="59" t="s">
        <v>1038</v>
      </c>
      <c r="P33" s="125" t="str">
        <f t="shared" si="8"/>
        <v>00201</v>
      </c>
      <c r="Q33" s="143" t="s">
        <v>1140</v>
      </c>
      <c r="R33" s="143" t="s">
        <v>1213</v>
      </c>
      <c r="S33" s="143" t="s">
        <v>1134</v>
      </c>
      <c r="T33" s="143" t="s">
        <v>1008</v>
      </c>
      <c r="U33" s="49">
        <v>45922.458333333336</v>
      </c>
      <c r="V33" s="50">
        <v>390812.49998842593</v>
      </c>
      <c r="W33" s="127" t="str">
        <f t="shared" si="9"/>
        <v>catchcopy_character_chara_chi_00201.png</v>
      </c>
      <c r="X33" s="128" t="str">
        <f t="shared" si="4"/>
        <v>enemy_icon_chara_chi_00201</v>
      </c>
      <c r="Y33" s="128" t="str">
        <f t="shared" si="5"/>
        <v>boss_icon_chara_chi_00201</v>
      </c>
      <c r="Z33" s="144" t="s">
        <v>1214</v>
      </c>
      <c r="AA33" s="144" t="s">
        <v>1215</v>
      </c>
      <c r="AB33" s="145" t="s">
        <v>985</v>
      </c>
      <c r="AC33" s="53" t="s">
        <v>986</v>
      </c>
      <c r="AD33" s="54"/>
      <c r="AE33" s="133" t="s">
        <v>987</v>
      </c>
      <c r="AF33" s="45" t="s">
        <v>988</v>
      </c>
      <c r="AG33" s="139" t="s">
        <v>989</v>
      </c>
    </row>
    <row r="34">
      <c r="A34" s="44" t="s">
        <v>92</v>
      </c>
      <c r="B34" s="124" t="str">
        <f t="array" ref="B34">iferror(INDEX('作品'!D:D,MATCH(A34,'作品'!A:A,0),0),"error")</f>
        <v>チェンソーマン</v>
      </c>
      <c r="C34" s="46" t="s">
        <v>1026</v>
      </c>
      <c r="D34" s="47" t="str">
        <f t="shared" si="1"/>
        <v>chara_chi_00301</v>
      </c>
      <c r="E34" s="47" t="s">
        <v>1216</v>
      </c>
      <c r="F34" s="45" t="s">
        <v>1216</v>
      </c>
      <c r="G34" s="45" t="s">
        <v>1217</v>
      </c>
      <c r="H34" s="45" t="s">
        <v>993</v>
      </c>
      <c r="I34" s="59" t="s">
        <v>1115</v>
      </c>
      <c r="J34" s="55" t="s">
        <v>1050</v>
      </c>
      <c r="K34" s="55" t="s">
        <v>979</v>
      </c>
      <c r="L34" s="59" t="s">
        <v>1005</v>
      </c>
      <c r="M34" s="59" t="s">
        <v>1020</v>
      </c>
      <c r="N34" s="142" t="s">
        <v>1019</v>
      </c>
      <c r="O34" s="59" t="s">
        <v>1020</v>
      </c>
      <c r="P34" s="125" t="s">
        <v>1014</v>
      </c>
      <c r="Q34" s="143" t="s">
        <v>1064</v>
      </c>
      <c r="R34" s="143" t="s">
        <v>1218</v>
      </c>
      <c r="S34" s="143" t="s">
        <v>1093</v>
      </c>
      <c r="T34" s="143" t="s">
        <v>1116</v>
      </c>
      <c r="U34" s="49">
        <v>45922.458333333336</v>
      </c>
      <c r="V34" s="50">
        <v>390812.49998842593</v>
      </c>
      <c r="W34" s="127" t="s">
        <v>1219</v>
      </c>
      <c r="X34" s="128" t="str">
        <f t="shared" si="4"/>
        <v>enemy_icon_chara_chi_00301</v>
      </c>
      <c r="Y34" s="128" t="str">
        <f t="shared" si="5"/>
        <v>boss_icon_chara_chi_00301</v>
      </c>
      <c r="Z34" s="144" t="s">
        <v>1220</v>
      </c>
      <c r="AA34" s="144" t="s">
        <v>1221</v>
      </c>
      <c r="AB34" s="145" t="s">
        <v>985</v>
      </c>
      <c r="AC34" s="53" t="s">
        <v>986</v>
      </c>
      <c r="AD34" s="54"/>
      <c r="AE34" s="133" t="s">
        <v>987</v>
      </c>
      <c r="AF34" s="45" t="s">
        <v>988</v>
      </c>
      <c r="AG34" s="139" t="s">
        <v>989</v>
      </c>
    </row>
    <row r="35">
      <c r="A35" s="44" t="s">
        <v>92</v>
      </c>
      <c r="B35" s="124" t="str">
        <f t="array" ref="B35">iferror(INDEX('作品'!D:D,MATCH(A35,'作品'!A:A,0),0),"error")</f>
        <v>チェンソーマン</v>
      </c>
      <c r="C35" s="46" t="s">
        <v>1034</v>
      </c>
      <c r="D35" s="47" t="str">
        <f t="shared" si="1"/>
        <v>chara_chi_00401</v>
      </c>
      <c r="E35" s="47" t="s">
        <v>1222</v>
      </c>
      <c r="F35" s="136" t="s">
        <v>991</v>
      </c>
      <c r="G35" s="136"/>
      <c r="H35" s="45" t="s">
        <v>976</v>
      </c>
      <c r="I35" s="59" t="s">
        <v>977</v>
      </c>
      <c r="J35" s="55" t="s">
        <v>1223</v>
      </c>
      <c r="K35" s="55" t="s">
        <v>979</v>
      </c>
      <c r="L35" s="59" t="s">
        <v>1223</v>
      </c>
      <c r="M35" s="59"/>
      <c r="N35" s="131"/>
      <c r="O35" s="59"/>
      <c r="P35" s="125"/>
      <c r="Q35" s="143" t="s">
        <v>64</v>
      </c>
      <c r="R35" s="115" t="s">
        <v>64</v>
      </c>
      <c r="S35" s="143" t="s">
        <v>1154</v>
      </c>
      <c r="T35" s="115" t="s">
        <v>983</v>
      </c>
      <c r="U35" s="137" t="s">
        <v>997</v>
      </c>
      <c r="V35" s="50">
        <v>390812.49998842593</v>
      </c>
      <c r="W35" s="127"/>
      <c r="X35" s="128" t="str">
        <f t="shared" si="4"/>
        <v>enemy_icon_chara_chi_00401</v>
      </c>
      <c r="Y35" s="128" t="str">
        <f t="shared" si="5"/>
        <v>boss_icon_chara_chi_00401</v>
      </c>
      <c r="Z35" s="144"/>
      <c r="AA35" s="144"/>
      <c r="AB35" s="145" t="s">
        <v>1224</v>
      </c>
      <c r="AC35" s="53"/>
      <c r="AD35" s="54"/>
      <c r="AE35" s="60"/>
      <c r="AF35" s="45"/>
      <c r="AG35" s="139" t="s">
        <v>1000</v>
      </c>
    </row>
    <row r="36">
      <c r="A36" s="44" t="s">
        <v>92</v>
      </c>
      <c r="B36" s="124" t="str">
        <f t="array" ref="B36">iferror(INDEX('作品'!D:D,MATCH(A36,'作品'!A:A,0),0),"error")</f>
        <v>チェンソーマン</v>
      </c>
      <c r="C36" s="46" t="s">
        <v>1046</v>
      </c>
      <c r="D36" s="47" t="str">
        <f t="shared" si="1"/>
        <v>chara_chi_00501</v>
      </c>
      <c r="E36" s="47" t="s">
        <v>1225</v>
      </c>
      <c r="F36" s="136" t="s">
        <v>991</v>
      </c>
      <c r="G36" s="136"/>
      <c r="H36" s="45" t="s">
        <v>993</v>
      </c>
      <c r="I36" s="59" t="s">
        <v>1115</v>
      </c>
      <c r="J36" s="55" t="s">
        <v>1223</v>
      </c>
      <c r="K36" s="55" t="s">
        <v>979</v>
      </c>
      <c r="L36" s="59" t="s">
        <v>1223</v>
      </c>
      <c r="M36" s="59"/>
      <c r="N36" s="131"/>
      <c r="O36" s="59"/>
      <c r="P36" s="125"/>
      <c r="Q36" s="143" t="s">
        <v>1226</v>
      </c>
      <c r="R36" s="143" t="s">
        <v>1227</v>
      </c>
      <c r="S36" s="143" t="s">
        <v>1228</v>
      </c>
      <c r="T36" s="143" t="s">
        <v>1229</v>
      </c>
      <c r="U36" s="137" t="s">
        <v>997</v>
      </c>
      <c r="V36" s="50">
        <v>390812.49998842593</v>
      </c>
      <c r="W36" s="127"/>
      <c r="X36" s="128" t="str">
        <f t="shared" si="4"/>
        <v>enemy_icon_chara_chi_00501</v>
      </c>
      <c r="Y36" s="128" t="str">
        <f t="shared" si="5"/>
        <v>boss_icon_chara_chi_00501</v>
      </c>
      <c r="Z36" s="144"/>
      <c r="AA36" s="144"/>
      <c r="AB36" s="145" t="s">
        <v>1224</v>
      </c>
      <c r="AC36" s="53"/>
      <c r="AD36" s="54"/>
      <c r="AE36" s="60"/>
      <c r="AF36" s="45"/>
      <c r="AG36" s="138" t="s">
        <v>1000</v>
      </c>
      <c r="AH36" s="139"/>
    </row>
    <row r="37">
      <c r="A37" s="44" t="s">
        <v>92</v>
      </c>
      <c r="B37" s="124" t="str">
        <f t="array" ref="B37">iferror(INDEX('作品'!D:D,MATCH(A37,'作品'!A:A,0),0),"error")</f>
        <v>チェンソーマン</v>
      </c>
      <c r="C37" s="46" t="s">
        <v>1151</v>
      </c>
      <c r="D37" s="47" t="str">
        <f t="shared" si="1"/>
        <v>chara_chi_00601</v>
      </c>
      <c r="E37" s="47" t="s">
        <v>1230</v>
      </c>
      <c r="F37" s="136" t="s">
        <v>991</v>
      </c>
      <c r="G37" s="136"/>
      <c r="H37" s="45" t="s">
        <v>1028</v>
      </c>
      <c r="I37" s="59" t="s">
        <v>1029</v>
      </c>
      <c r="J37" s="55" t="s">
        <v>1223</v>
      </c>
      <c r="K37" s="55" t="s">
        <v>979</v>
      </c>
      <c r="L37" s="59" t="s">
        <v>1223</v>
      </c>
      <c r="M37" s="59"/>
      <c r="N37" s="131"/>
      <c r="O37" s="59"/>
      <c r="P37" s="125"/>
      <c r="Q37" s="143" t="s">
        <v>1160</v>
      </c>
      <c r="R37" s="115" t="s">
        <v>1231</v>
      </c>
      <c r="S37" s="143" t="s">
        <v>1232</v>
      </c>
      <c r="T37" s="115" t="s">
        <v>1233</v>
      </c>
      <c r="U37" s="137" t="s">
        <v>997</v>
      </c>
      <c r="V37" s="50">
        <v>390812.49998842593</v>
      </c>
      <c r="W37" s="127"/>
      <c r="X37" s="128" t="str">
        <f t="shared" si="4"/>
        <v>enemy_icon_chara_chi_00601</v>
      </c>
      <c r="Y37" s="128" t="str">
        <f t="shared" si="5"/>
        <v>boss_icon_chara_chi_00601</v>
      </c>
      <c r="Z37" s="144"/>
      <c r="AA37" s="144"/>
      <c r="AB37" s="145" t="s">
        <v>1224</v>
      </c>
      <c r="AC37" s="53"/>
      <c r="AD37" s="54"/>
      <c r="AE37" s="60"/>
      <c r="AF37" s="45"/>
      <c r="AG37" s="138" t="s">
        <v>1000</v>
      </c>
      <c r="AH37" s="139"/>
    </row>
    <row r="38">
      <c r="A38" s="44" t="s">
        <v>92</v>
      </c>
      <c r="B38" s="124" t="str">
        <f t="array" ref="B38">iferror(INDEX('作品'!D:D,MATCH(A38,'作品'!A:A,0),0),"error")</f>
        <v>チェンソーマン</v>
      </c>
      <c r="C38" s="46" t="s">
        <v>1191</v>
      </c>
      <c r="D38" s="47" t="str">
        <f t="shared" si="1"/>
        <v>chara_chi_00701</v>
      </c>
      <c r="E38" s="47" t="s">
        <v>1234</v>
      </c>
      <c r="F38" s="136" t="s">
        <v>991</v>
      </c>
      <c r="G38" s="136"/>
      <c r="H38" s="45" t="s">
        <v>1028</v>
      </c>
      <c r="I38" s="59" t="s">
        <v>1029</v>
      </c>
      <c r="J38" s="55" t="s">
        <v>1223</v>
      </c>
      <c r="K38" s="55" t="s">
        <v>979</v>
      </c>
      <c r="L38" s="59" t="s">
        <v>1223</v>
      </c>
      <c r="M38" s="59"/>
      <c r="N38" s="131"/>
      <c r="O38" s="59"/>
      <c r="P38" s="125"/>
      <c r="Q38" s="143" t="s">
        <v>1235</v>
      </c>
      <c r="R38" s="143" t="s">
        <v>1236</v>
      </c>
      <c r="S38" s="143" t="s">
        <v>1194</v>
      </c>
      <c r="T38" s="143" t="s">
        <v>1237</v>
      </c>
      <c r="U38" s="137" t="s">
        <v>997</v>
      </c>
      <c r="V38" s="50">
        <v>390812.49998842593</v>
      </c>
      <c r="W38" s="127"/>
      <c r="X38" s="128" t="str">
        <f t="shared" si="4"/>
        <v>enemy_icon_chara_chi_00701</v>
      </c>
      <c r="Y38" s="128" t="str">
        <f t="shared" si="5"/>
        <v>boss_icon_chara_chi_00701</v>
      </c>
      <c r="Z38" s="144"/>
      <c r="AA38" s="144"/>
      <c r="AB38" s="145" t="s">
        <v>1224</v>
      </c>
      <c r="AC38" s="53"/>
      <c r="AD38" s="54"/>
      <c r="AE38" s="60"/>
      <c r="AF38" s="45"/>
      <c r="AG38" s="138" t="s">
        <v>1000</v>
      </c>
      <c r="AH38" s="139"/>
    </row>
    <row r="39">
      <c r="A39" s="44" t="s">
        <v>92</v>
      </c>
      <c r="B39" s="124" t="str">
        <f t="array" ref="B39">iferror(INDEX('作品'!D:D,MATCH(A39,'作品'!A:A,0),0),"error")</f>
        <v>チェンソーマン</v>
      </c>
      <c r="C39" s="46" t="s">
        <v>1238</v>
      </c>
      <c r="D39" s="47" t="str">
        <f t="shared" si="1"/>
        <v>chara_chi_00801</v>
      </c>
      <c r="E39" s="47" t="s">
        <v>1239</v>
      </c>
      <c r="F39" s="136" t="s">
        <v>991</v>
      </c>
      <c r="G39" s="136"/>
      <c r="H39" s="45" t="s">
        <v>1028</v>
      </c>
      <c r="I39" s="59" t="s">
        <v>1029</v>
      </c>
      <c r="J39" s="55" t="s">
        <v>1223</v>
      </c>
      <c r="K39" s="55" t="s">
        <v>979</v>
      </c>
      <c r="L39" s="59" t="s">
        <v>1223</v>
      </c>
      <c r="M39" s="59"/>
      <c r="N39" s="131"/>
      <c r="O39" s="59"/>
      <c r="P39" s="125"/>
      <c r="Q39" s="143" t="s">
        <v>1073</v>
      </c>
      <c r="R39" s="143" t="s">
        <v>1240</v>
      </c>
      <c r="S39" s="143" t="s">
        <v>1232</v>
      </c>
      <c r="T39" s="143" t="s">
        <v>1241</v>
      </c>
      <c r="U39" s="137" t="s">
        <v>997</v>
      </c>
      <c r="V39" s="50">
        <v>390812.49998842593</v>
      </c>
      <c r="W39" s="127"/>
      <c r="X39" s="128" t="str">
        <f t="shared" si="4"/>
        <v>enemy_icon_chara_chi_00801</v>
      </c>
      <c r="Y39" s="128" t="str">
        <f t="shared" si="5"/>
        <v>boss_icon_chara_chi_00801</v>
      </c>
      <c r="Z39" s="144"/>
      <c r="AA39" s="144"/>
      <c r="AB39" s="145" t="s">
        <v>1224</v>
      </c>
      <c r="AC39" s="53"/>
      <c r="AD39" s="54"/>
      <c r="AE39" s="60"/>
      <c r="AF39" s="45"/>
      <c r="AG39" s="138" t="s">
        <v>1000</v>
      </c>
      <c r="AH39" s="139"/>
    </row>
    <row r="40">
      <c r="A40" s="44" t="s">
        <v>92</v>
      </c>
      <c r="B40" s="124" t="str">
        <f t="array" ref="B40">iferror(INDEX('作品'!D:D,MATCH(A40,'作品'!A:A,0),0),"error")</f>
        <v>チェンソーマン</v>
      </c>
      <c r="C40" s="46" t="s">
        <v>1242</v>
      </c>
      <c r="D40" s="47" t="str">
        <f t="shared" si="1"/>
        <v>chara_chi_00901</v>
      </c>
      <c r="E40" s="47" t="s">
        <v>1243</v>
      </c>
      <c r="F40" s="136" t="s">
        <v>991</v>
      </c>
      <c r="G40" s="136"/>
      <c r="H40" s="45" t="s">
        <v>976</v>
      </c>
      <c r="I40" s="59"/>
      <c r="J40" s="55"/>
      <c r="K40" s="55" t="s">
        <v>979</v>
      </c>
      <c r="L40" s="59"/>
      <c r="M40" s="59"/>
      <c r="N40" s="59"/>
      <c r="O40" s="59"/>
      <c r="P40" s="125"/>
      <c r="Q40" s="143"/>
      <c r="R40" s="143"/>
      <c r="S40" s="143"/>
      <c r="T40" s="143"/>
      <c r="U40" s="49"/>
      <c r="V40" s="50"/>
      <c r="W40" s="127"/>
      <c r="X40" s="128"/>
      <c r="Y40" s="128"/>
      <c r="Z40" s="144"/>
      <c r="AA40" s="144"/>
      <c r="AB40" s="145"/>
      <c r="AC40" s="53"/>
      <c r="AD40" s="54"/>
      <c r="AE40" s="60"/>
      <c r="AF40" s="45"/>
      <c r="AG40" s="138"/>
      <c r="AH40" s="139"/>
    </row>
    <row r="41">
      <c r="A41" s="44" t="s">
        <v>109</v>
      </c>
      <c r="B41" s="124" t="str">
        <f t="array" ref="B41">iferror(INDEX('作品'!D:D,MATCH(A41,'作品'!A:A,0),0),"error")</f>
        <v>忘却バッテリー</v>
      </c>
      <c r="C41" s="46" t="s">
        <v>973</v>
      </c>
      <c r="D41" s="47" t="str">
        <f t="shared" si="1"/>
        <v>chara_bat_00001</v>
      </c>
      <c r="E41" s="47" t="s">
        <v>339</v>
      </c>
      <c r="F41" s="45" t="s">
        <v>339</v>
      </c>
      <c r="G41" s="45" t="s">
        <v>1244</v>
      </c>
      <c r="H41" s="45" t="s">
        <v>1028</v>
      </c>
      <c r="I41" s="59" t="s">
        <v>1166</v>
      </c>
      <c r="J41" s="55" t="s">
        <v>1017</v>
      </c>
      <c r="K41" s="55" t="s">
        <v>979</v>
      </c>
      <c r="L41" s="59" t="s">
        <v>1005</v>
      </c>
      <c r="M41" s="59" t="s">
        <v>1020</v>
      </c>
      <c r="N41" s="59" t="s">
        <v>1007</v>
      </c>
      <c r="O41" s="59" t="s">
        <v>1038</v>
      </c>
      <c r="P41" s="125" t="str">
        <f t="shared" ref="P41:P42" si="10">RIGHT(D41,5)</f>
        <v>00001</v>
      </c>
      <c r="Q41" s="143" t="s">
        <v>1245</v>
      </c>
      <c r="R41" s="143" t="s">
        <v>1246</v>
      </c>
      <c r="S41" s="143" t="s">
        <v>1232</v>
      </c>
      <c r="T41" s="143" t="s">
        <v>1247</v>
      </c>
      <c r="U41" s="49">
        <v>45922.458333333336</v>
      </c>
      <c r="V41" s="50">
        <v>390812.49998842593</v>
      </c>
      <c r="W41" s="127" t="str">
        <f t="shared" ref="W41:W42" si="11">"catchcopy_character_"&amp;text(D41,"000000")&amp;".png"</f>
        <v>catchcopy_character_chara_bat_00001.png</v>
      </c>
      <c r="X41" s="128" t="str">
        <f t="shared" ref="X41:X42" si="12">"enemy_icon_"&amp;K41&amp;"_"&amp;A41&amp;"_"&amp;C41</f>
        <v>enemy_icon_chara_bat_00001</v>
      </c>
      <c r="Y41" s="128" t="str">
        <f t="shared" ref="Y41:Y42" si="13">"boss_icon_"&amp;K41&amp;"_"&amp;A41&amp;"_"&amp;C41</f>
        <v>boss_icon_chara_bat_00001</v>
      </c>
      <c r="Z41" s="144" t="s">
        <v>1248</v>
      </c>
      <c r="AA41" s="144" t="s">
        <v>1249</v>
      </c>
      <c r="AB41" s="145" t="s">
        <v>985</v>
      </c>
      <c r="AC41" s="53" t="s">
        <v>986</v>
      </c>
      <c r="AD41" s="54"/>
      <c r="AE41" s="133" t="s">
        <v>987</v>
      </c>
      <c r="AF41" s="45" t="s">
        <v>988</v>
      </c>
      <c r="AG41" s="138" t="s">
        <v>989</v>
      </c>
      <c r="AH41" s="139"/>
    </row>
    <row r="42">
      <c r="A42" s="44" t="s">
        <v>109</v>
      </c>
      <c r="B42" s="124" t="str">
        <f t="array" ref="B42">iferror(INDEX('作品'!D:D,MATCH(A42,'作品'!A:A,0),0),"error")</f>
        <v>忘却バッテリー</v>
      </c>
      <c r="C42" s="46" t="s">
        <v>1001</v>
      </c>
      <c r="D42" s="47" t="str">
        <f t="shared" si="1"/>
        <v>chara_bat_00101</v>
      </c>
      <c r="E42" s="47" t="s">
        <v>341</v>
      </c>
      <c r="F42" s="45" t="s">
        <v>341</v>
      </c>
      <c r="G42" s="45" t="s">
        <v>1250</v>
      </c>
      <c r="H42" s="45" t="s">
        <v>1028</v>
      </c>
      <c r="I42" s="59" t="s">
        <v>1166</v>
      </c>
      <c r="J42" s="55" t="s">
        <v>1017</v>
      </c>
      <c r="K42" s="55" t="s">
        <v>979</v>
      </c>
      <c r="L42" s="59" t="s">
        <v>1037</v>
      </c>
      <c r="M42" s="59" t="s">
        <v>1020</v>
      </c>
      <c r="N42" s="142" t="s">
        <v>1019</v>
      </c>
      <c r="O42" s="59" t="s">
        <v>64</v>
      </c>
      <c r="P42" s="125" t="str">
        <f t="shared" si="10"/>
        <v>00101</v>
      </c>
      <c r="Q42" s="177"/>
      <c r="R42" s="143" t="s">
        <v>1251</v>
      </c>
      <c r="S42" s="143" t="s">
        <v>1252</v>
      </c>
      <c r="T42" s="143" t="s">
        <v>1040</v>
      </c>
      <c r="U42" s="49">
        <v>45922.458333333336</v>
      </c>
      <c r="V42" s="50">
        <v>390812.49998842593</v>
      </c>
      <c r="W42" s="127" t="str">
        <f t="shared" si="11"/>
        <v>catchcopy_character_chara_bat_00101.png</v>
      </c>
      <c r="X42" s="128" t="str">
        <f t="shared" si="12"/>
        <v>enemy_icon_chara_bat_00101</v>
      </c>
      <c r="Y42" s="128" t="str">
        <f t="shared" si="13"/>
        <v>boss_icon_chara_bat_00101</v>
      </c>
      <c r="Z42" s="144" t="s">
        <v>1253</v>
      </c>
      <c r="AA42" s="144" t="s">
        <v>1254</v>
      </c>
      <c r="AB42" s="145" t="s">
        <v>985</v>
      </c>
      <c r="AC42" s="53" t="s">
        <v>986</v>
      </c>
      <c r="AD42" s="54"/>
      <c r="AE42" s="133" t="s">
        <v>987</v>
      </c>
      <c r="AF42" s="45" t="s">
        <v>988</v>
      </c>
      <c r="AG42" s="138" t="s">
        <v>989</v>
      </c>
      <c r="AH42" s="139"/>
    </row>
    <row r="43">
      <c r="A43" s="25" t="s">
        <v>109</v>
      </c>
      <c r="B43" s="178" t="str">
        <f t="array" ref="B43">iferror(INDEX('作品'!D:D,MATCH(A43,'作品'!A:A,0),0),"error")</f>
        <v>忘却バッテリー</v>
      </c>
      <c r="C43" s="179" t="s">
        <v>1255</v>
      </c>
      <c r="D43" s="180" t="str">
        <f t="shared" si="1"/>
        <v>chara_bat_00102</v>
      </c>
      <c r="E43" s="181" t="s">
        <v>1256</v>
      </c>
      <c r="F43" s="136" t="s">
        <v>991</v>
      </c>
      <c r="G43" s="182"/>
      <c r="H43" s="59" t="s">
        <v>976</v>
      </c>
      <c r="I43" s="12" t="s">
        <v>977</v>
      </c>
      <c r="J43" s="59" t="s">
        <v>978</v>
      </c>
      <c r="K43" s="183" t="s">
        <v>979</v>
      </c>
      <c r="L43" s="59" t="s">
        <v>980</v>
      </c>
      <c r="M43" s="184"/>
      <c r="N43" s="185"/>
      <c r="O43" s="184"/>
      <c r="P43" s="186"/>
      <c r="R43" s="177"/>
      <c r="S43" s="177"/>
      <c r="T43" s="177"/>
      <c r="U43" s="187"/>
      <c r="V43" s="188"/>
      <c r="W43" s="189"/>
      <c r="X43" s="190"/>
      <c r="Y43" s="190"/>
      <c r="Z43" s="184"/>
      <c r="AA43" s="185"/>
      <c r="AB43" s="145"/>
      <c r="AC43" s="191"/>
      <c r="AD43" s="185"/>
      <c r="AE43" s="185"/>
      <c r="AF43" s="192"/>
      <c r="AG43" s="138" t="s">
        <v>1078</v>
      </c>
      <c r="AH43" s="139"/>
    </row>
    <row r="44">
      <c r="A44" s="25" t="s">
        <v>109</v>
      </c>
      <c r="B44" s="178" t="str">
        <f t="array" ref="B44">iferror(INDEX('作品'!D:D,MATCH(A44,'作品'!A:A,0),0),"error")</f>
        <v>忘却バッテリー</v>
      </c>
      <c r="C44" s="179" t="s">
        <v>1014</v>
      </c>
      <c r="D44" s="180" t="str">
        <f t="shared" si="1"/>
        <v>chara_bat_00201</v>
      </c>
      <c r="E44" s="181" t="s">
        <v>1257</v>
      </c>
      <c r="F44" s="136" t="s">
        <v>991</v>
      </c>
      <c r="G44" s="182"/>
      <c r="H44" s="59" t="s">
        <v>1028</v>
      </c>
      <c r="I44" s="12" t="s">
        <v>1029</v>
      </c>
      <c r="J44" s="59" t="s">
        <v>1036</v>
      </c>
      <c r="K44" s="183" t="s">
        <v>979</v>
      </c>
      <c r="L44" s="59"/>
      <c r="M44" s="184"/>
      <c r="N44" s="185"/>
      <c r="O44" s="184"/>
      <c r="P44" s="186"/>
      <c r="Q44" s="177"/>
      <c r="R44" s="177"/>
      <c r="S44" s="177"/>
      <c r="T44" s="177"/>
      <c r="U44" s="187"/>
      <c r="V44" s="188"/>
      <c r="W44" s="189"/>
      <c r="X44" s="190"/>
      <c r="Y44" s="190"/>
      <c r="Z44" s="184"/>
      <c r="AA44" s="185"/>
      <c r="AB44" s="145"/>
      <c r="AC44" s="191"/>
      <c r="AD44" s="185"/>
      <c r="AE44" s="185"/>
      <c r="AF44" s="192"/>
      <c r="AG44" s="138" t="s">
        <v>1078</v>
      </c>
      <c r="AH44" s="139"/>
    </row>
    <row r="45">
      <c r="A45" s="25" t="s">
        <v>109</v>
      </c>
      <c r="B45" s="178" t="str">
        <f t="array" ref="B45">iferror(INDEX('作品'!D:D,MATCH(A45,'作品'!A:A,0),0),"error")</f>
        <v>忘却バッテリー</v>
      </c>
      <c r="C45" s="179" t="s">
        <v>1026</v>
      </c>
      <c r="D45" s="180" t="str">
        <f t="shared" si="1"/>
        <v>chara_bat_00301</v>
      </c>
      <c r="E45" s="181" t="s">
        <v>1258</v>
      </c>
      <c r="F45" s="136" t="s">
        <v>991</v>
      </c>
      <c r="G45" s="182"/>
      <c r="H45" s="59" t="s">
        <v>1028</v>
      </c>
      <c r="I45" s="12" t="s">
        <v>1029</v>
      </c>
      <c r="J45" s="59" t="s">
        <v>1050</v>
      </c>
      <c r="K45" s="183" t="s">
        <v>979</v>
      </c>
      <c r="L45" s="59"/>
      <c r="M45" s="184"/>
      <c r="N45" s="185"/>
      <c r="O45" s="184"/>
      <c r="P45" s="186"/>
      <c r="Q45" s="177"/>
      <c r="R45" s="177"/>
      <c r="S45" s="177"/>
      <c r="T45" s="177"/>
      <c r="U45" s="187"/>
      <c r="V45" s="188"/>
      <c r="W45" s="189"/>
      <c r="X45" s="190"/>
      <c r="Y45" s="190"/>
      <c r="Z45" s="184"/>
      <c r="AA45" s="185"/>
      <c r="AB45" s="145"/>
      <c r="AC45" s="191"/>
      <c r="AD45" s="185"/>
      <c r="AE45" s="185"/>
      <c r="AF45" s="192"/>
      <c r="AG45" s="138" t="s">
        <v>1078</v>
      </c>
      <c r="AH45" s="139"/>
    </row>
    <row r="46">
      <c r="A46" s="44" t="s">
        <v>115</v>
      </c>
      <c r="B46" s="124" t="str">
        <f t="array" ref="B46">iferror(INDEX('作品'!D:D,MATCH(A46,'作品'!A:A,0),0),"error")</f>
        <v>怪獣８号</v>
      </c>
      <c r="C46" s="46" t="s">
        <v>973</v>
      </c>
      <c r="D46" s="47" t="str">
        <f t="shared" si="1"/>
        <v>chara_kai_00001</v>
      </c>
      <c r="E46" s="47" t="s">
        <v>1259</v>
      </c>
      <c r="F46" s="45" t="s">
        <v>1259</v>
      </c>
      <c r="G46" s="45" t="s">
        <v>1260</v>
      </c>
      <c r="H46" s="45" t="s">
        <v>1057</v>
      </c>
      <c r="I46" s="59" t="s">
        <v>1058</v>
      </c>
      <c r="J46" s="55" t="s">
        <v>1004</v>
      </c>
      <c r="K46" s="55" t="s">
        <v>979</v>
      </c>
      <c r="L46" s="59" t="s">
        <v>1005</v>
      </c>
      <c r="M46" s="59" t="s">
        <v>1020</v>
      </c>
      <c r="N46" s="59" t="s">
        <v>1039</v>
      </c>
      <c r="O46" s="59" t="s">
        <v>64</v>
      </c>
      <c r="P46" s="125" t="str">
        <f t="shared" ref="P46:P47" si="14">RIGHT(D46,5)</f>
        <v>00001</v>
      </c>
      <c r="Q46" s="143" t="s">
        <v>1142</v>
      </c>
      <c r="R46" s="143" t="s">
        <v>1116</v>
      </c>
      <c r="S46" s="143" t="s">
        <v>1053</v>
      </c>
      <c r="T46" s="143" t="s">
        <v>1011</v>
      </c>
      <c r="U46" s="49">
        <v>45922.458333333336</v>
      </c>
      <c r="V46" s="50">
        <v>390812.49998842593</v>
      </c>
      <c r="W46" s="127" t="str">
        <f t="shared" ref="W46:W47" si="15">"catchcopy_character_"&amp;text(D46,"000000")&amp;".png"</f>
        <v>catchcopy_character_chara_kai_00001.png</v>
      </c>
      <c r="X46" s="128" t="str">
        <f t="shared" ref="X46:X47" si="16">"enemy_icon_"&amp;K46&amp;"_"&amp;A46&amp;"_"&amp;C46</f>
        <v>enemy_icon_chara_kai_00001</v>
      </c>
      <c r="Y46" s="128" t="str">
        <f t="shared" ref="Y46:Y47" si="17">"boss_icon_"&amp;K46&amp;"_"&amp;A46&amp;"_"&amp;C46</f>
        <v>boss_icon_chara_kai_00001</v>
      </c>
      <c r="Z46" s="129"/>
      <c r="AA46" s="144" t="s">
        <v>1261</v>
      </c>
      <c r="AB46" s="145" t="s">
        <v>985</v>
      </c>
      <c r="AC46" s="53" t="s">
        <v>986</v>
      </c>
      <c r="AD46" s="54"/>
      <c r="AE46" s="133" t="s">
        <v>987</v>
      </c>
      <c r="AF46" s="45" t="s">
        <v>988</v>
      </c>
      <c r="AG46" s="138" t="s">
        <v>989</v>
      </c>
      <c r="AH46" s="139"/>
    </row>
    <row r="47">
      <c r="A47" s="44" t="s">
        <v>115</v>
      </c>
      <c r="B47" s="124" t="str">
        <f t="array" ref="B47">iferror(INDEX('作品'!D:D,MATCH(A47,'作品'!A:A,0),0),"error")</f>
        <v>怪獣８号</v>
      </c>
      <c r="C47" s="46" t="s">
        <v>990</v>
      </c>
      <c r="D47" s="47" t="str">
        <f t="shared" si="1"/>
        <v>chara_kai_00002</v>
      </c>
      <c r="E47" s="47" t="s">
        <v>1262</v>
      </c>
      <c r="F47" s="45" t="s">
        <v>1262</v>
      </c>
      <c r="G47" s="45" t="s">
        <v>479</v>
      </c>
      <c r="H47" s="45" t="s">
        <v>976</v>
      </c>
      <c r="I47" s="59" t="s">
        <v>977</v>
      </c>
      <c r="J47" s="55" t="s">
        <v>1036</v>
      </c>
      <c r="K47" s="55" t="s">
        <v>979</v>
      </c>
      <c r="L47" s="59" t="s">
        <v>1005</v>
      </c>
      <c r="M47" s="59" t="s">
        <v>1020</v>
      </c>
      <c r="N47" s="59" t="s">
        <v>1039</v>
      </c>
      <c r="O47" s="59" t="s">
        <v>1038</v>
      </c>
      <c r="P47" s="125" t="str">
        <f t="shared" si="14"/>
        <v>00002</v>
      </c>
      <c r="Q47" s="143" t="s">
        <v>1064</v>
      </c>
      <c r="R47" s="115" t="s">
        <v>1065</v>
      </c>
      <c r="S47" s="115" t="s">
        <v>1263</v>
      </c>
      <c r="T47" s="115" t="s">
        <v>1264</v>
      </c>
      <c r="U47" s="49">
        <v>45922.458333333336</v>
      </c>
      <c r="V47" s="50">
        <v>390812.49998842593</v>
      </c>
      <c r="W47" s="127" t="str">
        <f t="shared" si="15"/>
        <v>catchcopy_character_chara_kai_00002.png</v>
      </c>
      <c r="X47" s="128" t="str">
        <f t="shared" si="16"/>
        <v>enemy_icon_chara_kai_00002</v>
      </c>
      <c r="Y47" s="128" t="str">
        <f t="shared" si="17"/>
        <v>boss_icon_chara_kai_00002</v>
      </c>
      <c r="Z47" s="144" t="s">
        <v>1265</v>
      </c>
      <c r="AA47" s="144" t="s">
        <v>1266</v>
      </c>
      <c r="AB47" s="145" t="s">
        <v>985</v>
      </c>
      <c r="AC47" s="53" t="s">
        <v>986</v>
      </c>
      <c r="AD47" s="54"/>
      <c r="AE47" s="133" t="s">
        <v>987</v>
      </c>
      <c r="AF47" s="45" t="s">
        <v>988</v>
      </c>
      <c r="AG47" s="138" t="s">
        <v>989</v>
      </c>
      <c r="AH47" s="139"/>
    </row>
    <row r="48">
      <c r="A48" s="55" t="s">
        <v>115</v>
      </c>
      <c r="B48" s="124" t="str">
        <f t="array" ref="B48">iferror(INDEX('作品'!D:D,MATCH(A48,'作品'!A:A,0),0),"error")</f>
        <v>怪獣８号</v>
      </c>
      <c r="C48" s="46" t="s">
        <v>1267</v>
      </c>
      <c r="D48" s="47" t="str">
        <f t="shared" si="1"/>
        <v>chara_kai_00003</v>
      </c>
      <c r="E48" s="47" t="s">
        <v>1268</v>
      </c>
      <c r="F48" s="45"/>
      <c r="G48" s="45"/>
      <c r="H48" s="45" t="s">
        <v>976</v>
      </c>
      <c r="I48" s="59"/>
      <c r="J48" s="55"/>
      <c r="K48" s="55" t="s">
        <v>979</v>
      </c>
      <c r="L48" s="59"/>
      <c r="M48" s="59"/>
      <c r="N48" s="59"/>
      <c r="O48" s="59"/>
      <c r="P48" s="125"/>
      <c r="Q48" s="143"/>
      <c r="R48" s="115"/>
      <c r="S48" s="115"/>
      <c r="T48" s="115"/>
      <c r="U48" s="49"/>
      <c r="V48" s="50"/>
      <c r="W48" s="127"/>
      <c r="X48" s="128"/>
      <c r="Y48" s="128"/>
      <c r="Z48" s="144"/>
      <c r="AA48" s="144"/>
      <c r="AB48" s="145"/>
      <c r="AC48" s="53"/>
      <c r="AD48" s="54"/>
      <c r="AE48" s="60"/>
      <c r="AF48" s="45"/>
      <c r="AG48" s="138"/>
      <c r="AH48" s="139"/>
    </row>
    <row r="49">
      <c r="A49" s="44" t="s">
        <v>115</v>
      </c>
      <c r="B49" s="124" t="str">
        <f t="array" ref="B49">iferror(INDEX('作品'!D:D,MATCH(A49,'作品'!A:A,0),0),"error")</f>
        <v>怪獣８号</v>
      </c>
      <c r="C49" s="46" t="s">
        <v>1001</v>
      </c>
      <c r="D49" s="47" t="str">
        <f t="shared" si="1"/>
        <v>chara_kai_00101</v>
      </c>
      <c r="E49" s="47" t="s">
        <v>347</v>
      </c>
      <c r="F49" s="45" t="s">
        <v>347</v>
      </c>
      <c r="G49" s="45" t="s">
        <v>1269</v>
      </c>
      <c r="H49" s="45" t="s">
        <v>1028</v>
      </c>
      <c r="I49" s="59" t="s">
        <v>1166</v>
      </c>
      <c r="J49" s="55" t="s">
        <v>1050</v>
      </c>
      <c r="K49" s="55" t="s">
        <v>979</v>
      </c>
      <c r="L49" s="59" t="s">
        <v>1063</v>
      </c>
      <c r="M49" s="59" t="s">
        <v>1006</v>
      </c>
      <c r="N49" s="59" t="s">
        <v>1007</v>
      </c>
      <c r="O49" s="59" t="s">
        <v>1006</v>
      </c>
      <c r="P49" s="125" t="str">
        <f>RIGHT(D49,5)</f>
        <v>00101</v>
      </c>
      <c r="Q49" s="143" t="s">
        <v>1197</v>
      </c>
      <c r="R49" s="115" t="s">
        <v>1270</v>
      </c>
      <c r="S49" s="143" t="s">
        <v>1271</v>
      </c>
      <c r="T49" s="115" t="s">
        <v>1272</v>
      </c>
      <c r="U49" s="49">
        <v>45922.458333333336</v>
      </c>
      <c r="V49" s="50">
        <v>390812.49998842593</v>
      </c>
      <c r="W49" s="127" t="str">
        <f t="shared" ref="W49:W51" si="18">"catchcopy_character_"&amp;text(D49,"000000")&amp;".png"</f>
        <v>catchcopy_character_chara_kai_00101.png</v>
      </c>
      <c r="X49" s="128" t="str">
        <f t="shared" ref="X49:X51" si="19">"enemy_icon_"&amp;K49&amp;"_"&amp;A49&amp;"_"&amp;C49</f>
        <v>enemy_icon_chara_kai_00101</v>
      </c>
      <c r="Y49" s="128" t="str">
        <f t="shared" ref="Y49:Y51" si="20">"boss_icon_"&amp;K49&amp;"_"&amp;A49&amp;"_"&amp;C49</f>
        <v>boss_icon_chara_kai_00101</v>
      </c>
      <c r="Z49" s="144" t="s">
        <v>1273</v>
      </c>
      <c r="AA49" s="144" t="s">
        <v>1274</v>
      </c>
      <c r="AB49" s="145" t="s">
        <v>985</v>
      </c>
      <c r="AC49" s="53" t="s">
        <v>986</v>
      </c>
      <c r="AD49" s="54"/>
      <c r="AE49" s="133" t="s">
        <v>987</v>
      </c>
      <c r="AF49" s="45" t="s">
        <v>988</v>
      </c>
      <c r="AG49" s="138" t="s">
        <v>989</v>
      </c>
      <c r="AH49" s="139"/>
    </row>
    <row r="50">
      <c r="A50" s="25" t="s">
        <v>115</v>
      </c>
      <c r="B50" s="178" t="str">
        <f t="array" ref="B50">iferror(INDEX('作品'!D:D,MATCH(A50,'作品'!A:A,0),0),"error")</f>
        <v>怪獣８号</v>
      </c>
      <c r="C50" s="179" t="s">
        <v>1255</v>
      </c>
      <c r="D50" s="180" t="str">
        <f t="shared" si="1"/>
        <v>chara_kai_00102</v>
      </c>
      <c r="E50" s="181" t="s">
        <v>1275</v>
      </c>
      <c r="F50" s="45" t="s">
        <v>1275</v>
      </c>
      <c r="G50" s="182"/>
      <c r="H50" s="59" t="s">
        <v>993</v>
      </c>
      <c r="I50" s="12" t="s">
        <v>1115</v>
      </c>
      <c r="J50" s="59" t="s">
        <v>1004</v>
      </c>
      <c r="K50" s="183" t="s">
        <v>979</v>
      </c>
      <c r="L50" s="59" t="s">
        <v>1063</v>
      </c>
      <c r="M50" s="184"/>
      <c r="N50" s="185"/>
      <c r="O50" s="184"/>
      <c r="P50" s="186"/>
      <c r="Q50" s="177"/>
      <c r="R50" s="177"/>
      <c r="S50" s="177"/>
      <c r="T50" s="177"/>
      <c r="U50" s="174" t="s">
        <v>1276</v>
      </c>
      <c r="V50" s="50">
        <v>390812.49998842593</v>
      </c>
      <c r="W50" s="189" t="str">
        <f t="shared" si="18"/>
        <v>catchcopy_character_chara_kai_00102.png</v>
      </c>
      <c r="X50" s="128" t="str">
        <f t="shared" si="19"/>
        <v>enemy_icon_chara_kai_00102</v>
      </c>
      <c r="Y50" s="128" t="str">
        <f t="shared" si="20"/>
        <v>boss_icon_chara_kai_00102</v>
      </c>
      <c r="Z50" s="184"/>
      <c r="AA50" s="185"/>
      <c r="AB50" s="145" t="s">
        <v>1277</v>
      </c>
      <c r="AC50" s="191"/>
      <c r="AD50" s="185"/>
      <c r="AE50" s="185"/>
      <c r="AF50" s="192"/>
      <c r="AG50" s="138" t="s">
        <v>1078</v>
      </c>
      <c r="AH50" s="139"/>
    </row>
    <row r="51">
      <c r="A51" s="44" t="s">
        <v>115</v>
      </c>
      <c r="B51" s="124" t="str">
        <f t="array" ref="B51">iferror(INDEX('作品'!D:D,MATCH(A51,'作品'!A:A,0),0),"error")</f>
        <v>怪獣８号</v>
      </c>
      <c r="C51" s="46" t="s">
        <v>1014</v>
      </c>
      <c r="D51" s="47" t="str">
        <f t="shared" si="1"/>
        <v>chara_kai_00201</v>
      </c>
      <c r="E51" s="47" t="s">
        <v>1278</v>
      </c>
      <c r="F51" s="45" t="s">
        <v>1278</v>
      </c>
      <c r="G51" s="45" t="s">
        <v>1279</v>
      </c>
      <c r="H51" s="45" t="s">
        <v>976</v>
      </c>
      <c r="I51" s="59" t="s">
        <v>977</v>
      </c>
      <c r="J51" s="55" t="s">
        <v>1050</v>
      </c>
      <c r="K51" s="55" t="s">
        <v>979</v>
      </c>
      <c r="L51" s="59" t="s">
        <v>1005</v>
      </c>
      <c r="M51" s="59" t="s">
        <v>1006</v>
      </c>
      <c r="N51" s="142" t="s">
        <v>1007</v>
      </c>
      <c r="O51" s="59" t="s">
        <v>1006</v>
      </c>
      <c r="P51" s="125" t="str">
        <f>RIGHT(D51,5)</f>
        <v>00201</v>
      </c>
      <c r="Q51" s="143" t="s">
        <v>1064</v>
      </c>
      <c r="R51" s="143" t="s">
        <v>1251</v>
      </c>
      <c r="S51" s="143" t="s">
        <v>1280</v>
      </c>
      <c r="T51" s="143" t="s">
        <v>1281</v>
      </c>
      <c r="U51" s="49">
        <v>45922.458333333336</v>
      </c>
      <c r="V51" s="50">
        <v>390812.49998842593</v>
      </c>
      <c r="W51" s="127" t="str">
        <f t="shared" si="18"/>
        <v>catchcopy_character_chara_kai_00201.png</v>
      </c>
      <c r="X51" s="128" t="str">
        <f t="shared" si="19"/>
        <v>enemy_icon_chara_kai_00201</v>
      </c>
      <c r="Y51" s="128" t="str">
        <f t="shared" si="20"/>
        <v>boss_icon_chara_kai_00201</v>
      </c>
      <c r="Z51" s="144" t="s">
        <v>1282</v>
      </c>
      <c r="AA51" s="144" t="s">
        <v>1283</v>
      </c>
      <c r="AB51" s="145" t="s">
        <v>1284</v>
      </c>
      <c r="AC51" s="53" t="s">
        <v>986</v>
      </c>
      <c r="AD51" s="54"/>
      <c r="AE51" s="133" t="s">
        <v>987</v>
      </c>
      <c r="AF51" s="45" t="s">
        <v>988</v>
      </c>
      <c r="AG51" s="138" t="s">
        <v>1285</v>
      </c>
      <c r="AH51" s="139"/>
    </row>
    <row r="52">
      <c r="A52" s="25" t="s">
        <v>115</v>
      </c>
      <c r="B52" s="178" t="str">
        <f t="array" ref="B52">iferror(INDEX('作品'!D:D,MATCH(A52,'作品'!A:A,0),0),"error")</f>
        <v>怪獣８号</v>
      </c>
      <c r="C52" s="179" t="s">
        <v>1130</v>
      </c>
      <c r="D52" s="180" t="str">
        <f t="shared" si="1"/>
        <v>chara_kai_00202</v>
      </c>
      <c r="E52" s="181" t="s">
        <v>1286</v>
      </c>
      <c r="F52" s="136" t="s">
        <v>991</v>
      </c>
      <c r="G52" s="182"/>
      <c r="H52" s="59" t="s">
        <v>976</v>
      </c>
      <c r="I52" s="12"/>
      <c r="J52" s="59"/>
      <c r="K52" s="183" t="s">
        <v>979</v>
      </c>
      <c r="L52" s="59"/>
      <c r="M52" s="184"/>
      <c r="N52" s="185"/>
      <c r="O52" s="184"/>
      <c r="P52" s="186"/>
      <c r="Q52" s="177"/>
      <c r="R52" s="177"/>
      <c r="S52" s="177"/>
      <c r="T52" s="177"/>
      <c r="U52" s="187"/>
      <c r="V52" s="188"/>
      <c r="W52" s="189"/>
      <c r="X52" s="190"/>
      <c r="Y52" s="190"/>
      <c r="Z52" s="184"/>
      <c r="AA52" s="185"/>
      <c r="AB52" s="145"/>
      <c r="AC52" s="191"/>
      <c r="AD52" s="185"/>
      <c r="AE52" s="185"/>
      <c r="AF52" s="192"/>
      <c r="AG52" s="138"/>
      <c r="AH52" s="139"/>
    </row>
    <row r="53">
      <c r="A53" s="44" t="s">
        <v>115</v>
      </c>
      <c r="B53" s="124" t="str">
        <f t="array" ref="B53">iferror(INDEX('作品'!D:D,MATCH(A53,'作品'!A:A,0),0),"error")</f>
        <v>怪獣８号</v>
      </c>
      <c r="C53" s="46" t="s">
        <v>1026</v>
      </c>
      <c r="D53" s="47" t="str">
        <f t="shared" si="1"/>
        <v>chara_kai_00301</v>
      </c>
      <c r="E53" s="47" t="s">
        <v>351</v>
      </c>
      <c r="F53" s="45" t="s">
        <v>351</v>
      </c>
      <c r="G53" s="45" t="s">
        <v>1287</v>
      </c>
      <c r="H53" s="45" t="s">
        <v>993</v>
      </c>
      <c r="I53" s="59" t="s">
        <v>1115</v>
      </c>
      <c r="J53" s="55" t="s">
        <v>1004</v>
      </c>
      <c r="K53" s="55" t="s">
        <v>979</v>
      </c>
      <c r="L53" s="59" t="s">
        <v>1037</v>
      </c>
      <c r="M53" s="59" t="s">
        <v>1018</v>
      </c>
      <c r="N53" s="59" t="s">
        <v>1039</v>
      </c>
      <c r="O53" s="59" t="s">
        <v>1018</v>
      </c>
      <c r="P53" s="125" t="str">
        <f>RIGHT(D53,5)</f>
        <v>00301</v>
      </c>
      <c r="Q53" s="143" t="s">
        <v>1288</v>
      </c>
      <c r="R53" s="143" t="s">
        <v>1246</v>
      </c>
      <c r="S53" s="143" t="s">
        <v>1289</v>
      </c>
      <c r="T53" s="143" t="s">
        <v>1204</v>
      </c>
      <c r="U53" s="49">
        <v>45922.458333333336</v>
      </c>
      <c r="V53" s="50">
        <v>390812.49998842593</v>
      </c>
      <c r="W53" s="127" t="str">
        <f>"catchcopy_character_"&amp;text(D53,"000000")&amp;".png"</f>
        <v>catchcopy_character_chara_kai_00301.png</v>
      </c>
      <c r="X53" s="128" t="str">
        <f>"enemy_icon_"&amp;K53&amp;"_"&amp;A53&amp;"_"&amp;C53</f>
        <v>enemy_icon_chara_kai_00301</v>
      </c>
      <c r="Y53" s="128" t="str">
        <f>"boss_icon_"&amp;K53&amp;"_"&amp;A53&amp;"_"&amp;C53</f>
        <v>boss_icon_chara_kai_00301</v>
      </c>
      <c r="Z53" s="144" t="s">
        <v>1290</v>
      </c>
      <c r="AA53" s="144" t="s">
        <v>1291</v>
      </c>
      <c r="AB53" s="145" t="s">
        <v>985</v>
      </c>
      <c r="AC53" s="53" t="s">
        <v>986</v>
      </c>
      <c r="AD53" s="54"/>
      <c r="AE53" s="133" t="s">
        <v>987</v>
      </c>
      <c r="AF53" s="45" t="s">
        <v>988</v>
      </c>
      <c r="AG53" s="138" t="s">
        <v>989</v>
      </c>
      <c r="AH53" s="139"/>
    </row>
    <row r="54">
      <c r="A54" s="25" t="s">
        <v>115</v>
      </c>
      <c r="B54" s="178" t="str">
        <f t="array" ref="B54">iferror(INDEX('作品'!D:D,MATCH(A54,'作品'!A:A,0),0),"error")</f>
        <v>怪獣８号</v>
      </c>
      <c r="C54" s="179" t="s">
        <v>1292</v>
      </c>
      <c r="D54" s="180" t="str">
        <f t="shared" si="1"/>
        <v>chara_kai_00302</v>
      </c>
      <c r="E54" s="181" t="s">
        <v>1293</v>
      </c>
      <c r="F54" s="136" t="s">
        <v>991</v>
      </c>
      <c r="G54" s="182"/>
      <c r="H54" s="59" t="s">
        <v>976</v>
      </c>
      <c r="I54" s="12"/>
      <c r="J54" s="59"/>
      <c r="K54" s="183" t="s">
        <v>979</v>
      </c>
      <c r="L54" s="59"/>
      <c r="M54" s="184"/>
      <c r="N54" s="185"/>
      <c r="O54" s="184"/>
      <c r="P54" s="186"/>
      <c r="Q54" s="177"/>
      <c r="R54" s="177"/>
      <c r="S54" s="177"/>
      <c r="T54" s="177"/>
      <c r="U54" s="187"/>
      <c r="V54" s="188"/>
      <c r="W54" s="189"/>
      <c r="X54" s="190"/>
      <c r="Y54" s="190"/>
      <c r="Z54" s="184"/>
      <c r="AA54" s="185"/>
      <c r="AB54" s="145"/>
      <c r="AC54" s="191"/>
      <c r="AD54" s="185"/>
      <c r="AE54" s="185"/>
      <c r="AF54" s="192"/>
      <c r="AG54" s="138"/>
      <c r="AH54" s="139"/>
    </row>
    <row r="55">
      <c r="A55" s="44" t="s">
        <v>115</v>
      </c>
      <c r="B55" s="124" t="str">
        <f t="array" ref="B55">iferror(INDEX('作品'!D:D,MATCH(A55,'作品'!A:A,0),0),"error")</f>
        <v>怪獣８号</v>
      </c>
      <c r="C55" s="46" t="s">
        <v>1034</v>
      </c>
      <c r="D55" s="47" t="str">
        <f t="shared" si="1"/>
        <v>chara_kai_00401</v>
      </c>
      <c r="E55" s="47" t="s">
        <v>1294</v>
      </c>
      <c r="F55" s="45" t="s">
        <v>1294</v>
      </c>
      <c r="G55" s="45" t="s">
        <v>1295</v>
      </c>
      <c r="H55" s="45" t="s">
        <v>993</v>
      </c>
      <c r="I55" s="59" t="s">
        <v>1115</v>
      </c>
      <c r="J55" s="55" t="s">
        <v>1050</v>
      </c>
      <c r="K55" s="55" t="s">
        <v>979</v>
      </c>
      <c r="L55" s="59" t="s">
        <v>1005</v>
      </c>
      <c r="M55" s="59" t="s">
        <v>1018</v>
      </c>
      <c r="N55" s="142" t="s">
        <v>1039</v>
      </c>
      <c r="O55" s="59" t="s">
        <v>1018</v>
      </c>
      <c r="P55" s="125"/>
      <c r="Q55" s="143" t="s">
        <v>1296</v>
      </c>
      <c r="R55" s="115" t="s">
        <v>1124</v>
      </c>
      <c r="S55" s="143" t="s">
        <v>1093</v>
      </c>
      <c r="T55" s="115" t="s">
        <v>1297</v>
      </c>
      <c r="U55" s="49">
        <v>45922.458333333336</v>
      </c>
      <c r="V55" s="50">
        <v>390812.49998842593</v>
      </c>
      <c r="W55" s="127"/>
      <c r="X55" s="128" t="str">
        <f t="shared" ref="X55:X60" si="21">"enemy_icon_"&amp;K55&amp;"_"&amp;A55&amp;"_"&amp;C55</f>
        <v>enemy_icon_chara_kai_00401</v>
      </c>
      <c r="Y55" s="128" t="str">
        <f t="shared" ref="Y55:Y60" si="22">"boss_icon_"&amp;K55&amp;"_"&amp;A55&amp;"_"&amp;C55</f>
        <v>boss_icon_chara_kai_00401</v>
      </c>
      <c r="Z55" s="144" t="s">
        <v>1298</v>
      </c>
      <c r="AA55" s="144" t="s">
        <v>1299</v>
      </c>
      <c r="AB55" s="145" t="s">
        <v>1284</v>
      </c>
      <c r="AC55" s="53" t="s">
        <v>986</v>
      </c>
      <c r="AD55" s="54"/>
      <c r="AE55" s="133" t="s">
        <v>987</v>
      </c>
      <c r="AF55" s="45"/>
      <c r="AG55" s="138" t="s">
        <v>1285</v>
      </c>
      <c r="AH55" s="139"/>
    </row>
    <row r="56">
      <c r="A56" s="44" t="s">
        <v>115</v>
      </c>
      <c r="B56" s="124" t="str">
        <f t="array" ref="B56">iferror(INDEX('作品'!D:D,MATCH(A56,'作品'!A:A,0),0),"error")</f>
        <v>怪獣８号</v>
      </c>
      <c r="C56" s="46" t="s">
        <v>1046</v>
      </c>
      <c r="D56" s="47" t="str">
        <f t="shared" si="1"/>
        <v>chara_kai_00501</v>
      </c>
      <c r="E56" s="47" t="s">
        <v>1300</v>
      </c>
      <c r="F56" s="45" t="s">
        <v>1300</v>
      </c>
      <c r="G56" s="45" t="s">
        <v>1301</v>
      </c>
      <c r="H56" s="45" t="s">
        <v>1028</v>
      </c>
      <c r="I56" s="59" t="s">
        <v>1029</v>
      </c>
      <c r="J56" s="55" t="s">
        <v>1004</v>
      </c>
      <c r="K56" s="55" t="s">
        <v>979</v>
      </c>
      <c r="L56" s="59" t="s">
        <v>1005</v>
      </c>
      <c r="M56" s="59" t="s">
        <v>1020</v>
      </c>
      <c r="N56" s="59" t="s">
        <v>1039</v>
      </c>
      <c r="O56" s="59" t="s">
        <v>1020</v>
      </c>
      <c r="P56" s="125"/>
      <c r="Q56" s="143" t="s">
        <v>1245</v>
      </c>
      <c r="R56" s="143" t="s">
        <v>1302</v>
      </c>
      <c r="S56" s="143" t="s">
        <v>1093</v>
      </c>
      <c r="T56" s="143" t="s">
        <v>1303</v>
      </c>
      <c r="U56" s="49">
        <v>45922.458333333336</v>
      </c>
      <c r="V56" s="50">
        <v>390812.49998842593</v>
      </c>
      <c r="W56" s="127"/>
      <c r="X56" s="128" t="str">
        <f t="shared" si="21"/>
        <v>enemy_icon_chara_kai_00501</v>
      </c>
      <c r="Y56" s="128" t="str">
        <f t="shared" si="22"/>
        <v>boss_icon_chara_kai_00501</v>
      </c>
      <c r="Z56" s="144" t="s">
        <v>1304</v>
      </c>
      <c r="AA56" s="144" t="s">
        <v>1305</v>
      </c>
      <c r="AB56" s="145" t="s">
        <v>1284</v>
      </c>
      <c r="AC56" s="53" t="s">
        <v>986</v>
      </c>
      <c r="AD56" s="54"/>
      <c r="AE56" s="133" t="s">
        <v>987</v>
      </c>
      <c r="AF56" s="45"/>
      <c r="AG56" s="138" t="s">
        <v>1285</v>
      </c>
      <c r="AH56" s="139"/>
    </row>
    <row r="57">
      <c r="A57" s="44" t="s">
        <v>115</v>
      </c>
      <c r="B57" s="124" t="str">
        <f t="array" ref="B57">iferror(INDEX('作品'!D:D,MATCH(A57,'作品'!A:A,0),0),"error")</f>
        <v>怪獣８号</v>
      </c>
      <c r="C57" s="46" t="s">
        <v>1151</v>
      </c>
      <c r="D57" s="47" t="str">
        <f t="shared" si="1"/>
        <v>chara_kai_00601</v>
      </c>
      <c r="E57" s="47" t="s">
        <v>1306</v>
      </c>
      <c r="F57" s="45" t="s">
        <v>1306</v>
      </c>
      <c r="G57" s="45" t="s">
        <v>1307</v>
      </c>
      <c r="H57" s="45" t="s">
        <v>1028</v>
      </c>
      <c r="I57" s="59" t="s">
        <v>1029</v>
      </c>
      <c r="J57" s="55" t="s">
        <v>1036</v>
      </c>
      <c r="K57" s="55" t="s">
        <v>979</v>
      </c>
      <c r="L57" s="59" t="s">
        <v>1037</v>
      </c>
      <c r="M57" s="59" t="s">
        <v>1006</v>
      </c>
      <c r="N57" s="59" t="s">
        <v>1019</v>
      </c>
      <c r="O57" s="59" t="s">
        <v>64</v>
      </c>
      <c r="P57" s="125"/>
      <c r="Q57" s="143" t="s">
        <v>1073</v>
      </c>
      <c r="R57" s="143" t="s">
        <v>1308</v>
      </c>
      <c r="S57" s="143" t="s">
        <v>1142</v>
      </c>
      <c r="T57" s="143" t="s">
        <v>1309</v>
      </c>
      <c r="U57" s="49">
        <v>45922.458333333336</v>
      </c>
      <c r="V57" s="50">
        <v>390812.49998842593</v>
      </c>
      <c r="W57" s="127"/>
      <c r="X57" s="128" t="str">
        <f t="shared" si="21"/>
        <v>enemy_icon_chara_kai_00601</v>
      </c>
      <c r="Y57" s="128" t="str">
        <f t="shared" si="22"/>
        <v>boss_icon_chara_kai_00601</v>
      </c>
      <c r="Z57" s="144" t="s">
        <v>1310</v>
      </c>
      <c r="AA57" s="144" t="s">
        <v>1311</v>
      </c>
      <c r="AB57" s="145" t="s">
        <v>1284</v>
      </c>
      <c r="AC57" s="53" t="s">
        <v>986</v>
      </c>
      <c r="AD57" s="54"/>
      <c r="AE57" s="133" t="s">
        <v>987</v>
      </c>
      <c r="AF57" s="45"/>
      <c r="AG57" s="138" t="s">
        <v>1285</v>
      </c>
      <c r="AH57" s="139"/>
    </row>
    <row r="58">
      <c r="A58" s="25" t="s">
        <v>115</v>
      </c>
      <c r="B58" s="178" t="str">
        <f t="array" ref="B58">iferror(INDEX('作品'!D:D,MATCH(A58,'作品'!A:A,0),0),"error")</f>
        <v>怪獣８号</v>
      </c>
      <c r="C58" s="179" t="s">
        <v>1191</v>
      </c>
      <c r="D58" s="180" t="str">
        <f t="shared" si="1"/>
        <v>chara_kai_00701</v>
      </c>
      <c r="E58" s="181" t="s">
        <v>1312</v>
      </c>
      <c r="F58" s="45" t="s">
        <v>1312</v>
      </c>
      <c r="G58" s="182"/>
      <c r="H58" s="59" t="s">
        <v>976</v>
      </c>
      <c r="I58" s="12" t="s">
        <v>977</v>
      </c>
      <c r="J58" s="59" t="s">
        <v>1004</v>
      </c>
      <c r="K58" s="183" t="s">
        <v>979</v>
      </c>
      <c r="L58" s="59" t="s">
        <v>1005</v>
      </c>
      <c r="M58" s="184"/>
      <c r="N58" s="185"/>
      <c r="O58" s="184"/>
      <c r="P58" s="186"/>
      <c r="Q58" s="177"/>
      <c r="R58" s="177"/>
      <c r="S58" s="177"/>
      <c r="T58" s="177"/>
      <c r="U58" s="174" t="s">
        <v>1276</v>
      </c>
      <c r="V58" s="50">
        <v>390812.49998842593</v>
      </c>
      <c r="W58" s="189" t="str">
        <f t="shared" ref="W58:W60" si="23">"catchcopy_character_"&amp;text(D58,"000000")&amp;".png"</f>
        <v>catchcopy_character_chara_kai_00701.png</v>
      </c>
      <c r="X58" s="128" t="str">
        <f t="shared" si="21"/>
        <v>enemy_icon_chara_kai_00701</v>
      </c>
      <c r="Y58" s="128" t="str">
        <f t="shared" si="22"/>
        <v>boss_icon_chara_kai_00701</v>
      </c>
      <c r="Z58" s="184"/>
      <c r="AA58" s="185"/>
      <c r="AB58" s="145" t="s">
        <v>1277</v>
      </c>
      <c r="AC58" s="191"/>
      <c r="AD58" s="185"/>
      <c r="AE58" s="185"/>
      <c r="AF58" s="192"/>
      <c r="AG58" s="138" t="s">
        <v>1078</v>
      </c>
      <c r="AH58" s="139"/>
    </row>
    <row r="59">
      <c r="A59" s="25" t="s">
        <v>115</v>
      </c>
      <c r="B59" s="178" t="str">
        <f t="array" ref="B59">iferror(INDEX('作品'!D:D,MATCH(A59,'作品'!A:A,0),0),"error")</f>
        <v>怪獣８号</v>
      </c>
      <c r="C59" s="179" t="s">
        <v>1238</v>
      </c>
      <c r="D59" s="180" t="str">
        <f t="shared" si="1"/>
        <v>chara_kai_00801</v>
      </c>
      <c r="E59" s="181" t="s">
        <v>1313</v>
      </c>
      <c r="F59" s="136" t="s">
        <v>991</v>
      </c>
      <c r="G59" s="182"/>
      <c r="H59" s="59" t="s">
        <v>1028</v>
      </c>
      <c r="I59" s="12" t="s">
        <v>1029</v>
      </c>
      <c r="J59" s="59"/>
      <c r="K59" s="183" t="s">
        <v>979</v>
      </c>
      <c r="L59" s="59" t="s">
        <v>1037</v>
      </c>
      <c r="M59" s="184"/>
      <c r="N59" s="185"/>
      <c r="O59" s="184"/>
      <c r="P59" s="186"/>
      <c r="Q59" s="177"/>
      <c r="R59" s="177"/>
      <c r="S59" s="177"/>
      <c r="T59" s="177"/>
      <c r="U59" s="174" t="s">
        <v>1276</v>
      </c>
      <c r="V59" s="50">
        <v>390812.49998842593</v>
      </c>
      <c r="W59" s="189" t="str">
        <f t="shared" si="23"/>
        <v>catchcopy_character_chara_kai_00801.png</v>
      </c>
      <c r="X59" s="128" t="str">
        <f t="shared" si="21"/>
        <v>enemy_icon_chara_kai_00801</v>
      </c>
      <c r="Y59" s="128" t="str">
        <f t="shared" si="22"/>
        <v>boss_icon_chara_kai_00801</v>
      </c>
      <c r="Z59" s="184"/>
      <c r="AA59" s="185"/>
      <c r="AB59" s="145" t="s">
        <v>1277</v>
      </c>
      <c r="AC59" s="191"/>
      <c r="AD59" s="185"/>
      <c r="AE59" s="185"/>
      <c r="AF59" s="192"/>
      <c r="AG59" s="138" t="s">
        <v>1078</v>
      </c>
      <c r="AH59" s="139"/>
    </row>
    <row r="60">
      <c r="A60" s="25" t="s">
        <v>115</v>
      </c>
      <c r="B60" s="178" t="str">
        <f t="array" ref="B60">iferror(INDEX('作品'!D:D,MATCH(A60,'作品'!A:A,0),0),"error")</f>
        <v>怪獣８号</v>
      </c>
      <c r="C60" s="179" t="s">
        <v>1242</v>
      </c>
      <c r="D60" s="180" t="str">
        <f t="shared" si="1"/>
        <v>chara_kai_00901</v>
      </c>
      <c r="E60" s="181" t="s">
        <v>1314</v>
      </c>
      <c r="F60" s="136" t="s">
        <v>991</v>
      </c>
      <c r="G60" s="182"/>
      <c r="H60" s="59" t="s">
        <v>1028</v>
      </c>
      <c r="I60" s="12" t="s">
        <v>1029</v>
      </c>
      <c r="J60" s="59"/>
      <c r="K60" s="183" t="s">
        <v>979</v>
      </c>
      <c r="L60" s="59" t="s">
        <v>980</v>
      </c>
      <c r="M60" s="184"/>
      <c r="N60" s="185"/>
      <c r="O60" s="184"/>
      <c r="P60" s="186"/>
      <c r="Q60" s="177"/>
      <c r="R60" s="177"/>
      <c r="S60" s="177"/>
      <c r="T60" s="177"/>
      <c r="U60" s="174" t="s">
        <v>1276</v>
      </c>
      <c r="V60" s="50">
        <v>390812.49998842593</v>
      </c>
      <c r="W60" s="189" t="str">
        <f t="shared" si="23"/>
        <v>catchcopy_character_chara_kai_00901.png</v>
      </c>
      <c r="X60" s="128" t="str">
        <f t="shared" si="21"/>
        <v>enemy_icon_chara_kai_00901</v>
      </c>
      <c r="Y60" s="128" t="str">
        <f t="shared" si="22"/>
        <v>boss_icon_chara_kai_00901</v>
      </c>
      <c r="Z60" s="184"/>
      <c r="AA60" s="185"/>
      <c r="AB60" s="145" t="s">
        <v>1277</v>
      </c>
      <c r="AC60" s="191"/>
      <c r="AD60" s="185"/>
      <c r="AE60" s="185"/>
      <c r="AF60" s="192"/>
      <c r="AG60" s="138" t="s">
        <v>1078</v>
      </c>
      <c r="AH60" s="139"/>
    </row>
    <row r="61">
      <c r="A61" s="25" t="s">
        <v>115</v>
      </c>
      <c r="B61" s="178" t="str">
        <f t="array" ref="B61">iferror(INDEX('作品'!D:D,MATCH(A61,'作品'!A:A,0),0),"error")</f>
        <v>怪獣８号</v>
      </c>
      <c r="C61" s="179" t="s">
        <v>1315</v>
      </c>
      <c r="D61" s="180" t="str">
        <f t="shared" si="1"/>
        <v>chara_kai_01001</v>
      </c>
      <c r="E61" s="181" t="s">
        <v>1316</v>
      </c>
      <c r="F61" s="136" t="s">
        <v>991</v>
      </c>
      <c r="G61" s="182"/>
      <c r="H61" s="59" t="s">
        <v>1028</v>
      </c>
      <c r="I61" s="12"/>
      <c r="J61" s="59"/>
      <c r="K61" s="183" t="s">
        <v>979</v>
      </c>
      <c r="L61" s="59"/>
      <c r="M61" s="184"/>
      <c r="N61" s="185"/>
      <c r="O61" s="184"/>
      <c r="P61" s="186"/>
      <c r="Q61" s="177"/>
      <c r="R61" s="177"/>
      <c r="S61" s="177"/>
      <c r="T61" s="177"/>
      <c r="U61" s="187"/>
      <c r="V61" s="188"/>
      <c r="W61" s="189"/>
      <c r="X61" s="190"/>
      <c r="Y61" s="190"/>
      <c r="Z61" s="184"/>
      <c r="AA61" s="185"/>
      <c r="AB61" s="145"/>
      <c r="AC61" s="191"/>
      <c r="AD61" s="185"/>
      <c r="AE61" s="185"/>
      <c r="AF61" s="192"/>
      <c r="AG61" s="138"/>
      <c r="AH61" s="139"/>
    </row>
    <row r="62">
      <c r="A62" s="44" t="s">
        <v>121</v>
      </c>
      <c r="B62" s="124" t="str">
        <f t="array" ref="B62">iferror(INDEX('作品'!D:D,MATCH(A62,'作品'!A:A,0),0),"error")</f>
        <v>2.5次元の誘惑</v>
      </c>
      <c r="C62" s="46" t="s">
        <v>973</v>
      </c>
      <c r="D62" s="47" t="str">
        <f t="shared" si="1"/>
        <v>chara_yuw_00001</v>
      </c>
      <c r="E62" s="47" t="s">
        <v>1317</v>
      </c>
      <c r="F62" s="45" t="s">
        <v>1317</v>
      </c>
      <c r="G62" s="45" t="s">
        <v>1318</v>
      </c>
      <c r="H62" s="45" t="s">
        <v>976</v>
      </c>
      <c r="I62" s="59" t="s">
        <v>977</v>
      </c>
      <c r="J62" s="55" t="s">
        <v>1004</v>
      </c>
      <c r="K62" s="55" t="s">
        <v>979</v>
      </c>
      <c r="L62" s="59" t="s">
        <v>1005</v>
      </c>
      <c r="M62" s="59" t="s">
        <v>1038</v>
      </c>
      <c r="N62" s="59" t="s">
        <v>1019</v>
      </c>
      <c r="O62" s="59" t="s">
        <v>64</v>
      </c>
      <c r="P62" s="125" t="str">
        <f>RIGHT(D62,5)</f>
        <v>00001</v>
      </c>
      <c r="Q62" s="143" t="s">
        <v>1319</v>
      </c>
      <c r="R62" s="143" t="s">
        <v>1041</v>
      </c>
      <c r="S62" s="143" t="s">
        <v>1320</v>
      </c>
      <c r="T62" s="143" t="s">
        <v>1134</v>
      </c>
      <c r="U62" s="49">
        <v>45922.458333333336</v>
      </c>
      <c r="V62" s="50">
        <v>390812.49998842593</v>
      </c>
      <c r="W62" s="127" t="str">
        <f>"catchcopy_character_"&amp;text(D62,"000000")&amp;".png"</f>
        <v>catchcopy_character_chara_yuw_00001.png</v>
      </c>
      <c r="X62" s="128" t="str">
        <f t="shared" ref="X62:X86" si="24">"enemy_icon_"&amp;K62&amp;"_"&amp;A62&amp;"_"&amp;C62</f>
        <v>enemy_icon_chara_yuw_00001</v>
      </c>
      <c r="Y62" s="128" t="str">
        <f t="shared" ref="Y62:Y86" si="25">"boss_icon_"&amp;K62&amp;"_"&amp;A62&amp;"_"&amp;C62</f>
        <v>boss_icon_chara_yuw_00001</v>
      </c>
      <c r="Z62" s="144" t="s">
        <v>1321</v>
      </c>
      <c r="AA62" s="144" t="s">
        <v>1322</v>
      </c>
      <c r="AB62" s="145" t="s">
        <v>985</v>
      </c>
      <c r="AC62" s="53" t="s">
        <v>986</v>
      </c>
      <c r="AD62" s="54"/>
      <c r="AE62" s="133" t="s">
        <v>987</v>
      </c>
      <c r="AF62" s="45" t="s">
        <v>988</v>
      </c>
      <c r="AG62" s="138" t="s">
        <v>989</v>
      </c>
      <c r="AH62" s="139"/>
    </row>
    <row r="63">
      <c r="A63" s="44" t="s">
        <v>121</v>
      </c>
      <c r="B63" s="124" t="str">
        <f t="array" ref="B63">iferror(INDEX('作品'!D:D,MATCH(A63,'作品'!A:A,0),0),"error")</f>
        <v>2.5次元の誘惑</v>
      </c>
      <c r="C63" s="46" t="s">
        <v>990</v>
      </c>
      <c r="D63" s="47" t="str">
        <f t="shared" si="1"/>
        <v>chara_yuw_00002</v>
      </c>
      <c r="E63" s="47" t="s">
        <v>1323</v>
      </c>
      <c r="F63" s="136" t="s">
        <v>991</v>
      </c>
      <c r="G63" s="136"/>
      <c r="H63" s="45" t="s">
        <v>976</v>
      </c>
      <c r="I63" s="59" t="s">
        <v>977</v>
      </c>
      <c r="J63" s="55" t="s">
        <v>1036</v>
      </c>
      <c r="K63" s="55" t="s">
        <v>979</v>
      </c>
      <c r="L63" s="59" t="s">
        <v>1072</v>
      </c>
      <c r="M63" s="59"/>
      <c r="N63" s="59"/>
      <c r="O63" s="59"/>
      <c r="P63" s="125"/>
      <c r="Q63" s="143"/>
      <c r="R63" s="143"/>
      <c r="S63" s="143"/>
      <c r="T63" s="143"/>
      <c r="U63" s="137" t="s">
        <v>997</v>
      </c>
      <c r="V63" s="50">
        <v>390812.49998842593</v>
      </c>
      <c r="W63" s="127"/>
      <c r="X63" s="128" t="str">
        <f t="shared" si="24"/>
        <v>enemy_icon_chara_yuw_00002</v>
      </c>
      <c r="Y63" s="128" t="str">
        <f t="shared" si="25"/>
        <v>boss_icon_chara_yuw_00002</v>
      </c>
      <c r="Z63" s="144"/>
      <c r="AA63" s="144"/>
      <c r="AB63" s="145" t="s">
        <v>1324</v>
      </c>
      <c r="AC63" s="53"/>
      <c r="AD63" s="54"/>
      <c r="AE63" s="60"/>
      <c r="AF63" s="45"/>
      <c r="AG63" s="138" t="s">
        <v>1000</v>
      </c>
      <c r="AH63" s="139"/>
    </row>
    <row r="64">
      <c r="A64" s="44" t="s">
        <v>121</v>
      </c>
      <c r="B64" s="124" t="str">
        <f t="array" ref="B64">iferror(INDEX('作品'!D:D,MATCH(A64,'作品'!A:A,0),0),"error")</f>
        <v>2.5次元の誘惑</v>
      </c>
      <c r="C64" s="46" t="s">
        <v>1001</v>
      </c>
      <c r="D64" s="47" t="str">
        <f t="shared" si="1"/>
        <v>chara_yuw_00101</v>
      </c>
      <c r="E64" s="47" t="s">
        <v>1325</v>
      </c>
      <c r="F64" s="45" t="s">
        <v>1325</v>
      </c>
      <c r="G64" s="45" t="s">
        <v>1326</v>
      </c>
      <c r="H64" s="45" t="s">
        <v>976</v>
      </c>
      <c r="I64" s="59" t="s">
        <v>977</v>
      </c>
      <c r="J64" s="55" t="s">
        <v>1036</v>
      </c>
      <c r="K64" s="55" t="s">
        <v>979</v>
      </c>
      <c r="L64" s="59" t="s">
        <v>1063</v>
      </c>
      <c r="M64" s="59" t="s">
        <v>1020</v>
      </c>
      <c r="N64" s="59" t="s">
        <v>1039</v>
      </c>
      <c r="O64" s="59" t="s">
        <v>64</v>
      </c>
      <c r="P64" s="125" t="str">
        <f>RIGHT(D64,5)</f>
        <v>00101</v>
      </c>
      <c r="Q64" s="140" t="s">
        <v>1064</v>
      </c>
      <c r="R64" s="140" t="s">
        <v>1327</v>
      </c>
      <c r="S64" s="140" t="s">
        <v>1328</v>
      </c>
      <c r="T64" s="140" t="s">
        <v>1329</v>
      </c>
      <c r="U64" s="49">
        <v>45922.458333333336</v>
      </c>
      <c r="V64" s="50">
        <v>390812.49998842593</v>
      </c>
      <c r="W64" s="127" t="str">
        <f t="shared" ref="W64:W69" si="26">"catchcopy_character_"&amp;text(D64,"000000")&amp;".png"</f>
        <v>catchcopy_character_chara_yuw_00101.png</v>
      </c>
      <c r="X64" s="128" t="str">
        <f t="shared" si="24"/>
        <v>enemy_icon_chara_yuw_00101</v>
      </c>
      <c r="Y64" s="128" t="str">
        <f t="shared" si="25"/>
        <v>boss_icon_chara_yuw_00101</v>
      </c>
      <c r="Z64" s="144" t="s">
        <v>1330</v>
      </c>
      <c r="AA64" s="144" t="s">
        <v>1331</v>
      </c>
      <c r="AB64" s="145" t="s">
        <v>985</v>
      </c>
      <c r="AC64" s="53" t="s">
        <v>986</v>
      </c>
      <c r="AD64" s="54"/>
      <c r="AE64" s="133" t="s">
        <v>987</v>
      </c>
      <c r="AF64" s="45" t="s">
        <v>988</v>
      </c>
      <c r="AG64" s="138" t="s">
        <v>989</v>
      </c>
      <c r="AH64" s="139"/>
    </row>
    <row r="65">
      <c r="A65" s="44" t="s">
        <v>121</v>
      </c>
      <c r="B65" s="124" t="str">
        <f t="array" ref="B65">iferror(INDEX('作品'!D:D,MATCH(A65,'作品'!A:A,0),0),"error")</f>
        <v>2.5次元の誘惑</v>
      </c>
      <c r="C65" s="46" t="s">
        <v>1255</v>
      </c>
      <c r="D65" s="47" t="str">
        <f t="shared" si="1"/>
        <v>chara_yuw_00102</v>
      </c>
      <c r="E65" s="47" t="s">
        <v>1332</v>
      </c>
      <c r="F65" s="45" t="s">
        <v>1333</v>
      </c>
      <c r="G65" s="45" t="s">
        <v>1334</v>
      </c>
      <c r="H65" s="45" t="s">
        <v>976</v>
      </c>
      <c r="I65" s="59" t="s">
        <v>1335</v>
      </c>
      <c r="J65" s="55" t="s">
        <v>1036</v>
      </c>
      <c r="K65" s="55" t="s">
        <v>979</v>
      </c>
      <c r="L65" s="59" t="s">
        <v>1072</v>
      </c>
      <c r="M65" s="59" t="s">
        <v>1020</v>
      </c>
      <c r="N65" s="59" t="s">
        <v>1039</v>
      </c>
      <c r="O65" s="59" t="s">
        <v>64</v>
      </c>
      <c r="P65" s="125"/>
      <c r="Q65" s="115" t="s">
        <v>1336</v>
      </c>
      <c r="R65" s="115" t="s">
        <v>1161</v>
      </c>
      <c r="S65" s="143" t="s">
        <v>1337</v>
      </c>
      <c r="T65" s="115" t="s">
        <v>1338</v>
      </c>
      <c r="U65" s="49">
        <v>46013.5</v>
      </c>
      <c r="V65" s="50">
        <v>390812.49998842593</v>
      </c>
      <c r="W65" s="127" t="str">
        <f t="shared" si="26"/>
        <v>catchcopy_character_chara_yuw_00102.png</v>
      </c>
      <c r="X65" s="128" t="str">
        <f t="shared" si="24"/>
        <v>enemy_icon_chara_yuw_00102</v>
      </c>
      <c r="Y65" s="128" t="str">
        <f t="shared" si="25"/>
        <v>boss_icon_chara_yuw_00102</v>
      </c>
      <c r="Z65" s="144" t="s">
        <v>1330</v>
      </c>
      <c r="AA65" s="144" t="s">
        <v>1331</v>
      </c>
      <c r="AB65" s="145" t="s">
        <v>1339</v>
      </c>
      <c r="AC65" s="53" t="s">
        <v>986</v>
      </c>
      <c r="AD65" s="54"/>
      <c r="AE65" s="133" t="s">
        <v>987</v>
      </c>
      <c r="AF65" s="45" t="s">
        <v>988</v>
      </c>
      <c r="AG65" s="138" t="s">
        <v>1340</v>
      </c>
      <c r="AH65" s="139"/>
    </row>
    <row r="66">
      <c r="A66" s="44" t="s">
        <v>121</v>
      </c>
      <c r="B66" s="124" t="str">
        <f t="array" ref="B66">iferror(INDEX('作品'!D:D,MATCH(A66,'作品'!A:A,0),0),"error")</f>
        <v>2.5次元の誘惑</v>
      </c>
      <c r="C66" s="46" t="s">
        <v>1014</v>
      </c>
      <c r="D66" s="47" t="str">
        <f t="shared" si="1"/>
        <v>chara_yuw_00201</v>
      </c>
      <c r="E66" s="47" t="s">
        <v>1341</v>
      </c>
      <c r="F66" s="45" t="s">
        <v>1341</v>
      </c>
      <c r="G66" s="45" t="s">
        <v>1342</v>
      </c>
      <c r="H66" s="45" t="s">
        <v>993</v>
      </c>
      <c r="I66" s="59" t="s">
        <v>1115</v>
      </c>
      <c r="J66" s="55" t="s">
        <v>1050</v>
      </c>
      <c r="K66" s="55" t="s">
        <v>979</v>
      </c>
      <c r="L66" s="59" t="s">
        <v>1063</v>
      </c>
      <c r="M66" s="59" t="s">
        <v>1038</v>
      </c>
      <c r="N66" s="142" t="s">
        <v>1039</v>
      </c>
      <c r="O66" s="59" t="s">
        <v>1020</v>
      </c>
      <c r="P66" s="125" t="str">
        <f t="shared" ref="P66:P69" si="27">RIGHT(D66,5)</f>
        <v>00201</v>
      </c>
      <c r="Q66" s="143" t="s">
        <v>1343</v>
      </c>
      <c r="R66" s="143" t="s">
        <v>1344</v>
      </c>
      <c r="S66" s="143" t="s">
        <v>1345</v>
      </c>
      <c r="T66" s="143" t="s">
        <v>1328</v>
      </c>
      <c r="U66" s="137">
        <v>45986.625</v>
      </c>
      <c r="V66" s="50">
        <v>390812.49998842593</v>
      </c>
      <c r="W66" s="127" t="str">
        <f t="shared" si="26"/>
        <v>catchcopy_character_chara_yuw_00201.png</v>
      </c>
      <c r="X66" s="128" t="str">
        <f t="shared" si="24"/>
        <v>enemy_icon_chara_yuw_00201</v>
      </c>
      <c r="Y66" s="128" t="str">
        <f t="shared" si="25"/>
        <v>boss_icon_chara_yuw_00201</v>
      </c>
      <c r="Z66" s="172"/>
      <c r="AA66" s="172"/>
      <c r="AB66" s="145" t="s">
        <v>1346</v>
      </c>
      <c r="AC66" s="53" t="s">
        <v>986</v>
      </c>
      <c r="AD66" s="54"/>
      <c r="AE66" s="133" t="s">
        <v>987</v>
      </c>
      <c r="AF66" s="45" t="s">
        <v>988</v>
      </c>
      <c r="AG66" s="138" t="s">
        <v>1347</v>
      </c>
      <c r="AH66" s="139"/>
    </row>
    <row r="67">
      <c r="A67" s="44" t="s">
        <v>121</v>
      </c>
      <c r="B67" s="124" t="str">
        <f t="array" ref="B67">iferror(INDEX('作品'!D:D,MATCH(A67,'作品'!A:A,0),0),"error")</f>
        <v>2.5次元の誘惑</v>
      </c>
      <c r="C67" s="46" t="s">
        <v>1026</v>
      </c>
      <c r="D67" s="47" t="str">
        <f t="shared" si="1"/>
        <v>chara_yuw_00301</v>
      </c>
      <c r="E67" s="47" t="s">
        <v>1348</v>
      </c>
      <c r="F67" s="45" t="s">
        <v>1348</v>
      </c>
      <c r="G67" s="45" t="s">
        <v>1349</v>
      </c>
      <c r="H67" s="45" t="s">
        <v>976</v>
      </c>
      <c r="I67" s="59" t="s">
        <v>977</v>
      </c>
      <c r="J67" s="55" t="s">
        <v>1050</v>
      </c>
      <c r="K67" s="55" t="s">
        <v>979</v>
      </c>
      <c r="L67" s="59" t="s">
        <v>1072</v>
      </c>
      <c r="M67" s="59" t="s">
        <v>1038</v>
      </c>
      <c r="N67" s="142" t="s">
        <v>1039</v>
      </c>
      <c r="O67" s="59" t="s">
        <v>64</v>
      </c>
      <c r="P67" s="125" t="str">
        <f t="shared" si="27"/>
        <v>00301</v>
      </c>
      <c r="Q67" s="143" t="s">
        <v>1091</v>
      </c>
      <c r="R67" s="115" t="s">
        <v>1350</v>
      </c>
      <c r="S67" s="143" t="s">
        <v>1328</v>
      </c>
      <c r="T67" s="115" t="s">
        <v>1329</v>
      </c>
      <c r="U67" s="137">
        <v>45986.625</v>
      </c>
      <c r="V67" s="50">
        <v>390812.49998842593</v>
      </c>
      <c r="W67" s="127" t="str">
        <f t="shared" si="26"/>
        <v>catchcopy_character_chara_yuw_00301.png</v>
      </c>
      <c r="X67" s="128" t="str">
        <f t="shared" si="24"/>
        <v>enemy_icon_chara_yuw_00301</v>
      </c>
      <c r="Y67" s="128" t="str">
        <f t="shared" si="25"/>
        <v>boss_icon_chara_yuw_00301</v>
      </c>
      <c r="Z67" s="144" t="s">
        <v>1351</v>
      </c>
      <c r="AA67" s="144" t="s">
        <v>1352</v>
      </c>
      <c r="AB67" s="145" t="s">
        <v>1346</v>
      </c>
      <c r="AC67" s="53" t="s">
        <v>986</v>
      </c>
      <c r="AD67" s="54"/>
      <c r="AE67" s="133" t="s">
        <v>987</v>
      </c>
      <c r="AF67" s="45" t="s">
        <v>988</v>
      </c>
      <c r="AG67" s="138" t="s">
        <v>1347</v>
      </c>
      <c r="AH67" s="139"/>
    </row>
    <row r="68">
      <c r="A68" s="44" t="s">
        <v>121</v>
      </c>
      <c r="B68" s="124" t="str">
        <f t="array" ref="B68">iferror(INDEX('作品'!D:D,MATCH(A68,'作品'!A:A,0),0),"error")</f>
        <v>2.5次元の誘惑</v>
      </c>
      <c r="C68" s="46" t="s">
        <v>1034</v>
      </c>
      <c r="D68" s="47" t="str">
        <f t="shared" si="1"/>
        <v>chara_yuw_00401</v>
      </c>
      <c r="E68" s="47" t="s">
        <v>1353</v>
      </c>
      <c r="F68" s="45" t="s">
        <v>1354</v>
      </c>
      <c r="G68" s="45" t="s">
        <v>1355</v>
      </c>
      <c r="H68" s="45" t="s">
        <v>976</v>
      </c>
      <c r="I68" s="59" t="s">
        <v>977</v>
      </c>
      <c r="J68" s="55" t="s">
        <v>1017</v>
      </c>
      <c r="K68" s="55" t="s">
        <v>979</v>
      </c>
      <c r="L68" s="59" t="s">
        <v>1037</v>
      </c>
      <c r="M68" s="59" t="s">
        <v>1038</v>
      </c>
      <c r="N68" s="142" t="s">
        <v>1039</v>
      </c>
      <c r="O68" s="59" t="s">
        <v>1018</v>
      </c>
      <c r="P68" s="125" t="str">
        <f t="shared" si="27"/>
        <v>00401</v>
      </c>
      <c r="Q68" s="143" t="s">
        <v>1226</v>
      </c>
      <c r="R68" s="143" t="s">
        <v>1344</v>
      </c>
      <c r="S68" s="143" t="s">
        <v>1093</v>
      </c>
      <c r="T68" s="143" t="s">
        <v>1008</v>
      </c>
      <c r="U68" s="137">
        <v>45986.625</v>
      </c>
      <c r="V68" s="50">
        <v>390812.49998842593</v>
      </c>
      <c r="W68" s="127" t="str">
        <f t="shared" si="26"/>
        <v>catchcopy_character_chara_yuw_00401.png</v>
      </c>
      <c r="X68" s="128" t="str">
        <f t="shared" si="24"/>
        <v>enemy_icon_chara_yuw_00401</v>
      </c>
      <c r="Y68" s="128" t="str">
        <f t="shared" si="25"/>
        <v>boss_icon_chara_yuw_00401</v>
      </c>
      <c r="Z68" s="172"/>
      <c r="AA68" s="172"/>
      <c r="AB68" s="145" t="s">
        <v>1346</v>
      </c>
      <c r="AC68" s="53" t="s">
        <v>986</v>
      </c>
      <c r="AD68" s="54"/>
      <c r="AE68" s="133" t="s">
        <v>987</v>
      </c>
      <c r="AF68" s="45" t="s">
        <v>988</v>
      </c>
      <c r="AG68" s="138" t="s">
        <v>1347</v>
      </c>
      <c r="AH68" s="139"/>
    </row>
    <row r="69">
      <c r="A69" s="44" t="s">
        <v>121</v>
      </c>
      <c r="B69" s="124" t="str">
        <f t="array" ref="B69">iferror(INDEX('作品'!D:D,MATCH(A69,'作品'!A:A,0),0),"error")</f>
        <v>2.5次元の誘惑</v>
      </c>
      <c r="C69" s="46" t="s">
        <v>1046</v>
      </c>
      <c r="D69" s="47" t="str">
        <f t="shared" si="1"/>
        <v>chara_yuw_00501</v>
      </c>
      <c r="E69" s="47" t="s">
        <v>1356</v>
      </c>
      <c r="F69" s="45" t="s">
        <v>1356</v>
      </c>
      <c r="G69" s="45" t="s">
        <v>1357</v>
      </c>
      <c r="H69" s="45" t="s">
        <v>1028</v>
      </c>
      <c r="I69" s="59" t="s">
        <v>1029</v>
      </c>
      <c r="J69" s="55" t="s">
        <v>1017</v>
      </c>
      <c r="K69" s="55" t="s">
        <v>979</v>
      </c>
      <c r="L69" s="59" t="s">
        <v>1072</v>
      </c>
      <c r="M69" s="59" t="s">
        <v>1038</v>
      </c>
      <c r="N69" s="142" t="s">
        <v>1039</v>
      </c>
      <c r="O69" s="59" t="s">
        <v>64</v>
      </c>
      <c r="P69" s="125" t="str">
        <f t="shared" si="27"/>
        <v>00501</v>
      </c>
      <c r="Q69" s="143" t="s">
        <v>1358</v>
      </c>
      <c r="R69" s="115" t="s">
        <v>1124</v>
      </c>
      <c r="S69" s="143" t="s">
        <v>1359</v>
      </c>
      <c r="T69" s="115" t="s">
        <v>1360</v>
      </c>
      <c r="U69" s="137">
        <v>45986.625</v>
      </c>
      <c r="V69" s="50">
        <v>390812.49998842593</v>
      </c>
      <c r="W69" s="127" t="str">
        <f t="shared" si="26"/>
        <v>catchcopy_character_chara_yuw_00501.png</v>
      </c>
      <c r="X69" s="128" t="str">
        <f t="shared" si="24"/>
        <v>enemy_icon_chara_yuw_00501</v>
      </c>
      <c r="Y69" s="128" t="str">
        <f t="shared" si="25"/>
        <v>boss_icon_chara_yuw_00501</v>
      </c>
      <c r="Z69" s="144" t="s">
        <v>1361</v>
      </c>
      <c r="AA69" s="144" t="s">
        <v>1362</v>
      </c>
      <c r="AB69" s="145" t="s">
        <v>1346</v>
      </c>
      <c r="AC69" s="53" t="s">
        <v>986</v>
      </c>
      <c r="AD69" s="54"/>
      <c r="AE69" s="133" t="s">
        <v>987</v>
      </c>
      <c r="AF69" s="45" t="s">
        <v>988</v>
      </c>
      <c r="AG69" s="138" t="s">
        <v>1347</v>
      </c>
      <c r="AH69" s="139"/>
    </row>
    <row r="70">
      <c r="A70" s="44" t="s">
        <v>121</v>
      </c>
      <c r="B70" s="124" t="str">
        <f t="array" ref="B70">iferror(INDEX('作品'!D:D,MATCH(A70,'作品'!A:A,0),0),"error")</f>
        <v>2.5次元の誘惑</v>
      </c>
      <c r="C70" s="46" t="s">
        <v>1363</v>
      </c>
      <c r="D70" s="47" t="str">
        <f t="shared" si="1"/>
        <v>chara_yuw_00502</v>
      </c>
      <c r="E70" s="47" t="s">
        <v>1364</v>
      </c>
      <c r="F70" s="136" t="s">
        <v>991</v>
      </c>
      <c r="G70" s="136"/>
      <c r="H70" s="45" t="s">
        <v>976</v>
      </c>
      <c r="I70" s="59" t="s">
        <v>977</v>
      </c>
      <c r="J70" s="55" t="s">
        <v>1004</v>
      </c>
      <c r="K70" s="55" t="s">
        <v>979</v>
      </c>
      <c r="L70" s="59" t="s">
        <v>1063</v>
      </c>
      <c r="M70" s="59"/>
      <c r="N70" s="132"/>
      <c r="O70" s="59"/>
      <c r="P70" s="125"/>
      <c r="Q70" s="143"/>
      <c r="R70" s="115"/>
      <c r="S70" s="143"/>
      <c r="T70" s="115"/>
      <c r="U70" s="137" t="s">
        <v>997</v>
      </c>
      <c r="V70" s="50">
        <v>390812.49998842593</v>
      </c>
      <c r="W70" s="127"/>
      <c r="X70" s="128" t="str">
        <f t="shared" si="24"/>
        <v>enemy_icon_chara_yuw_00502</v>
      </c>
      <c r="Y70" s="128" t="str">
        <f t="shared" si="25"/>
        <v>boss_icon_chara_yuw_00502</v>
      </c>
      <c r="Z70" s="172"/>
      <c r="AA70" s="172"/>
      <c r="AB70" s="145" t="s">
        <v>1324</v>
      </c>
      <c r="AC70" s="53"/>
      <c r="AD70" s="54"/>
      <c r="AE70" s="133" t="s">
        <v>987</v>
      </c>
      <c r="AF70" s="45"/>
      <c r="AG70" s="138" t="s">
        <v>1000</v>
      </c>
      <c r="AH70" s="139"/>
    </row>
    <row r="71">
      <c r="A71" s="44" t="s">
        <v>121</v>
      </c>
      <c r="B71" s="124" t="str">
        <f t="array" ref="B71">iferror(INDEX('作品'!D:D,MATCH(A71,'作品'!A:A,0),0),"error")</f>
        <v>2.5次元の誘惑</v>
      </c>
      <c r="C71" s="46" t="s">
        <v>1151</v>
      </c>
      <c r="D71" s="47" t="str">
        <f t="shared" si="1"/>
        <v>chara_yuw_00601</v>
      </c>
      <c r="E71" s="47" t="s">
        <v>1365</v>
      </c>
      <c r="F71" s="45" t="s">
        <v>1365</v>
      </c>
      <c r="G71" s="45" t="s">
        <v>1366</v>
      </c>
      <c r="H71" s="45" t="s">
        <v>1028</v>
      </c>
      <c r="I71" s="59" t="s">
        <v>1029</v>
      </c>
      <c r="J71" s="55" t="s">
        <v>1004</v>
      </c>
      <c r="K71" s="55" t="s">
        <v>979</v>
      </c>
      <c r="L71" s="59" t="s">
        <v>1037</v>
      </c>
      <c r="M71" s="59" t="s">
        <v>1020</v>
      </c>
      <c r="N71" s="142" t="s">
        <v>1039</v>
      </c>
      <c r="O71" s="59" t="s">
        <v>64</v>
      </c>
      <c r="P71" s="125" t="str">
        <f t="shared" ref="P71:P80" si="28">RIGHT(D71,5)</f>
        <v>00601</v>
      </c>
      <c r="Q71" s="143" t="s">
        <v>1040</v>
      </c>
      <c r="R71" s="143" t="s">
        <v>1367</v>
      </c>
      <c r="S71" s="143" t="s">
        <v>1108</v>
      </c>
      <c r="T71" s="115" t="s">
        <v>1368</v>
      </c>
      <c r="U71" s="137">
        <v>45986.625</v>
      </c>
      <c r="V71" s="50">
        <v>390812.49998842593</v>
      </c>
      <c r="W71" s="127" t="str">
        <f t="shared" ref="W71:W86" si="29">"catchcopy_character_"&amp;text(D71,"000000")&amp;".png"</f>
        <v>catchcopy_character_chara_yuw_00601.png</v>
      </c>
      <c r="X71" s="128" t="str">
        <f t="shared" si="24"/>
        <v>enemy_icon_chara_yuw_00601</v>
      </c>
      <c r="Y71" s="128" t="str">
        <f t="shared" si="25"/>
        <v>boss_icon_chara_yuw_00601</v>
      </c>
      <c r="Z71" s="144" t="s">
        <v>1369</v>
      </c>
      <c r="AA71" s="144" t="s">
        <v>1370</v>
      </c>
      <c r="AB71" s="145" t="s">
        <v>1346</v>
      </c>
      <c r="AC71" s="53" t="s">
        <v>986</v>
      </c>
      <c r="AD71" s="54"/>
      <c r="AE71" s="133" t="s">
        <v>987</v>
      </c>
      <c r="AF71" s="45" t="s">
        <v>988</v>
      </c>
      <c r="AG71" s="138" t="s">
        <v>1347</v>
      </c>
      <c r="AH71" s="139"/>
    </row>
    <row r="72">
      <c r="A72" s="44" t="s">
        <v>127</v>
      </c>
      <c r="B72" s="124" t="str">
        <f t="array" ref="B72">iferror(INDEX('作品'!D:D,MATCH(A72,'作品'!A:A,0),0),"error")</f>
        <v>魔都精兵のスレイブ</v>
      </c>
      <c r="C72" s="46" t="s">
        <v>973</v>
      </c>
      <c r="D72" s="47" t="str">
        <f t="shared" si="1"/>
        <v>chara_sur_00001</v>
      </c>
      <c r="E72" s="47" t="s">
        <v>361</v>
      </c>
      <c r="F72" s="45" t="s">
        <v>361</v>
      </c>
      <c r="G72" s="45" t="s">
        <v>1371</v>
      </c>
      <c r="H72" s="45" t="s">
        <v>1057</v>
      </c>
      <c r="I72" s="59" t="s">
        <v>1058</v>
      </c>
      <c r="J72" s="55" t="s">
        <v>1036</v>
      </c>
      <c r="K72" s="55" t="s">
        <v>979</v>
      </c>
      <c r="L72" s="59" t="s">
        <v>1072</v>
      </c>
      <c r="M72" s="59" t="s">
        <v>1038</v>
      </c>
      <c r="N72" s="59" t="s">
        <v>1039</v>
      </c>
      <c r="O72" s="59" t="s">
        <v>64</v>
      </c>
      <c r="P72" s="125" t="str">
        <f t="shared" si="28"/>
        <v>00001</v>
      </c>
      <c r="Q72" s="173" t="s">
        <v>1226</v>
      </c>
      <c r="R72" s="143" t="s">
        <v>1372</v>
      </c>
      <c r="S72" s="143" t="s">
        <v>1373</v>
      </c>
      <c r="T72" s="143" t="s">
        <v>1374</v>
      </c>
      <c r="U72" s="49">
        <v>45922.458333333336</v>
      </c>
      <c r="V72" s="50">
        <v>390812.49998842593</v>
      </c>
      <c r="W72" s="127" t="str">
        <f t="shared" si="29"/>
        <v>catchcopy_character_chara_sur_00001.png</v>
      </c>
      <c r="X72" s="128" t="str">
        <f t="shared" si="24"/>
        <v>enemy_icon_chara_sur_00001</v>
      </c>
      <c r="Y72" s="128" t="str">
        <f t="shared" si="25"/>
        <v>boss_icon_chara_sur_00001</v>
      </c>
      <c r="Z72" s="144"/>
      <c r="AA72" s="144" t="s">
        <v>1375</v>
      </c>
      <c r="AB72" s="145" t="s">
        <v>985</v>
      </c>
      <c r="AC72" s="53" t="s">
        <v>986</v>
      </c>
      <c r="AD72" s="54"/>
      <c r="AE72" s="133" t="s">
        <v>987</v>
      </c>
      <c r="AF72" s="45" t="s">
        <v>988</v>
      </c>
      <c r="AG72" s="138" t="s">
        <v>989</v>
      </c>
      <c r="AH72" s="139"/>
    </row>
    <row r="73">
      <c r="A73" s="44" t="s">
        <v>127</v>
      </c>
      <c r="B73" s="124" t="str">
        <f t="array" ref="B73">iferror(INDEX('作品'!D:D,MATCH(A73,'作品'!A:A,0),0),"error")</f>
        <v>魔都精兵のスレイブ</v>
      </c>
      <c r="C73" s="46" t="s">
        <v>1001</v>
      </c>
      <c r="D73" s="47" t="str">
        <f t="shared" si="1"/>
        <v>chara_sur_00101</v>
      </c>
      <c r="E73" s="47" t="s">
        <v>1376</v>
      </c>
      <c r="F73" s="45" t="s">
        <v>1377</v>
      </c>
      <c r="G73" s="45" t="s">
        <v>1378</v>
      </c>
      <c r="H73" s="45" t="s">
        <v>976</v>
      </c>
      <c r="I73" s="59" t="s">
        <v>977</v>
      </c>
      <c r="J73" s="55" t="s">
        <v>1036</v>
      </c>
      <c r="K73" s="55" t="s">
        <v>979</v>
      </c>
      <c r="L73" s="59" t="s">
        <v>1005</v>
      </c>
      <c r="M73" s="59" t="s">
        <v>1018</v>
      </c>
      <c r="N73" s="59" t="s">
        <v>1019</v>
      </c>
      <c r="O73" s="59" t="s">
        <v>1018</v>
      </c>
      <c r="P73" s="125" t="str">
        <f t="shared" si="28"/>
        <v>00101</v>
      </c>
      <c r="Q73" s="143" t="s">
        <v>1197</v>
      </c>
      <c r="R73" s="115" t="s">
        <v>1379</v>
      </c>
      <c r="S73" s="115" t="s">
        <v>1093</v>
      </c>
      <c r="T73" s="115" t="s">
        <v>1380</v>
      </c>
      <c r="U73" s="49">
        <v>45922.458333333336</v>
      </c>
      <c r="V73" s="50">
        <v>390812.49998842593</v>
      </c>
      <c r="W73" s="127" t="str">
        <f t="shared" si="29"/>
        <v>catchcopy_character_chara_sur_00101.png</v>
      </c>
      <c r="X73" s="128" t="str">
        <f t="shared" si="24"/>
        <v>enemy_icon_chara_sur_00101</v>
      </c>
      <c r="Y73" s="128" t="str">
        <f t="shared" si="25"/>
        <v>boss_icon_chara_sur_00101</v>
      </c>
      <c r="Z73" s="144" t="s">
        <v>1381</v>
      </c>
      <c r="AA73" s="144" t="s">
        <v>1382</v>
      </c>
      <c r="AB73" s="145" t="s">
        <v>985</v>
      </c>
      <c r="AC73" s="53" t="s">
        <v>986</v>
      </c>
      <c r="AD73" s="54"/>
      <c r="AE73" s="133" t="s">
        <v>987</v>
      </c>
      <c r="AF73" s="45" t="s">
        <v>988</v>
      </c>
      <c r="AG73" s="138" t="s">
        <v>989</v>
      </c>
      <c r="AH73" s="139"/>
    </row>
    <row r="74" ht="74.25" customHeight="1">
      <c r="A74" s="44" t="s">
        <v>127</v>
      </c>
      <c r="B74" s="124" t="str">
        <f t="array" ref="B74">iferror(INDEX('作品'!D:D,MATCH(A74,'作品'!A:A,0),0),"error")</f>
        <v>魔都精兵のスレイブ</v>
      </c>
      <c r="C74" s="46" t="s">
        <v>1014</v>
      </c>
      <c r="D74" s="47" t="str">
        <f t="shared" si="1"/>
        <v>chara_sur_00201</v>
      </c>
      <c r="E74" s="47" t="s">
        <v>365</v>
      </c>
      <c r="F74" s="45" t="s">
        <v>365</v>
      </c>
      <c r="G74" s="45" t="s">
        <v>1383</v>
      </c>
      <c r="H74" s="45" t="s">
        <v>1028</v>
      </c>
      <c r="I74" s="59" t="s">
        <v>1166</v>
      </c>
      <c r="J74" s="55" t="s">
        <v>1050</v>
      </c>
      <c r="K74" s="55" t="s">
        <v>979</v>
      </c>
      <c r="L74" s="59" t="s">
        <v>1005</v>
      </c>
      <c r="M74" s="59" t="s">
        <v>1006</v>
      </c>
      <c r="N74" s="59" t="s">
        <v>1039</v>
      </c>
      <c r="O74" s="59" t="s">
        <v>1006</v>
      </c>
      <c r="P74" s="125" t="str">
        <f t="shared" si="28"/>
        <v>00201</v>
      </c>
      <c r="Q74" s="143" t="s">
        <v>1384</v>
      </c>
      <c r="R74" s="115" t="s">
        <v>1385</v>
      </c>
      <c r="S74" s="143" t="s">
        <v>1093</v>
      </c>
      <c r="T74" s="115" t="s">
        <v>1386</v>
      </c>
      <c r="U74" s="49">
        <v>45922.458333333336</v>
      </c>
      <c r="V74" s="50">
        <v>390812.49998842593</v>
      </c>
      <c r="W74" s="127" t="str">
        <f t="shared" si="29"/>
        <v>catchcopy_character_chara_sur_00201.png</v>
      </c>
      <c r="X74" s="128" t="str">
        <f t="shared" si="24"/>
        <v>enemy_icon_chara_sur_00201</v>
      </c>
      <c r="Y74" s="128" t="str">
        <f t="shared" si="25"/>
        <v>boss_icon_chara_sur_00201</v>
      </c>
      <c r="Z74" s="129"/>
      <c r="AA74" s="144" t="s">
        <v>1382</v>
      </c>
      <c r="AB74" s="145" t="s">
        <v>985</v>
      </c>
      <c r="AC74" s="53" t="s">
        <v>986</v>
      </c>
      <c r="AD74" s="54"/>
      <c r="AE74" s="133" t="s">
        <v>987</v>
      </c>
      <c r="AF74" s="45" t="s">
        <v>988</v>
      </c>
      <c r="AG74" s="138" t="s">
        <v>989</v>
      </c>
      <c r="AH74" s="139"/>
    </row>
    <row r="75">
      <c r="A75" s="44" t="s">
        <v>127</v>
      </c>
      <c r="B75" s="124" t="str">
        <f t="array" ref="B75">iferror(INDEX('作品'!D:D,MATCH(A75,'作品'!A:A,0),0),"error")</f>
        <v>魔都精兵のスレイブ</v>
      </c>
      <c r="C75" s="46" t="s">
        <v>1026</v>
      </c>
      <c r="D75" s="47" t="str">
        <f t="shared" si="1"/>
        <v>chara_sur_00301</v>
      </c>
      <c r="E75" s="47" t="s">
        <v>367</v>
      </c>
      <c r="F75" s="45" t="s">
        <v>367</v>
      </c>
      <c r="G75" s="45" t="s">
        <v>1387</v>
      </c>
      <c r="H75" s="45" t="s">
        <v>1028</v>
      </c>
      <c r="I75" s="59" t="s">
        <v>1166</v>
      </c>
      <c r="J75" s="55" t="s">
        <v>1004</v>
      </c>
      <c r="K75" s="55" t="s">
        <v>979</v>
      </c>
      <c r="L75" s="59" t="s">
        <v>1037</v>
      </c>
      <c r="M75" s="59" t="s">
        <v>1020</v>
      </c>
      <c r="N75" s="59" t="s">
        <v>1039</v>
      </c>
      <c r="O75" s="59" t="s">
        <v>1038</v>
      </c>
      <c r="P75" s="125" t="str">
        <f t="shared" si="28"/>
        <v>00301</v>
      </c>
      <c r="Q75" s="143" t="s">
        <v>1388</v>
      </c>
      <c r="R75" s="143" t="s">
        <v>1060</v>
      </c>
      <c r="S75" s="143" t="s">
        <v>1389</v>
      </c>
      <c r="T75" s="143" t="s">
        <v>1390</v>
      </c>
      <c r="U75" s="49">
        <v>45922.458333333336</v>
      </c>
      <c r="V75" s="50">
        <v>390812.49998842593</v>
      </c>
      <c r="W75" s="127" t="str">
        <f t="shared" si="29"/>
        <v>catchcopy_character_chara_sur_00301.png</v>
      </c>
      <c r="X75" s="128" t="str">
        <f t="shared" si="24"/>
        <v>enemy_icon_chara_sur_00301</v>
      </c>
      <c r="Y75" s="128" t="str">
        <f t="shared" si="25"/>
        <v>boss_icon_chara_sur_00301</v>
      </c>
      <c r="Z75" s="144" t="s">
        <v>1391</v>
      </c>
      <c r="AA75" s="144" t="s">
        <v>1392</v>
      </c>
      <c r="AB75" s="145" t="s">
        <v>985</v>
      </c>
      <c r="AC75" s="53" t="s">
        <v>986</v>
      </c>
      <c r="AD75" s="54"/>
      <c r="AE75" s="133" t="s">
        <v>987</v>
      </c>
      <c r="AF75" s="45" t="s">
        <v>988</v>
      </c>
      <c r="AG75" s="138" t="s">
        <v>989</v>
      </c>
      <c r="AH75" s="139"/>
    </row>
    <row r="76">
      <c r="A76" s="44" t="s">
        <v>127</v>
      </c>
      <c r="B76" s="124" t="str">
        <f t="array" ref="B76">iferror(INDEX('作品'!D:D,MATCH(A76,'作品'!A:A,0),0),"error")</f>
        <v>魔都精兵のスレイブ</v>
      </c>
      <c r="C76" s="46" t="s">
        <v>1034</v>
      </c>
      <c r="D76" s="47" t="str">
        <f t="shared" si="1"/>
        <v>chara_sur_00401</v>
      </c>
      <c r="E76" s="47" t="s">
        <v>369</v>
      </c>
      <c r="F76" s="45" t="s">
        <v>369</v>
      </c>
      <c r="G76" s="45" t="s">
        <v>1393</v>
      </c>
      <c r="H76" s="45" t="s">
        <v>1028</v>
      </c>
      <c r="I76" s="59" t="s">
        <v>1029</v>
      </c>
      <c r="J76" s="55" t="s">
        <v>978</v>
      </c>
      <c r="K76" s="55" t="s">
        <v>979</v>
      </c>
      <c r="L76" s="59" t="s">
        <v>980</v>
      </c>
      <c r="M76" s="59" t="s">
        <v>64</v>
      </c>
      <c r="N76" s="142" t="s">
        <v>981</v>
      </c>
      <c r="O76" s="59" t="s">
        <v>64</v>
      </c>
      <c r="P76" s="125" t="str">
        <f t="shared" si="28"/>
        <v>00401</v>
      </c>
      <c r="Q76" s="143" t="s">
        <v>64</v>
      </c>
      <c r="R76" s="143" t="s">
        <v>64</v>
      </c>
      <c r="S76" s="143" t="s">
        <v>1010</v>
      </c>
      <c r="T76" s="143" t="s">
        <v>983</v>
      </c>
      <c r="U76" s="49">
        <v>45922.458333333336</v>
      </c>
      <c r="V76" s="50">
        <v>390812.49998842593</v>
      </c>
      <c r="W76" s="127" t="str">
        <f t="shared" si="29"/>
        <v>catchcopy_character_chara_sur_00401.png</v>
      </c>
      <c r="X76" s="128" t="str">
        <f t="shared" si="24"/>
        <v>enemy_icon_chara_sur_00401</v>
      </c>
      <c r="Y76" s="128" t="str">
        <f t="shared" si="25"/>
        <v>boss_icon_chara_sur_00401</v>
      </c>
      <c r="Z76" s="129"/>
      <c r="AA76" s="144" t="s">
        <v>1394</v>
      </c>
      <c r="AB76" s="145" t="s">
        <v>985</v>
      </c>
      <c r="AC76" s="53" t="s">
        <v>986</v>
      </c>
      <c r="AD76" s="54"/>
      <c r="AE76" s="133" t="s">
        <v>987</v>
      </c>
      <c r="AF76" s="45" t="s">
        <v>988</v>
      </c>
      <c r="AG76" s="138" t="s">
        <v>989</v>
      </c>
      <c r="AH76" s="139"/>
    </row>
    <row r="77">
      <c r="A77" s="44" t="s">
        <v>127</v>
      </c>
      <c r="B77" s="124" t="str">
        <f t="array" ref="B77">iferror(INDEX('作品'!D:D,MATCH(A77,'作品'!A:A,0),0),"error")</f>
        <v>魔都精兵のスレイブ</v>
      </c>
      <c r="C77" s="46" t="s">
        <v>1046</v>
      </c>
      <c r="D77" s="47" t="str">
        <f t="shared" si="1"/>
        <v>chara_sur_00501</v>
      </c>
      <c r="E77" s="47" t="s">
        <v>1395</v>
      </c>
      <c r="F77" s="193" t="s">
        <v>1396</v>
      </c>
      <c r="G77" s="45" t="s">
        <v>1397</v>
      </c>
      <c r="H77" s="45" t="s">
        <v>976</v>
      </c>
      <c r="I77" s="59" t="s">
        <v>977</v>
      </c>
      <c r="J77" s="55" t="s">
        <v>1004</v>
      </c>
      <c r="K77" s="55" t="s">
        <v>979</v>
      </c>
      <c r="L77" s="59" t="s">
        <v>1063</v>
      </c>
      <c r="M77" s="59" t="s">
        <v>1020</v>
      </c>
      <c r="N77" s="142" t="s">
        <v>1007</v>
      </c>
      <c r="O77" s="59" t="s">
        <v>1020</v>
      </c>
      <c r="P77" s="125" t="str">
        <f t="shared" si="28"/>
        <v>00501</v>
      </c>
      <c r="Q77" s="143" t="s">
        <v>1398</v>
      </c>
      <c r="R77" s="115" t="s">
        <v>1399</v>
      </c>
      <c r="S77" s="143" t="s">
        <v>1093</v>
      </c>
      <c r="T77" s="115" t="s">
        <v>1400</v>
      </c>
      <c r="U77" s="137">
        <v>45999.5</v>
      </c>
      <c r="V77" s="50">
        <v>390812.49998842593</v>
      </c>
      <c r="W77" s="127" t="str">
        <f t="shared" si="29"/>
        <v>catchcopy_character_chara_sur_00501.png</v>
      </c>
      <c r="X77" s="128" t="str">
        <f t="shared" si="24"/>
        <v>enemy_icon_chara_sur_00501</v>
      </c>
      <c r="Y77" s="128" t="str">
        <f t="shared" si="25"/>
        <v>boss_icon_chara_sur_00501</v>
      </c>
      <c r="Z77" s="144"/>
      <c r="AA77" s="144"/>
      <c r="AB77" s="145" t="s">
        <v>1401</v>
      </c>
      <c r="AC77" s="53" t="s">
        <v>986</v>
      </c>
      <c r="AD77" s="54"/>
      <c r="AE77" s="60"/>
      <c r="AF77" s="45" t="s">
        <v>988</v>
      </c>
      <c r="AG77" s="138" t="s">
        <v>1402</v>
      </c>
      <c r="AH77" s="139"/>
    </row>
    <row r="78">
      <c r="A78" s="194" t="s">
        <v>127</v>
      </c>
      <c r="B78" s="178" t="str">
        <f t="array" ref="B78">iferror(INDEX('作品'!D:D,MATCH(A78,'作品'!A:A,0),0),"error")</f>
        <v>魔都精兵のスレイブ</v>
      </c>
      <c r="C78" s="195" t="s">
        <v>1151</v>
      </c>
      <c r="D78" s="47" t="str">
        <f t="shared" si="1"/>
        <v>chara_sur_00601</v>
      </c>
      <c r="E78" s="196" t="s">
        <v>1403</v>
      </c>
      <c r="F78" s="45" t="s">
        <v>1403</v>
      </c>
      <c r="G78" s="45" t="s">
        <v>1404</v>
      </c>
      <c r="H78" s="106" t="s">
        <v>993</v>
      </c>
      <c r="I78" s="197" t="s">
        <v>1115</v>
      </c>
      <c r="J78" s="183" t="s">
        <v>1017</v>
      </c>
      <c r="K78" s="198" t="s">
        <v>979</v>
      </c>
      <c r="L78" s="197" t="s">
        <v>1063</v>
      </c>
      <c r="M78" s="59" t="s">
        <v>1006</v>
      </c>
      <c r="N78" s="106" t="s">
        <v>1019</v>
      </c>
      <c r="O78" s="59" t="s">
        <v>1020</v>
      </c>
      <c r="P78" s="199" t="str">
        <f t="shared" si="28"/>
        <v>00601</v>
      </c>
      <c r="Q78" s="200" t="s">
        <v>1008</v>
      </c>
      <c r="R78" s="115" t="s">
        <v>1405</v>
      </c>
      <c r="S78" s="200" t="s">
        <v>1289</v>
      </c>
      <c r="T78" s="115" t="s">
        <v>1406</v>
      </c>
      <c r="U78" s="137">
        <v>45999.5</v>
      </c>
      <c r="V78" s="201">
        <v>390812.49998842593</v>
      </c>
      <c r="W78" s="189" t="str">
        <f t="shared" si="29"/>
        <v>catchcopy_character_chara_sur_00601.png</v>
      </c>
      <c r="X78" s="128" t="str">
        <f t="shared" si="24"/>
        <v>enemy_icon_chara_sur_00601</v>
      </c>
      <c r="Y78" s="128" t="str">
        <f t="shared" si="25"/>
        <v>boss_icon_chara_sur_00601</v>
      </c>
      <c r="Z78" s="202"/>
      <c r="AA78" s="202"/>
      <c r="AB78" s="203" t="s">
        <v>1401</v>
      </c>
      <c r="AC78" s="192" t="s">
        <v>986</v>
      </c>
      <c r="AD78" s="204"/>
      <c r="AE78" s="60"/>
      <c r="AF78" s="192" t="s">
        <v>988</v>
      </c>
      <c r="AG78" s="138" t="s">
        <v>1402</v>
      </c>
      <c r="AH78" s="139"/>
    </row>
    <row r="79">
      <c r="A79" s="194" t="s">
        <v>127</v>
      </c>
      <c r="B79" s="178" t="str">
        <f t="array" ref="B79">iferror(INDEX('作品'!D:D,MATCH(A79,'作品'!A:A,0),0),"error")</f>
        <v>魔都精兵のスレイブ</v>
      </c>
      <c r="C79" s="195" t="s">
        <v>1191</v>
      </c>
      <c r="D79" s="180" t="str">
        <f t="shared" si="1"/>
        <v>chara_sur_00701</v>
      </c>
      <c r="E79" s="196" t="s">
        <v>1407</v>
      </c>
      <c r="F79" s="45" t="s">
        <v>1407</v>
      </c>
      <c r="G79" s="45" t="s">
        <v>1408</v>
      </c>
      <c r="H79" s="106" t="s">
        <v>1028</v>
      </c>
      <c r="I79" s="59" t="s">
        <v>1029</v>
      </c>
      <c r="J79" s="183" t="s">
        <v>1050</v>
      </c>
      <c r="K79" s="198" t="s">
        <v>979</v>
      </c>
      <c r="L79" s="197" t="s">
        <v>1005</v>
      </c>
      <c r="M79" s="59" t="s">
        <v>1020</v>
      </c>
      <c r="N79" s="106" t="s">
        <v>1039</v>
      </c>
      <c r="O79" s="59" t="s">
        <v>1020</v>
      </c>
      <c r="P79" s="199" t="str">
        <f t="shared" si="28"/>
        <v>00701</v>
      </c>
      <c r="Q79" s="200" t="s">
        <v>1204</v>
      </c>
      <c r="R79" s="200" t="s">
        <v>1409</v>
      </c>
      <c r="S79" s="200" t="s">
        <v>1410</v>
      </c>
      <c r="T79" s="115" t="s">
        <v>1411</v>
      </c>
      <c r="U79" s="137">
        <v>45999.625</v>
      </c>
      <c r="V79" s="201">
        <v>390812.49998842593</v>
      </c>
      <c r="W79" s="189" t="str">
        <f t="shared" si="29"/>
        <v>catchcopy_character_chara_sur_00701.png</v>
      </c>
      <c r="X79" s="128" t="str">
        <f t="shared" si="24"/>
        <v>enemy_icon_chara_sur_00701</v>
      </c>
      <c r="Y79" s="128" t="str">
        <f t="shared" si="25"/>
        <v>boss_icon_chara_sur_00701</v>
      </c>
      <c r="Z79" s="202"/>
      <c r="AA79" s="202"/>
      <c r="AB79" s="203" t="s">
        <v>1401</v>
      </c>
      <c r="AC79" s="192" t="s">
        <v>986</v>
      </c>
      <c r="AD79" s="204"/>
      <c r="AE79" s="60"/>
      <c r="AF79" s="192" t="s">
        <v>988</v>
      </c>
      <c r="AG79" s="138" t="s">
        <v>1402</v>
      </c>
      <c r="AH79" s="139"/>
    </row>
    <row r="80">
      <c r="A80" s="194" t="s">
        <v>127</v>
      </c>
      <c r="B80" s="178" t="str">
        <f t="array" ref="B80">iferror(INDEX('作品'!D:D,MATCH(A80,'作品'!A:A,0),0),"error")</f>
        <v>魔都精兵のスレイブ</v>
      </c>
      <c r="C80" s="195" t="s">
        <v>1238</v>
      </c>
      <c r="D80" s="180" t="str">
        <f t="shared" si="1"/>
        <v>chara_sur_00801</v>
      </c>
      <c r="E80" s="196" t="s">
        <v>1412</v>
      </c>
      <c r="F80" s="45" t="s">
        <v>1413</v>
      </c>
      <c r="G80" s="45" t="s">
        <v>1414</v>
      </c>
      <c r="H80" s="106" t="s">
        <v>1028</v>
      </c>
      <c r="I80" s="197" t="s">
        <v>1029</v>
      </c>
      <c r="J80" s="183" t="s">
        <v>1004</v>
      </c>
      <c r="K80" s="198" t="s">
        <v>979</v>
      </c>
      <c r="L80" s="197" t="s">
        <v>1037</v>
      </c>
      <c r="M80" s="59" t="s">
        <v>1020</v>
      </c>
      <c r="N80" s="106" t="s">
        <v>1039</v>
      </c>
      <c r="O80" s="59" t="s">
        <v>1020</v>
      </c>
      <c r="P80" s="199" t="str">
        <f t="shared" si="28"/>
        <v>00801</v>
      </c>
      <c r="Q80" s="200" t="s">
        <v>1358</v>
      </c>
      <c r="R80" s="115" t="s">
        <v>1415</v>
      </c>
      <c r="S80" s="200" t="s">
        <v>1410</v>
      </c>
      <c r="T80" s="200" t="s">
        <v>1416</v>
      </c>
      <c r="U80" s="137">
        <v>45999.625</v>
      </c>
      <c r="V80" s="201">
        <v>390812.49998842593</v>
      </c>
      <c r="W80" s="189" t="str">
        <f t="shared" si="29"/>
        <v>catchcopy_character_chara_sur_00801.png</v>
      </c>
      <c r="X80" s="128" t="str">
        <f t="shared" si="24"/>
        <v>enemy_icon_chara_sur_00801</v>
      </c>
      <c r="Y80" s="128" t="str">
        <f t="shared" si="25"/>
        <v>boss_icon_chara_sur_00801</v>
      </c>
      <c r="Z80" s="202"/>
      <c r="AA80" s="202"/>
      <c r="AB80" s="203" t="s">
        <v>1401</v>
      </c>
      <c r="AC80" s="192" t="s">
        <v>986</v>
      </c>
      <c r="AD80" s="204"/>
      <c r="AE80" s="60"/>
      <c r="AF80" s="192" t="s">
        <v>988</v>
      </c>
      <c r="AG80" s="138" t="s">
        <v>1402</v>
      </c>
      <c r="AH80" s="139"/>
    </row>
    <row r="81">
      <c r="A81" s="194" t="s">
        <v>127</v>
      </c>
      <c r="B81" s="178" t="str">
        <f t="array" ref="B81">iferror(INDEX('作品'!D:D,MATCH(A81,'作品'!A:A,0),0),"error")</f>
        <v>魔都精兵のスレイブ</v>
      </c>
      <c r="C81" s="195" t="s">
        <v>1242</v>
      </c>
      <c r="D81" s="180" t="str">
        <f t="shared" si="1"/>
        <v>chara_sur_00901</v>
      </c>
      <c r="E81" s="196" t="s">
        <v>1417</v>
      </c>
      <c r="F81" s="45" t="s">
        <v>1418</v>
      </c>
      <c r="G81" s="106" t="s">
        <v>1419</v>
      </c>
      <c r="H81" s="106" t="s">
        <v>976</v>
      </c>
      <c r="I81" s="197" t="s">
        <v>977</v>
      </c>
      <c r="J81" s="183" t="s">
        <v>1050</v>
      </c>
      <c r="K81" s="183" t="s">
        <v>979</v>
      </c>
      <c r="L81" s="197" t="s">
        <v>1005</v>
      </c>
      <c r="M81" s="59"/>
      <c r="N81" s="59" t="s">
        <v>1019</v>
      </c>
      <c r="O81" s="59"/>
      <c r="P81" s="199"/>
      <c r="Q81" s="200" t="s">
        <v>1226</v>
      </c>
      <c r="R81" s="200" t="s">
        <v>1420</v>
      </c>
      <c r="S81" s="200" t="s">
        <v>1421</v>
      </c>
      <c r="T81" s="200" t="s">
        <v>1422</v>
      </c>
      <c r="U81" s="137" t="s">
        <v>997</v>
      </c>
      <c r="V81" s="201">
        <v>390812.49998842593</v>
      </c>
      <c r="W81" s="189" t="str">
        <f t="shared" si="29"/>
        <v>catchcopy_character_chara_sur_00901.png</v>
      </c>
      <c r="X81" s="128" t="str">
        <f t="shared" si="24"/>
        <v>enemy_icon_chara_sur_00901</v>
      </c>
      <c r="Y81" s="128" t="str">
        <f t="shared" si="25"/>
        <v>boss_icon_chara_sur_00901</v>
      </c>
      <c r="Z81" s="202"/>
      <c r="AA81" s="202"/>
      <c r="AB81" s="205" t="s">
        <v>1423</v>
      </c>
      <c r="AC81" s="192"/>
      <c r="AD81" s="204"/>
      <c r="AE81" s="60"/>
      <c r="AF81" s="192"/>
      <c r="AG81" s="138" t="s">
        <v>1000</v>
      </c>
      <c r="AH81" s="139"/>
    </row>
    <row r="82">
      <c r="A82" s="44" t="s">
        <v>132</v>
      </c>
      <c r="B82" s="124" t="str">
        <f t="array" ref="B82">iferror(INDEX('作品'!D:D,MATCH(A82,'作品'!A:A,0),0),"error")</f>
        <v>鴨乃橋ロンの禁断推理</v>
      </c>
      <c r="C82" s="46" t="s">
        <v>973</v>
      </c>
      <c r="D82" s="47" t="str">
        <f t="shared" si="1"/>
        <v>chara_ron_00001</v>
      </c>
      <c r="E82" s="47" t="s">
        <v>371</v>
      </c>
      <c r="F82" s="45" t="s">
        <v>371</v>
      </c>
      <c r="G82" s="45" t="s">
        <v>1424</v>
      </c>
      <c r="H82" s="45" t="s">
        <v>993</v>
      </c>
      <c r="I82" s="59" t="s">
        <v>1115</v>
      </c>
      <c r="J82" s="55" t="s">
        <v>1050</v>
      </c>
      <c r="K82" s="55" t="s">
        <v>979</v>
      </c>
      <c r="L82" s="59" t="s">
        <v>1063</v>
      </c>
      <c r="M82" s="59" t="s">
        <v>1038</v>
      </c>
      <c r="N82" s="59" t="s">
        <v>1019</v>
      </c>
      <c r="O82" s="59" t="s">
        <v>1020</v>
      </c>
      <c r="P82" s="125" t="str">
        <f t="shared" ref="P82:P86" si="30">RIGHT(D82,5)</f>
        <v>00001</v>
      </c>
      <c r="Q82" s="143" t="s">
        <v>1336</v>
      </c>
      <c r="R82" s="140" t="s">
        <v>1425</v>
      </c>
      <c r="S82" s="143" t="s">
        <v>1426</v>
      </c>
      <c r="T82" s="140" t="s">
        <v>1427</v>
      </c>
      <c r="U82" s="49">
        <v>45922.458333333336</v>
      </c>
      <c r="V82" s="50">
        <v>390812.49998842593</v>
      </c>
      <c r="W82" s="127" t="str">
        <f t="shared" si="29"/>
        <v>catchcopy_character_chara_ron_00001.png</v>
      </c>
      <c r="X82" s="128" t="str">
        <f t="shared" si="24"/>
        <v>enemy_icon_chara_ron_00001</v>
      </c>
      <c r="Y82" s="128" t="str">
        <f t="shared" si="25"/>
        <v>boss_icon_chara_ron_00001</v>
      </c>
      <c r="Z82" s="144" t="s">
        <v>1428</v>
      </c>
      <c r="AA82" s="144" t="s">
        <v>1429</v>
      </c>
      <c r="AB82" s="145" t="s">
        <v>985</v>
      </c>
      <c r="AC82" s="53" t="s">
        <v>986</v>
      </c>
      <c r="AD82" s="54"/>
      <c r="AE82" s="133" t="s">
        <v>987</v>
      </c>
      <c r="AF82" s="45" t="s">
        <v>988</v>
      </c>
      <c r="AG82" s="138" t="s">
        <v>989</v>
      </c>
      <c r="AH82" s="139"/>
    </row>
    <row r="83">
      <c r="A83" s="44" t="s">
        <v>132</v>
      </c>
      <c r="B83" s="124" t="str">
        <f t="array" ref="B83">iferror(INDEX('作品'!D:D,MATCH(A83,'作品'!A:A,0),0),"error")</f>
        <v>鴨乃橋ロンの禁断推理</v>
      </c>
      <c r="C83" s="46" t="s">
        <v>1001</v>
      </c>
      <c r="D83" s="47" t="str">
        <f t="shared" si="1"/>
        <v>chara_ron_00101</v>
      </c>
      <c r="E83" s="47" t="s">
        <v>373</v>
      </c>
      <c r="F83" s="45" t="s">
        <v>373</v>
      </c>
      <c r="G83" s="45" t="s">
        <v>1430</v>
      </c>
      <c r="H83" s="45" t="s">
        <v>1057</v>
      </c>
      <c r="I83" s="59" t="s">
        <v>1058</v>
      </c>
      <c r="J83" s="55" t="s">
        <v>1050</v>
      </c>
      <c r="K83" s="55" t="s">
        <v>979</v>
      </c>
      <c r="L83" s="59" t="s">
        <v>1037</v>
      </c>
      <c r="M83" s="59" t="s">
        <v>1038</v>
      </c>
      <c r="N83" s="142" t="s">
        <v>1019</v>
      </c>
      <c r="O83" s="59" t="s">
        <v>1020</v>
      </c>
      <c r="P83" s="125" t="str">
        <f t="shared" si="30"/>
        <v>00101</v>
      </c>
      <c r="Q83" s="143" t="s">
        <v>1336</v>
      </c>
      <c r="R83" s="143" t="s">
        <v>1246</v>
      </c>
      <c r="S83" s="143" t="s">
        <v>1093</v>
      </c>
      <c r="T83" s="143" t="s">
        <v>1431</v>
      </c>
      <c r="U83" s="49">
        <v>45922.458333333336</v>
      </c>
      <c r="V83" s="50">
        <v>390812.49998842593</v>
      </c>
      <c r="W83" s="127" t="str">
        <f t="shared" si="29"/>
        <v>catchcopy_character_chara_ron_00101.png</v>
      </c>
      <c r="X83" s="128" t="str">
        <f t="shared" si="24"/>
        <v>enemy_icon_chara_ron_00101</v>
      </c>
      <c r="Y83" s="128" t="str">
        <f t="shared" si="25"/>
        <v>boss_icon_chara_ron_00101</v>
      </c>
      <c r="Z83" s="144" t="s">
        <v>1432</v>
      </c>
      <c r="AA83" s="144" t="s">
        <v>1433</v>
      </c>
      <c r="AB83" s="145" t="s">
        <v>985</v>
      </c>
      <c r="AC83" s="53" t="s">
        <v>986</v>
      </c>
      <c r="AD83" s="54"/>
      <c r="AE83" s="133" t="s">
        <v>987</v>
      </c>
      <c r="AF83" s="45" t="s">
        <v>988</v>
      </c>
      <c r="AG83" s="138" t="s">
        <v>989</v>
      </c>
      <c r="AH83" s="139"/>
    </row>
    <row r="84">
      <c r="A84" s="44" t="s">
        <v>138</v>
      </c>
      <c r="B84" s="124" t="str">
        <f t="array" ref="B84">iferror(INDEX('作品'!D:D,MATCH(A84,'作品'!A:A,0),0),"error")</f>
        <v>阿波連さんははかれない</v>
      </c>
      <c r="C84" s="46" t="s">
        <v>973</v>
      </c>
      <c r="D84" s="47" t="str">
        <f t="shared" si="1"/>
        <v>chara_aha_00001</v>
      </c>
      <c r="E84" s="47" t="s">
        <v>375</v>
      </c>
      <c r="F84" s="45" t="s">
        <v>375</v>
      </c>
      <c r="G84" s="45" t="s">
        <v>1434</v>
      </c>
      <c r="H84" s="45" t="s">
        <v>1028</v>
      </c>
      <c r="I84" s="59" t="s">
        <v>1166</v>
      </c>
      <c r="J84" s="55" t="s">
        <v>1004</v>
      </c>
      <c r="K84" s="55" t="s">
        <v>979</v>
      </c>
      <c r="L84" s="59" t="s">
        <v>1037</v>
      </c>
      <c r="M84" s="59" t="s">
        <v>1038</v>
      </c>
      <c r="N84" s="59" t="s">
        <v>1039</v>
      </c>
      <c r="O84" s="59" t="s">
        <v>1020</v>
      </c>
      <c r="P84" s="125" t="str">
        <f t="shared" si="30"/>
        <v>00001</v>
      </c>
      <c r="Q84" s="143" t="s">
        <v>1140</v>
      </c>
      <c r="R84" s="143" t="s">
        <v>1367</v>
      </c>
      <c r="S84" s="143" t="s">
        <v>1093</v>
      </c>
      <c r="T84" s="143" t="s">
        <v>1435</v>
      </c>
      <c r="U84" s="49">
        <v>45922.458333333336</v>
      </c>
      <c r="V84" s="50">
        <v>390812.49998842593</v>
      </c>
      <c r="W84" s="127" t="str">
        <f t="shared" si="29"/>
        <v>catchcopy_character_chara_aha_00001.png</v>
      </c>
      <c r="X84" s="128" t="str">
        <f t="shared" si="24"/>
        <v>enemy_icon_chara_aha_00001</v>
      </c>
      <c r="Y84" s="128" t="str">
        <f t="shared" si="25"/>
        <v>boss_icon_chara_aha_00001</v>
      </c>
      <c r="Z84" s="129"/>
      <c r="AA84" s="144" t="s">
        <v>1436</v>
      </c>
      <c r="AB84" s="145" t="s">
        <v>985</v>
      </c>
      <c r="AC84" s="53" t="s">
        <v>986</v>
      </c>
      <c r="AD84" s="54"/>
      <c r="AE84" s="133" t="s">
        <v>987</v>
      </c>
      <c r="AF84" s="45" t="s">
        <v>988</v>
      </c>
      <c r="AG84" s="138" t="s">
        <v>989</v>
      </c>
      <c r="AH84" s="139"/>
    </row>
    <row r="85">
      <c r="A85" s="44" t="s">
        <v>138</v>
      </c>
      <c r="B85" s="124" t="str">
        <f t="array" ref="B85">iferror(INDEX('作品'!D:D,MATCH(A85,'作品'!A:A,0),0),"error")</f>
        <v>阿波連さんははかれない</v>
      </c>
      <c r="C85" s="46" t="s">
        <v>1001</v>
      </c>
      <c r="D85" s="47" t="str">
        <f t="shared" si="1"/>
        <v>chara_aha_00101</v>
      </c>
      <c r="E85" s="47" t="s">
        <v>377</v>
      </c>
      <c r="F85" s="45" t="s">
        <v>377</v>
      </c>
      <c r="G85" s="45" t="s">
        <v>1437</v>
      </c>
      <c r="H85" s="45" t="s">
        <v>993</v>
      </c>
      <c r="I85" s="59" t="s">
        <v>1115</v>
      </c>
      <c r="J85" s="55" t="s">
        <v>1004</v>
      </c>
      <c r="K85" s="55" t="s">
        <v>979</v>
      </c>
      <c r="L85" s="59" t="s">
        <v>1072</v>
      </c>
      <c r="M85" s="59" t="s">
        <v>1020</v>
      </c>
      <c r="N85" s="59" t="s">
        <v>1039</v>
      </c>
      <c r="O85" s="59" t="s">
        <v>64</v>
      </c>
      <c r="P85" s="125" t="str">
        <f t="shared" si="30"/>
        <v>00101</v>
      </c>
      <c r="Q85" s="143" t="s">
        <v>1296</v>
      </c>
      <c r="R85" s="115" t="s">
        <v>1438</v>
      </c>
      <c r="S85" s="143" t="s">
        <v>1271</v>
      </c>
      <c r="T85" s="115" t="s">
        <v>1374</v>
      </c>
      <c r="U85" s="49">
        <v>45922.458333333336</v>
      </c>
      <c r="V85" s="50">
        <v>390812.49998842593</v>
      </c>
      <c r="W85" s="127" t="str">
        <f t="shared" si="29"/>
        <v>catchcopy_character_chara_aha_00101.png</v>
      </c>
      <c r="X85" s="128" t="str">
        <f t="shared" si="24"/>
        <v>enemy_icon_chara_aha_00101</v>
      </c>
      <c r="Y85" s="128" t="str">
        <f t="shared" si="25"/>
        <v>boss_icon_chara_aha_00101</v>
      </c>
      <c r="Z85" s="144" t="s">
        <v>1439</v>
      </c>
      <c r="AA85" s="144" t="s">
        <v>1440</v>
      </c>
      <c r="AB85" s="145" t="s">
        <v>985</v>
      </c>
      <c r="AC85" s="53" t="s">
        <v>986</v>
      </c>
      <c r="AD85" s="54"/>
      <c r="AE85" s="133" t="s">
        <v>987</v>
      </c>
      <c r="AF85" s="45" t="s">
        <v>988</v>
      </c>
      <c r="AG85" s="138" t="s">
        <v>989</v>
      </c>
      <c r="AH85" s="139"/>
    </row>
    <row r="86">
      <c r="A86" s="44" t="s">
        <v>153</v>
      </c>
      <c r="B86" s="124" t="str">
        <f t="array" ref="B86">iferror(INDEX('作品'!D:D,MATCH(A86,'作品'!A:A,0),0),"error")</f>
        <v>タコピーの原罪</v>
      </c>
      <c r="C86" s="46" t="s">
        <v>973</v>
      </c>
      <c r="D86" s="47" t="str">
        <f t="shared" si="1"/>
        <v>chara_tak_00001</v>
      </c>
      <c r="E86" s="47" t="s">
        <v>1441</v>
      </c>
      <c r="F86" s="45" t="s">
        <v>1441</v>
      </c>
      <c r="G86" s="45" t="s">
        <v>1442</v>
      </c>
      <c r="H86" s="45" t="s">
        <v>976</v>
      </c>
      <c r="I86" s="59" t="s">
        <v>977</v>
      </c>
      <c r="J86" s="55" t="s">
        <v>1004</v>
      </c>
      <c r="K86" s="55" t="s">
        <v>979</v>
      </c>
      <c r="L86" s="59" t="s">
        <v>1037</v>
      </c>
      <c r="M86" s="59" t="s">
        <v>1020</v>
      </c>
      <c r="N86" s="59" t="s">
        <v>1039</v>
      </c>
      <c r="O86" s="59" t="s">
        <v>64</v>
      </c>
      <c r="P86" s="125" t="str">
        <f t="shared" si="30"/>
        <v>00001</v>
      </c>
      <c r="Q86" s="143" t="s">
        <v>1116</v>
      </c>
      <c r="R86" s="143" t="s">
        <v>1443</v>
      </c>
      <c r="S86" s="143" t="s">
        <v>1289</v>
      </c>
      <c r="T86" s="143" t="s">
        <v>1251</v>
      </c>
      <c r="U86" s="49">
        <v>45922.458333333336</v>
      </c>
      <c r="V86" s="50">
        <v>390812.49998842593</v>
      </c>
      <c r="W86" s="127" t="str">
        <f t="shared" si="29"/>
        <v>catchcopy_character_chara_tak_00001.png</v>
      </c>
      <c r="X86" s="128" t="str">
        <f t="shared" si="24"/>
        <v>enemy_icon_chara_tak_00001</v>
      </c>
      <c r="Y86" s="128" t="str">
        <f t="shared" si="25"/>
        <v>boss_icon_chara_tak_00001</v>
      </c>
      <c r="Z86" s="144" t="s">
        <v>1444</v>
      </c>
      <c r="AA86" s="144" t="s">
        <v>1445</v>
      </c>
      <c r="AB86" s="145" t="s">
        <v>985</v>
      </c>
      <c r="AC86" s="53" t="s">
        <v>986</v>
      </c>
      <c r="AD86" s="54"/>
      <c r="AE86" s="133" t="s">
        <v>987</v>
      </c>
      <c r="AF86" s="45" t="s">
        <v>988</v>
      </c>
      <c r="AG86" s="138" t="s">
        <v>989</v>
      </c>
      <c r="AH86" s="139"/>
    </row>
    <row r="87">
      <c r="A87" s="44" t="s">
        <v>153</v>
      </c>
      <c r="B87" s="124" t="str">
        <f t="array" ref="B87">iferror(INDEX('作品'!D:D,MATCH(A87,'作品'!A:A,0),0),"error")</f>
        <v>タコピーの原罪</v>
      </c>
      <c r="C87" s="46" t="s">
        <v>1001</v>
      </c>
      <c r="D87" s="47" t="str">
        <f t="shared" si="1"/>
        <v>chara_tak_00101</v>
      </c>
      <c r="E87" s="47" t="s">
        <v>1446</v>
      </c>
      <c r="F87" s="136" t="s">
        <v>991</v>
      </c>
      <c r="G87" s="45"/>
      <c r="H87" s="45" t="s">
        <v>976</v>
      </c>
      <c r="I87" s="59" t="s">
        <v>977</v>
      </c>
      <c r="J87" s="55" t="s">
        <v>978</v>
      </c>
      <c r="K87" s="55" t="s">
        <v>979</v>
      </c>
      <c r="L87" s="59"/>
      <c r="M87" s="59"/>
      <c r="N87" s="59"/>
      <c r="O87" s="59"/>
      <c r="P87" s="125"/>
      <c r="Q87" s="143"/>
      <c r="R87" s="143"/>
      <c r="S87" s="143"/>
      <c r="T87" s="143"/>
      <c r="U87" s="49"/>
      <c r="V87" s="50"/>
      <c r="W87" s="127"/>
      <c r="X87" s="128"/>
      <c r="Y87" s="128"/>
      <c r="Z87" s="144"/>
      <c r="AA87" s="144"/>
      <c r="AB87" s="145"/>
      <c r="AC87" s="53"/>
      <c r="AD87" s="54"/>
      <c r="AE87" s="60"/>
      <c r="AF87" s="45"/>
      <c r="AG87" s="138"/>
      <c r="AH87" s="139"/>
    </row>
    <row r="88">
      <c r="A88" s="44" t="s">
        <v>153</v>
      </c>
      <c r="B88" s="124" t="str">
        <f t="array" ref="B88">iferror(INDEX('作品'!D:D,MATCH(A88,'作品'!A:A,0),0),"error")</f>
        <v>タコピーの原罪</v>
      </c>
      <c r="C88" s="46" t="s">
        <v>1014</v>
      </c>
      <c r="D88" s="47" t="str">
        <f t="shared" si="1"/>
        <v>chara_tak_00201</v>
      </c>
      <c r="E88" s="47" t="s">
        <v>1447</v>
      </c>
      <c r="F88" s="136" t="s">
        <v>991</v>
      </c>
      <c r="G88" s="45"/>
      <c r="H88" s="45" t="s">
        <v>1028</v>
      </c>
      <c r="I88" s="59" t="s">
        <v>1029</v>
      </c>
      <c r="J88" s="55" t="s">
        <v>1036</v>
      </c>
      <c r="K88" s="55" t="s">
        <v>979</v>
      </c>
      <c r="L88" s="59"/>
      <c r="M88" s="59"/>
      <c r="N88" s="59"/>
      <c r="O88" s="59"/>
      <c r="P88" s="125"/>
      <c r="Q88" s="143"/>
      <c r="R88" s="143"/>
      <c r="S88" s="143"/>
      <c r="T88" s="143"/>
      <c r="U88" s="49"/>
      <c r="V88" s="50"/>
      <c r="W88" s="127"/>
      <c r="X88" s="128"/>
      <c r="Y88" s="128"/>
      <c r="Z88" s="144"/>
      <c r="AA88" s="144"/>
      <c r="AB88" s="145"/>
      <c r="AC88" s="53"/>
      <c r="AD88" s="54"/>
      <c r="AE88" s="60"/>
      <c r="AF88" s="45"/>
      <c r="AG88" s="138"/>
      <c r="AH88" s="139"/>
    </row>
    <row r="89">
      <c r="A89" s="55" t="s">
        <v>148</v>
      </c>
      <c r="B89" s="124" t="str">
        <f t="array" ref="B89">iferror(INDEX('作品'!D:D,MATCH(A89,'作品'!A:A,0),0),"error")</f>
        <v>地獄楽</v>
      </c>
      <c r="C89" s="46" t="s">
        <v>973</v>
      </c>
      <c r="D89" s="47" t="str">
        <f t="shared" si="1"/>
        <v>chara_jig_00001</v>
      </c>
      <c r="E89" s="47" t="s">
        <v>1448</v>
      </c>
      <c r="F89" s="45" t="s">
        <v>1448</v>
      </c>
      <c r="G89" s="45" t="s">
        <v>1449</v>
      </c>
      <c r="H89" s="45" t="s">
        <v>976</v>
      </c>
      <c r="I89" s="59" t="s">
        <v>977</v>
      </c>
      <c r="J89" s="55" t="s">
        <v>1017</v>
      </c>
      <c r="K89" s="55" t="s">
        <v>979</v>
      </c>
      <c r="L89" s="59" t="s">
        <v>1063</v>
      </c>
      <c r="M89" s="59" t="s">
        <v>1020</v>
      </c>
      <c r="N89" s="59" t="s">
        <v>1039</v>
      </c>
      <c r="O89" s="59" t="s">
        <v>1020</v>
      </c>
      <c r="P89" s="125" t="str">
        <f t="shared" ref="P89:P98" si="31">RIGHT(D89,5)</f>
        <v>00001</v>
      </c>
      <c r="Q89" s="173" t="s">
        <v>1226</v>
      </c>
      <c r="R89" s="143" t="s">
        <v>1450</v>
      </c>
      <c r="S89" s="143" t="s">
        <v>1451</v>
      </c>
      <c r="T89" s="143" t="s">
        <v>1452</v>
      </c>
      <c r="U89" s="49">
        <v>45922.458333333336</v>
      </c>
      <c r="V89" s="50">
        <v>390812.49998842593</v>
      </c>
      <c r="W89" s="127" t="str">
        <f t="shared" ref="W89:W98" si="32">"catchcopy_character_"&amp;text(D89,"000000")&amp;".png"</f>
        <v>catchcopy_character_chara_jig_00001.png</v>
      </c>
      <c r="X89" s="128" t="str">
        <f t="shared" ref="X89:X108" si="33">"enemy_icon_"&amp;K89&amp;"_"&amp;A89&amp;"_"&amp;C89</f>
        <v>enemy_icon_chara_jig_00001</v>
      </c>
      <c r="Y89" s="128" t="str">
        <f t="shared" ref="Y89:Y108" si="34">"boss_icon_"&amp;K89&amp;"_"&amp;A89&amp;"_"&amp;C89</f>
        <v>boss_icon_chara_jig_00001</v>
      </c>
      <c r="Z89" s="144" t="s">
        <v>1453</v>
      </c>
      <c r="AA89" s="144" t="s">
        <v>1454</v>
      </c>
      <c r="AB89" s="145" t="s">
        <v>985</v>
      </c>
      <c r="AC89" s="53" t="s">
        <v>986</v>
      </c>
      <c r="AD89" s="54"/>
      <c r="AE89" s="133" t="s">
        <v>987</v>
      </c>
      <c r="AF89" s="45" t="s">
        <v>1105</v>
      </c>
      <c r="AG89" s="138" t="s">
        <v>989</v>
      </c>
      <c r="AH89" s="139"/>
    </row>
    <row r="90">
      <c r="A90" s="44" t="s">
        <v>148</v>
      </c>
      <c r="B90" s="124" t="str">
        <f t="array" ref="B90">iferror(INDEX('作品'!D:D,MATCH(A90,'作品'!A:A,0),0),"error")</f>
        <v>地獄楽</v>
      </c>
      <c r="C90" s="46" t="s">
        <v>1001</v>
      </c>
      <c r="D90" s="47" t="str">
        <f t="shared" si="1"/>
        <v>chara_jig_00101</v>
      </c>
      <c r="E90" s="47" t="s">
        <v>383</v>
      </c>
      <c r="F90" s="45" t="s">
        <v>383</v>
      </c>
      <c r="G90" s="45" t="s">
        <v>1455</v>
      </c>
      <c r="H90" s="45" t="s">
        <v>993</v>
      </c>
      <c r="I90" s="59" t="s">
        <v>1115</v>
      </c>
      <c r="J90" s="55" t="s">
        <v>1017</v>
      </c>
      <c r="K90" s="55" t="s">
        <v>979</v>
      </c>
      <c r="L90" s="59" t="s">
        <v>1005</v>
      </c>
      <c r="M90" s="59" t="s">
        <v>1018</v>
      </c>
      <c r="N90" s="59" t="s">
        <v>1039</v>
      </c>
      <c r="O90" s="59" t="s">
        <v>1018</v>
      </c>
      <c r="P90" s="125" t="str">
        <f t="shared" si="31"/>
        <v>00101</v>
      </c>
      <c r="Q90" s="143" t="s">
        <v>1123</v>
      </c>
      <c r="R90" s="143" t="s">
        <v>1041</v>
      </c>
      <c r="S90" s="143" t="s">
        <v>1010</v>
      </c>
      <c r="T90" s="143" t="s">
        <v>1040</v>
      </c>
      <c r="U90" s="49">
        <v>45922.458333333336</v>
      </c>
      <c r="V90" s="50">
        <v>390812.49998842593</v>
      </c>
      <c r="W90" s="127" t="str">
        <f t="shared" si="32"/>
        <v>catchcopy_character_chara_jig_00101.png</v>
      </c>
      <c r="X90" s="128" t="str">
        <f t="shared" si="33"/>
        <v>enemy_icon_chara_jig_00101</v>
      </c>
      <c r="Y90" s="128" t="str">
        <f t="shared" si="34"/>
        <v>boss_icon_chara_jig_00101</v>
      </c>
      <c r="Z90" s="144" t="s">
        <v>1456</v>
      </c>
      <c r="AA90" s="144" t="s">
        <v>1457</v>
      </c>
      <c r="AB90" s="145" t="s">
        <v>985</v>
      </c>
      <c r="AC90" s="53" t="s">
        <v>986</v>
      </c>
      <c r="AD90" s="54"/>
      <c r="AE90" s="133" t="s">
        <v>987</v>
      </c>
      <c r="AF90" s="45" t="s">
        <v>1120</v>
      </c>
      <c r="AG90" s="138" t="s">
        <v>989</v>
      </c>
      <c r="AH90" s="139"/>
    </row>
    <row r="91">
      <c r="A91" s="44" t="s">
        <v>148</v>
      </c>
      <c r="B91" s="124" t="str">
        <f t="array" ref="B91">iferror(INDEX('作品'!D:D,MATCH(A91,'作品'!A:A,0),0),"error")</f>
        <v>地獄楽</v>
      </c>
      <c r="C91" s="46" t="s">
        <v>1014</v>
      </c>
      <c r="D91" s="47" t="str">
        <f t="shared" si="1"/>
        <v>chara_jig_00201</v>
      </c>
      <c r="E91" s="47" t="s">
        <v>1458</v>
      </c>
      <c r="F91" s="45" t="s">
        <v>1458</v>
      </c>
      <c r="G91" s="45" t="s">
        <v>1459</v>
      </c>
      <c r="H91" s="45" t="s">
        <v>993</v>
      </c>
      <c r="I91" s="59" t="s">
        <v>994</v>
      </c>
      <c r="J91" s="55" t="s">
        <v>1036</v>
      </c>
      <c r="K91" s="55" t="s">
        <v>979</v>
      </c>
      <c r="L91" s="59" t="s">
        <v>1063</v>
      </c>
      <c r="M91" s="59" t="s">
        <v>1006</v>
      </c>
      <c r="N91" s="142" t="s">
        <v>1019</v>
      </c>
      <c r="O91" s="59" t="s">
        <v>1006</v>
      </c>
      <c r="P91" s="125" t="str">
        <f t="shared" si="31"/>
        <v>00201</v>
      </c>
      <c r="Q91" s="173" t="s">
        <v>1336</v>
      </c>
      <c r="R91" s="143" t="s">
        <v>1460</v>
      </c>
      <c r="S91" s="143" t="s">
        <v>1461</v>
      </c>
      <c r="T91" s="143" t="s">
        <v>1462</v>
      </c>
      <c r="U91" s="49">
        <v>45922.458333333336</v>
      </c>
      <c r="V91" s="50">
        <v>390812.49998842593</v>
      </c>
      <c r="W91" s="127" t="str">
        <f t="shared" si="32"/>
        <v>catchcopy_character_chara_jig_00201.png</v>
      </c>
      <c r="X91" s="128" t="str">
        <f t="shared" si="33"/>
        <v>enemy_icon_chara_jig_00201</v>
      </c>
      <c r="Y91" s="128" t="str">
        <f t="shared" si="34"/>
        <v>boss_icon_chara_jig_00201</v>
      </c>
      <c r="Z91" s="144" t="s">
        <v>1463</v>
      </c>
      <c r="AA91" s="144" t="s">
        <v>1464</v>
      </c>
      <c r="AB91" s="145" t="s">
        <v>985</v>
      </c>
      <c r="AC91" s="53" t="s">
        <v>986</v>
      </c>
      <c r="AD91" s="54"/>
      <c r="AE91" s="133" t="s">
        <v>987</v>
      </c>
      <c r="AF91" s="45" t="s">
        <v>1120</v>
      </c>
      <c r="AG91" s="138" t="s">
        <v>989</v>
      </c>
      <c r="AH91" s="139"/>
    </row>
    <row r="92">
      <c r="A92" s="44" t="s">
        <v>148</v>
      </c>
      <c r="B92" s="124" t="str">
        <f t="array" ref="B92">iferror(INDEX('作品'!D:D,MATCH(A92,'作品'!A:A,0),0),"error")</f>
        <v>地獄楽</v>
      </c>
      <c r="C92" s="46" t="s">
        <v>1026</v>
      </c>
      <c r="D92" s="47" t="str">
        <f t="shared" si="1"/>
        <v>chara_jig_00301</v>
      </c>
      <c r="E92" s="47" t="s">
        <v>1465</v>
      </c>
      <c r="F92" s="45" t="s">
        <v>1465</v>
      </c>
      <c r="G92" s="45" t="s">
        <v>1466</v>
      </c>
      <c r="H92" s="45" t="s">
        <v>1028</v>
      </c>
      <c r="I92" s="59" t="s">
        <v>1166</v>
      </c>
      <c r="J92" s="55" t="s">
        <v>1036</v>
      </c>
      <c r="K92" s="55" t="s">
        <v>979</v>
      </c>
      <c r="L92" s="59" t="s">
        <v>1037</v>
      </c>
      <c r="M92" s="59" t="s">
        <v>1018</v>
      </c>
      <c r="N92" s="59" t="s">
        <v>1039</v>
      </c>
      <c r="O92" s="59" t="s">
        <v>1018</v>
      </c>
      <c r="P92" s="125" t="str">
        <f t="shared" si="31"/>
        <v>00301</v>
      </c>
      <c r="Q92" s="143" t="s">
        <v>1467</v>
      </c>
      <c r="R92" s="143" t="s">
        <v>1468</v>
      </c>
      <c r="S92" s="143" t="s">
        <v>1469</v>
      </c>
      <c r="T92" s="143" t="s">
        <v>1470</v>
      </c>
      <c r="U92" s="49">
        <v>45922.458333333336</v>
      </c>
      <c r="V92" s="50">
        <v>390812.49998842593</v>
      </c>
      <c r="W92" s="127" t="str">
        <f t="shared" si="32"/>
        <v>catchcopy_character_chara_jig_00301.png</v>
      </c>
      <c r="X92" s="128" t="str">
        <f t="shared" si="33"/>
        <v>enemy_icon_chara_jig_00301</v>
      </c>
      <c r="Y92" s="128" t="str">
        <f t="shared" si="34"/>
        <v>boss_icon_chara_jig_00301</v>
      </c>
      <c r="Z92" s="129"/>
      <c r="AA92" s="144" t="s">
        <v>1471</v>
      </c>
      <c r="AB92" s="145" t="s">
        <v>985</v>
      </c>
      <c r="AC92" s="53" t="s">
        <v>986</v>
      </c>
      <c r="AD92" s="54"/>
      <c r="AE92" s="133" t="s">
        <v>987</v>
      </c>
      <c r="AF92" s="45" t="s">
        <v>1120</v>
      </c>
      <c r="AG92" s="138" t="s">
        <v>989</v>
      </c>
      <c r="AH92" s="139"/>
    </row>
    <row r="93">
      <c r="A93" s="44" t="s">
        <v>148</v>
      </c>
      <c r="B93" s="124" t="str">
        <f t="array" ref="B93">iferror(INDEX('作品'!D:D,MATCH(A93,'作品'!A:A,0),0),"error")</f>
        <v>地獄楽</v>
      </c>
      <c r="C93" s="46" t="s">
        <v>1034</v>
      </c>
      <c r="D93" s="47" t="str">
        <f t="shared" si="1"/>
        <v>chara_jig_00401</v>
      </c>
      <c r="E93" s="47" t="s">
        <v>1472</v>
      </c>
      <c r="F93" s="45" t="s">
        <v>1472</v>
      </c>
      <c r="G93" s="45" t="s">
        <v>1473</v>
      </c>
      <c r="H93" s="45" t="s">
        <v>976</v>
      </c>
      <c r="I93" s="59" t="s">
        <v>977</v>
      </c>
      <c r="J93" s="55" t="s">
        <v>978</v>
      </c>
      <c r="K93" s="55" t="s">
        <v>979</v>
      </c>
      <c r="L93" s="59" t="s">
        <v>1063</v>
      </c>
      <c r="M93" s="59" t="s">
        <v>1018</v>
      </c>
      <c r="N93" s="59" t="s">
        <v>1039</v>
      </c>
      <c r="O93" s="59" t="s">
        <v>1018</v>
      </c>
      <c r="P93" s="125" t="str">
        <f t="shared" si="31"/>
        <v>00401</v>
      </c>
      <c r="Q93" s="143" t="s">
        <v>1336</v>
      </c>
      <c r="R93" s="143" t="s">
        <v>1474</v>
      </c>
      <c r="S93" s="143" t="s">
        <v>1093</v>
      </c>
      <c r="T93" s="143" t="s">
        <v>1475</v>
      </c>
      <c r="U93" s="137">
        <v>46038.625</v>
      </c>
      <c r="V93" s="50">
        <v>390812.49998842593</v>
      </c>
      <c r="W93" s="127" t="str">
        <f t="shared" si="32"/>
        <v>catchcopy_character_chara_jig_00401.png</v>
      </c>
      <c r="X93" s="128" t="str">
        <f t="shared" si="33"/>
        <v>enemy_icon_chara_jig_00401</v>
      </c>
      <c r="Y93" s="128" t="str">
        <f t="shared" si="34"/>
        <v>boss_icon_chara_jig_00401</v>
      </c>
      <c r="Z93" s="144"/>
      <c r="AA93" s="144"/>
      <c r="AB93" s="145" t="s">
        <v>1476</v>
      </c>
      <c r="AC93" s="53" t="s">
        <v>986</v>
      </c>
      <c r="AD93" s="54"/>
      <c r="AE93" s="60"/>
      <c r="AF93" s="45" t="s">
        <v>1120</v>
      </c>
      <c r="AG93" s="138" t="s">
        <v>1477</v>
      </c>
      <c r="AH93" s="139"/>
    </row>
    <row r="94">
      <c r="A94" s="44" t="s">
        <v>148</v>
      </c>
      <c r="B94" s="124" t="str">
        <f t="array" ref="B94">iferror(INDEX('作品'!D:D,MATCH(A94,'作品'!A:A,0),0),"error")</f>
        <v>地獄楽</v>
      </c>
      <c r="C94" s="46" t="s">
        <v>1046</v>
      </c>
      <c r="D94" s="47" t="str">
        <f t="shared" si="1"/>
        <v>chara_jig_00501</v>
      </c>
      <c r="E94" s="47" t="s">
        <v>1478</v>
      </c>
      <c r="F94" s="45" t="s">
        <v>1478</v>
      </c>
      <c r="G94" s="45" t="s">
        <v>1479</v>
      </c>
      <c r="H94" s="45" t="s">
        <v>993</v>
      </c>
      <c r="I94" s="59" t="s">
        <v>1115</v>
      </c>
      <c r="J94" s="55" t="s">
        <v>1036</v>
      </c>
      <c r="K94" s="55" t="s">
        <v>979</v>
      </c>
      <c r="L94" s="59" t="s">
        <v>1072</v>
      </c>
      <c r="M94" s="59" t="s">
        <v>1018</v>
      </c>
      <c r="N94" s="59" t="s">
        <v>1039</v>
      </c>
      <c r="O94" s="59" t="s">
        <v>64</v>
      </c>
      <c r="P94" s="125" t="str">
        <f t="shared" si="31"/>
        <v>00501</v>
      </c>
      <c r="Q94" s="143" t="s">
        <v>1147</v>
      </c>
      <c r="R94" s="143" t="s">
        <v>1480</v>
      </c>
      <c r="S94" s="143" t="s">
        <v>1481</v>
      </c>
      <c r="T94" s="143" t="s">
        <v>1482</v>
      </c>
      <c r="U94" s="137">
        <v>46038.625</v>
      </c>
      <c r="V94" s="50">
        <v>390812.49998842593</v>
      </c>
      <c r="W94" s="127" t="str">
        <f t="shared" si="32"/>
        <v>catchcopy_character_chara_jig_00501.png</v>
      </c>
      <c r="X94" s="128" t="str">
        <f t="shared" si="33"/>
        <v>enemy_icon_chara_jig_00501</v>
      </c>
      <c r="Y94" s="128" t="str">
        <f t="shared" si="34"/>
        <v>boss_icon_chara_jig_00501</v>
      </c>
      <c r="Z94" s="144"/>
      <c r="AA94" s="144"/>
      <c r="AB94" s="145" t="s">
        <v>1476</v>
      </c>
      <c r="AC94" s="53" t="s">
        <v>986</v>
      </c>
      <c r="AD94" s="54"/>
      <c r="AE94" s="60"/>
      <c r="AF94" s="45" t="s">
        <v>1120</v>
      </c>
      <c r="AG94" s="138" t="s">
        <v>1477</v>
      </c>
      <c r="AH94" s="139"/>
    </row>
    <row r="95">
      <c r="A95" s="44" t="s">
        <v>148</v>
      </c>
      <c r="B95" s="124" t="str">
        <f t="array" ref="B95">iferror(INDEX('作品'!D:D,MATCH(A95,'作品'!A:A,0),0),"error")</f>
        <v>地獄楽</v>
      </c>
      <c r="C95" s="46" t="s">
        <v>1151</v>
      </c>
      <c r="D95" s="47" t="str">
        <f t="shared" si="1"/>
        <v>chara_jig_00601</v>
      </c>
      <c r="E95" s="47" t="s">
        <v>1483</v>
      </c>
      <c r="F95" s="45" t="s">
        <v>1483</v>
      </c>
      <c r="G95" s="45" t="s">
        <v>1484</v>
      </c>
      <c r="H95" s="45" t="s">
        <v>1028</v>
      </c>
      <c r="I95" s="59" t="s">
        <v>1029</v>
      </c>
      <c r="J95" s="55" t="s">
        <v>1050</v>
      </c>
      <c r="K95" s="55" t="s">
        <v>979</v>
      </c>
      <c r="L95" s="59" t="s">
        <v>1037</v>
      </c>
      <c r="M95" s="59" t="s">
        <v>1018</v>
      </c>
      <c r="N95" s="59" t="s">
        <v>1039</v>
      </c>
      <c r="O95" s="59" t="s">
        <v>1018</v>
      </c>
      <c r="P95" s="125" t="str">
        <f t="shared" si="31"/>
        <v>00601</v>
      </c>
      <c r="Q95" s="143" t="s">
        <v>1336</v>
      </c>
      <c r="R95" s="143" t="s">
        <v>1485</v>
      </c>
      <c r="S95" s="143" t="s">
        <v>1093</v>
      </c>
      <c r="T95" s="143" t="s">
        <v>1486</v>
      </c>
      <c r="U95" s="137">
        <v>46038.625</v>
      </c>
      <c r="V95" s="50">
        <v>390812.49998842593</v>
      </c>
      <c r="W95" s="127" t="str">
        <f t="shared" si="32"/>
        <v>catchcopy_character_chara_jig_00601.png</v>
      </c>
      <c r="X95" s="128" t="str">
        <f t="shared" si="33"/>
        <v>enemy_icon_chara_jig_00601</v>
      </c>
      <c r="Y95" s="128" t="str">
        <f t="shared" si="34"/>
        <v>boss_icon_chara_jig_00601</v>
      </c>
      <c r="Z95" s="144"/>
      <c r="AA95" s="144"/>
      <c r="AB95" s="145" t="s">
        <v>1476</v>
      </c>
      <c r="AC95" s="53" t="s">
        <v>986</v>
      </c>
      <c r="AD95" s="54"/>
      <c r="AE95" s="60"/>
      <c r="AF95" s="45" t="s">
        <v>1120</v>
      </c>
      <c r="AG95" s="138" t="s">
        <v>1477</v>
      </c>
      <c r="AH95" s="139"/>
    </row>
    <row r="96">
      <c r="A96" s="44" t="s">
        <v>148</v>
      </c>
      <c r="B96" s="124" t="str">
        <f t="array" ref="B96">iferror(INDEX('作品'!D:D,MATCH(A96,'作品'!A:A,0),0),"error")</f>
        <v>地獄楽</v>
      </c>
      <c r="C96" s="46" t="s">
        <v>1191</v>
      </c>
      <c r="D96" s="47" t="str">
        <f t="shared" si="1"/>
        <v>chara_jig_00701</v>
      </c>
      <c r="E96" s="47" t="s">
        <v>1487</v>
      </c>
      <c r="F96" s="45" t="s">
        <v>1487</v>
      </c>
      <c r="G96" s="45" t="s">
        <v>1488</v>
      </c>
      <c r="H96" s="45" t="s">
        <v>1028</v>
      </c>
      <c r="I96" s="59" t="s">
        <v>1029</v>
      </c>
      <c r="J96" s="55" t="s">
        <v>978</v>
      </c>
      <c r="K96" s="55" t="s">
        <v>979</v>
      </c>
      <c r="L96" s="59" t="s">
        <v>980</v>
      </c>
      <c r="M96" s="59" t="s">
        <v>64</v>
      </c>
      <c r="N96" s="142" t="s">
        <v>981</v>
      </c>
      <c r="O96" s="59" t="s">
        <v>64</v>
      </c>
      <c r="P96" s="125" t="str">
        <f t="shared" si="31"/>
        <v>00701</v>
      </c>
      <c r="Q96" s="126" t="s">
        <v>64</v>
      </c>
      <c r="R96" s="126" t="s">
        <v>64</v>
      </c>
      <c r="S96" s="143" t="s">
        <v>995</v>
      </c>
      <c r="T96" s="143" t="s">
        <v>983</v>
      </c>
      <c r="U96" s="137">
        <v>46038.625</v>
      </c>
      <c r="V96" s="50">
        <v>390812.49998842593</v>
      </c>
      <c r="W96" s="127" t="str">
        <f t="shared" si="32"/>
        <v>catchcopy_character_chara_jig_00701.png</v>
      </c>
      <c r="X96" s="128" t="str">
        <f t="shared" si="33"/>
        <v>enemy_icon_chara_jig_00701</v>
      </c>
      <c r="Y96" s="128" t="str">
        <f t="shared" si="34"/>
        <v>boss_icon_chara_jig_00701</v>
      </c>
      <c r="Z96" s="144"/>
      <c r="AA96" s="144"/>
      <c r="AB96" s="145" t="s">
        <v>1476</v>
      </c>
      <c r="AC96" s="53" t="s">
        <v>986</v>
      </c>
      <c r="AD96" s="54"/>
      <c r="AE96" s="60"/>
      <c r="AF96" s="45" t="s">
        <v>1120</v>
      </c>
      <c r="AG96" s="138" t="s">
        <v>1477</v>
      </c>
      <c r="AH96" s="139"/>
    </row>
    <row r="97">
      <c r="A97" s="55" t="s">
        <v>98</v>
      </c>
      <c r="B97" s="124" t="str">
        <f t="array" ref="B97">iferror(INDEX('作品'!D:D,MATCH(A97,'作品'!A:A,0),0),"error")</f>
        <v>株式会社マジルミエ</v>
      </c>
      <c r="C97" s="46" t="s">
        <v>973</v>
      </c>
      <c r="D97" s="47" t="str">
        <f t="shared" si="1"/>
        <v>chara_mag_00001</v>
      </c>
      <c r="E97" s="47" t="s">
        <v>1489</v>
      </c>
      <c r="F97" s="45" t="s">
        <v>1489</v>
      </c>
      <c r="G97" s="45" t="s">
        <v>1490</v>
      </c>
      <c r="H97" s="45" t="s">
        <v>976</v>
      </c>
      <c r="I97" s="59" t="s">
        <v>977</v>
      </c>
      <c r="J97" s="55" t="s">
        <v>1050</v>
      </c>
      <c r="K97" s="55" t="s">
        <v>979</v>
      </c>
      <c r="L97" s="59" t="s">
        <v>1005</v>
      </c>
      <c r="M97" s="59" t="s">
        <v>1006</v>
      </c>
      <c r="N97" s="59" t="s">
        <v>1007</v>
      </c>
      <c r="O97" s="59" t="s">
        <v>1006</v>
      </c>
      <c r="P97" s="125" t="str">
        <f t="shared" si="31"/>
        <v>00001</v>
      </c>
      <c r="Q97" s="143" t="s">
        <v>1491</v>
      </c>
      <c r="R97" s="140" t="s">
        <v>1425</v>
      </c>
      <c r="S97" s="140" t="s">
        <v>1053</v>
      </c>
      <c r="T97" s="140" t="s">
        <v>1492</v>
      </c>
      <c r="U97" s="49">
        <v>45922.458333333336</v>
      </c>
      <c r="V97" s="50">
        <v>390812.49998842593</v>
      </c>
      <c r="W97" s="127" t="str">
        <f t="shared" si="32"/>
        <v>catchcopy_character_chara_mag_00001.png</v>
      </c>
      <c r="X97" s="128" t="str">
        <f t="shared" si="33"/>
        <v>enemy_icon_chara_mag_00001</v>
      </c>
      <c r="Y97" s="128" t="str">
        <f t="shared" si="34"/>
        <v>boss_icon_chara_mag_00001</v>
      </c>
      <c r="Z97" s="144" t="s">
        <v>1493</v>
      </c>
      <c r="AA97" s="144" t="s">
        <v>1494</v>
      </c>
      <c r="AB97" s="145" t="s">
        <v>985</v>
      </c>
      <c r="AC97" s="53" t="s">
        <v>986</v>
      </c>
      <c r="AD97" s="54"/>
      <c r="AE97" s="133" t="s">
        <v>987</v>
      </c>
      <c r="AF97" s="45" t="s">
        <v>988</v>
      </c>
      <c r="AG97" s="138" t="s">
        <v>989</v>
      </c>
      <c r="AH97" s="139"/>
    </row>
    <row r="98">
      <c r="A98" s="55" t="s">
        <v>98</v>
      </c>
      <c r="B98" s="124" t="str">
        <f t="array" ref="B98">iferror(INDEX('作品'!D:D,MATCH(A98,'作品'!A:A,0),0),"error")</f>
        <v>株式会社マジルミエ</v>
      </c>
      <c r="C98" s="46" t="s">
        <v>1001</v>
      </c>
      <c r="D98" s="47" t="str">
        <f t="shared" si="1"/>
        <v>chara_mag_00101</v>
      </c>
      <c r="E98" s="47" t="s">
        <v>387</v>
      </c>
      <c r="F98" s="45" t="s">
        <v>387</v>
      </c>
      <c r="G98" s="45" t="s">
        <v>1495</v>
      </c>
      <c r="H98" s="45" t="s">
        <v>1028</v>
      </c>
      <c r="I98" s="59" t="s">
        <v>1166</v>
      </c>
      <c r="J98" s="55" t="s">
        <v>1004</v>
      </c>
      <c r="K98" s="55" t="s">
        <v>979</v>
      </c>
      <c r="L98" s="59" t="s">
        <v>1005</v>
      </c>
      <c r="M98" s="59" t="s">
        <v>1006</v>
      </c>
      <c r="N98" s="142" t="s">
        <v>1019</v>
      </c>
      <c r="O98" s="59" t="s">
        <v>1006</v>
      </c>
      <c r="P98" s="125" t="str">
        <f t="shared" si="31"/>
        <v>00101</v>
      </c>
      <c r="Q98" s="143" t="s">
        <v>1496</v>
      </c>
      <c r="R98" s="143" t="s">
        <v>1213</v>
      </c>
      <c r="S98" s="143" t="s">
        <v>1093</v>
      </c>
      <c r="T98" s="143" t="s">
        <v>1064</v>
      </c>
      <c r="U98" s="49">
        <v>45922.458333333336</v>
      </c>
      <c r="V98" s="50">
        <v>390812.49998842593</v>
      </c>
      <c r="W98" s="127" t="str">
        <f t="shared" si="32"/>
        <v>catchcopy_character_chara_mag_00101.png</v>
      </c>
      <c r="X98" s="128" t="str">
        <f t="shared" si="33"/>
        <v>enemy_icon_chara_mag_00101</v>
      </c>
      <c r="Y98" s="128" t="str">
        <f t="shared" si="34"/>
        <v>boss_icon_chara_mag_00101</v>
      </c>
      <c r="Z98" s="144" t="s">
        <v>1497</v>
      </c>
      <c r="AA98" s="144" t="s">
        <v>1498</v>
      </c>
      <c r="AB98" s="145" t="s">
        <v>985</v>
      </c>
      <c r="AC98" s="53" t="s">
        <v>986</v>
      </c>
      <c r="AD98" s="54"/>
      <c r="AE98" s="133" t="s">
        <v>987</v>
      </c>
      <c r="AF98" s="45" t="s">
        <v>988</v>
      </c>
      <c r="AG98" s="138" t="s">
        <v>989</v>
      </c>
      <c r="AH98" s="139"/>
    </row>
    <row r="99">
      <c r="A99" s="55" t="s">
        <v>98</v>
      </c>
      <c r="B99" s="124" t="str">
        <f t="array" ref="B99">iferror(INDEX('作品'!D:D,MATCH(A99,'作品'!A:A,0),0),"error")</f>
        <v>株式会社マジルミエ</v>
      </c>
      <c r="C99" s="46" t="s">
        <v>1014</v>
      </c>
      <c r="D99" s="47" t="str">
        <f t="shared" si="1"/>
        <v>chara_mag_00201</v>
      </c>
      <c r="E99" s="47" t="s">
        <v>1499</v>
      </c>
      <c r="F99" s="45" t="s">
        <v>1500</v>
      </c>
      <c r="G99" s="45" t="s">
        <v>1501</v>
      </c>
      <c r="H99" s="45" t="s">
        <v>976</v>
      </c>
      <c r="I99" s="59" t="s">
        <v>977</v>
      </c>
      <c r="J99" s="55" t="s">
        <v>1017</v>
      </c>
      <c r="K99" s="55" t="s">
        <v>979</v>
      </c>
      <c r="L99" s="59" t="s">
        <v>1005</v>
      </c>
      <c r="M99" s="59" t="s">
        <v>1006</v>
      </c>
      <c r="N99" s="131" t="s">
        <v>1007</v>
      </c>
      <c r="O99" s="59" t="s">
        <v>1020</v>
      </c>
      <c r="P99" s="125"/>
      <c r="Q99" s="143" t="s">
        <v>1226</v>
      </c>
      <c r="R99" s="115" t="s">
        <v>1502</v>
      </c>
      <c r="S99" s="143" t="s">
        <v>1503</v>
      </c>
      <c r="T99" s="115" t="s">
        <v>1504</v>
      </c>
      <c r="U99" s="137">
        <v>45967.625</v>
      </c>
      <c r="V99" s="50">
        <v>390812.49998842593</v>
      </c>
      <c r="W99" s="127"/>
      <c r="X99" s="128" t="str">
        <f t="shared" si="33"/>
        <v>enemy_icon_chara_mag_00201</v>
      </c>
      <c r="Y99" s="128" t="str">
        <f t="shared" si="34"/>
        <v>boss_icon_chara_mag_00201</v>
      </c>
      <c r="Z99" s="144"/>
      <c r="AA99" s="144"/>
      <c r="AB99" s="145" t="s">
        <v>1505</v>
      </c>
      <c r="AC99" s="53"/>
      <c r="AD99" s="54"/>
      <c r="AE99" s="60"/>
      <c r="AF99" s="45"/>
      <c r="AG99" s="138" t="s">
        <v>1506</v>
      </c>
      <c r="AH99" s="139"/>
    </row>
    <row r="100">
      <c r="A100" s="55" t="s">
        <v>98</v>
      </c>
      <c r="B100" s="124" t="str">
        <f t="array" ref="B100">iferror(INDEX('作品'!D:D,MATCH(A100,'作品'!A:A,0),0),"error")</f>
        <v>株式会社マジルミエ</v>
      </c>
      <c r="C100" s="46" t="s">
        <v>1026</v>
      </c>
      <c r="D100" s="47" t="str">
        <f t="shared" si="1"/>
        <v>chara_mag_00301</v>
      </c>
      <c r="E100" s="47" t="s">
        <v>1507</v>
      </c>
      <c r="F100" s="45" t="s">
        <v>1507</v>
      </c>
      <c r="G100" s="45" t="s">
        <v>1508</v>
      </c>
      <c r="H100" s="45" t="s">
        <v>993</v>
      </c>
      <c r="I100" s="59" t="s">
        <v>1115</v>
      </c>
      <c r="J100" s="55" t="s">
        <v>1036</v>
      </c>
      <c r="K100" s="55" t="s">
        <v>979</v>
      </c>
      <c r="L100" s="71" t="s">
        <v>1037</v>
      </c>
      <c r="M100" s="59" t="s">
        <v>1020</v>
      </c>
      <c r="N100" s="131" t="s">
        <v>1019</v>
      </c>
      <c r="O100" s="59" t="s">
        <v>64</v>
      </c>
      <c r="P100" s="125"/>
      <c r="Q100" s="143" t="s">
        <v>1147</v>
      </c>
      <c r="R100" s="143" t="s">
        <v>1509</v>
      </c>
      <c r="S100" s="143" t="s">
        <v>1154</v>
      </c>
      <c r="T100" s="143" t="s">
        <v>1510</v>
      </c>
      <c r="U100" s="137">
        <v>45967.625</v>
      </c>
      <c r="V100" s="50">
        <v>390812.49998842593</v>
      </c>
      <c r="W100" s="127"/>
      <c r="X100" s="128" t="str">
        <f t="shared" si="33"/>
        <v>enemy_icon_chara_mag_00301</v>
      </c>
      <c r="Y100" s="128" t="str">
        <f t="shared" si="34"/>
        <v>boss_icon_chara_mag_00301</v>
      </c>
      <c r="Z100" s="144"/>
      <c r="AA100" s="144"/>
      <c r="AB100" s="145" t="s">
        <v>1505</v>
      </c>
      <c r="AC100" s="53"/>
      <c r="AD100" s="54"/>
      <c r="AE100" s="60"/>
      <c r="AF100" s="45"/>
      <c r="AG100" s="138" t="s">
        <v>1506</v>
      </c>
      <c r="AH100" s="139"/>
    </row>
    <row r="101">
      <c r="A101" s="55" t="s">
        <v>98</v>
      </c>
      <c r="B101" s="124" t="str">
        <f t="array" ref="B101">iferror(INDEX('作品'!D:D,MATCH(A101,'作品'!A:A,0),0),"error")</f>
        <v>株式会社マジルミエ</v>
      </c>
      <c r="C101" s="46" t="s">
        <v>1034</v>
      </c>
      <c r="D101" s="47" t="str">
        <f t="shared" si="1"/>
        <v>chara_mag_00401</v>
      </c>
      <c r="E101" s="47" t="s">
        <v>1511</v>
      </c>
      <c r="F101" s="45" t="s">
        <v>1511</v>
      </c>
      <c r="G101" s="45" t="s">
        <v>1512</v>
      </c>
      <c r="H101" s="45" t="s">
        <v>1028</v>
      </c>
      <c r="I101" s="59" t="s">
        <v>1029</v>
      </c>
      <c r="J101" s="55" t="s">
        <v>1017</v>
      </c>
      <c r="K101" s="55" t="s">
        <v>979</v>
      </c>
      <c r="L101" s="59" t="s">
        <v>1063</v>
      </c>
      <c r="M101" s="59" t="s">
        <v>1018</v>
      </c>
      <c r="N101" s="131" t="s">
        <v>1039</v>
      </c>
      <c r="O101" s="59" t="s">
        <v>1018</v>
      </c>
      <c r="P101" s="125"/>
      <c r="Q101" s="143" t="s">
        <v>1513</v>
      </c>
      <c r="R101" s="143" t="s">
        <v>1514</v>
      </c>
      <c r="S101" s="143" t="s">
        <v>1228</v>
      </c>
      <c r="T101" s="143" t="s">
        <v>1515</v>
      </c>
      <c r="U101" s="137">
        <v>45967.625</v>
      </c>
      <c r="V101" s="50">
        <v>390812.49998842593</v>
      </c>
      <c r="W101" s="127"/>
      <c r="X101" s="128" t="str">
        <f t="shared" si="33"/>
        <v>enemy_icon_chara_mag_00401</v>
      </c>
      <c r="Y101" s="128" t="str">
        <f t="shared" si="34"/>
        <v>boss_icon_chara_mag_00401</v>
      </c>
      <c r="Z101" s="144"/>
      <c r="AA101" s="144"/>
      <c r="AB101" s="145" t="s">
        <v>1505</v>
      </c>
      <c r="AC101" s="53"/>
      <c r="AD101" s="54"/>
      <c r="AE101" s="60"/>
      <c r="AF101" s="45"/>
      <c r="AG101" s="138" t="s">
        <v>1506</v>
      </c>
      <c r="AH101" s="139"/>
    </row>
    <row r="102">
      <c r="A102" s="55" t="s">
        <v>98</v>
      </c>
      <c r="B102" s="124" t="str">
        <f t="array" ref="B102">iferror(INDEX('作品'!D:D,MATCH(A102,'作品'!A:A,0),0),"error")</f>
        <v>株式会社マジルミエ</v>
      </c>
      <c r="C102" s="46" t="s">
        <v>1046</v>
      </c>
      <c r="D102" s="47" t="str">
        <f t="shared" si="1"/>
        <v>chara_mag_00501</v>
      </c>
      <c r="E102" s="47" t="s">
        <v>1516</v>
      </c>
      <c r="F102" s="45" t="s">
        <v>1516</v>
      </c>
      <c r="G102" s="45" t="s">
        <v>1517</v>
      </c>
      <c r="H102" s="45" t="s">
        <v>1028</v>
      </c>
      <c r="I102" s="59" t="s">
        <v>1029</v>
      </c>
      <c r="J102" s="55" t="s">
        <v>978</v>
      </c>
      <c r="K102" s="55" t="s">
        <v>979</v>
      </c>
      <c r="L102" s="59" t="s">
        <v>980</v>
      </c>
      <c r="M102" s="59" t="s">
        <v>64</v>
      </c>
      <c r="N102" s="131"/>
      <c r="O102" s="59" t="s">
        <v>64</v>
      </c>
      <c r="P102" s="125"/>
      <c r="Q102" s="143" t="s">
        <v>64</v>
      </c>
      <c r="R102" s="143" t="s">
        <v>64</v>
      </c>
      <c r="S102" s="143" t="s">
        <v>1469</v>
      </c>
      <c r="T102" s="143" t="s">
        <v>983</v>
      </c>
      <c r="U102" s="137">
        <v>45967.625</v>
      </c>
      <c r="V102" s="50">
        <v>390812.49998842593</v>
      </c>
      <c r="W102" s="127"/>
      <c r="X102" s="128" t="str">
        <f t="shared" si="33"/>
        <v>enemy_icon_chara_mag_00501</v>
      </c>
      <c r="Y102" s="128" t="str">
        <f t="shared" si="34"/>
        <v>boss_icon_chara_mag_00501</v>
      </c>
      <c r="Z102" s="144"/>
      <c r="AA102" s="144"/>
      <c r="AB102" s="145" t="s">
        <v>1505</v>
      </c>
      <c r="AC102" s="53"/>
      <c r="AD102" s="54"/>
      <c r="AE102" s="60"/>
      <c r="AF102" s="45"/>
      <c r="AG102" s="138" t="s">
        <v>1506</v>
      </c>
      <c r="AH102" s="139"/>
    </row>
    <row r="103">
      <c r="A103" s="44" t="s">
        <v>103</v>
      </c>
      <c r="B103" s="124" t="str">
        <f t="array" ref="B103">iferror(INDEX('作品'!D:D,MATCH(A103,'作品'!A:A,0),0),"error")</f>
        <v>道産子ギャルはなまらめんこい</v>
      </c>
      <c r="C103" s="46" t="s">
        <v>973</v>
      </c>
      <c r="D103" s="47" t="str">
        <f t="shared" si="1"/>
        <v>chara_dos_00001</v>
      </c>
      <c r="E103" s="47" t="s">
        <v>389</v>
      </c>
      <c r="F103" s="45" t="s">
        <v>389</v>
      </c>
      <c r="G103" s="45" t="s">
        <v>1518</v>
      </c>
      <c r="H103" s="45" t="s">
        <v>993</v>
      </c>
      <c r="I103" s="59" t="s">
        <v>1115</v>
      </c>
      <c r="J103" s="55" t="s">
        <v>1050</v>
      </c>
      <c r="K103" s="55" t="s">
        <v>979</v>
      </c>
      <c r="L103" s="59" t="s">
        <v>1072</v>
      </c>
      <c r="M103" s="59" t="s">
        <v>1020</v>
      </c>
      <c r="N103" s="59" t="s">
        <v>1007</v>
      </c>
      <c r="O103" s="59" t="s">
        <v>1020</v>
      </c>
      <c r="P103" s="125" t="str">
        <f t="shared" ref="P103:P108" si="35">RIGHT(D103,5)</f>
        <v>00001</v>
      </c>
      <c r="Q103" s="143" t="s">
        <v>1226</v>
      </c>
      <c r="R103" s="143" t="s">
        <v>1519</v>
      </c>
      <c r="S103" s="143" t="s">
        <v>1520</v>
      </c>
      <c r="T103" s="143" t="s">
        <v>1197</v>
      </c>
      <c r="U103" s="49">
        <v>45922.458333333336</v>
      </c>
      <c r="V103" s="50">
        <v>390812.49998842593</v>
      </c>
      <c r="W103" s="127" t="str">
        <f t="shared" ref="W103:W108" si="36">"catchcopy_character_"&amp;text(D103,"000000")&amp;".png"</f>
        <v>catchcopy_character_chara_dos_00001.png</v>
      </c>
      <c r="X103" s="128" t="str">
        <f t="shared" si="33"/>
        <v>enemy_icon_chara_dos_00001</v>
      </c>
      <c r="Y103" s="128" t="str">
        <f t="shared" si="34"/>
        <v>boss_icon_chara_dos_00001</v>
      </c>
      <c r="Z103" s="144" t="s">
        <v>1521</v>
      </c>
      <c r="AA103" s="144" t="s">
        <v>1522</v>
      </c>
      <c r="AB103" s="145" t="s">
        <v>985</v>
      </c>
      <c r="AC103" s="53" t="s">
        <v>986</v>
      </c>
      <c r="AD103" s="54"/>
      <c r="AE103" s="133" t="s">
        <v>987</v>
      </c>
      <c r="AF103" s="45" t="s">
        <v>988</v>
      </c>
      <c r="AG103" s="138" t="s">
        <v>989</v>
      </c>
      <c r="AH103" s="139"/>
    </row>
    <row r="104">
      <c r="A104" s="44" t="s">
        <v>103</v>
      </c>
      <c r="B104" s="124" t="str">
        <f t="array" ref="B104">iferror(INDEX('作品'!D:D,MATCH(A104,'作品'!A:A,0),0),"error")</f>
        <v>道産子ギャルはなまらめんこい</v>
      </c>
      <c r="C104" s="46" t="s">
        <v>1001</v>
      </c>
      <c r="D104" s="47" t="str">
        <f t="shared" si="1"/>
        <v>chara_dos_00101</v>
      </c>
      <c r="E104" s="47" t="s">
        <v>391</v>
      </c>
      <c r="F104" s="45" t="s">
        <v>391</v>
      </c>
      <c r="G104" s="45" t="s">
        <v>1523</v>
      </c>
      <c r="H104" s="45" t="s">
        <v>993</v>
      </c>
      <c r="I104" s="59" t="s">
        <v>1115</v>
      </c>
      <c r="J104" s="55" t="s">
        <v>978</v>
      </c>
      <c r="K104" s="55" t="s">
        <v>979</v>
      </c>
      <c r="L104" s="59" t="s">
        <v>980</v>
      </c>
      <c r="M104" s="59" t="s">
        <v>64</v>
      </c>
      <c r="N104" s="142" t="s">
        <v>981</v>
      </c>
      <c r="O104" s="59" t="s">
        <v>64</v>
      </c>
      <c r="P104" s="125" t="str">
        <f t="shared" si="35"/>
        <v>00101</v>
      </c>
      <c r="Q104" s="143" t="s">
        <v>64</v>
      </c>
      <c r="R104" s="143" t="s">
        <v>64</v>
      </c>
      <c r="S104" s="143" t="s">
        <v>1168</v>
      </c>
      <c r="T104" s="143" t="s">
        <v>983</v>
      </c>
      <c r="U104" s="49">
        <v>45922.458333333336</v>
      </c>
      <c r="V104" s="50">
        <v>390812.49998842593</v>
      </c>
      <c r="W104" s="127" t="str">
        <f t="shared" si="36"/>
        <v>catchcopy_character_chara_dos_00101.png</v>
      </c>
      <c r="X104" s="128" t="str">
        <f t="shared" si="33"/>
        <v>enemy_icon_chara_dos_00101</v>
      </c>
      <c r="Y104" s="128" t="str">
        <f t="shared" si="34"/>
        <v>boss_icon_chara_dos_00101</v>
      </c>
      <c r="Z104" s="144"/>
      <c r="AA104" s="144" t="s">
        <v>1524</v>
      </c>
      <c r="AB104" s="145" t="s">
        <v>985</v>
      </c>
      <c r="AC104" s="53" t="s">
        <v>986</v>
      </c>
      <c r="AD104" s="54"/>
      <c r="AE104" s="133" t="s">
        <v>987</v>
      </c>
      <c r="AF104" s="45" t="s">
        <v>988</v>
      </c>
      <c r="AG104" s="138" t="s">
        <v>989</v>
      </c>
      <c r="AH104" s="139"/>
    </row>
    <row r="105">
      <c r="A105" s="44" t="s">
        <v>143</v>
      </c>
      <c r="B105" s="124" t="str">
        <f t="array" ref="B105">iferror(INDEX('作品'!D:D,MATCH(A105,'作品'!A:A,0),0),"error")</f>
        <v>サマータイムレンダ</v>
      </c>
      <c r="C105" s="46" t="s">
        <v>973</v>
      </c>
      <c r="D105" s="47" t="str">
        <f t="shared" si="1"/>
        <v>chara_sum_00001</v>
      </c>
      <c r="E105" s="47" t="s">
        <v>393</v>
      </c>
      <c r="F105" s="45" t="s">
        <v>393</v>
      </c>
      <c r="G105" s="45" t="s">
        <v>1525</v>
      </c>
      <c r="H105" s="45" t="s">
        <v>1057</v>
      </c>
      <c r="I105" s="59" t="s">
        <v>1058</v>
      </c>
      <c r="J105" s="55" t="s">
        <v>1050</v>
      </c>
      <c r="K105" s="55" t="s">
        <v>979</v>
      </c>
      <c r="L105" s="59" t="s">
        <v>1063</v>
      </c>
      <c r="M105" s="59" t="s">
        <v>1006</v>
      </c>
      <c r="N105" s="59" t="s">
        <v>1007</v>
      </c>
      <c r="O105" s="59" t="s">
        <v>1006</v>
      </c>
      <c r="P105" s="125" t="str">
        <f t="shared" si="35"/>
        <v>00001</v>
      </c>
      <c r="Q105" s="143" t="s">
        <v>1197</v>
      </c>
      <c r="R105" s="115" t="s">
        <v>1526</v>
      </c>
      <c r="S105" s="115" t="s">
        <v>1053</v>
      </c>
      <c r="T105" s="115" t="s">
        <v>1527</v>
      </c>
      <c r="U105" s="49">
        <v>45922.458333333336</v>
      </c>
      <c r="V105" s="50">
        <v>390812.49998842593</v>
      </c>
      <c r="W105" s="127" t="str">
        <f t="shared" si="36"/>
        <v>catchcopy_character_chara_sum_00001.png</v>
      </c>
      <c r="X105" s="128" t="str">
        <f t="shared" si="33"/>
        <v>enemy_icon_chara_sum_00001</v>
      </c>
      <c r="Y105" s="128" t="str">
        <f t="shared" si="34"/>
        <v>boss_icon_chara_sum_00001</v>
      </c>
      <c r="Z105" s="144" t="s">
        <v>1528</v>
      </c>
      <c r="AA105" s="144" t="s">
        <v>1529</v>
      </c>
      <c r="AB105" s="145" t="s">
        <v>985</v>
      </c>
      <c r="AC105" s="53" t="s">
        <v>986</v>
      </c>
      <c r="AD105" s="54"/>
      <c r="AE105" s="133" t="s">
        <v>987</v>
      </c>
      <c r="AF105" s="45" t="s">
        <v>1105</v>
      </c>
      <c r="AG105" s="138" t="s">
        <v>989</v>
      </c>
      <c r="AH105" s="139"/>
    </row>
    <row r="106">
      <c r="A106" s="44" t="s">
        <v>143</v>
      </c>
      <c r="B106" s="124" t="str">
        <f t="array" ref="B106">iferror(INDEX('作品'!D:D,MATCH(A106,'作品'!A:A,0),0),"error")</f>
        <v>サマータイムレンダ</v>
      </c>
      <c r="C106" s="46" t="s">
        <v>1001</v>
      </c>
      <c r="D106" s="47" t="str">
        <f t="shared" si="1"/>
        <v>chara_sum_00101</v>
      </c>
      <c r="E106" s="47" t="s">
        <v>1530</v>
      </c>
      <c r="F106" s="45" t="s">
        <v>1530</v>
      </c>
      <c r="G106" s="45" t="s">
        <v>1531</v>
      </c>
      <c r="H106" s="45" t="s">
        <v>976</v>
      </c>
      <c r="I106" s="59" t="s">
        <v>977</v>
      </c>
      <c r="J106" s="55" t="s">
        <v>1050</v>
      </c>
      <c r="K106" s="55" t="s">
        <v>979</v>
      </c>
      <c r="L106" s="59" t="s">
        <v>1072</v>
      </c>
      <c r="M106" s="59" t="s">
        <v>1018</v>
      </c>
      <c r="N106" s="142" t="s">
        <v>1019</v>
      </c>
      <c r="O106" s="59" t="s">
        <v>64</v>
      </c>
      <c r="P106" s="125" t="str">
        <f t="shared" si="35"/>
        <v>00101</v>
      </c>
      <c r="Q106" s="143" t="s">
        <v>1051</v>
      </c>
      <c r="R106" s="143" t="s">
        <v>1041</v>
      </c>
      <c r="S106" s="143" t="s">
        <v>1532</v>
      </c>
      <c r="T106" s="143" t="s">
        <v>1116</v>
      </c>
      <c r="U106" s="49">
        <v>45922.458333333336</v>
      </c>
      <c r="V106" s="50">
        <v>390812.49998842593</v>
      </c>
      <c r="W106" s="127" t="str">
        <f t="shared" si="36"/>
        <v>catchcopy_character_chara_sum_00101.png</v>
      </c>
      <c r="X106" s="128" t="str">
        <f t="shared" si="33"/>
        <v>enemy_icon_chara_sum_00101</v>
      </c>
      <c r="Y106" s="128" t="str">
        <f t="shared" si="34"/>
        <v>boss_icon_chara_sum_00101</v>
      </c>
      <c r="Z106" s="144" t="s">
        <v>1533</v>
      </c>
      <c r="AA106" s="144" t="s">
        <v>1534</v>
      </c>
      <c r="AB106" s="145" t="s">
        <v>985</v>
      </c>
      <c r="AC106" s="53" t="s">
        <v>986</v>
      </c>
      <c r="AD106" s="54"/>
      <c r="AE106" s="133" t="s">
        <v>987</v>
      </c>
      <c r="AF106" s="45" t="s">
        <v>1105</v>
      </c>
      <c r="AG106" s="138" t="s">
        <v>989</v>
      </c>
      <c r="AH106" s="139"/>
    </row>
    <row r="107">
      <c r="A107" s="44" t="s">
        <v>143</v>
      </c>
      <c r="B107" s="124" t="str">
        <f t="array" ref="B107">iferror(INDEX('作品'!D:D,MATCH(A107,'作品'!A:A,0),0),"error")</f>
        <v>サマータイムレンダ</v>
      </c>
      <c r="C107" s="46" t="s">
        <v>1014</v>
      </c>
      <c r="D107" s="47" t="str">
        <f t="shared" si="1"/>
        <v>chara_sum_00201</v>
      </c>
      <c r="E107" s="47" t="s">
        <v>397</v>
      </c>
      <c r="F107" s="45" t="s">
        <v>397</v>
      </c>
      <c r="G107" s="45" t="s">
        <v>1535</v>
      </c>
      <c r="H107" s="45" t="s">
        <v>1028</v>
      </c>
      <c r="I107" s="59" t="s">
        <v>1166</v>
      </c>
      <c r="J107" s="55" t="s">
        <v>1050</v>
      </c>
      <c r="K107" s="55" t="s">
        <v>979</v>
      </c>
      <c r="L107" s="59" t="s">
        <v>1005</v>
      </c>
      <c r="M107" s="59" t="s">
        <v>1020</v>
      </c>
      <c r="N107" s="142" t="s">
        <v>1039</v>
      </c>
      <c r="O107" s="59" t="s">
        <v>1006</v>
      </c>
      <c r="P107" s="125" t="str">
        <f t="shared" si="35"/>
        <v>00201</v>
      </c>
      <c r="Q107" s="143" t="s">
        <v>1536</v>
      </c>
      <c r="R107" s="143" t="s">
        <v>1537</v>
      </c>
      <c r="S107" s="143" t="s">
        <v>1320</v>
      </c>
      <c r="T107" s="143" t="s">
        <v>1538</v>
      </c>
      <c r="U107" s="49">
        <v>45922.458333333336</v>
      </c>
      <c r="V107" s="50">
        <v>390812.49998842593</v>
      </c>
      <c r="W107" s="127" t="str">
        <f t="shared" si="36"/>
        <v>catchcopy_character_chara_sum_00201.png</v>
      </c>
      <c r="X107" s="128" t="str">
        <f t="shared" si="33"/>
        <v>enemy_icon_chara_sum_00201</v>
      </c>
      <c r="Y107" s="128" t="str">
        <f t="shared" si="34"/>
        <v>boss_icon_chara_sum_00201</v>
      </c>
      <c r="Z107" s="144" t="s">
        <v>1539</v>
      </c>
      <c r="AA107" s="144" t="s">
        <v>1540</v>
      </c>
      <c r="AB107" s="145" t="s">
        <v>985</v>
      </c>
      <c r="AC107" s="53" t="s">
        <v>986</v>
      </c>
      <c r="AD107" s="54"/>
      <c r="AE107" s="133" t="s">
        <v>987</v>
      </c>
      <c r="AF107" s="45" t="s">
        <v>1541</v>
      </c>
      <c r="AG107" s="138" t="s">
        <v>989</v>
      </c>
      <c r="AH107" s="139"/>
    </row>
    <row r="108">
      <c r="A108" s="44" t="s">
        <v>143</v>
      </c>
      <c r="B108" s="206" t="str">
        <f t="array" ref="B108">iferror(INDEX('作品'!D:D,MATCH(A108,'作品'!A:A,0),0),"error")</f>
        <v>サマータイムレンダ</v>
      </c>
      <c r="C108" s="46" t="s">
        <v>1026</v>
      </c>
      <c r="D108" s="207" t="str">
        <f t="shared" si="1"/>
        <v>chara_sum_00301</v>
      </c>
      <c r="E108" s="207" t="s">
        <v>1542</v>
      </c>
      <c r="F108" s="136" t="s">
        <v>991</v>
      </c>
      <c r="G108" s="45"/>
      <c r="H108" s="45" t="s">
        <v>993</v>
      </c>
      <c r="I108" s="59" t="s">
        <v>1115</v>
      </c>
      <c r="J108" s="55" t="s">
        <v>1017</v>
      </c>
      <c r="K108" s="55" t="s">
        <v>979</v>
      </c>
      <c r="L108" s="59" t="s">
        <v>1223</v>
      </c>
      <c r="M108" s="59"/>
      <c r="N108" s="132"/>
      <c r="O108" s="59"/>
      <c r="P108" s="125" t="str">
        <f t="shared" si="35"/>
        <v>00301</v>
      </c>
      <c r="Q108" s="115"/>
      <c r="R108" s="115"/>
      <c r="S108" s="115"/>
      <c r="T108" s="115"/>
      <c r="U108" s="175">
        <v>45658.0</v>
      </c>
      <c r="V108" s="176">
        <v>390812.49998842593</v>
      </c>
      <c r="W108" s="51" t="str">
        <f t="shared" si="36"/>
        <v>catchcopy_character_chara_sum_00301.png</v>
      </c>
      <c r="X108" s="208" t="str">
        <f t="shared" si="33"/>
        <v>enemy_icon_chara_sum_00301</v>
      </c>
      <c r="Y108" s="208" t="str">
        <f t="shared" si="34"/>
        <v>boss_icon_chara_sum_00301</v>
      </c>
      <c r="Z108" s="172"/>
      <c r="AA108" s="172"/>
      <c r="AB108" s="145" t="s">
        <v>1324</v>
      </c>
      <c r="AC108" s="53"/>
      <c r="AD108" s="54"/>
      <c r="AE108" s="60"/>
      <c r="AF108" s="45" t="s">
        <v>1541</v>
      </c>
      <c r="AG108" s="138" t="s">
        <v>1078</v>
      </c>
      <c r="AH108" s="139"/>
    </row>
    <row r="109">
      <c r="A109" s="44" t="s">
        <v>143</v>
      </c>
      <c r="B109" s="124" t="str">
        <f t="array" ref="B109">iferror(INDEX('作品'!D:D,MATCH(A109,'作品'!A:A,0),0),"error")</f>
        <v>サマータイムレンダ</v>
      </c>
      <c r="C109" s="46" t="s">
        <v>1034</v>
      </c>
      <c r="D109" s="207" t="str">
        <f t="shared" si="1"/>
        <v>chara_sum_00401</v>
      </c>
      <c r="E109" s="207" t="s">
        <v>1543</v>
      </c>
      <c r="F109" s="136" t="s">
        <v>991</v>
      </c>
      <c r="G109" s="45"/>
      <c r="H109" s="45" t="s">
        <v>1028</v>
      </c>
      <c r="I109" s="59" t="s">
        <v>994</v>
      </c>
      <c r="J109" s="55" t="s">
        <v>1004</v>
      </c>
      <c r="K109" s="55" t="s">
        <v>979</v>
      </c>
      <c r="L109" s="59"/>
      <c r="M109" s="59"/>
      <c r="N109" s="132"/>
      <c r="O109" s="59"/>
      <c r="P109" s="125"/>
      <c r="Q109" s="115"/>
      <c r="R109" s="115"/>
      <c r="S109" s="115"/>
      <c r="T109" s="115"/>
      <c r="U109" s="175"/>
      <c r="V109" s="176"/>
      <c r="W109" s="51"/>
      <c r="X109" s="208"/>
      <c r="Y109" s="208"/>
      <c r="Z109" s="172"/>
      <c r="AA109" s="172"/>
      <c r="AB109" s="145"/>
      <c r="AC109" s="53"/>
      <c r="AD109" s="54"/>
      <c r="AE109" s="60"/>
      <c r="AF109" s="45"/>
      <c r="AG109" s="138"/>
      <c r="AH109" s="139"/>
    </row>
    <row r="110">
      <c r="A110" s="44" t="s">
        <v>143</v>
      </c>
      <c r="B110" s="124" t="str">
        <f t="array" ref="B110">iferror(INDEX('作品'!D:D,MATCH(A110,'作品'!A:A,0),0),"error")</f>
        <v>サマータイムレンダ</v>
      </c>
      <c r="C110" s="46" t="s">
        <v>1046</v>
      </c>
      <c r="D110" s="207" t="str">
        <f t="shared" si="1"/>
        <v>chara_sum_00501</v>
      </c>
      <c r="E110" s="207" t="s">
        <v>1544</v>
      </c>
      <c r="F110" s="136" t="s">
        <v>991</v>
      </c>
      <c r="G110" s="45"/>
      <c r="H110" s="45" t="s">
        <v>976</v>
      </c>
      <c r="I110" s="59" t="s">
        <v>1335</v>
      </c>
      <c r="J110" s="55" t="s">
        <v>1036</v>
      </c>
      <c r="K110" s="55" t="s">
        <v>979</v>
      </c>
      <c r="L110" s="59"/>
      <c r="M110" s="59"/>
      <c r="N110" s="132"/>
      <c r="O110" s="59"/>
      <c r="P110" s="125"/>
      <c r="Q110" s="115"/>
      <c r="R110" s="115"/>
      <c r="S110" s="115"/>
      <c r="T110" s="115"/>
      <c r="U110" s="175"/>
      <c r="V110" s="176"/>
      <c r="W110" s="51"/>
      <c r="X110" s="208"/>
      <c r="Y110" s="208"/>
      <c r="Z110" s="172"/>
      <c r="AA110" s="172"/>
      <c r="AB110" s="145"/>
      <c r="AC110" s="53"/>
      <c r="AD110" s="54"/>
      <c r="AE110" s="60"/>
      <c r="AF110" s="45"/>
      <c r="AG110" s="138"/>
      <c r="AH110" s="139"/>
    </row>
    <row r="111">
      <c r="A111" s="55" t="s">
        <v>158</v>
      </c>
      <c r="B111" s="124" t="str">
        <f t="array" ref="B111">iferror(INDEX('作品'!D:D,MATCH(A111,'作品'!A:A,0),0),"error")</f>
        <v>【推しの子】</v>
      </c>
      <c r="C111" s="46" t="s">
        <v>973</v>
      </c>
      <c r="D111" s="207" t="str">
        <f t="shared" si="1"/>
        <v>chara_osh_00001</v>
      </c>
      <c r="E111" s="207" t="s">
        <v>1545</v>
      </c>
      <c r="F111" s="45" t="s">
        <v>1546</v>
      </c>
      <c r="G111" s="193" t="s">
        <v>1547</v>
      </c>
      <c r="H111" s="45" t="s">
        <v>976</v>
      </c>
      <c r="I111" s="59" t="s">
        <v>1335</v>
      </c>
      <c r="J111" s="55" t="s">
        <v>1017</v>
      </c>
      <c r="K111" s="55" t="s">
        <v>979</v>
      </c>
      <c r="L111" s="59" t="s">
        <v>1063</v>
      </c>
      <c r="M111" s="59" t="s">
        <v>1006</v>
      </c>
      <c r="N111" s="142" t="s">
        <v>1019</v>
      </c>
      <c r="O111" s="59" t="s">
        <v>64</v>
      </c>
      <c r="P111" s="125"/>
      <c r="Q111" s="143" t="s">
        <v>1140</v>
      </c>
      <c r="R111" s="115" t="s">
        <v>1124</v>
      </c>
      <c r="S111" s="143" t="s">
        <v>1548</v>
      </c>
      <c r="T111" s="143" t="s">
        <v>1549</v>
      </c>
      <c r="U111" s="209">
        <v>46023.0</v>
      </c>
      <c r="V111" s="50">
        <v>390812.49998842593</v>
      </c>
      <c r="W111" s="127" t="str">
        <f t="shared" ref="W111:W112" si="37">"catchcopy_character_"&amp;text(D111,"000000")&amp;".png"</f>
        <v>catchcopy_character_chara_osh_00001.png</v>
      </c>
      <c r="X111" s="128" t="str">
        <f t="shared" ref="X111:X112" si="38">"enemy_icon_"&amp;K111&amp;"_"&amp;A111&amp;"_"&amp;C111</f>
        <v>enemy_icon_chara_osh_00001</v>
      </c>
      <c r="Y111" s="128" t="str">
        <f t="shared" ref="Y111:Y112" si="39">"boss_icon_"&amp;K111&amp;"_"&amp;A111&amp;"_"&amp;C111</f>
        <v>boss_icon_chara_osh_00001</v>
      </c>
      <c r="Z111" s="144"/>
      <c r="AA111" s="172"/>
      <c r="AB111" s="145" t="s">
        <v>1550</v>
      </c>
      <c r="AC111" s="53" t="s">
        <v>986</v>
      </c>
      <c r="AD111" s="210"/>
      <c r="AE111" s="60"/>
      <c r="AF111" s="45" t="s">
        <v>1541</v>
      </c>
      <c r="AG111" s="138" t="s">
        <v>1551</v>
      </c>
      <c r="AH111" s="139"/>
    </row>
    <row r="112">
      <c r="A112" s="55" t="s">
        <v>158</v>
      </c>
      <c r="B112" s="124" t="str">
        <f t="array" ref="B112">iferror(INDEX('作品'!D:D,MATCH(A112,'作品'!A:A,0),0),"error")</f>
        <v>【推しの子】</v>
      </c>
      <c r="C112" s="46" t="s">
        <v>1001</v>
      </c>
      <c r="D112" s="207" t="str">
        <f t="shared" si="1"/>
        <v>chara_osh_00101</v>
      </c>
      <c r="E112" s="207" t="s">
        <v>1552</v>
      </c>
      <c r="F112" s="142" t="s">
        <v>1553</v>
      </c>
      <c r="G112" s="193" t="s">
        <v>1554</v>
      </c>
      <c r="H112" s="45" t="s">
        <v>976</v>
      </c>
      <c r="I112" s="59" t="s">
        <v>977</v>
      </c>
      <c r="J112" s="55" t="s">
        <v>978</v>
      </c>
      <c r="K112" s="55" t="s">
        <v>979</v>
      </c>
      <c r="L112" s="59" t="s">
        <v>980</v>
      </c>
      <c r="M112" s="59" t="s">
        <v>64</v>
      </c>
      <c r="N112" s="142" t="s">
        <v>981</v>
      </c>
      <c r="O112" s="59" t="s">
        <v>1038</v>
      </c>
      <c r="P112" s="125"/>
      <c r="Q112" s="143" t="s">
        <v>64</v>
      </c>
      <c r="R112" s="143" t="s">
        <v>64</v>
      </c>
      <c r="S112" s="143" t="s">
        <v>1469</v>
      </c>
      <c r="T112" s="115" t="s">
        <v>1367</v>
      </c>
      <c r="U112" s="209">
        <v>46023.0</v>
      </c>
      <c r="V112" s="50">
        <v>390812.49998842593</v>
      </c>
      <c r="W112" s="127" t="str">
        <f t="shared" si="37"/>
        <v>catchcopy_character_chara_osh_00101.png</v>
      </c>
      <c r="X112" s="128" t="str">
        <f t="shared" si="38"/>
        <v>enemy_icon_chara_osh_00101</v>
      </c>
      <c r="Y112" s="128" t="str">
        <f t="shared" si="39"/>
        <v>boss_icon_chara_osh_00101</v>
      </c>
      <c r="Z112" s="144"/>
      <c r="AA112" s="172"/>
      <c r="AB112" s="145" t="s">
        <v>1550</v>
      </c>
      <c r="AC112" s="53" t="s">
        <v>986</v>
      </c>
      <c r="AD112" s="210"/>
      <c r="AE112" s="60"/>
      <c r="AF112" s="45" t="s">
        <v>1541</v>
      </c>
      <c r="AG112" s="138" t="s">
        <v>1551</v>
      </c>
      <c r="AH112" s="139"/>
    </row>
    <row r="113">
      <c r="A113" s="55" t="s">
        <v>158</v>
      </c>
      <c r="B113" s="124" t="str">
        <f t="array" ref="B113">iferror(INDEX('作品'!D:D,MATCH(A113,'作品'!A:A,0),0),"error")</f>
        <v>【推しの子】</v>
      </c>
      <c r="C113" s="46" t="s">
        <v>1255</v>
      </c>
      <c r="D113" s="207" t="str">
        <f t="shared" si="1"/>
        <v>chara_osh_00102</v>
      </c>
      <c r="E113" s="207" t="s">
        <v>1555</v>
      </c>
      <c r="F113" s="136" t="s">
        <v>991</v>
      </c>
      <c r="G113" s="193"/>
      <c r="H113" s="45" t="s">
        <v>1028</v>
      </c>
      <c r="I113" s="59" t="s">
        <v>1029</v>
      </c>
      <c r="J113" s="55" t="s">
        <v>1050</v>
      </c>
      <c r="K113" s="55" t="s">
        <v>979</v>
      </c>
      <c r="L113" s="59" t="s">
        <v>1037</v>
      </c>
      <c r="M113" s="59"/>
      <c r="N113" s="142"/>
      <c r="O113" s="59"/>
      <c r="P113" s="125"/>
      <c r="Q113" s="143"/>
      <c r="R113" s="143"/>
      <c r="S113" s="143"/>
      <c r="T113" s="115"/>
      <c r="U113" s="209"/>
      <c r="V113" s="50"/>
      <c r="W113" s="127"/>
      <c r="X113" s="128"/>
      <c r="Y113" s="128"/>
      <c r="Z113" s="144"/>
      <c r="AA113" s="172"/>
      <c r="AB113" s="145"/>
      <c r="AC113" s="53"/>
      <c r="AD113" s="210"/>
      <c r="AE113" s="60"/>
      <c r="AF113" s="45"/>
      <c r="AG113" s="138"/>
      <c r="AH113" s="139"/>
    </row>
    <row r="114">
      <c r="A114" s="55" t="s">
        <v>158</v>
      </c>
      <c r="B114" s="124" t="str">
        <f t="array" ref="B114">iferror(INDEX('作品'!D:D,MATCH(A114,'作品'!A:A,0),0),"error")</f>
        <v>【推しの子】</v>
      </c>
      <c r="C114" s="46" t="s">
        <v>1014</v>
      </c>
      <c r="D114" s="47" t="str">
        <f t="shared" si="1"/>
        <v>chara_osh_00201</v>
      </c>
      <c r="E114" s="148" t="s">
        <v>1556</v>
      </c>
      <c r="F114" s="45" t="s">
        <v>1556</v>
      </c>
      <c r="G114" s="193" t="s">
        <v>1557</v>
      </c>
      <c r="H114" s="45" t="s">
        <v>993</v>
      </c>
      <c r="I114" s="59" t="s">
        <v>1115</v>
      </c>
      <c r="J114" s="55" t="s">
        <v>1017</v>
      </c>
      <c r="K114" s="55" t="s">
        <v>979</v>
      </c>
      <c r="L114" s="59" t="s">
        <v>1005</v>
      </c>
      <c r="M114" s="59" t="s">
        <v>1038</v>
      </c>
      <c r="N114" s="142" t="s">
        <v>1039</v>
      </c>
      <c r="O114" s="59" t="s">
        <v>64</v>
      </c>
      <c r="P114" s="125"/>
      <c r="Q114" s="143" t="s">
        <v>1073</v>
      </c>
      <c r="R114" s="115" t="s">
        <v>1558</v>
      </c>
      <c r="S114" s="143" t="s">
        <v>1252</v>
      </c>
      <c r="T114" s="143" t="s">
        <v>1559</v>
      </c>
      <c r="U114" s="209">
        <v>46023.0</v>
      </c>
      <c r="V114" s="50">
        <v>390812.49998842593</v>
      </c>
      <c r="W114" s="127" t="str">
        <f>"catchcopy_character_"&amp;text(D114,"000000")&amp;".png"</f>
        <v>catchcopy_character_chara_osh_00201.png</v>
      </c>
      <c r="X114" s="128" t="str">
        <f>"enemy_icon_"&amp;K114&amp;"_"&amp;A114&amp;"_"&amp;C114</f>
        <v>enemy_icon_chara_osh_00201</v>
      </c>
      <c r="Y114" s="128" t="str">
        <f>"boss_icon_"&amp;K114&amp;"_"&amp;A114&amp;"_"&amp;C114</f>
        <v>boss_icon_chara_osh_00201</v>
      </c>
      <c r="Z114" s="144"/>
      <c r="AA114" s="172"/>
      <c r="AB114" s="145" t="s">
        <v>1550</v>
      </c>
      <c r="AC114" s="53" t="s">
        <v>986</v>
      </c>
      <c r="AD114" s="210"/>
      <c r="AE114" s="60"/>
      <c r="AF114" s="45" t="s">
        <v>1541</v>
      </c>
      <c r="AG114" s="138" t="s">
        <v>1551</v>
      </c>
      <c r="AH114" s="139"/>
    </row>
    <row r="115">
      <c r="A115" s="55" t="s">
        <v>158</v>
      </c>
      <c r="B115" s="124" t="str">
        <f t="array" ref="B115">iferror(INDEX('作品'!D:D,MATCH(A115,'作品'!A:A,0),0),"error")</f>
        <v>【推しの子】</v>
      </c>
      <c r="C115" s="46" t="s">
        <v>1130</v>
      </c>
      <c r="D115" s="47" t="str">
        <f t="shared" si="1"/>
        <v>chara_osh_00202</v>
      </c>
      <c r="E115" s="47" t="s">
        <v>1560</v>
      </c>
      <c r="F115" s="136" t="s">
        <v>991</v>
      </c>
      <c r="G115" s="193"/>
      <c r="H115" s="45" t="s">
        <v>1028</v>
      </c>
      <c r="I115" s="59" t="s">
        <v>1029</v>
      </c>
      <c r="J115" s="55" t="s">
        <v>978</v>
      </c>
      <c r="K115" s="55" t="s">
        <v>979</v>
      </c>
      <c r="L115" s="59" t="s">
        <v>980</v>
      </c>
      <c r="M115" s="59"/>
      <c r="N115" s="142"/>
      <c r="O115" s="59"/>
      <c r="P115" s="125"/>
      <c r="Q115" s="143"/>
      <c r="R115" s="115"/>
      <c r="S115" s="143"/>
      <c r="T115" s="143"/>
      <c r="U115" s="209"/>
      <c r="V115" s="50"/>
      <c r="W115" s="127"/>
      <c r="X115" s="128"/>
      <c r="Y115" s="128"/>
      <c r="Z115" s="144"/>
      <c r="AA115" s="172"/>
      <c r="AB115" s="145"/>
      <c r="AC115" s="53"/>
      <c r="AD115" s="210"/>
      <c r="AE115" s="60"/>
      <c r="AF115" s="45"/>
      <c r="AG115" s="138"/>
      <c r="AH115" s="139"/>
    </row>
    <row r="116">
      <c r="A116" s="55" t="s">
        <v>158</v>
      </c>
      <c r="B116" s="124" t="str">
        <f t="array" ref="B116">iferror(INDEX('作品'!D:D,MATCH(A116,'作品'!A:A,0),0),"error")</f>
        <v>【推しの子】</v>
      </c>
      <c r="C116" s="46" t="s">
        <v>1026</v>
      </c>
      <c r="D116" s="47" t="str">
        <f t="shared" si="1"/>
        <v>chara_osh_00301</v>
      </c>
      <c r="E116" s="148" t="s">
        <v>1561</v>
      </c>
      <c r="F116" s="45" t="s">
        <v>1561</v>
      </c>
      <c r="G116" s="193" t="s">
        <v>1562</v>
      </c>
      <c r="H116" s="45" t="s">
        <v>993</v>
      </c>
      <c r="I116" s="59" t="s">
        <v>1115</v>
      </c>
      <c r="J116" s="55" t="s">
        <v>1004</v>
      </c>
      <c r="K116" s="55" t="s">
        <v>979</v>
      </c>
      <c r="L116" s="59" t="s">
        <v>1072</v>
      </c>
      <c r="M116" s="59" t="s">
        <v>1020</v>
      </c>
      <c r="N116" s="142" t="s">
        <v>1039</v>
      </c>
      <c r="O116" s="59" t="s">
        <v>64</v>
      </c>
      <c r="P116" s="125"/>
      <c r="Q116" s="143" t="s">
        <v>1051</v>
      </c>
      <c r="R116" s="143" t="s">
        <v>1563</v>
      </c>
      <c r="S116" s="143" t="s">
        <v>1481</v>
      </c>
      <c r="T116" s="143" t="s">
        <v>1564</v>
      </c>
      <c r="U116" s="209">
        <v>46023.0</v>
      </c>
      <c r="V116" s="50">
        <v>390812.49998842593</v>
      </c>
      <c r="W116" s="127" t="str">
        <f t="shared" ref="W116:W117" si="40">"catchcopy_character_"&amp;text(D116,"000000")&amp;".png"</f>
        <v>catchcopy_character_chara_osh_00301.png</v>
      </c>
      <c r="X116" s="128" t="str">
        <f t="shared" ref="X116:X117" si="41">"enemy_icon_"&amp;K116&amp;"_"&amp;A116&amp;"_"&amp;C116</f>
        <v>enemy_icon_chara_osh_00301</v>
      </c>
      <c r="Y116" s="128" t="str">
        <f t="shared" ref="Y116:Y117" si="42">"boss_icon_"&amp;K116&amp;"_"&amp;A116&amp;"_"&amp;C116</f>
        <v>boss_icon_chara_osh_00301</v>
      </c>
      <c r="Z116" s="144"/>
      <c r="AA116" s="172"/>
      <c r="AB116" s="145" t="s">
        <v>1550</v>
      </c>
      <c r="AC116" s="53" t="s">
        <v>986</v>
      </c>
      <c r="AD116" s="210"/>
      <c r="AE116" s="60"/>
      <c r="AF116" s="45" t="s">
        <v>1541</v>
      </c>
      <c r="AG116" s="138" t="s">
        <v>1551</v>
      </c>
      <c r="AH116" s="139"/>
    </row>
    <row r="117">
      <c r="A117" s="55" t="s">
        <v>158</v>
      </c>
      <c r="B117" s="124" t="str">
        <f t="array" ref="B117">iferror(INDEX('作品'!D:D,MATCH(A117,'作品'!A:A,0),0),"error")</f>
        <v>【推しの子】</v>
      </c>
      <c r="C117" s="46" t="s">
        <v>1034</v>
      </c>
      <c r="D117" s="47" t="str">
        <f t="shared" si="1"/>
        <v>chara_osh_00401</v>
      </c>
      <c r="E117" s="148" t="s">
        <v>1565</v>
      </c>
      <c r="F117" s="45" t="s">
        <v>1565</v>
      </c>
      <c r="G117" s="193" t="s">
        <v>1566</v>
      </c>
      <c r="H117" s="45" t="s">
        <v>993</v>
      </c>
      <c r="I117" s="59" t="s">
        <v>1115</v>
      </c>
      <c r="J117" s="59" t="s">
        <v>1036</v>
      </c>
      <c r="K117" s="55" t="s">
        <v>979</v>
      </c>
      <c r="L117" s="59" t="s">
        <v>1063</v>
      </c>
      <c r="M117" s="59" t="s">
        <v>1038</v>
      </c>
      <c r="N117" s="142" t="s">
        <v>1039</v>
      </c>
      <c r="O117" s="59" t="s">
        <v>1038</v>
      </c>
      <c r="P117" s="125"/>
      <c r="Q117" s="143" t="s">
        <v>1226</v>
      </c>
      <c r="R117" s="143" t="s">
        <v>1567</v>
      </c>
      <c r="S117" s="143" t="s">
        <v>1568</v>
      </c>
      <c r="T117" s="143" t="s">
        <v>1569</v>
      </c>
      <c r="U117" s="209">
        <v>46023.0</v>
      </c>
      <c r="V117" s="50">
        <v>390812.49998842593</v>
      </c>
      <c r="W117" s="127" t="str">
        <f t="shared" si="40"/>
        <v>catchcopy_character_chara_osh_00401.png</v>
      </c>
      <c r="X117" s="128" t="str">
        <f t="shared" si="41"/>
        <v>enemy_icon_chara_osh_00401</v>
      </c>
      <c r="Y117" s="128" t="str">
        <f t="shared" si="42"/>
        <v>boss_icon_chara_osh_00401</v>
      </c>
      <c r="Z117" s="144"/>
      <c r="AA117" s="172"/>
      <c r="AB117" s="145" t="s">
        <v>1550</v>
      </c>
      <c r="AC117" s="53" t="s">
        <v>986</v>
      </c>
      <c r="AD117" s="210"/>
      <c r="AE117" s="60"/>
      <c r="AF117" s="45" t="s">
        <v>1541</v>
      </c>
      <c r="AG117" s="138" t="s">
        <v>1551</v>
      </c>
      <c r="AH117" s="139"/>
    </row>
    <row r="118">
      <c r="A118" s="55" t="s">
        <v>158</v>
      </c>
      <c r="B118" s="124" t="str">
        <f t="array" ref="B118">iferror(INDEX('作品'!D:D,MATCH(A118,'作品'!A:A,0),0),"error")</f>
        <v>【推しの子】</v>
      </c>
      <c r="C118" s="46" t="s">
        <v>1570</v>
      </c>
      <c r="D118" s="47" t="str">
        <f t="shared" si="1"/>
        <v>chara_osh_00402</v>
      </c>
      <c r="E118" s="47" t="s">
        <v>1571</v>
      </c>
      <c r="F118" s="136" t="s">
        <v>991</v>
      </c>
      <c r="G118" s="193"/>
      <c r="H118" s="45" t="s">
        <v>976</v>
      </c>
      <c r="I118" s="59" t="s">
        <v>977</v>
      </c>
      <c r="J118" s="59" t="s">
        <v>1050</v>
      </c>
      <c r="K118" s="55" t="s">
        <v>979</v>
      </c>
      <c r="L118" s="59" t="s">
        <v>1005</v>
      </c>
      <c r="M118" s="59"/>
      <c r="N118" s="142"/>
      <c r="O118" s="59"/>
      <c r="P118" s="125"/>
      <c r="Q118" s="143"/>
      <c r="R118" s="143"/>
      <c r="S118" s="143"/>
      <c r="T118" s="143"/>
      <c r="U118" s="209"/>
      <c r="V118" s="50"/>
      <c r="W118" s="127"/>
      <c r="X118" s="128"/>
      <c r="Y118" s="128"/>
      <c r="Z118" s="144"/>
      <c r="AA118" s="172"/>
      <c r="AB118" s="145"/>
      <c r="AC118" s="53"/>
      <c r="AD118" s="210"/>
      <c r="AE118" s="60"/>
      <c r="AF118" s="45"/>
      <c r="AG118" s="138"/>
      <c r="AH118" s="139"/>
    </row>
    <row r="119">
      <c r="A119" s="55" t="s">
        <v>158</v>
      </c>
      <c r="B119" s="124" t="str">
        <f t="array" ref="B119">iferror(INDEX('作品'!D:D,MATCH(A119,'作品'!A:A,0),0),"error")</f>
        <v>【推しの子】</v>
      </c>
      <c r="C119" s="195" t="s">
        <v>1046</v>
      </c>
      <c r="D119" s="47" t="str">
        <f t="shared" si="1"/>
        <v>chara_osh_00501</v>
      </c>
      <c r="E119" s="196" t="s">
        <v>1572</v>
      </c>
      <c r="F119" s="45" t="s">
        <v>1572</v>
      </c>
      <c r="G119" s="193" t="s">
        <v>1573</v>
      </c>
      <c r="H119" s="45" t="s">
        <v>993</v>
      </c>
      <c r="I119" s="59" t="s">
        <v>1115</v>
      </c>
      <c r="J119" s="59" t="s">
        <v>1050</v>
      </c>
      <c r="K119" s="55" t="s">
        <v>979</v>
      </c>
      <c r="L119" s="59" t="s">
        <v>1063</v>
      </c>
      <c r="M119" s="59" t="s">
        <v>1020</v>
      </c>
      <c r="N119" s="142" t="s">
        <v>1039</v>
      </c>
      <c r="O119" s="59" t="s">
        <v>1020</v>
      </c>
      <c r="P119" s="186"/>
      <c r="Q119" s="143" t="s">
        <v>1343</v>
      </c>
      <c r="R119" s="143" t="s">
        <v>1574</v>
      </c>
      <c r="S119" s="143" t="s">
        <v>1093</v>
      </c>
      <c r="T119" s="143" t="s">
        <v>1575</v>
      </c>
      <c r="U119" s="209">
        <v>46023.0</v>
      </c>
      <c r="V119" s="50">
        <v>390812.49998842593</v>
      </c>
      <c r="W119" s="189" t="str">
        <f>"catchcopy_character_"&amp;text(D119,"000000")&amp;".png"</f>
        <v>catchcopy_character_chara_osh_00501.png</v>
      </c>
      <c r="X119" s="128" t="str">
        <f>"enemy_icon_"&amp;K119&amp;"_"&amp;A119&amp;"_"&amp;C119</f>
        <v>enemy_icon_chara_osh_00501</v>
      </c>
      <c r="Y119" s="128" t="str">
        <f>"boss_icon_"&amp;K119&amp;"_"&amp;A119&amp;"_"&amp;C119</f>
        <v>boss_icon_chara_osh_00501</v>
      </c>
      <c r="Z119" s="211"/>
      <c r="AA119" s="202"/>
      <c r="AB119" s="145" t="s">
        <v>1550</v>
      </c>
      <c r="AC119" s="106" t="s">
        <v>986</v>
      </c>
      <c r="AD119" s="212"/>
      <c r="AE119" s="60"/>
      <c r="AF119" s="192" t="s">
        <v>1541</v>
      </c>
      <c r="AG119" s="138" t="s">
        <v>1551</v>
      </c>
      <c r="AH119" s="139"/>
    </row>
    <row r="120">
      <c r="A120" s="55" t="s">
        <v>158</v>
      </c>
      <c r="B120" s="124" t="str">
        <f t="array" ref="B120">iferror(INDEX('作品'!D:D,MATCH(A120,'作品'!A:A,0),0),"error")</f>
        <v>【推しの子】</v>
      </c>
      <c r="C120" s="195" t="s">
        <v>1363</v>
      </c>
      <c r="D120" s="47" t="str">
        <f t="shared" si="1"/>
        <v>chara_osh_00502</v>
      </c>
      <c r="E120" s="196" t="s">
        <v>1576</v>
      </c>
      <c r="F120" s="136" t="s">
        <v>991</v>
      </c>
      <c r="G120" s="193"/>
      <c r="H120" s="45" t="s">
        <v>976</v>
      </c>
      <c r="I120" s="59" t="s">
        <v>977</v>
      </c>
      <c r="J120" s="59" t="s">
        <v>1004</v>
      </c>
      <c r="K120" s="55" t="s">
        <v>979</v>
      </c>
      <c r="L120" s="59" t="s">
        <v>1072</v>
      </c>
      <c r="M120" s="59"/>
      <c r="N120" s="142"/>
      <c r="O120" s="59"/>
      <c r="P120" s="186"/>
      <c r="Q120" s="143"/>
      <c r="R120" s="143"/>
      <c r="S120" s="143"/>
      <c r="T120" s="143"/>
      <c r="U120" s="209"/>
      <c r="V120" s="50"/>
      <c r="W120" s="189"/>
      <c r="X120" s="128"/>
      <c r="Y120" s="128"/>
      <c r="Z120" s="211"/>
      <c r="AA120" s="202"/>
      <c r="AB120" s="145"/>
      <c r="AC120" s="106"/>
      <c r="AD120" s="212"/>
      <c r="AE120" s="60"/>
      <c r="AF120" s="192"/>
      <c r="AG120" s="138"/>
      <c r="AH120" s="139"/>
    </row>
    <row r="121">
      <c r="A121" s="198" t="s">
        <v>158</v>
      </c>
      <c r="B121" s="178" t="str">
        <f t="array" ref="B121">iferror(INDEX('作品'!D:D,MATCH(A121,'作品'!A:A,0),0),"error")</f>
        <v>【推しの子】</v>
      </c>
      <c r="C121" s="195" t="s">
        <v>1151</v>
      </c>
      <c r="D121" s="47" t="str">
        <f t="shared" si="1"/>
        <v>chara_osh_00601</v>
      </c>
      <c r="E121" s="196" t="s">
        <v>1577</v>
      </c>
      <c r="F121" s="45" t="s">
        <v>1577</v>
      </c>
      <c r="G121" s="193" t="s">
        <v>1578</v>
      </c>
      <c r="H121" s="45" t="s">
        <v>1028</v>
      </c>
      <c r="I121" s="59" t="s">
        <v>1029</v>
      </c>
      <c r="J121" s="59" t="s">
        <v>1036</v>
      </c>
      <c r="K121" s="198" t="s">
        <v>979</v>
      </c>
      <c r="L121" s="59" t="s">
        <v>1037</v>
      </c>
      <c r="M121" s="59" t="s">
        <v>1020</v>
      </c>
      <c r="N121" s="142" t="s">
        <v>1039</v>
      </c>
      <c r="O121" s="59" t="s">
        <v>1038</v>
      </c>
      <c r="P121" s="186"/>
      <c r="Q121" s="143" t="s">
        <v>1302</v>
      </c>
      <c r="R121" s="143" t="s">
        <v>1579</v>
      </c>
      <c r="S121" s="143" t="s">
        <v>1496</v>
      </c>
      <c r="T121" s="143" t="s">
        <v>1580</v>
      </c>
      <c r="U121" s="209">
        <v>46023.0</v>
      </c>
      <c r="V121" s="50">
        <v>390812.49998842593</v>
      </c>
      <c r="W121" s="189" t="str">
        <f t="shared" ref="W121:W157" si="43">"catchcopy_character_"&amp;text(D121,"000000")&amp;".png"</f>
        <v>catchcopy_character_chara_osh_00601.png</v>
      </c>
      <c r="X121" s="128" t="str">
        <f t="shared" ref="X121:X157" si="44">"enemy_icon_"&amp;K121&amp;"_"&amp;A121&amp;"_"&amp;C121</f>
        <v>enemy_icon_chara_osh_00601</v>
      </c>
      <c r="Y121" s="128" t="str">
        <f t="shared" ref="Y121:Y157" si="45">"boss_icon_"&amp;K121&amp;"_"&amp;A121&amp;"_"&amp;C121</f>
        <v>boss_icon_chara_osh_00601</v>
      </c>
      <c r="Z121" s="211"/>
      <c r="AA121" s="202"/>
      <c r="AB121" s="145" t="s">
        <v>1550</v>
      </c>
      <c r="AC121" s="106" t="s">
        <v>986</v>
      </c>
      <c r="AD121" s="212"/>
      <c r="AE121" s="60"/>
      <c r="AF121" s="192" t="s">
        <v>1541</v>
      </c>
      <c r="AG121" s="138" t="s">
        <v>1551</v>
      </c>
      <c r="AH121" s="139"/>
    </row>
    <row r="122">
      <c r="A122" s="198" t="s">
        <v>158</v>
      </c>
      <c r="B122" s="178" t="str">
        <f t="array" ref="B122">iferror(INDEX('作品'!D:D,MATCH(A122,'作品'!A:A,0),0),"error")</f>
        <v>【推しの子】</v>
      </c>
      <c r="C122" s="195" t="s">
        <v>1191</v>
      </c>
      <c r="D122" s="47" t="str">
        <f t="shared" si="1"/>
        <v>chara_osh_00701</v>
      </c>
      <c r="E122" s="196" t="s">
        <v>1581</v>
      </c>
      <c r="F122" s="45" t="s">
        <v>1581</v>
      </c>
      <c r="G122" s="193" t="s">
        <v>1582</v>
      </c>
      <c r="H122" s="45" t="s">
        <v>1057</v>
      </c>
      <c r="I122" s="59" t="s">
        <v>1090</v>
      </c>
      <c r="J122" s="59" t="s">
        <v>978</v>
      </c>
      <c r="K122" s="198" t="s">
        <v>979</v>
      </c>
      <c r="L122" s="59" t="s">
        <v>980</v>
      </c>
      <c r="M122" s="59" t="s">
        <v>64</v>
      </c>
      <c r="N122" s="204"/>
      <c r="O122" s="59"/>
      <c r="P122" s="186"/>
      <c r="Q122" s="213" t="s">
        <v>64</v>
      </c>
      <c r="R122" s="213" t="s">
        <v>64</v>
      </c>
      <c r="S122" s="143" t="s">
        <v>1583</v>
      </c>
      <c r="T122" s="143" t="s">
        <v>1584</v>
      </c>
      <c r="U122" s="209">
        <v>46023.0</v>
      </c>
      <c r="V122" s="50">
        <v>390812.49998842593</v>
      </c>
      <c r="W122" s="189" t="str">
        <f t="shared" si="43"/>
        <v>catchcopy_character_chara_osh_00701.png</v>
      </c>
      <c r="X122" s="128" t="str">
        <f t="shared" si="44"/>
        <v>enemy_icon_chara_osh_00701</v>
      </c>
      <c r="Y122" s="128" t="str">
        <f t="shared" si="45"/>
        <v>boss_icon_chara_osh_00701</v>
      </c>
      <c r="Z122" s="211"/>
      <c r="AA122" s="202"/>
      <c r="AB122" s="145" t="s">
        <v>1585</v>
      </c>
      <c r="AC122" s="106" t="s">
        <v>986</v>
      </c>
      <c r="AD122" s="212"/>
      <c r="AE122" s="60"/>
      <c r="AF122" s="192" t="s">
        <v>1541</v>
      </c>
      <c r="AG122" s="138" t="s">
        <v>1000</v>
      </c>
      <c r="AH122" s="139"/>
    </row>
    <row r="123">
      <c r="A123" s="198" t="s">
        <v>158</v>
      </c>
      <c r="B123" s="178" t="str">
        <f t="array" ref="B123">iferror(INDEX('作品'!D:D,MATCH(A123,'作品'!A:A,0),0),"error")</f>
        <v>【推しの子】</v>
      </c>
      <c r="C123" s="195" t="s">
        <v>1238</v>
      </c>
      <c r="D123" s="180" t="str">
        <f t="shared" si="1"/>
        <v>chara_osh_00801</v>
      </c>
      <c r="E123" s="196" t="s">
        <v>1586</v>
      </c>
      <c r="F123" s="45" t="s">
        <v>1586</v>
      </c>
      <c r="G123" s="193" t="s">
        <v>1587</v>
      </c>
      <c r="H123" s="45" t="s">
        <v>993</v>
      </c>
      <c r="I123" s="59" t="s">
        <v>1115</v>
      </c>
      <c r="J123" s="59" t="s">
        <v>978</v>
      </c>
      <c r="K123" s="198" t="s">
        <v>979</v>
      </c>
      <c r="L123" s="59" t="s">
        <v>980</v>
      </c>
      <c r="M123" s="59" t="s">
        <v>64</v>
      </c>
      <c r="N123" s="204"/>
      <c r="O123" s="59"/>
      <c r="P123" s="186"/>
      <c r="Q123" s="213" t="s">
        <v>64</v>
      </c>
      <c r="R123" s="213" t="s">
        <v>64</v>
      </c>
      <c r="S123" s="143" t="s">
        <v>1588</v>
      </c>
      <c r="T123" s="200" t="s">
        <v>1589</v>
      </c>
      <c r="U123" s="174" t="s">
        <v>1156</v>
      </c>
      <c r="V123" s="50">
        <v>390812.49998842593</v>
      </c>
      <c r="W123" s="189" t="str">
        <f t="shared" si="43"/>
        <v>catchcopy_character_chara_osh_00801.png</v>
      </c>
      <c r="X123" s="128" t="str">
        <f t="shared" si="44"/>
        <v>enemy_icon_chara_osh_00801</v>
      </c>
      <c r="Y123" s="128" t="str">
        <f t="shared" si="45"/>
        <v>boss_icon_chara_osh_00801</v>
      </c>
      <c r="Z123" s="211"/>
      <c r="AA123" s="202"/>
      <c r="AB123" s="145" t="s">
        <v>1157</v>
      </c>
      <c r="AC123" s="106" t="s">
        <v>986</v>
      </c>
      <c r="AD123" s="212"/>
      <c r="AE123" s="60"/>
      <c r="AF123" s="192" t="s">
        <v>1541</v>
      </c>
      <c r="AG123" s="138" t="s">
        <v>1000</v>
      </c>
      <c r="AH123" s="139"/>
    </row>
    <row r="124">
      <c r="A124" s="183" t="s">
        <v>162</v>
      </c>
      <c r="B124" s="214" t="s">
        <v>163</v>
      </c>
      <c r="C124" s="179" t="s">
        <v>973</v>
      </c>
      <c r="D124" s="180" t="str">
        <f t="shared" si="1"/>
        <v>chara_you_00001</v>
      </c>
      <c r="E124" s="181" t="s">
        <v>1590</v>
      </c>
      <c r="F124" s="45" t="s">
        <v>1591</v>
      </c>
      <c r="G124" s="193" t="s">
        <v>1592</v>
      </c>
      <c r="H124" s="59" t="s">
        <v>976</v>
      </c>
      <c r="I124" s="12" t="s">
        <v>977</v>
      </c>
      <c r="J124" s="59" t="s">
        <v>1017</v>
      </c>
      <c r="K124" s="198" t="s">
        <v>979</v>
      </c>
      <c r="L124" s="59" t="s">
        <v>1005</v>
      </c>
      <c r="M124" s="59" t="s">
        <v>1020</v>
      </c>
      <c r="N124" s="142" t="s">
        <v>1019</v>
      </c>
      <c r="O124" s="59" t="s">
        <v>1006</v>
      </c>
      <c r="P124" s="186"/>
      <c r="Q124" s="143" t="s">
        <v>1043</v>
      </c>
      <c r="R124" s="115" t="s">
        <v>1593</v>
      </c>
      <c r="S124" s="143" t="s">
        <v>1491</v>
      </c>
      <c r="T124" s="143" t="s">
        <v>1594</v>
      </c>
      <c r="U124" s="209">
        <v>46055.625</v>
      </c>
      <c r="V124" s="50">
        <v>390812.49998842593</v>
      </c>
      <c r="W124" s="189" t="str">
        <f t="shared" si="43"/>
        <v>catchcopy_character_chara_you_00001.png</v>
      </c>
      <c r="X124" s="128" t="str">
        <f t="shared" si="44"/>
        <v>enemy_icon_chara_you_00001</v>
      </c>
      <c r="Y124" s="128" t="str">
        <f t="shared" si="45"/>
        <v>boss_icon_chara_you_00001</v>
      </c>
      <c r="Z124" s="184"/>
      <c r="AA124" s="185"/>
      <c r="AB124" s="145" t="s">
        <v>1595</v>
      </c>
      <c r="AC124" s="191"/>
      <c r="AD124" s="185"/>
      <c r="AE124" s="60"/>
      <c r="AF124" s="192"/>
      <c r="AG124" s="138" t="s">
        <v>1596</v>
      </c>
      <c r="AH124" s="139"/>
    </row>
    <row r="125">
      <c r="A125" s="183" t="s">
        <v>162</v>
      </c>
      <c r="B125" s="214" t="s">
        <v>163</v>
      </c>
      <c r="C125" s="179" t="s">
        <v>1001</v>
      </c>
      <c r="D125" s="180" t="str">
        <f t="shared" si="1"/>
        <v>chara_you_00101</v>
      </c>
      <c r="E125" s="181" t="s">
        <v>1597</v>
      </c>
      <c r="F125" s="45" t="s">
        <v>1597</v>
      </c>
      <c r="G125" s="193" t="s">
        <v>1598</v>
      </c>
      <c r="H125" s="59" t="s">
        <v>993</v>
      </c>
      <c r="I125" s="12" t="s">
        <v>1115</v>
      </c>
      <c r="J125" s="59" t="s">
        <v>1004</v>
      </c>
      <c r="K125" s="198" t="s">
        <v>979</v>
      </c>
      <c r="L125" s="59" t="s">
        <v>1063</v>
      </c>
      <c r="M125" s="59" t="s">
        <v>1020</v>
      </c>
      <c r="N125" s="142" t="s">
        <v>1039</v>
      </c>
      <c r="O125" s="59" t="s">
        <v>1006</v>
      </c>
      <c r="P125" s="186"/>
      <c r="Q125" s="143" t="s">
        <v>1008</v>
      </c>
      <c r="R125" s="115" t="s">
        <v>1599</v>
      </c>
      <c r="S125" s="143" t="s">
        <v>1600</v>
      </c>
      <c r="T125" s="143" t="s">
        <v>1601</v>
      </c>
      <c r="U125" s="209">
        <v>46055.625</v>
      </c>
      <c r="V125" s="50">
        <v>390812.49998842593</v>
      </c>
      <c r="W125" s="189" t="str">
        <f t="shared" si="43"/>
        <v>catchcopy_character_chara_you_00101.png</v>
      </c>
      <c r="X125" s="128" t="str">
        <f t="shared" si="44"/>
        <v>enemy_icon_chara_you_00101</v>
      </c>
      <c r="Y125" s="128" t="str">
        <f t="shared" si="45"/>
        <v>boss_icon_chara_you_00101</v>
      </c>
      <c r="Z125" s="184"/>
      <c r="AA125" s="185"/>
      <c r="AB125" s="145" t="s">
        <v>1595</v>
      </c>
      <c r="AC125" s="191"/>
      <c r="AD125" s="185"/>
      <c r="AE125" s="60"/>
      <c r="AF125" s="192"/>
      <c r="AG125" s="138" t="s">
        <v>1596</v>
      </c>
      <c r="AH125" s="139"/>
    </row>
    <row r="126">
      <c r="A126" s="183" t="s">
        <v>162</v>
      </c>
      <c r="B126" s="214" t="s">
        <v>163</v>
      </c>
      <c r="C126" s="179" t="s">
        <v>1014</v>
      </c>
      <c r="D126" s="180" t="str">
        <f t="shared" si="1"/>
        <v>chara_you_00201</v>
      </c>
      <c r="E126" s="181" t="s">
        <v>1602</v>
      </c>
      <c r="F126" s="45" t="s">
        <v>1602</v>
      </c>
      <c r="G126" s="193" t="s">
        <v>1603</v>
      </c>
      <c r="H126" s="59" t="s">
        <v>1028</v>
      </c>
      <c r="I126" s="12" t="s">
        <v>1029</v>
      </c>
      <c r="J126" s="59" t="s">
        <v>1036</v>
      </c>
      <c r="K126" s="198" t="s">
        <v>979</v>
      </c>
      <c r="L126" s="59" t="s">
        <v>1063</v>
      </c>
      <c r="M126" s="59" t="s">
        <v>1006</v>
      </c>
      <c r="N126" s="142" t="s">
        <v>1019</v>
      </c>
      <c r="O126" s="59" t="s">
        <v>1006</v>
      </c>
      <c r="P126" s="186"/>
      <c r="Q126" s="143" t="s">
        <v>1336</v>
      </c>
      <c r="R126" s="115" t="s">
        <v>1074</v>
      </c>
      <c r="S126" s="143" t="s">
        <v>1271</v>
      </c>
      <c r="T126" s="143" t="s">
        <v>1604</v>
      </c>
      <c r="U126" s="209">
        <v>46055.625</v>
      </c>
      <c r="V126" s="50">
        <v>390812.49998842593</v>
      </c>
      <c r="W126" s="189" t="str">
        <f t="shared" si="43"/>
        <v>catchcopy_character_chara_you_00201.png</v>
      </c>
      <c r="X126" s="128" t="str">
        <f t="shared" si="44"/>
        <v>enemy_icon_chara_you_00201</v>
      </c>
      <c r="Y126" s="128" t="str">
        <f t="shared" si="45"/>
        <v>boss_icon_chara_you_00201</v>
      </c>
      <c r="Z126" s="184"/>
      <c r="AA126" s="185"/>
      <c r="AB126" s="145" t="s">
        <v>1595</v>
      </c>
      <c r="AC126" s="191"/>
      <c r="AD126" s="185"/>
      <c r="AE126" s="60"/>
      <c r="AF126" s="192"/>
      <c r="AG126" s="138" t="s">
        <v>1596</v>
      </c>
      <c r="AH126" s="139"/>
    </row>
    <row r="127">
      <c r="A127" s="183" t="s">
        <v>162</v>
      </c>
      <c r="B127" s="214" t="s">
        <v>163</v>
      </c>
      <c r="C127" s="179" t="s">
        <v>1026</v>
      </c>
      <c r="D127" s="180" t="str">
        <f t="shared" si="1"/>
        <v>chara_you_00301</v>
      </c>
      <c r="E127" s="181" t="s">
        <v>1070</v>
      </c>
      <c r="F127" s="45" t="s">
        <v>1070</v>
      </c>
      <c r="G127" s="193" t="s">
        <v>1605</v>
      </c>
      <c r="H127" s="59" t="s">
        <v>1028</v>
      </c>
      <c r="I127" s="12" t="s">
        <v>1029</v>
      </c>
      <c r="J127" s="59" t="s">
        <v>1050</v>
      </c>
      <c r="K127" s="198" t="s">
        <v>979</v>
      </c>
      <c r="L127" s="59" t="s">
        <v>1005</v>
      </c>
      <c r="M127" s="59" t="s">
        <v>1020</v>
      </c>
      <c r="N127" s="142" t="s">
        <v>1039</v>
      </c>
      <c r="O127" s="59" t="s">
        <v>1006</v>
      </c>
      <c r="P127" s="186"/>
      <c r="Q127" s="143" t="s">
        <v>1491</v>
      </c>
      <c r="R127" s="115" t="s">
        <v>1606</v>
      </c>
      <c r="S127" s="143" t="s">
        <v>1320</v>
      </c>
      <c r="T127" s="143" t="s">
        <v>1607</v>
      </c>
      <c r="U127" s="209">
        <v>46055.625</v>
      </c>
      <c r="V127" s="50">
        <v>390812.49998842593</v>
      </c>
      <c r="W127" s="189" t="str">
        <f t="shared" si="43"/>
        <v>catchcopy_character_chara_you_00301.png</v>
      </c>
      <c r="X127" s="128" t="str">
        <f t="shared" si="44"/>
        <v>enemy_icon_chara_you_00301</v>
      </c>
      <c r="Y127" s="128" t="str">
        <f t="shared" si="45"/>
        <v>boss_icon_chara_you_00301</v>
      </c>
      <c r="Z127" s="184"/>
      <c r="AA127" s="185"/>
      <c r="AB127" s="145" t="s">
        <v>1595</v>
      </c>
      <c r="AC127" s="191"/>
      <c r="AD127" s="185"/>
      <c r="AE127" s="60"/>
      <c r="AF127" s="192"/>
      <c r="AG127" s="138" t="s">
        <v>1596</v>
      </c>
      <c r="AH127" s="139"/>
    </row>
    <row r="128">
      <c r="A128" s="183" t="s">
        <v>166</v>
      </c>
      <c r="B128" s="214" t="s">
        <v>167</v>
      </c>
      <c r="C128" s="179" t="s">
        <v>973</v>
      </c>
      <c r="D128" s="180" t="str">
        <f t="shared" si="1"/>
        <v>chara_kim_00001</v>
      </c>
      <c r="E128" s="181" t="s">
        <v>1608</v>
      </c>
      <c r="F128" s="45" t="s">
        <v>1609</v>
      </c>
      <c r="G128" s="193" t="s">
        <v>1610</v>
      </c>
      <c r="H128" s="59" t="s">
        <v>976</v>
      </c>
      <c r="I128" s="12" t="s">
        <v>977</v>
      </c>
      <c r="J128" s="59" t="s">
        <v>1050</v>
      </c>
      <c r="K128" s="198" t="s">
        <v>979</v>
      </c>
      <c r="L128" s="59" t="s">
        <v>1037</v>
      </c>
      <c r="M128" s="59" t="s">
        <v>1020</v>
      </c>
      <c r="N128" s="215"/>
      <c r="O128" s="59" t="s">
        <v>1020</v>
      </c>
      <c r="P128" s="186"/>
      <c r="Q128" s="216" t="s">
        <v>1611</v>
      </c>
      <c r="R128" s="115" t="s">
        <v>1612</v>
      </c>
      <c r="S128" s="216" t="s">
        <v>1154</v>
      </c>
      <c r="T128" s="143" t="s">
        <v>1613</v>
      </c>
      <c r="U128" s="174" t="s">
        <v>1614</v>
      </c>
      <c r="V128" s="50">
        <v>390812.49998842593</v>
      </c>
      <c r="W128" s="189" t="str">
        <f t="shared" si="43"/>
        <v>catchcopy_character_chara_kim_00001.png</v>
      </c>
      <c r="X128" s="128" t="str">
        <f t="shared" si="44"/>
        <v>enemy_icon_chara_kim_00001</v>
      </c>
      <c r="Y128" s="128" t="str">
        <f t="shared" si="45"/>
        <v>boss_icon_chara_kim_00001</v>
      </c>
      <c r="Z128" s="184"/>
      <c r="AA128" s="185"/>
      <c r="AB128" s="217" t="s">
        <v>1615</v>
      </c>
      <c r="AC128" s="191"/>
      <c r="AD128" s="185"/>
      <c r="AE128" s="60"/>
      <c r="AF128" s="192"/>
      <c r="AG128" s="138" t="s">
        <v>1000</v>
      </c>
      <c r="AH128" s="139"/>
    </row>
    <row r="129">
      <c r="A129" s="183" t="s">
        <v>166</v>
      </c>
      <c r="B129" s="214" t="s">
        <v>167</v>
      </c>
      <c r="C129" s="179" t="s">
        <v>1001</v>
      </c>
      <c r="D129" s="180" t="str">
        <f t="shared" si="1"/>
        <v>chara_kim_00101</v>
      </c>
      <c r="E129" s="181" t="s">
        <v>1616</v>
      </c>
      <c r="F129" s="45" t="s">
        <v>1617</v>
      </c>
      <c r="G129" s="193" t="s">
        <v>1618</v>
      </c>
      <c r="H129" s="59" t="s">
        <v>993</v>
      </c>
      <c r="I129" s="12" t="s">
        <v>1115</v>
      </c>
      <c r="J129" s="59" t="s">
        <v>1036</v>
      </c>
      <c r="K129" s="198" t="s">
        <v>979</v>
      </c>
      <c r="L129" s="59" t="s">
        <v>1005</v>
      </c>
      <c r="M129" s="59" t="s">
        <v>1020</v>
      </c>
      <c r="N129" s="215"/>
      <c r="O129" s="59" t="s">
        <v>1020</v>
      </c>
      <c r="P129" s="186"/>
      <c r="Q129" s="218" t="s">
        <v>1619</v>
      </c>
      <c r="R129" s="219" t="s">
        <v>1620</v>
      </c>
      <c r="S129" s="218" t="s">
        <v>1337</v>
      </c>
      <c r="T129" s="220" t="s">
        <v>1621</v>
      </c>
      <c r="U129" s="174" t="s">
        <v>1614</v>
      </c>
      <c r="V129" s="50">
        <v>390812.49998842593</v>
      </c>
      <c r="W129" s="189" t="str">
        <f t="shared" si="43"/>
        <v>catchcopy_character_chara_kim_00101.png</v>
      </c>
      <c r="X129" s="128" t="str">
        <f t="shared" si="44"/>
        <v>enemy_icon_chara_kim_00101</v>
      </c>
      <c r="Y129" s="128" t="str">
        <f t="shared" si="45"/>
        <v>boss_icon_chara_kim_00101</v>
      </c>
      <c r="Z129" s="184"/>
      <c r="AA129" s="185"/>
      <c r="AB129" s="217" t="s">
        <v>1615</v>
      </c>
      <c r="AC129" s="191"/>
      <c r="AD129" s="185"/>
      <c r="AE129" s="60"/>
      <c r="AF129" s="192"/>
      <c r="AG129" s="138" t="s">
        <v>1000</v>
      </c>
      <c r="AH129" s="139"/>
    </row>
    <row r="130">
      <c r="A130" s="183" t="s">
        <v>166</v>
      </c>
      <c r="B130" s="214" t="s">
        <v>167</v>
      </c>
      <c r="C130" s="179" t="s">
        <v>1014</v>
      </c>
      <c r="D130" s="180" t="str">
        <f t="shared" si="1"/>
        <v>chara_kim_00201</v>
      </c>
      <c r="E130" s="181" t="s">
        <v>1622</v>
      </c>
      <c r="F130" s="45" t="s">
        <v>1623</v>
      </c>
      <c r="G130" s="193" t="s">
        <v>1624</v>
      </c>
      <c r="H130" s="59" t="s">
        <v>993</v>
      </c>
      <c r="I130" s="12" t="s">
        <v>1115</v>
      </c>
      <c r="J130" s="59" t="s">
        <v>1017</v>
      </c>
      <c r="K130" s="198" t="s">
        <v>979</v>
      </c>
      <c r="L130" s="59" t="s">
        <v>1063</v>
      </c>
      <c r="M130" s="59" t="s">
        <v>1020</v>
      </c>
      <c r="N130" s="215"/>
      <c r="O130" s="59" t="s">
        <v>1020</v>
      </c>
      <c r="P130" s="186"/>
      <c r="Q130" s="218" t="s">
        <v>1073</v>
      </c>
      <c r="R130" s="219" t="s">
        <v>1625</v>
      </c>
      <c r="S130" s="220" t="s">
        <v>995</v>
      </c>
      <c r="T130" s="220" t="s">
        <v>1626</v>
      </c>
      <c r="U130" s="174" t="s">
        <v>1614</v>
      </c>
      <c r="V130" s="50">
        <v>390812.49998842593</v>
      </c>
      <c r="W130" s="189" t="str">
        <f t="shared" si="43"/>
        <v>catchcopy_character_chara_kim_00201.png</v>
      </c>
      <c r="X130" s="128" t="str">
        <f t="shared" si="44"/>
        <v>enemy_icon_chara_kim_00201</v>
      </c>
      <c r="Y130" s="128" t="str">
        <f t="shared" si="45"/>
        <v>boss_icon_chara_kim_00201</v>
      </c>
      <c r="Z130" s="184"/>
      <c r="AA130" s="185"/>
      <c r="AB130" s="217" t="s">
        <v>1615</v>
      </c>
      <c r="AC130" s="191"/>
      <c r="AD130" s="185"/>
      <c r="AE130" s="60"/>
      <c r="AF130" s="192"/>
      <c r="AG130" s="138" t="s">
        <v>1000</v>
      </c>
      <c r="AH130" s="139"/>
    </row>
    <row r="131">
      <c r="A131" s="183" t="s">
        <v>166</v>
      </c>
      <c r="B131" s="214" t="s">
        <v>167</v>
      </c>
      <c r="C131" s="179" t="s">
        <v>1026</v>
      </c>
      <c r="D131" s="180" t="str">
        <f t="shared" si="1"/>
        <v>chara_kim_00301</v>
      </c>
      <c r="E131" s="181" t="s">
        <v>1627</v>
      </c>
      <c r="F131" s="45" t="s">
        <v>1627</v>
      </c>
      <c r="G131" s="193" t="s">
        <v>1628</v>
      </c>
      <c r="H131" s="59" t="s">
        <v>993</v>
      </c>
      <c r="I131" s="12" t="s">
        <v>1115</v>
      </c>
      <c r="J131" s="59" t="s">
        <v>1004</v>
      </c>
      <c r="K131" s="183" t="s">
        <v>979</v>
      </c>
      <c r="L131" s="59" t="s">
        <v>1072</v>
      </c>
      <c r="M131" s="59" t="s">
        <v>1020</v>
      </c>
      <c r="N131" s="215"/>
      <c r="O131" s="59" t="s">
        <v>64</v>
      </c>
      <c r="P131" s="186"/>
      <c r="Q131" s="218" t="s">
        <v>1629</v>
      </c>
      <c r="R131" s="219" t="s">
        <v>1630</v>
      </c>
      <c r="S131" s="220" t="s">
        <v>1631</v>
      </c>
      <c r="T131" s="220" t="s">
        <v>1626</v>
      </c>
      <c r="U131" s="174" t="s">
        <v>1614</v>
      </c>
      <c r="V131" s="50">
        <v>390812.49998842593</v>
      </c>
      <c r="W131" s="189" t="str">
        <f t="shared" si="43"/>
        <v>catchcopy_character_chara_kim_00301.png</v>
      </c>
      <c r="X131" s="128" t="str">
        <f t="shared" si="44"/>
        <v>enemy_icon_chara_kim_00301</v>
      </c>
      <c r="Y131" s="128" t="str">
        <f t="shared" si="45"/>
        <v>boss_icon_chara_kim_00301</v>
      </c>
      <c r="Z131" s="184"/>
      <c r="AA131" s="185"/>
      <c r="AB131" s="217" t="s">
        <v>1615</v>
      </c>
      <c r="AC131" s="191"/>
      <c r="AD131" s="185"/>
      <c r="AE131" s="60"/>
      <c r="AF131" s="192"/>
      <c r="AG131" s="138" t="s">
        <v>1000</v>
      </c>
      <c r="AH131" s="139"/>
    </row>
    <row r="132">
      <c r="A132" s="183" t="s">
        <v>172</v>
      </c>
      <c r="B132" s="124" t="str">
        <f t="array" ref="B132">iferror(INDEX('作品'!D:D,MATCH(A132,'作品'!A:A,0),0),"error")</f>
        <v>ふつうの軽音部</v>
      </c>
      <c r="C132" s="179" t="s">
        <v>973</v>
      </c>
      <c r="D132" s="180" t="str">
        <f t="shared" si="1"/>
        <v>chara_hut_00001</v>
      </c>
      <c r="E132" s="181" t="s">
        <v>1632</v>
      </c>
      <c r="F132" s="45" t="s">
        <v>1633</v>
      </c>
      <c r="G132" s="45" t="s">
        <v>562</v>
      </c>
      <c r="H132" s="59" t="s">
        <v>976</v>
      </c>
      <c r="I132" s="12" t="s">
        <v>977</v>
      </c>
      <c r="J132" s="59" t="s">
        <v>1036</v>
      </c>
      <c r="K132" s="198" t="s">
        <v>979</v>
      </c>
      <c r="L132" s="59" t="s">
        <v>1037</v>
      </c>
      <c r="M132" s="59" t="s">
        <v>1020</v>
      </c>
      <c r="N132" s="215"/>
      <c r="O132" s="59" t="s">
        <v>1020</v>
      </c>
      <c r="P132" s="186"/>
      <c r="Q132" s="221" t="s">
        <v>1384</v>
      </c>
      <c r="R132" s="200" t="s">
        <v>1634</v>
      </c>
      <c r="S132" s="221" t="s">
        <v>1635</v>
      </c>
      <c r="T132" s="195" t="s">
        <v>1636</v>
      </c>
      <c r="U132" s="174" t="s">
        <v>1637</v>
      </c>
      <c r="V132" s="50">
        <v>390812.49998842593</v>
      </c>
      <c r="W132" s="189" t="str">
        <f t="shared" si="43"/>
        <v>catchcopy_character_chara_hut_00001.png</v>
      </c>
      <c r="X132" s="128" t="str">
        <f t="shared" si="44"/>
        <v>enemy_icon_chara_hut_00001</v>
      </c>
      <c r="Y132" s="128" t="str">
        <f t="shared" si="45"/>
        <v>boss_icon_chara_hut_00001</v>
      </c>
      <c r="Z132" s="184"/>
      <c r="AA132" s="185"/>
      <c r="AB132" s="145" t="s">
        <v>1638</v>
      </c>
      <c r="AC132" s="191"/>
      <c r="AD132" s="185"/>
      <c r="AE132" s="185"/>
      <c r="AF132" s="192"/>
      <c r="AG132" s="138" t="s">
        <v>1000</v>
      </c>
      <c r="AH132" s="139"/>
    </row>
    <row r="133">
      <c r="A133" s="183" t="s">
        <v>172</v>
      </c>
      <c r="B133" s="124" t="str">
        <f t="array" ref="B133">iferror(INDEX('作品'!D:D,MATCH(A133,'作品'!A:A,0),0),"error")</f>
        <v>ふつうの軽音部</v>
      </c>
      <c r="C133" s="179" t="s">
        <v>1001</v>
      </c>
      <c r="D133" s="180" t="str">
        <f t="shared" si="1"/>
        <v>chara_hut_00101</v>
      </c>
      <c r="E133" s="181" t="s">
        <v>1639</v>
      </c>
      <c r="F133" s="45" t="s">
        <v>1639</v>
      </c>
      <c r="G133" s="45" t="s">
        <v>1640</v>
      </c>
      <c r="H133" s="59" t="s">
        <v>993</v>
      </c>
      <c r="I133" s="12" t="s">
        <v>1115</v>
      </c>
      <c r="J133" s="59" t="s">
        <v>1050</v>
      </c>
      <c r="K133" s="198" t="s">
        <v>979</v>
      </c>
      <c r="L133" s="59" t="s">
        <v>1072</v>
      </c>
      <c r="M133" s="59" t="s">
        <v>1020</v>
      </c>
      <c r="N133" s="215"/>
      <c r="O133" s="59" t="s">
        <v>64</v>
      </c>
      <c r="P133" s="186"/>
      <c r="Q133" s="221" t="s">
        <v>1641</v>
      </c>
      <c r="R133" s="200" t="s">
        <v>1642</v>
      </c>
      <c r="S133" s="221" t="s">
        <v>1643</v>
      </c>
      <c r="T133" s="200" t="s">
        <v>1644</v>
      </c>
      <c r="U133" s="174" t="s">
        <v>1637</v>
      </c>
      <c r="V133" s="50">
        <v>390812.49998842593</v>
      </c>
      <c r="W133" s="189" t="str">
        <f t="shared" si="43"/>
        <v>catchcopy_character_chara_hut_00101.png</v>
      </c>
      <c r="X133" s="128" t="str">
        <f t="shared" si="44"/>
        <v>enemy_icon_chara_hut_00101</v>
      </c>
      <c r="Y133" s="128" t="str">
        <f t="shared" si="45"/>
        <v>boss_icon_chara_hut_00101</v>
      </c>
      <c r="Z133" s="184"/>
      <c r="AA133" s="185"/>
      <c r="AB133" s="145" t="s">
        <v>1638</v>
      </c>
      <c r="AC133" s="191"/>
      <c r="AD133" s="185"/>
      <c r="AE133" s="185"/>
      <c r="AF133" s="192"/>
      <c r="AG133" s="138" t="s">
        <v>1000</v>
      </c>
      <c r="AH133" s="139"/>
    </row>
    <row r="134">
      <c r="A134" s="183" t="s">
        <v>172</v>
      </c>
      <c r="B134" s="124" t="str">
        <f t="array" ref="B134">iferror(INDEX('作品'!D:D,MATCH(A134,'作品'!A:A,0),0),"error")</f>
        <v>ふつうの軽音部</v>
      </c>
      <c r="C134" s="179" t="s">
        <v>1014</v>
      </c>
      <c r="D134" s="180" t="str">
        <f t="shared" si="1"/>
        <v>chara_hut_00201</v>
      </c>
      <c r="E134" s="181" t="s">
        <v>1645</v>
      </c>
      <c r="F134" s="45" t="s">
        <v>1645</v>
      </c>
      <c r="G134" s="45" t="s">
        <v>1646</v>
      </c>
      <c r="H134" s="59" t="s">
        <v>1028</v>
      </c>
      <c r="I134" s="12" t="s">
        <v>1166</v>
      </c>
      <c r="J134" s="59" t="s">
        <v>1004</v>
      </c>
      <c r="K134" s="198" t="s">
        <v>979</v>
      </c>
      <c r="L134" s="59" t="s">
        <v>1063</v>
      </c>
      <c r="M134" s="59" t="s">
        <v>1020</v>
      </c>
      <c r="N134" s="215"/>
      <c r="O134" s="59" t="s">
        <v>64</v>
      </c>
      <c r="P134" s="186"/>
      <c r="Q134" s="221" t="s">
        <v>1235</v>
      </c>
      <c r="R134" s="200" t="s">
        <v>1647</v>
      </c>
      <c r="S134" s="221" t="s">
        <v>1648</v>
      </c>
      <c r="T134" s="143" t="s">
        <v>1649</v>
      </c>
      <c r="U134" s="174" t="s">
        <v>1637</v>
      </c>
      <c r="V134" s="50">
        <v>390812.49998842593</v>
      </c>
      <c r="W134" s="189" t="str">
        <f t="shared" si="43"/>
        <v>catchcopy_character_chara_hut_00201.png</v>
      </c>
      <c r="X134" s="128" t="str">
        <f t="shared" si="44"/>
        <v>enemy_icon_chara_hut_00201</v>
      </c>
      <c r="Y134" s="128" t="str">
        <f t="shared" si="45"/>
        <v>boss_icon_chara_hut_00201</v>
      </c>
      <c r="Z134" s="184"/>
      <c r="AA134" s="185"/>
      <c r="AB134" s="145" t="s">
        <v>1638</v>
      </c>
      <c r="AC134" s="191"/>
      <c r="AD134" s="185"/>
      <c r="AE134" s="185"/>
      <c r="AF134" s="192"/>
      <c r="AG134" s="138" t="s">
        <v>1000</v>
      </c>
      <c r="AH134" s="139"/>
    </row>
    <row r="135">
      <c r="A135" s="183" t="s">
        <v>172</v>
      </c>
      <c r="B135" s="124" t="str">
        <f t="array" ref="B135">iferror(INDEX('作品'!D:D,MATCH(A135,'作品'!A:A,0),0),"error")</f>
        <v>ふつうの軽音部</v>
      </c>
      <c r="C135" s="179" t="s">
        <v>1026</v>
      </c>
      <c r="D135" s="180" t="str">
        <f t="shared" si="1"/>
        <v>chara_hut_00301</v>
      </c>
      <c r="E135" s="181" t="s">
        <v>1650</v>
      </c>
      <c r="F135" s="45" t="s">
        <v>1650</v>
      </c>
      <c r="G135" s="45" t="s">
        <v>1651</v>
      </c>
      <c r="H135" s="59" t="s">
        <v>1028</v>
      </c>
      <c r="I135" s="12" t="s">
        <v>1166</v>
      </c>
      <c r="J135" s="59" t="s">
        <v>1017</v>
      </c>
      <c r="K135" s="183" t="s">
        <v>979</v>
      </c>
      <c r="L135" s="59" t="s">
        <v>1005</v>
      </c>
      <c r="M135" s="59" t="s">
        <v>1020</v>
      </c>
      <c r="N135" s="215"/>
      <c r="O135" s="59" t="s">
        <v>1020</v>
      </c>
      <c r="P135" s="186"/>
      <c r="Q135" s="221" t="s">
        <v>1011</v>
      </c>
      <c r="R135" s="200" t="s">
        <v>1652</v>
      </c>
      <c r="S135" s="221" t="s">
        <v>1653</v>
      </c>
      <c r="T135" s="200" t="s">
        <v>1654</v>
      </c>
      <c r="U135" s="174" t="s">
        <v>1637</v>
      </c>
      <c r="V135" s="50">
        <v>390812.49998842593</v>
      </c>
      <c r="W135" s="189" t="str">
        <f t="shared" si="43"/>
        <v>catchcopy_character_chara_hut_00301.png</v>
      </c>
      <c r="X135" s="128" t="str">
        <f t="shared" si="44"/>
        <v>enemy_icon_chara_hut_00301</v>
      </c>
      <c r="Y135" s="128" t="str">
        <f t="shared" si="45"/>
        <v>boss_icon_chara_hut_00301</v>
      </c>
      <c r="Z135" s="184"/>
      <c r="AA135" s="185"/>
      <c r="AB135" s="145" t="s">
        <v>1638</v>
      </c>
      <c r="AC135" s="191"/>
      <c r="AD135" s="185"/>
      <c r="AE135" s="185"/>
      <c r="AF135" s="192"/>
      <c r="AG135" s="138" t="s">
        <v>1000</v>
      </c>
      <c r="AH135" s="139"/>
    </row>
    <row r="136">
      <c r="A136" s="183" t="s">
        <v>179</v>
      </c>
      <c r="B136" s="124" t="str">
        <f t="array" ref="B136">iferror(INDEX('作品'!D:D,MATCH(A136,'作品'!A:A,0),0),"error")</f>
        <v>ルリドラゴン</v>
      </c>
      <c r="C136" s="179" t="s">
        <v>973</v>
      </c>
      <c r="D136" s="180" t="str">
        <f t="shared" si="1"/>
        <v>chara_rur_00001</v>
      </c>
      <c r="E136" s="181" t="s">
        <v>1655</v>
      </c>
      <c r="F136" s="136" t="s">
        <v>991</v>
      </c>
      <c r="G136" s="136"/>
      <c r="H136" s="59" t="s">
        <v>976</v>
      </c>
      <c r="I136" s="12" t="s">
        <v>977</v>
      </c>
      <c r="J136" s="59" t="s">
        <v>1050</v>
      </c>
      <c r="K136" s="183" t="s">
        <v>979</v>
      </c>
      <c r="L136" s="59" t="s">
        <v>1063</v>
      </c>
      <c r="M136" s="59"/>
      <c r="N136" s="215"/>
      <c r="O136" s="59"/>
      <c r="P136" s="186"/>
      <c r="Q136" s="177"/>
      <c r="R136" s="177"/>
      <c r="S136" s="221"/>
      <c r="T136" s="195"/>
      <c r="U136" s="174" t="s">
        <v>1156</v>
      </c>
      <c r="V136" s="50">
        <v>390812.49998842593</v>
      </c>
      <c r="W136" s="189" t="str">
        <f t="shared" si="43"/>
        <v>catchcopy_character_chara_rur_00001.png</v>
      </c>
      <c r="X136" s="128" t="str">
        <f t="shared" si="44"/>
        <v>enemy_icon_chara_rur_00001</v>
      </c>
      <c r="Y136" s="128" t="str">
        <f t="shared" si="45"/>
        <v>boss_icon_chara_rur_00001</v>
      </c>
      <c r="Z136" s="184"/>
      <c r="AA136" s="185"/>
      <c r="AB136" s="145" t="s">
        <v>1157</v>
      </c>
      <c r="AC136" s="191"/>
      <c r="AD136" s="185"/>
      <c r="AE136" s="185"/>
      <c r="AF136" s="192"/>
      <c r="AG136" s="138" t="s">
        <v>1078</v>
      </c>
      <c r="AH136" s="139"/>
    </row>
    <row r="137">
      <c r="A137" s="222" t="s">
        <v>186</v>
      </c>
      <c r="B137" s="178" t="str">
        <f t="array" ref="B137">iferror(INDEX('作品'!D:D,MATCH(A137,'作品'!A:A,0),0),"error")</f>
        <v>ハイパーインフレーション</v>
      </c>
      <c r="C137" s="179" t="s">
        <v>973</v>
      </c>
      <c r="D137" s="180" t="str">
        <f t="shared" si="1"/>
        <v>chara_hyp_00001</v>
      </c>
      <c r="E137" s="181" t="s">
        <v>1597</v>
      </c>
      <c r="F137" s="45" t="s">
        <v>1597</v>
      </c>
      <c r="G137" s="193" t="s">
        <v>1656</v>
      </c>
      <c r="H137" s="59" t="s">
        <v>993</v>
      </c>
      <c r="I137" s="12" t="s">
        <v>994</v>
      </c>
      <c r="J137" s="59" t="s">
        <v>1036</v>
      </c>
      <c r="K137" s="183" t="s">
        <v>979</v>
      </c>
      <c r="L137" s="59" t="s">
        <v>1072</v>
      </c>
      <c r="M137" s="59" t="s">
        <v>1020</v>
      </c>
      <c r="N137" s="215"/>
      <c r="O137" s="59" t="s">
        <v>64</v>
      </c>
      <c r="P137" s="186"/>
      <c r="Q137" s="221" t="s">
        <v>1091</v>
      </c>
      <c r="R137" s="200" t="s">
        <v>1657</v>
      </c>
      <c r="S137" s="221" t="s">
        <v>1658</v>
      </c>
      <c r="T137" s="200" t="s">
        <v>1659</v>
      </c>
      <c r="U137" s="174" t="s">
        <v>1156</v>
      </c>
      <c r="V137" s="50">
        <v>390812.49998842593</v>
      </c>
      <c r="W137" s="189" t="str">
        <f t="shared" si="43"/>
        <v>catchcopy_character_chara_hyp_00001.png</v>
      </c>
      <c r="X137" s="128" t="str">
        <f t="shared" si="44"/>
        <v>enemy_icon_chara_hyp_00001</v>
      </c>
      <c r="Y137" s="128" t="str">
        <f t="shared" si="45"/>
        <v>boss_icon_chara_hyp_00001</v>
      </c>
      <c r="Z137" s="184"/>
      <c r="AA137" s="185"/>
      <c r="AB137" s="145" t="s">
        <v>1157</v>
      </c>
      <c r="AC137" s="191"/>
      <c r="AD137" s="185"/>
      <c r="AE137" s="185"/>
      <c r="AF137" s="192"/>
      <c r="AG137" s="138" t="s">
        <v>1078</v>
      </c>
      <c r="AH137" s="139"/>
    </row>
    <row r="138">
      <c r="A138" s="25" t="s">
        <v>192</v>
      </c>
      <c r="B138" s="178" t="str">
        <f t="array" ref="B138">iferror(INDEX('作品'!D:D,MATCH(A138,'作品'!A:A,0),0),"error")</f>
        <v>ゲーミングお嬢様</v>
      </c>
      <c r="C138" s="179" t="s">
        <v>973</v>
      </c>
      <c r="D138" s="180" t="str">
        <f t="shared" si="1"/>
        <v>chara_gam_00001</v>
      </c>
      <c r="E138" s="181" t="s">
        <v>1660</v>
      </c>
      <c r="F138" s="45" t="s">
        <v>1661</v>
      </c>
      <c r="G138" s="193" t="s">
        <v>1662</v>
      </c>
      <c r="H138" s="59" t="s">
        <v>993</v>
      </c>
      <c r="I138" s="12" t="s">
        <v>994</v>
      </c>
      <c r="J138" s="59" t="s">
        <v>1004</v>
      </c>
      <c r="K138" s="183" t="s">
        <v>979</v>
      </c>
      <c r="L138" s="59" t="s">
        <v>1005</v>
      </c>
      <c r="M138" s="59" t="s">
        <v>1020</v>
      </c>
      <c r="N138" s="215"/>
      <c r="O138" s="59" t="s">
        <v>1020</v>
      </c>
      <c r="P138" s="186"/>
      <c r="Q138" s="221" t="s">
        <v>1663</v>
      </c>
      <c r="R138" s="200" t="s">
        <v>1664</v>
      </c>
      <c r="S138" s="221" t="s">
        <v>1665</v>
      </c>
      <c r="T138" s="200" t="s">
        <v>1666</v>
      </c>
      <c r="U138" s="174" t="s">
        <v>1156</v>
      </c>
      <c r="V138" s="50">
        <v>390812.49998842593</v>
      </c>
      <c r="W138" s="189" t="str">
        <f t="shared" si="43"/>
        <v>catchcopy_character_chara_gam_00001.png</v>
      </c>
      <c r="X138" s="128" t="str">
        <f t="shared" si="44"/>
        <v>enemy_icon_chara_gam_00001</v>
      </c>
      <c r="Y138" s="128" t="str">
        <f t="shared" si="45"/>
        <v>boss_icon_chara_gam_00001</v>
      </c>
      <c r="Z138" s="184"/>
      <c r="AA138" s="185"/>
      <c r="AB138" s="145" t="s">
        <v>1157</v>
      </c>
      <c r="AC138" s="191"/>
      <c r="AD138" s="185"/>
      <c r="AE138" s="185"/>
      <c r="AF138" s="192"/>
      <c r="AG138" s="138" t="s">
        <v>1078</v>
      </c>
      <c r="AH138" s="139"/>
    </row>
    <row r="139">
      <c r="A139" s="25" t="s">
        <v>199</v>
      </c>
      <c r="B139" s="178" t="str">
        <f t="array" ref="B139">iferror(INDEX('作品'!D:D,MATCH(A139,'作品'!A:A,0),0),"error")</f>
        <v>アラガネの子</v>
      </c>
      <c r="C139" s="179" t="s">
        <v>973</v>
      </c>
      <c r="D139" s="180" t="str">
        <f t="shared" si="1"/>
        <v>chara_ara_00001</v>
      </c>
      <c r="E139" s="181" t="s">
        <v>1667</v>
      </c>
      <c r="F139" s="45" t="s">
        <v>1668</v>
      </c>
      <c r="G139" s="193" t="s">
        <v>1669</v>
      </c>
      <c r="H139" s="59" t="s">
        <v>1057</v>
      </c>
      <c r="I139" s="12" t="s">
        <v>1090</v>
      </c>
      <c r="J139" s="59" t="s">
        <v>1036</v>
      </c>
      <c r="K139" s="183" t="s">
        <v>979</v>
      </c>
      <c r="L139" s="59" t="s">
        <v>1037</v>
      </c>
      <c r="M139" s="59" t="s">
        <v>1018</v>
      </c>
      <c r="N139" s="215"/>
      <c r="O139" s="59" t="s">
        <v>64</v>
      </c>
      <c r="P139" s="186"/>
      <c r="Q139" s="221" t="s">
        <v>1073</v>
      </c>
      <c r="R139" s="200" t="s">
        <v>1670</v>
      </c>
      <c r="S139" s="221" t="s">
        <v>1093</v>
      </c>
      <c r="T139" s="200" t="s">
        <v>1671</v>
      </c>
      <c r="U139" s="174" t="s">
        <v>1156</v>
      </c>
      <c r="V139" s="50">
        <v>390812.49998842593</v>
      </c>
      <c r="W139" s="189" t="str">
        <f t="shared" si="43"/>
        <v>catchcopy_character_chara_ara_00001.png</v>
      </c>
      <c r="X139" s="128" t="str">
        <f t="shared" si="44"/>
        <v>enemy_icon_chara_ara_00001</v>
      </c>
      <c r="Y139" s="128" t="str">
        <f t="shared" si="45"/>
        <v>boss_icon_chara_ara_00001</v>
      </c>
      <c r="Z139" s="184"/>
      <c r="AA139" s="185"/>
      <c r="AB139" s="145" t="s">
        <v>1157</v>
      </c>
      <c r="AC139" s="191"/>
      <c r="AD139" s="185"/>
      <c r="AE139" s="185"/>
      <c r="AF139" s="192"/>
      <c r="AG139" s="138" t="s">
        <v>1078</v>
      </c>
      <c r="AH139" s="139"/>
    </row>
    <row r="140">
      <c r="A140" s="25" t="s">
        <v>206</v>
      </c>
      <c r="B140" s="178" t="str">
        <f t="array" ref="B140">iferror(INDEX('作品'!D:D,MATCH(A140,'作品'!A:A,0),0),"error")</f>
        <v>あやかしトライアングル</v>
      </c>
      <c r="C140" s="179" t="s">
        <v>973</v>
      </c>
      <c r="D140" s="180" t="str">
        <f t="shared" si="1"/>
        <v>chara_aya_00001</v>
      </c>
      <c r="E140" s="181" t="s">
        <v>1672</v>
      </c>
      <c r="F140" s="45" t="s">
        <v>1673</v>
      </c>
      <c r="G140" s="45" t="s">
        <v>1674</v>
      </c>
      <c r="H140" s="59" t="s">
        <v>976</v>
      </c>
      <c r="I140" s="12" t="s">
        <v>977</v>
      </c>
      <c r="J140" s="59" t="s">
        <v>1017</v>
      </c>
      <c r="K140" s="183" t="s">
        <v>979</v>
      </c>
      <c r="L140" s="59" t="s">
        <v>1063</v>
      </c>
      <c r="M140" s="59" t="s">
        <v>1018</v>
      </c>
      <c r="N140" s="185"/>
      <c r="O140" s="59" t="s">
        <v>1018</v>
      </c>
      <c r="P140" s="186"/>
      <c r="Q140" s="221" t="s">
        <v>1073</v>
      </c>
      <c r="R140" s="200" t="s">
        <v>1675</v>
      </c>
      <c r="S140" s="221" t="s">
        <v>1042</v>
      </c>
      <c r="T140" s="200" t="s">
        <v>1676</v>
      </c>
      <c r="U140" s="174" t="s">
        <v>1677</v>
      </c>
      <c r="V140" s="50">
        <v>390812.49998842593</v>
      </c>
      <c r="W140" s="189" t="str">
        <f t="shared" si="43"/>
        <v>catchcopy_character_chara_aya_00001.png</v>
      </c>
      <c r="X140" s="128" t="str">
        <f t="shared" si="44"/>
        <v>enemy_icon_chara_aya_00001</v>
      </c>
      <c r="Y140" s="128" t="str">
        <f t="shared" si="45"/>
        <v>boss_icon_chara_aya_00001</v>
      </c>
      <c r="Z140" s="184"/>
      <c r="AA140" s="185"/>
      <c r="AB140" s="145" t="s">
        <v>1678</v>
      </c>
      <c r="AC140" s="191"/>
      <c r="AD140" s="185"/>
      <c r="AE140" s="185"/>
      <c r="AF140" s="192"/>
      <c r="AG140" s="138" t="s">
        <v>1078</v>
      </c>
      <c r="AH140" s="139"/>
    </row>
    <row r="141">
      <c r="A141" s="25" t="s">
        <v>206</v>
      </c>
      <c r="B141" s="178" t="str">
        <f t="array" ref="B141">iferror(INDEX('作品'!D:D,MATCH(A141,'作品'!A:A,0),0),"error")</f>
        <v>あやかしトライアングル</v>
      </c>
      <c r="C141" s="179" t="s">
        <v>1001</v>
      </c>
      <c r="D141" s="180" t="str">
        <f t="shared" si="1"/>
        <v>chara_aya_00101</v>
      </c>
      <c r="E141" s="181" t="s">
        <v>1679</v>
      </c>
      <c r="F141" s="45" t="s">
        <v>1679</v>
      </c>
      <c r="G141" s="45" t="s">
        <v>1680</v>
      </c>
      <c r="H141" s="59" t="s">
        <v>993</v>
      </c>
      <c r="I141" s="12" t="s">
        <v>1115</v>
      </c>
      <c r="J141" s="59" t="s">
        <v>1017</v>
      </c>
      <c r="K141" s="183" t="s">
        <v>979</v>
      </c>
      <c r="L141" s="59" t="s">
        <v>1037</v>
      </c>
      <c r="M141" s="59" t="s">
        <v>1018</v>
      </c>
      <c r="N141" s="185"/>
      <c r="O141" s="59" t="s">
        <v>1018</v>
      </c>
      <c r="P141" s="186"/>
      <c r="Q141" s="221" t="s">
        <v>1073</v>
      </c>
      <c r="R141" s="200" t="s">
        <v>1514</v>
      </c>
      <c r="S141" s="221" t="s">
        <v>1681</v>
      </c>
      <c r="T141" s="200" t="s">
        <v>1682</v>
      </c>
      <c r="U141" s="174" t="s">
        <v>1677</v>
      </c>
      <c r="V141" s="50">
        <v>390812.49998842593</v>
      </c>
      <c r="W141" s="189" t="str">
        <f t="shared" si="43"/>
        <v>catchcopy_character_chara_aya_00101.png</v>
      </c>
      <c r="X141" s="128" t="str">
        <f t="shared" si="44"/>
        <v>enemy_icon_chara_aya_00101</v>
      </c>
      <c r="Y141" s="128" t="str">
        <f t="shared" si="45"/>
        <v>boss_icon_chara_aya_00101</v>
      </c>
      <c r="Z141" s="184"/>
      <c r="AA141" s="185"/>
      <c r="AB141" s="145" t="s">
        <v>1678</v>
      </c>
      <c r="AC141" s="191"/>
      <c r="AD141" s="185"/>
      <c r="AE141" s="185"/>
      <c r="AF141" s="192"/>
      <c r="AG141" s="138" t="s">
        <v>1078</v>
      </c>
      <c r="AH141" s="139"/>
    </row>
    <row r="142">
      <c r="A142" s="25" t="s">
        <v>206</v>
      </c>
      <c r="B142" s="178" t="str">
        <f t="array" ref="B142">iferror(INDEX('作品'!D:D,MATCH(A142,'作品'!A:A,0),0),"error")</f>
        <v>あやかしトライアングル</v>
      </c>
      <c r="C142" s="179" t="s">
        <v>1014</v>
      </c>
      <c r="D142" s="180" t="str">
        <f t="shared" si="1"/>
        <v>chara_aya_00201</v>
      </c>
      <c r="E142" s="181" t="s">
        <v>1683</v>
      </c>
      <c r="F142" s="45" t="s">
        <v>1683</v>
      </c>
      <c r="G142" s="45" t="s">
        <v>1684</v>
      </c>
      <c r="H142" s="59" t="s">
        <v>1028</v>
      </c>
      <c r="I142" s="215" t="s">
        <v>1029</v>
      </c>
      <c r="J142" s="59" t="s">
        <v>1004</v>
      </c>
      <c r="K142" s="183" t="s">
        <v>979</v>
      </c>
      <c r="L142" s="59" t="s">
        <v>1072</v>
      </c>
      <c r="M142" s="59" t="s">
        <v>1020</v>
      </c>
      <c r="N142" s="185"/>
      <c r="O142" s="59" t="s">
        <v>64</v>
      </c>
      <c r="P142" s="186"/>
      <c r="Q142" s="221" t="s">
        <v>1011</v>
      </c>
      <c r="R142" s="200" t="s">
        <v>1685</v>
      </c>
      <c r="S142" s="221" t="s">
        <v>1053</v>
      </c>
      <c r="T142" s="200" t="s">
        <v>1686</v>
      </c>
      <c r="U142" s="174" t="s">
        <v>1677</v>
      </c>
      <c r="V142" s="50">
        <v>390812.49998842593</v>
      </c>
      <c r="W142" s="189" t="str">
        <f t="shared" si="43"/>
        <v>catchcopy_character_chara_aya_00201.png</v>
      </c>
      <c r="X142" s="128" t="str">
        <f t="shared" si="44"/>
        <v>enemy_icon_chara_aya_00201</v>
      </c>
      <c r="Y142" s="128" t="str">
        <f t="shared" si="45"/>
        <v>boss_icon_chara_aya_00201</v>
      </c>
      <c r="Z142" s="184"/>
      <c r="AA142" s="185"/>
      <c r="AB142" s="145" t="s">
        <v>1678</v>
      </c>
      <c r="AC142" s="191"/>
      <c r="AD142" s="185"/>
      <c r="AE142" s="185"/>
      <c r="AF142" s="192"/>
      <c r="AG142" s="138" t="s">
        <v>1078</v>
      </c>
      <c r="AH142" s="139"/>
    </row>
    <row r="143">
      <c r="A143" s="25" t="s">
        <v>206</v>
      </c>
      <c r="B143" s="178" t="str">
        <f t="array" ref="B143">iferror(INDEX('作品'!D:D,MATCH(A143,'作品'!A:A,0),0),"error")</f>
        <v>あやかしトライアングル</v>
      </c>
      <c r="C143" s="179" t="s">
        <v>1026</v>
      </c>
      <c r="D143" s="180" t="str">
        <f t="shared" si="1"/>
        <v>chara_aya_00301</v>
      </c>
      <c r="E143" s="181" t="s">
        <v>1687</v>
      </c>
      <c r="F143" s="45" t="s">
        <v>1688</v>
      </c>
      <c r="G143" s="45" t="s">
        <v>1689</v>
      </c>
      <c r="H143" s="59" t="s">
        <v>1028</v>
      </c>
      <c r="I143" s="215" t="s">
        <v>1029</v>
      </c>
      <c r="J143" s="59" t="s">
        <v>1036</v>
      </c>
      <c r="K143" s="183" t="s">
        <v>979</v>
      </c>
      <c r="L143" s="59" t="s">
        <v>1005</v>
      </c>
      <c r="M143" s="59" t="s">
        <v>1006</v>
      </c>
      <c r="N143" s="185"/>
      <c r="O143" s="59" t="s">
        <v>1006</v>
      </c>
      <c r="P143" s="186"/>
      <c r="Q143" s="221" t="s">
        <v>1513</v>
      </c>
      <c r="R143" s="200" t="s">
        <v>1690</v>
      </c>
      <c r="S143" s="221" t="s">
        <v>1073</v>
      </c>
      <c r="T143" s="200" t="s">
        <v>1691</v>
      </c>
      <c r="U143" s="174" t="s">
        <v>1677</v>
      </c>
      <c r="V143" s="50">
        <v>390812.49998842593</v>
      </c>
      <c r="W143" s="189" t="str">
        <f t="shared" si="43"/>
        <v>catchcopy_character_chara_aya_00301.png</v>
      </c>
      <c r="X143" s="128" t="str">
        <f t="shared" si="44"/>
        <v>enemy_icon_chara_aya_00301</v>
      </c>
      <c r="Y143" s="128" t="str">
        <f t="shared" si="45"/>
        <v>boss_icon_chara_aya_00301</v>
      </c>
      <c r="Z143" s="184"/>
      <c r="AA143" s="185"/>
      <c r="AB143" s="145" t="s">
        <v>1678</v>
      </c>
      <c r="AC143" s="191"/>
      <c r="AD143" s="185"/>
      <c r="AE143" s="185"/>
      <c r="AF143" s="192"/>
      <c r="AG143" s="138" t="s">
        <v>1078</v>
      </c>
      <c r="AH143" s="139"/>
    </row>
    <row r="144">
      <c r="A144" s="25" t="s">
        <v>211</v>
      </c>
      <c r="B144" s="178" t="str">
        <f t="array" ref="B144">iferror(INDEX('作品'!D:D,MATCH(A144,'作品'!A:A,0),0),"error")</f>
        <v>マリッジトキシン</v>
      </c>
      <c r="C144" s="179" t="s">
        <v>973</v>
      </c>
      <c r="D144" s="180" t="str">
        <f t="shared" si="1"/>
        <v>chara_mar_00001</v>
      </c>
      <c r="E144" s="181" t="s">
        <v>1692</v>
      </c>
      <c r="F144" s="136" t="s">
        <v>991</v>
      </c>
      <c r="G144" s="136"/>
      <c r="H144" s="59" t="s">
        <v>976</v>
      </c>
      <c r="I144" s="12" t="s">
        <v>977</v>
      </c>
      <c r="J144" s="59" t="s">
        <v>1036</v>
      </c>
      <c r="K144" s="183" t="s">
        <v>979</v>
      </c>
      <c r="L144" s="59" t="s">
        <v>1063</v>
      </c>
      <c r="M144" s="59"/>
      <c r="N144" s="185"/>
      <c r="O144" s="184"/>
      <c r="P144" s="186"/>
      <c r="Q144" s="221" t="s">
        <v>1043</v>
      </c>
      <c r="R144" s="200" t="s">
        <v>1647</v>
      </c>
      <c r="S144" s="221" t="s">
        <v>1008</v>
      </c>
      <c r="T144" s="200" t="s">
        <v>1693</v>
      </c>
      <c r="U144" s="174" t="s">
        <v>1677</v>
      </c>
      <c r="V144" s="50">
        <v>390812.49998842593</v>
      </c>
      <c r="W144" s="189" t="str">
        <f t="shared" si="43"/>
        <v>catchcopy_character_chara_mar_00001.png</v>
      </c>
      <c r="X144" s="128" t="str">
        <f t="shared" si="44"/>
        <v>enemy_icon_chara_mar_00001</v>
      </c>
      <c r="Y144" s="128" t="str">
        <f t="shared" si="45"/>
        <v>boss_icon_chara_mar_00001</v>
      </c>
      <c r="Z144" s="184"/>
      <c r="AA144" s="185"/>
      <c r="AB144" s="145" t="s">
        <v>1678</v>
      </c>
      <c r="AC144" s="191"/>
      <c r="AD144" s="185"/>
      <c r="AE144" s="185"/>
      <c r="AF144" s="192"/>
      <c r="AG144" s="138" t="s">
        <v>1078</v>
      </c>
      <c r="AH144" s="139"/>
    </row>
    <row r="145">
      <c r="A145" s="25" t="s">
        <v>211</v>
      </c>
      <c r="B145" s="178" t="str">
        <f t="array" ref="B145">iferror(INDEX('作品'!D:D,MATCH(A145,'作品'!A:A,0),0),"error")</f>
        <v>マリッジトキシン</v>
      </c>
      <c r="C145" s="179" t="s">
        <v>1001</v>
      </c>
      <c r="D145" s="180" t="str">
        <f t="shared" si="1"/>
        <v>chara_mar_00101</v>
      </c>
      <c r="E145" s="181" t="s">
        <v>1694</v>
      </c>
      <c r="F145" s="136" t="s">
        <v>991</v>
      </c>
      <c r="G145" s="136"/>
      <c r="H145" s="59" t="s">
        <v>993</v>
      </c>
      <c r="I145" s="12" t="s">
        <v>1115</v>
      </c>
      <c r="J145" s="59" t="s">
        <v>1004</v>
      </c>
      <c r="K145" s="183" t="s">
        <v>979</v>
      </c>
      <c r="L145" s="59" t="s">
        <v>1072</v>
      </c>
      <c r="M145" s="59"/>
      <c r="N145" s="185"/>
      <c r="O145" s="184"/>
      <c r="P145" s="186"/>
      <c r="Q145" s="221" t="s">
        <v>1073</v>
      </c>
      <c r="R145" s="200" t="s">
        <v>1695</v>
      </c>
      <c r="S145" s="221" t="s">
        <v>1635</v>
      </c>
      <c r="T145" s="200" t="s">
        <v>1696</v>
      </c>
      <c r="U145" s="174" t="s">
        <v>1677</v>
      </c>
      <c r="V145" s="50">
        <v>390812.49998842593</v>
      </c>
      <c r="W145" s="189" t="str">
        <f t="shared" si="43"/>
        <v>catchcopy_character_chara_mar_00101.png</v>
      </c>
      <c r="X145" s="128" t="str">
        <f t="shared" si="44"/>
        <v>enemy_icon_chara_mar_00101</v>
      </c>
      <c r="Y145" s="128" t="str">
        <f t="shared" si="45"/>
        <v>boss_icon_chara_mar_00101</v>
      </c>
      <c r="Z145" s="184"/>
      <c r="AA145" s="185"/>
      <c r="AB145" s="145" t="s">
        <v>1678</v>
      </c>
      <c r="AC145" s="191"/>
      <c r="AD145" s="185"/>
      <c r="AE145" s="185"/>
      <c r="AF145" s="192"/>
      <c r="AG145" s="138" t="s">
        <v>1078</v>
      </c>
      <c r="AH145" s="139"/>
    </row>
    <row r="146">
      <c r="A146" s="25" t="s">
        <v>211</v>
      </c>
      <c r="B146" s="178" t="str">
        <f t="array" ref="B146">iferror(INDEX('作品'!D:D,MATCH(A146,'作品'!A:A,0),0),"error")</f>
        <v>マリッジトキシン</v>
      </c>
      <c r="C146" s="179" t="s">
        <v>1014</v>
      </c>
      <c r="D146" s="180" t="str">
        <f t="shared" si="1"/>
        <v>chara_mar_00201</v>
      </c>
      <c r="E146" s="181" t="s">
        <v>1697</v>
      </c>
      <c r="F146" s="136" t="s">
        <v>991</v>
      </c>
      <c r="G146" s="136"/>
      <c r="H146" s="59" t="s">
        <v>1028</v>
      </c>
      <c r="I146" s="215" t="s">
        <v>1029</v>
      </c>
      <c r="J146" s="59" t="s">
        <v>1050</v>
      </c>
      <c r="K146" s="183" t="s">
        <v>979</v>
      </c>
      <c r="L146" s="59" t="s">
        <v>1037</v>
      </c>
      <c r="M146" s="59"/>
      <c r="N146" s="185"/>
      <c r="O146" s="184"/>
      <c r="P146" s="186"/>
      <c r="Q146" s="221" t="s">
        <v>1073</v>
      </c>
      <c r="R146" s="200" t="s">
        <v>1514</v>
      </c>
      <c r="S146" s="221" t="s">
        <v>1698</v>
      </c>
      <c r="T146" s="200" t="s">
        <v>1699</v>
      </c>
      <c r="U146" s="174" t="s">
        <v>1677</v>
      </c>
      <c r="V146" s="50">
        <v>390812.49998842593</v>
      </c>
      <c r="W146" s="189" t="str">
        <f t="shared" si="43"/>
        <v>catchcopy_character_chara_mar_00201.png</v>
      </c>
      <c r="X146" s="128" t="str">
        <f t="shared" si="44"/>
        <v>enemy_icon_chara_mar_00201</v>
      </c>
      <c r="Y146" s="128" t="str">
        <f t="shared" si="45"/>
        <v>boss_icon_chara_mar_00201</v>
      </c>
      <c r="Z146" s="184"/>
      <c r="AA146" s="185"/>
      <c r="AB146" s="145" t="s">
        <v>1678</v>
      </c>
      <c r="AC146" s="191"/>
      <c r="AD146" s="185"/>
      <c r="AE146" s="185"/>
      <c r="AF146" s="192"/>
      <c r="AG146" s="138" t="s">
        <v>1078</v>
      </c>
      <c r="AH146" s="139"/>
    </row>
    <row r="147">
      <c r="A147" s="25" t="s">
        <v>211</v>
      </c>
      <c r="B147" s="178" t="str">
        <f t="array" ref="B147">iferror(INDEX('作品'!D:D,MATCH(A147,'作品'!A:A,0),0),"error")</f>
        <v>マリッジトキシン</v>
      </c>
      <c r="C147" s="179" t="s">
        <v>1026</v>
      </c>
      <c r="D147" s="180" t="str">
        <f t="shared" si="1"/>
        <v>chara_mar_00301</v>
      </c>
      <c r="E147" s="181" t="s">
        <v>1700</v>
      </c>
      <c r="F147" s="136" t="s">
        <v>991</v>
      </c>
      <c r="G147" s="136"/>
      <c r="H147" s="59" t="s">
        <v>1028</v>
      </c>
      <c r="I147" s="215" t="s">
        <v>1029</v>
      </c>
      <c r="J147" s="59" t="s">
        <v>1050</v>
      </c>
      <c r="K147" s="183" t="s">
        <v>979</v>
      </c>
      <c r="L147" s="59" t="s">
        <v>1037</v>
      </c>
      <c r="M147" s="59"/>
      <c r="N147" s="185"/>
      <c r="O147" s="184"/>
      <c r="P147" s="186"/>
      <c r="Q147" s="177"/>
      <c r="R147" s="177"/>
      <c r="S147" s="177"/>
      <c r="T147" s="177"/>
      <c r="U147" s="174" t="s">
        <v>1677</v>
      </c>
      <c r="V147" s="50">
        <v>390812.49998842593</v>
      </c>
      <c r="W147" s="189" t="str">
        <f t="shared" si="43"/>
        <v>catchcopy_character_chara_mar_00301.png</v>
      </c>
      <c r="X147" s="128" t="str">
        <f t="shared" si="44"/>
        <v>enemy_icon_chara_mar_00301</v>
      </c>
      <c r="Y147" s="128" t="str">
        <f t="shared" si="45"/>
        <v>boss_icon_chara_mar_00301</v>
      </c>
      <c r="Z147" s="184"/>
      <c r="AA147" s="185"/>
      <c r="AB147" s="145" t="s">
        <v>1678</v>
      </c>
      <c r="AC147" s="191"/>
      <c r="AD147" s="185"/>
      <c r="AE147" s="185"/>
      <c r="AF147" s="192"/>
      <c r="AG147" s="138" t="s">
        <v>1078</v>
      </c>
      <c r="AH147" s="139"/>
    </row>
    <row r="148">
      <c r="A148" s="25" t="s">
        <v>211</v>
      </c>
      <c r="B148" s="178" t="str">
        <f t="array" ref="B148">iferror(INDEX('作品'!D:D,MATCH(A148,'作品'!A:A,0),0),"error")</f>
        <v>マリッジトキシン</v>
      </c>
      <c r="C148" s="179" t="s">
        <v>1034</v>
      </c>
      <c r="D148" s="180" t="str">
        <f t="shared" si="1"/>
        <v>chara_mar_00401</v>
      </c>
      <c r="E148" s="181" t="s">
        <v>1701</v>
      </c>
      <c r="F148" s="136" t="s">
        <v>991</v>
      </c>
      <c r="G148" s="136"/>
      <c r="H148" s="59" t="s">
        <v>1028</v>
      </c>
      <c r="I148" s="215" t="s">
        <v>1029</v>
      </c>
      <c r="J148" s="59" t="s">
        <v>1017</v>
      </c>
      <c r="K148" s="183" t="s">
        <v>979</v>
      </c>
      <c r="L148" s="59" t="s">
        <v>1063</v>
      </c>
      <c r="M148" s="59"/>
      <c r="N148" s="185"/>
      <c r="O148" s="184"/>
      <c r="P148" s="186"/>
      <c r="Q148" s="221" t="s">
        <v>1702</v>
      </c>
      <c r="R148" s="200" t="s">
        <v>1703</v>
      </c>
      <c r="S148" s="221" t="s">
        <v>1194</v>
      </c>
      <c r="T148" s="200" t="s">
        <v>1704</v>
      </c>
      <c r="U148" s="174" t="s">
        <v>1677</v>
      </c>
      <c r="V148" s="50">
        <v>390812.49998842593</v>
      </c>
      <c r="W148" s="189" t="str">
        <f t="shared" si="43"/>
        <v>catchcopy_character_chara_mar_00401.png</v>
      </c>
      <c r="X148" s="128" t="str">
        <f t="shared" si="44"/>
        <v>enemy_icon_chara_mar_00401</v>
      </c>
      <c r="Y148" s="128" t="str">
        <f t="shared" si="45"/>
        <v>boss_icon_chara_mar_00401</v>
      </c>
      <c r="Z148" s="184"/>
      <c r="AA148" s="185"/>
      <c r="AB148" s="145" t="s">
        <v>1678</v>
      </c>
      <c r="AC148" s="191"/>
      <c r="AD148" s="185"/>
      <c r="AE148" s="185"/>
      <c r="AF148" s="192"/>
      <c r="AG148" s="138" t="s">
        <v>1078</v>
      </c>
      <c r="AH148" s="139"/>
    </row>
    <row r="149">
      <c r="A149" s="25" t="s">
        <v>217</v>
      </c>
      <c r="B149" s="178" t="str">
        <f t="array" ref="B149">iferror(INDEX('作品'!D:D,MATCH(A149,'作品'!A:A,0),0),"error")</f>
        <v>シバつき物件</v>
      </c>
      <c r="C149" s="179" t="s">
        <v>973</v>
      </c>
      <c r="D149" s="180" t="str">
        <f t="shared" si="1"/>
        <v>chara_sib_00001</v>
      </c>
      <c r="E149" s="181" t="s">
        <v>1705</v>
      </c>
      <c r="F149" s="136" t="s">
        <v>991</v>
      </c>
      <c r="G149" s="136"/>
      <c r="H149" s="59" t="s">
        <v>976</v>
      </c>
      <c r="I149" s="12" t="s">
        <v>977</v>
      </c>
      <c r="J149" s="59" t="s">
        <v>1004</v>
      </c>
      <c r="K149" s="183" t="s">
        <v>979</v>
      </c>
      <c r="L149" s="59" t="s">
        <v>1037</v>
      </c>
      <c r="M149" s="59"/>
      <c r="N149" s="185"/>
      <c r="O149" s="184"/>
      <c r="P149" s="186"/>
      <c r="Q149" s="221" t="s">
        <v>1011</v>
      </c>
      <c r="R149" s="200" t="s">
        <v>1706</v>
      </c>
      <c r="S149" s="221" t="s">
        <v>1588</v>
      </c>
      <c r="T149" s="200" t="s">
        <v>1707</v>
      </c>
      <c r="U149" s="174" t="s">
        <v>1677</v>
      </c>
      <c r="V149" s="50">
        <v>390812.49998842593</v>
      </c>
      <c r="W149" s="189" t="str">
        <f t="shared" si="43"/>
        <v>catchcopy_character_chara_sib_00001.png</v>
      </c>
      <c r="X149" s="128" t="str">
        <f t="shared" si="44"/>
        <v>enemy_icon_chara_sib_00001</v>
      </c>
      <c r="Y149" s="128" t="str">
        <f t="shared" si="45"/>
        <v>boss_icon_chara_sib_00001</v>
      </c>
      <c r="Z149" s="184"/>
      <c r="AA149" s="185"/>
      <c r="AB149" s="145" t="s">
        <v>1678</v>
      </c>
      <c r="AC149" s="191"/>
      <c r="AD149" s="185"/>
      <c r="AE149" s="185"/>
      <c r="AF149" s="192"/>
      <c r="AG149" s="138" t="s">
        <v>1078</v>
      </c>
      <c r="AH149" s="139"/>
    </row>
    <row r="150">
      <c r="A150" s="25" t="s">
        <v>223</v>
      </c>
      <c r="B150" s="178" t="str">
        <f t="array" ref="B150">iferror(INDEX('作品'!D:D,MATCH(A150,'作品'!A:A,0),0),"error")</f>
        <v>猫田びより</v>
      </c>
      <c r="C150" s="179" t="s">
        <v>973</v>
      </c>
      <c r="D150" s="180" t="str">
        <f t="shared" si="1"/>
        <v>chara_nek_00001</v>
      </c>
      <c r="E150" s="181" t="s">
        <v>1708</v>
      </c>
      <c r="F150" s="136" t="s">
        <v>991</v>
      </c>
      <c r="G150" s="136"/>
      <c r="H150" s="59" t="s">
        <v>993</v>
      </c>
      <c r="I150" s="12" t="s">
        <v>1115</v>
      </c>
      <c r="J150" s="59" t="s">
        <v>1004</v>
      </c>
      <c r="K150" s="183" t="s">
        <v>979</v>
      </c>
      <c r="L150" s="59" t="s">
        <v>1005</v>
      </c>
      <c r="M150" s="59"/>
      <c r="N150" s="185"/>
      <c r="O150" s="184"/>
      <c r="P150" s="186"/>
      <c r="Q150" s="221" t="s">
        <v>1073</v>
      </c>
      <c r="R150" s="200" t="s">
        <v>1690</v>
      </c>
      <c r="S150" s="221" t="s">
        <v>1709</v>
      </c>
      <c r="T150" s="200" t="s">
        <v>1710</v>
      </c>
      <c r="U150" s="174" t="s">
        <v>1677</v>
      </c>
      <c r="V150" s="50">
        <v>390812.49998842593</v>
      </c>
      <c r="W150" s="189" t="str">
        <f t="shared" si="43"/>
        <v>catchcopy_character_chara_nek_00001.png</v>
      </c>
      <c r="X150" s="128" t="str">
        <f t="shared" si="44"/>
        <v>enemy_icon_chara_nek_00001</v>
      </c>
      <c r="Y150" s="128" t="str">
        <f t="shared" si="45"/>
        <v>boss_icon_chara_nek_00001</v>
      </c>
      <c r="Z150" s="184"/>
      <c r="AA150" s="185"/>
      <c r="AB150" s="145" t="s">
        <v>1678</v>
      </c>
      <c r="AC150" s="191"/>
      <c r="AD150" s="185"/>
      <c r="AE150" s="185"/>
      <c r="AF150" s="192"/>
      <c r="AG150" s="138" t="s">
        <v>1078</v>
      </c>
      <c r="AH150" s="139"/>
    </row>
    <row r="151">
      <c r="A151" s="25" t="s">
        <v>229</v>
      </c>
      <c r="B151" s="178" t="str">
        <f t="array" ref="B151">iferror(INDEX('作品'!D:D,MATCH(A151,'作品'!A:A,0),0),"error")</f>
        <v>MAD</v>
      </c>
      <c r="C151" s="179" t="s">
        <v>973</v>
      </c>
      <c r="D151" s="180" t="str">
        <f t="shared" si="1"/>
        <v>chara_mad_00001</v>
      </c>
      <c r="E151" s="181" t="s">
        <v>1711</v>
      </c>
      <c r="F151" s="136" t="s">
        <v>991</v>
      </c>
      <c r="G151" s="182"/>
      <c r="H151" s="59" t="s">
        <v>976</v>
      </c>
      <c r="I151" s="12" t="s">
        <v>977</v>
      </c>
      <c r="J151" s="59" t="s">
        <v>1050</v>
      </c>
      <c r="K151" s="183" t="s">
        <v>979</v>
      </c>
      <c r="L151" s="59" t="s">
        <v>1005</v>
      </c>
      <c r="M151" s="59"/>
      <c r="N151" s="185"/>
      <c r="O151" s="184"/>
      <c r="P151" s="186"/>
      <c r="Q151" s="177"/>
      <c r="R151" s="177"/>
      <c r="S151" s="221"/>
      <c r="T151" s="200"/>
      <c r="U151" s="174" t="s">
        <v>1712</v>
      </c>
      <c r="V151" s="50">
        <v>390812.49998842593</v>
      </c>
      <c r="W151" s="189" t="str">
        <f t="shared" si="43"/>
        <v>catchcopy_character_chara_mad_00001.png</v>
      </c>
      <c r="X151" s="128" t="str">
        <f t="shared" si="44"/>
        <v>enemy_icon_chara_mad_00001</v>
      </c>
      <c r="Y151" s="128" t="str">
        <f t="shared" si="45"/>
        <v>boss_icon_chara_mad_00001</v>
      </c>
      <c r="Z151" s="184"/>
      <c r="AA151" s="185"/>
      <c r="AB151" s="145" t="s">
        <v>1713</v>
      </c>
      <c r="AC151" s="191"/>
      <c r="AD151" s="185"/>
      <c r="AE151" s="185"/>
      <c r="AF151" s="192"/>
      <c r="AG151" s="138" t="s">
        <v>1078</v>
      </c>
      <c r="AH151" s="139"/>
    </row>
    <row r="152">
      <c r="A152" s="25" t="s">
        <v>229</v>
      </c>
      <c r="B152" s="178" t="str">
        <f t="array" ref="B152">iferror(INDEX('作品'!D:D,MATCH(A152,'作品'!A:A,0),0),"error")</f>
        <v>MAD</v>
      </c>
      <c r="C152" s="179" t="s">
        <v>1001</v>
      </c>
      <c r="D152" s="180" t="str">
        <f t="shared" si="1"/>
        <v>chara_mad_00101</v>
      </c>
      <c r="E152" s="181" t="s">
        <v>1714</v>
      </c>
      <c r="F152" s="136" t="s">
        <v>991</v>
      </c>
      <c r="G152" s="182"/>
      <c r="H152" s="59" t="s">
        <v>976</v>
      </c>
      <c r="I152" s="12" t="s">
        <v>977</v>
      </c>
      <c r="J152" s="59" t="s">
        <v>1017</v>
      </c>
      <c r="K152" s="183" t="s">
        <v>979</v>
      </c>
      <c r="L152" s="59" t="s">
        <v>1005</v>
      </c>
      <c r="M152" s="59"/>
      <c r="N152" s="185"/>
      <c r="O152" s="184"/>
      <c r="P152" s="186"/>
      <c r="Q152" s="177"/>
      <c r="R152" s="177"/>
      <c r="S152" s="177"/>
      <c r="T152" s="177"/>
      <c r="U152" s="174" t="s">
        <v>1712</v>
      </c>
      <c r="V152" s="50">
        <v>390812.49998842593</v>
      </c>
      <c r="W152" s="189" t="str">
        <f t="shared" si="43"/>
        <v>catchcopy_character_chara_mad_00101.png</v>
      </c>
      <c r="X152" s="128" t="str">
        <f t="shared" si="44"/>
        <v>enemy_icon_chara_mad_00101</v>
      </c>
      <c r="Y152" s="128" t="str">
        <f t="shared" si="45"/>
        <v>boss_icon_chara_mad_00101</v>
      </c>
      <c r="Z152" s="184"/>
      <c r="AA152" s="185"/>
      <c r="AB152" s="145" t="s">
        <v>1713</v>
      </c>
      <c r="AC152" s="191"/>
      <c r="AD152" s="185"/>
      <c r="AE152" s="185"/>
      <c r="AF152" s="192"/>
      <c r="AG152" s="138" t="s">
        <v>1078</v>
      </c>
      <c r="AH152" s="139"/>
    </row>
    <row r="153">
      <c r="A153" s="25" t="s">
        <v>229</v>
      </c>
      <c r="B153" s="178" t="str">
        <f t="array" ref="B153">iferror(INDEX('作品'!D:D,MATCH(A153,'作品'!A:A,0),0),"error")</f>
        <v>MAD</v>
      </c>
      <c r="C153" s="179" t="s">
        <v>1014</v>
      </c>
      <c r="D153" s="180" t="str">
        <f t="shared" si="1"/>
        <v>chara_mad_00201</v>
      </c>
      <c r="E153" s="181" t="s">
        <v>1715</v>
      </c>
      <c r="F153" s="136" t="s">
        <v>991</v>
      </c>
      <c r="G153" s="182"/>
      <c r="H153" s="59" t="s">
        <v>1028</v>
      </c>
      <c r="I153" s="12" t="s">
        <v>1029</v>
      </c>
      <c r="J153" s="59" t="s">
        <v>1017</v>
      </c>
      <c r="K153" s="183" t="s">
        <v>979</v>
      </c>
      <c r="L153" s="59" t="s">
        <v>1037</v>
      </c>
      <c r="M153" s="59"/>
      <c r="N153" s="185"/>
      <c r="O153" s="184"/>
      <c r="P153" s="186"/>
      <c r="Q153" s="177"/>
      <c r="R153" s="177"/>
      <c r="S153" s="177"/>
      <c r="T153" s="177"/>
      <c r="U153" s="174" t="s">
        <v>1712</v>
      </c>
      <c r="V153" s="50">
        <v>390812.49998842593</v>
      </c>
      <c r="W153" s="189" t="str">
        <f t="shared" si="43"/>
        <v>catchcopy_character_chara_mad_00201.png</v>
      </c>
      <c r="X153" s="128" t="str">
        <f t="shared" si="44"/>
        <v>enemy_icon_chara_mad_00201</v>
      </c>
      <c r="Y153" s="128" t="str">
        <f t="shared" si="45"/>
        <v>boss_icon_chara_mad_00201</v>
      </c>
      <c r="Z153" s="184"/>
      <c r="AA153" s="185"/>
      <c r="AB153" s="145" t="s">
        <v>1713</v>
      </c>
      <c r="AC153" s="191"/>
      <c r="AD153" s="185"/>
      <c r="AE153" s="185"/>
      <c r="AF153" s="192"/>
      <c r="AG153" s="138" t="s">
        <v>1078</v>
      </c>
      <c r="AH153" s="139"/>
    </row>
    <row r="154">
      <c r="A154" s="25" t="s">
        <v>229</v>
      </c>
      <c r="B154" s="178" t="str">
        <f t="array" ref="B154">iferror(INDEX('作品'!D:D,MATCH(A154,'作品'!A:A,0),0),"error")</f>
        <v>MAD</v>
      </c>
      <c r="C154" s="179" t="s">
        <v>1026</v>
      </c>
      <c r="D154" s="180" t="str">
        <f t="shared" si="1"/>
        <v>chara_mad_00301</v>
      </c>
      <c r="E154" s="181" t="s">
        <v>1716</v>
      </c>
      <c r="F154" s="136" t="s">
        <v>991</v>
      </c>
      <c r="G154" s="182"/>
      <c r="H154" s="59" t="s">
        <v>1028</v>
      </c>
      <c r="I154" s="12" t="s">
        <v>1029</v>
      </c>
      <c r="J154" s="59" t="s">
        <v>1036</v>
      </c>
      <c r="K154" s="183" t="s">
        <v>979</v>
      </c>
      <c r="L154" s="59" t="s">
        <v>1072</v>
      </c>
      <c r="M154" s="59"/>
      <c r="N154" s="185"/>
      <c r="O154" s="184"/>
      <c r="P154" s="186"/>
      <c r="Q154" s="177"/>
      <c r="R154" s="177"/>
      <c r="S154" s="177"/>
      <c r="T154" s="177"/>
      <c r="U154" s="174" t="s">
        <v>1712</v>
      </c>
      <c r="V154" s="50">
        <v>390812.49998842593</v>
      </c>
      <c r="W154" s="189" t="str">
        <f t="shared" si="43"/>
        <v>catchcopy_character_chara_mad_00301.png</v>
      </c>
      <c r="X154" s="128" t="str">
        <f t="shared" si="44"/>
        <v>enemy_icon_chara_mad_00301</v>
      </c>
      <c r="Y154" s="128" t="str">
        <f t="shared" si="45"/>
        <v>boss_icon_chara_mad_00301</v>
      </c>
      <c r="Z154" s="184"/>
      <c r="AA154" s="185"/>
      <c r="AB154" s="145" t="s">
        <v>1713</v>
      </c>
      <c r="AC154" s="191"/>
      <c r="AD154" s="185"/>
      <c r="AE154" s="185"/>
      <c r="AF154" s="192"/>
      <c r="AG154" s="138" t="s">
        <v>1078</v>
      </c>
      <c r="AH154" s="139"/>
    </row>
    <row r="155">
      <c r="A155" s="25" t="s">
        <v>232</v>
      </c>
      <c r="B155" s="178" t="str">
        <f t="array" ref="B155">iferror(INDEX('作品'!D:D,MATCH(A155,'作品'!A:A,0),0),"error")</f>
        <v>終末のハーレム</v>
      </c>
      <c r="C155" s="179" t="s">
        <v>973</v>
      </c>
      <c r="D155" s="180" t="str">
        <f t="shared" si="1"/>
        <v>chara_syu_00001</v>
      </c>
      <c r="E155" s="181" t="s">
        <v>1717</v>
      </c>
      <c r="F155" s="136" t="s">
        <v>991</v>
      </c>
      <c r="G155" s="182"/>
      <c r="H155" s="59" t="s">
        <v>976</v>
      </c>
      <c r="I155" s="12" t="s">
        <v>977</v>
      </c>
      <c r="J155" s="59" t="s">
        <v>1036</v>
      </c>
      <c r="K155" s="183" t="s">
        <v>979</v>
      </c>
      <c r="L155" s="59" t="s">
        <v>1072</v>
      </c>
      <c r="M155" s="59"/>
      <c r="N155" s="185"/>
      <c r="O155" s="184"/>
      <c r="P155" s="186"/>
      <c r="Q155" s="177"/>
      <c r="R155" s="177"/>
      <c r="S155" s="177"/>
      <c r="T155" s="177"/>
      <c r="U155" s="174" t="s">
        <v>1718</v>
      </c>
      <c r="V155" s="50">
        <v>390812.49998842593</v>
      </c>
      <c r="W155" s="189" t="str">
        <f t="shared" si="43"/>
        <v>catchcopy_character_chara_syu_00001.png</v>
      </c>
      <c r="X155" s="128" t="str">
        <f t="shared" si="44"/>
        <v>enemy_icon_chara_syu_00001</v>
      </c>
      <c r="Y155" s="128" t="str">
        <f t="shared" si="45"/>
        <v>boss_icon_chara_syu_00001</v>
      </c>
      <c r="Z155" s="184"/>
      <c r="AA155" s="185"/>
      <c r="AB155" s="145" t="s">
        <v>1719</v>
      </c>
      <c r="AC155" s="191"/>
      <c r="AD155" s="185"/>
      <c r="AE155" s="185"/>
      <c r="AF155" s="192"/>
      <c r="AG155" s="138" t="s">
        <v>1078</v>
      </c>
      <c r="AH155" s="139"/>
    </row>
    <row r="156">
      <c r="A156" s="25" t="s">
        <v>237</v>
      </c>
      <c r="B156" s="178" t="str">
        <f t="array" ref="B156">iferror(INDEX('作品'!D:D,MATCH(A156,'作品'!A:A,0),0),"error")</f>
        <v>終末のハーレム After World</v>
      </c>
      <c r="C156" s="179" t="s">
        <v>973</v>
      </c>
      <c r="D156" s="180" t="str">
        <f t="shared" si="1"/>
        <v>chara_aft_00001</v>
      </c>
      <c r="E156" s="181" t="s">
        <v>1720</v>
      </c>
      <c r="F156" s="136" t="s">
        <v>991</v>
      </c>
      <c r="G156" s="182"/>
      <c r="H156" s="59" t="s">
        <v>976</v>
      </c>
      <c r="I156" s="12" t="s">
        <v>977</v>
      </c>
      <c r="J156" s="59" t="s">
        <v>1017</v>
      </c>
      <c r="K156" s="183" t="s">
        <v>979</v>
      </c>
      <c r="L156" s="59" t="s">
        <v>1037</v>
      </c>
      <c r="M156" s="59"/>
      <c r="N156" s="185"/>
      <c r="O156" s="184"/>
      <c r="P156" s="186"/>
      <c r="Q156" s="177"/>
      <c r="R156" s="177"/>
      <c r="S156" s="177"/>
      <c r="T156" s="177"/>
      <c r="U156" s="174" t="s">
        <v>1718</v>
      </c>
      <c r="V156" s="50">
        <v>390812.49998842593</v>
      </c>
      <c r="W156" s="189" t="str">
        <f t="shared" si="43"/>
        <v>catchcopy_character_chara_aft_00001.png</v>
      </c>
      <c r="X156" s="128" t="str">
        <f t="shared" si="44"/>
        <v>enemy_icon_chara_aft_00001</v>
      </c>
      <c r="Y156" s="128" t="str">
        <f t="shared" si="45"/>
        <v>boss_icon_chara_aft_00001</v>
      </c>
      <c r="Z156" s="184"/>
      <c r="AA156" s="185"/>
      <c r="AB156" s="145" t="s">
        <v>1719</v>
      </c>
      <c r="AC156" s="191"/>
      <c r="AD156" s="185"/>
      <c r="AE156" s="185"/>
      <c r="AF156" s="192"/>
      <c r="AG156" s="138" t="s">
        <v>1078</v>
      </c>
      <c r="AH156" s="139"/>
    </row>
    <row r="157">
      <c r="A157" s="25" t="s">
        <v>248</v>
      </c>
      <c r="B157" s="178" t="str">
        <f t="array" ref="B157">iferror(INDEX('作品'!D:D,MATCH(A157,'作品'!A:A,0),0),"error")</f>
        <v>口が裂けても君には</v>
      </c>
      <c r="C157" s="179" t="s">
        <v>973</v>
      </c>
      <c r="D157" s="180" t="str">
        <f t="shared" si="1"/>
        <v>chara_kut_00001</v>
      </c>
      <c r="E157" s="181" t="s">
        <v>1721</v>
      </c>
      <c r="F157" s="136" t="s">
        <v>991</v>
      </c>
      <c r="G157" s="182"/>
      <c r="H157" s="59" t="s">
        <v>976</v>
      </c>
      <c r="I157" s="12" t="s">
        <v>977</v>
      </c>
      <c r="J157" s="59" t="s">
        <v>1050</v>
      </c>
      <c r="K157" s="183" t="s">
        <v>979</v>
      </c>
      <c r="L157" s="59" t="s">
        <v>1063</v>
      </c>
      <c r="M157" s="59"/>
      <c r="N157" s="185"/>
      <c r="O157" s="184"/>
      <c r="P157" s="186"/>
      <c r="Q157" s="177"/>
      <c r="R157" s="177"/>
      <c r="S157" s="177"/>
      <c r="T157" s="177"/>
      <c r="U157" s="174" t="s">
        <v>1718</v>
      </c>
      <c r="V157" s="50">
        <v>390812.49998842593</v>
      </c>
      <c r="W157" s="189" t="str">
        <f t="shared" si="43"/>
        <v>catchcopy_character_chara_kut_00001.png</v>
      </c>
      <c r="X157" s="128" t="str">
        <f t="shared" si="44"/>
        <v>enemy_icon_chara_kut_00001</v>
      </c>
      <c r="Y157" s="128" t="str">
        <f t="shared" si="45"/>
        <v>boss_icon_chara_kut_00001</v>
      </c>
      <c r="Z157" s="184"/>
      <c r="AA157" s="185"/>
      <c r="AB157" s="145" t="s">
        <v>1719</v>
      </c>
      <c r="AC157" s="191"/>
      <c r="AD157" s="185"/>
      <c r="AE157" s="185"/>
      <c r="AF157" s="192"/>
      <c r="AG157" s="138" t="s">
        <v>1078</v>
      </c>
      <c r="AH157" s="139"/>
    </row>
    <row r="158">
      <c r="A158" s="25" t="s">
        <v>253</v>
      </c>
      <c r="B158" s="178" t="str">
        <f t="array" ref="B158">iferror(INDEX('作品'!D:D,MATCH(A158,'作品'!A:A,0),0),"error")</f>
        <v>サンキューピッチ</v>
      </c>
      <c r="C158" s="179" t="s">
        <v>973</v>
      </c>
      <c r="D158" s="180" t="str">
        <f t="shared" si="1"/>
        <v>chara_san_00001</v>
      </c>
      <c r="E158" s="181" t="s">
        <v>1722</v>
      </c>
      <c r="F158" s="136" t="s">
        <v>991</v>
      </c>
      <c r="G158" s="182"/>
      <c r="H158" s="59" t="s">
        <v>976</v>
      </c>
      <c r="I158" s="12" t="s">
        <v>977</v>
      </c>
      <c r="J158" s="59" t="s">
        <v>1004</v>
      </c>
      <c r="K158" s="183" t="s">
        <v>979</v>
      </c>
      <c r="L158" s="59"/>
      <c r="M158" s="59"/>
      <c r="N158" s="185"/>
      <c r="O158" s="184"/>
      <c r="P158" s="186"/>
      <c r="Q158" s="177"/>
      <c r="R158" s="177"/>
      <c r="S158" s="177"/>
      <c r="T158" s="177"/>
      <c r="U158" s="187"/>
      <c r="V158" s="188"/>
      <c r="W158" s="189"/>
      <c r="X158" s="190"/>
      <c r="Y158" s="190"/>
      <c r="Z158" s="184"/>
      <c r="AA158" s="185"/>
      <c r="AB158" s="145"/>
      <c r="AC158" s="191"/>
      <c r="AD158" s="185"/>
      <c r="AE158" s="185"/>
      <c r="AF158" s="192"/>
      <c r="AG158" s="138" t="s">
        <v>1078</v>
      </c>
      <c r="AH158" s="139"/>
    </row>
    <row r="159">
      <c r="A159" s="25" t="s">
        <v>253</v>
      </c>
      <c r="B159" s="178" t="str">
        <f t="array" ref="B159">iferror(INDEX('作品'!D:D,MATCH(A159,'作品'!A:A,0),0),"error")</f>
        <v>サンキューピッチ</v>
      </c>
      <c r="C159" s="179" t="s">
        <v>1001</v>
      </c>
      <c r="D159" s="180" t="str">
        <f t="shared" si="1"/>
        <v>chara_san_00101</v>
      </c>
      <c r="E159" s="181" t="s">
        <v>1723</v>
      </c>
      <c r="F159" s="136" t="s">
        <v>991</v>
      </c>
      <c r="G159" s="182"/>
      <c r="H159" s="59" t="s">
        <v>1028</v>
      </c>
      <c r="I159" s="12" t="s">
        <v>1029</v>
      </c>
      <c r="J159" s="59" t="s">
        <v>1017</v>
      </c>
      <c r="K159" s="183" t="s">
        <v>979</v>
      </c>
      <c r="L159" s="59"/>
      <c r="M159" s="59"/>
      <c r="N159" s="185"/>
      <c r="O159" s="184"/>
      <c r="P159" s="186"/>
      <c r="Q159" s="177"/>
      <c r="R159" s="177"/>
      <c r="S159" s="177"/>
      <c r="T159" s="177"/>
      <c r="U159" s="187"/>
      <c r="V159" s="188"/>
      <c r="W159" s="189"/>
      <c r="X159" s="190"/>
      <c r="Y159" s="190"/>
      <c r="Z159" s="184"/>
      <c r="AA159" s="185"/>
      <c r="AB159" s="145"/>
      <c r="AC159" s="191"/>
      <c r="AD159" s="185"/>
      <c r="AE159" s="185"/>
      <c r="AF159" s="192"/>
      <c r="AG159" s="138" t="s">
        <v>1078</v>
      </c>
      <c r="AH159" s="139"/>
    </row>
    <row r="160">
      <c r="A160" s="25" t="s">
        <v>271</v>
      </c>
      <c r="B160" s="214" t="s">
        <v>272</v>
      </c>
      <c r="C160" s="179" t="s">
        <v>973</v>
      </c>
      <c r="D160" s="180" t="str">
        <f t="shared" si="1"/>
        <v>chara_sei_00001</v>
      </c>
      <c r="E160" s="181" t="s">
        <v>1724</v>
      </c>
      <c r="F160" s="136" t="s">
        <v>991</v>
      </c>
      <c r="G160" s="182"/>
      <c r="H160" s="59" t="s">
        <v>976</v>
      </c>
      <c r="I160" s="12"/>
      <c r="J160" s="59"/>
      <c r="K160" s="183" t="s">
        <v>979</v>
      </c>
      <c r="L160" s="59" t="s">
        <v>1037</v>
      </c>
      <c r="M160" s="59"/>
      <c r="N160" s="185"/>
      <c r="O160" s="184"/>
      <c r="P160" s="186"/>
      <c r="Q160" s="177"/>
      <c r="R160" s="177"/>
      <c r="S160" s="177"/>
      <c r="T160" s="177"/>
      <c r="U160" s="187"/>
      <c r="V160" s="188"/>
      <c r="W160" s="189"/>
      <c r="X160" s="190"/>
      <c r="Y160" s="190"/>
      <c r="Z160" s="184"/>
      <c r="AA160" s="185"/>
      <c r="AB160" s="145"/>
      <c r="AC160" s="191"/>
      <c r="AD160" s="185"/>
      <c r="AE160" s="185"/>
      <c r="AF160" s="192"/>
      <c r="AG160" s="138" t="s">
        <v>1078</v>
      </c>
      <c r="AH160" s="139"/>
    </row>
    <row r="161">
      <c r="A161" s="25" t="s">
        <v>258</v>
      </c>
      <c r="B161" s="214" t="s">
        <v>259</v>
      </c>
      <c r="C161" s="179" t="s">
        <v>973</v>
      </c>
      <c r="D161" s="180" t="str">
        <f t="shared" si="1"/>
        <v>chara_kus_00001</v>
      </c>
      <c r="E161" s="181" t="s">
        <v>1725</v>
      </c>
      <c r="F161" s="136" t="s">
        <v>991</v>
      </c>
      <c r="G161" s="182"/>
      <c r="H161" s="59" t="s">
        <v>976</v>
      </c>
      <c r="I161" s="12"/>
      <c r="J161" s="59"/>
      <c r="K161" s="183" t="s">
        <v>979</v>
      </c>
      <c r="L161" s="59" t="s">
        <v>1063</v>
      </c>
      <c r="M161" s="59"/>
      <c r="N161" s="185"/>
      <c r="O161" s="184"/>
      <c r="P161" s="186"/>
      <c r="Q161" s="177"/>
      <c r="R161" s="177"/>
      <c r="S161" s="177"/>
      <c r="T161" s="177"/>
      <c r="U161" s="187"/>
      <c r="V161" s="188"/>
      <c r="W161" s="189"/>
      <c r="X161" s="190"/>
      <c r="Y161" s="190"/>
      <c r="Z161" s="184"/>
      <c r="AA161" s="185"/>
      <c r="AB161" s="145"/>
      <c r="AC161" s="191"/>
      <c r="AD161" s="185"/>
      <c r="AE161" s="185"/>
      <c r="AF161" s="192"/>
      <c r="AG161" s="138"/>
      <c r="AH161" s="139"/>
    </row>
    <row r="162">
      <c r="A162" s="25" t="s">
        <v>262</v>
      </c>
      <c r="B162" s="214" t="s">
        <v>263</v>
      </c>
      <c r="C162" s="179" t="s">
        <v>973</v>
      </c>
      <c r="D162" s="180" t="str">
        <f t="shared" si="1"/>
        <v>chara_han_00001</v>
      </c>
      <c r="E162" s="181" t="s">
        <v>1726</v>
      </c>
      <c r="F162" s="136" t="s">
        <v>991</v>
      </c>
      <c r="G162" s="182"/>
      <c r="H162" s="59" t="s">
        <v>993</v>
      </c>
      <c r="I162" s="12"/>
      <c r="J162" s="59"/>
      <c r="K162" s="183" t="s">
        <v>979</v>
      </c>
      <c r="L162" s="59" t="s">
        <v>1037</v>
      </c>
      <c r="M162" s="59"/>
      <c r="N162" s="185"/>
      <c r="O162" s="184"/>
      <c r="P162" s="186"/>
      <c r="Q162" s="177"/>
      <c r="R162" s="177"/>
      <c r="S162" s="177"/>
      <c r="T162" s="177"/>
      <c r="U162" s="187"/>
      <c r="V162" s="188"/>
      <c r="W162" s="189"/>
      <c r="X162" s="190"/>
      <c r="Y162" s="190"/>
      <c r="Z162" s="184"/>
      <c r="AA162" s="185"/>
      <c r="AB162" s="145"/>
      <c r="AC162" s="191"/>
      <c r="AD162" s="185"/>
      <c r="AE162" s="185"/>
      <c r="AF162" s="192"/>
      <c r="AG162" s="138"/>
      <c r="AH162" s="139"/>
    </row>
    <row r="163">
      <c r="A163" s="25" t="s">
        <v>267</v>
      </c>
      <c r="B163" s="214" t="s">
        <v>268</v>
      </c>
      <c r="C163" s="179" t="s">
        <v>973</v>
      </c>
      <c r="D163" s="180" t="str">
        <f t="shared" si="1"/>
        <v>chara_kub_00001</v>
      </c>
      <c r="E163" s="181" t="s">
        <v>1727</v>
      </c>
      <c r="F163" s="136" t="s">
        <v>991</v>
      </c>
      <c r="G163" s="182"/>
      <c r="H163" s="59" t="s">
        <v>1028</v>
      </c>
      <c r="I163" s="12"/>
      <c r="J163" s="59"/>
      <c r="K163" s="183" t="s">
        <v>979</v>
      </c>
      <c r="L163" s="59" t="s">
        <v>1005</v>
      </c>
      <c r="M163" s="59"/>
      <c r="N163" s="185"/>
      <c r="O163" s="184"/>
      <c r="P163" s="186"/>
      <c r="Q163" s="177"/>
      <c r="R163" s="177"/>
      <c r="S163" s="177"/>
      <c r="T163" s="177"/>
      <c r="U163" s="187"/>
      <c r="V163" s="188"/>
      <c r="W163" s="189"/>
      <c r="X163" s="190"/>
      <c r="Y163" s="190"/>
      <c r="Z163" s="184"/>
      <c r="AA163" s="185"/>
      <c r="AB163" s="145"/>
      <c r="AC163" s="191"/>
      <c r="AD163" s="185"/>
      <c r="AE163" s="185"/>
      <c r="AF163" s="192"/>
      <c r="AG163" s="138"/>
      <c r="AH163" s="139"/>
    </row>
    <row r="164">
      <c r="A164" s="25" t="s">
        <v>281</v>
      </c>
      <c r="B164" s="214" t="s">
        <v>282</v>
      </c>
      <c r="C164" s="179" t="s">
        <v>973</v>
      </c>
      <c r="D164" s="180" t="str">
        <f t="shared" si="1"/>
        <v>chara_c8m_00001</v>
      </c>
      <c r="E164" s="181" t="s">
        <v>1728</v>
      </c>
      <c r="F164" s="136" t="s">
        <v>991</v>
      </c>
      <c r="G164" s="182"/>
      <c r="H164" s="59" t="s">
        <v>1028</v>
      </c>
      <c r="I164" s="12"/>
      <c r="J164" s="59"/>
      <c r="K164" s="183" t="s">
        <v>979</v>
      </c>
      <c r="L164" s="59" t="s">
        <v>980</v>
      </c>
      <c r="M164" s="59"/>
      <c r="N164" s="185"/>
      <c r="O164" s="184"/>
      <c r="P164" s="186"/>
      <c r="Q164" s="177"/>
      <c r="R164" s="177"/>
      <c r="S164" s="177"/>
      <c r="T164" s="177"/>
      <c r="U164" s="187"/>
      <c r="V164" s="188"/>
      <c r="W164" s="189"/>
      <c r="X164" s="190"/>
      <c r="Y164" s="190"/>
      <c r="Z164" s="184"/>
      <c r="AA164" s="185"/>
      <c r="AB164" s="145"/>
      <c r="AC164" s="191"/>
      <c r="AD164" s="185"/>
      <c r="AE164" s="185"/>
      <c r="AF164" s="192"/>
      <c r="AG164" s="138"/>
      <c r="AH164" s="139"/>
    </row>
    <row r="165">
      <c r="A165" s="25"/>
      <c r="B165" s="223"/>
      <c r="C165" s="179"/>
      <c r="D165" s="180" t="str">
        <f t="shared" si="1"/>
        <v>__</v>
      </c>
      <c r="E165" s="181"/>
      <c r="F165" s="182"/>
      <c r="G165" s="182"/>
      <c r="H165" s="59"/>
      <c r="I165" s="12"/>
      <c r="J165" s="59"/>
      <c r="K165" s="183"/>
      <c r="L165" s="59"/>
      <c r="M165" s="59"/>
      <c r="N165" s="185"/>
      <c r="O165" s="184"/>
      <c r="P165" s="186"/>
      <c r="Q165" s="177"/>
      <c r="R165" s="177"/>
      <c r="S165" s="177"/>
      <c r="T165" s="177"/>
      <c r="U165" s="187"/>
      <c r="V165" s="188"/>
      <c r="W165" s="189"/>
      <c r="X165" s="190"/>
      <c r="Y165" s="190"/>
      <c r="Z165" s="184"/>
      <c r="AA165" s="185"/>
      <c r="AB165" s="145"/>
      <c r="AC165" s="191"/>
      <c r="AD165" s="185"/>
      <c r="AE165" s="185"/>
      <c r="AF165" s="192"/>
      <c r="AG165" s="138"/>
      <c r="AH165" s="139"/>
    </row>
    <row r="166">
      <c r="A166" s="25"/>
      <c r="B166" s="223"/>
      <c r="C166" s="179"/>
      <c r="D166" s="180" t="str">
        <f t="shared" si="1"/>
        <v>__</v>
      </c>
      <c r="E166" s="181"/>
      <c r="F166" s="182"/>
      <c r="G166" s="182"/>
      <c r="H166" s="59"/>
      <c r="I166" s="12"/>
      <c r="J166" s="59"/>
      <c r="K166" s="183"/>
      <c r="L166" s="59"/>
      <c r="M166" s="59"/>
      <c r="N166" s="185"/>
      <c r="O166" s="184"/>
      <c r="P166" s="186"/>
      <c r="Q166" s="177"/>
      <c r="R166" s="177"/>
      <c r="S166" s="177"/>
      <c r="T166" s="177"/>
      <c r="U166" s="187"/>
      <c r="V166" s="188"/>
      <c r="W166" s="189"/>
      <c r="X166" s="190"/>
      <c r="Y166" s="190"/>
      <c r="Z166" s="184"/>
      <c r="AA166" s="185"/>
      <c r="AB166" s="145"/>
      <c r="AC166" s="191"/>
      <c r="AD166" s="185"/>
      <c r="AE166" s="185"/>
      <c r="AF166" s="192"/>
      <c r="AG166" s="138"/>
      <c r="AH166" s="139"/>
    </row>
    <row r="167">
      <c r="A167" s="25"/>
      <c r="B167" s="223"/>
      <c r="C167" s="179"/>
      <c r="D167" s="180" t="str">
        <f t="shared" si="1"/>
        <v>__</v>
      </c>
      <c r="E167" s="181"/>
      <c r="F167" s="182"/>
      <c r="G167" s="182"/>
      <c r="H167" s="59"/>
      <c r="I167" s="12"/>
      <c r="J167" s="59"/>
      <c r="K167" s="183"/>
      <c r="L167" s="59"/>
      <c r="M167" s="59"/>
      <c r="N167" s="185"/>
      <c r="O167" s="184"/>
      <c r="P167" s="186"/>
      <c r="Q167" s="177"/>
      <c r="R167" s="177"/>
      <c r="S167" s="177"/>
      <c r="T167" s="177"/>
      <c r="U167" s="187"/>
      <c r="V167" s="188"/>
      <c r="W167" s="189"/>
      <c r="X167" s="190"/>
      <c r="Y167" s="190"/>
      <c r="Z167" s="184"/>
      <c r="AA167" s="185"/>
      <c r="AB167" s="145"/>
      <c r="AC167" s="191"/>
      <c r="AD167" s="185"/>
      <c r="AE167" s="185"/>
      <c r="AF167" s="192"/>
      <c r="AG167" s="138"/>
      <c r="AH167" s="139"/>
    </row>
    <row r="168">
      <c r="A168" s="25"/>
      <c r="B168" s="223"/>
      <c r="C168" s="179"/>
      <c r="D168" s="180" t="str">
        <f t="shared" si="1"/>
        <v>__</v>
      </c>
      <c r="E168" s="181"/>
      <c r="F168" s="182"/>
      <c r="G168" s="182"/>
      <c r="H168" s="59"/>
      <c r="I168" s="12"/>
      <c r="J168" s="59"/>
      <c r="K168" s="183"/>
      <c r="L168" s="59"/>
      <c r="M168" s="59"/>
      <c r="N168" s="185"/>
      <c r="O168" s="184"/>
      <c r="P168" s="186"/>
      <c r="Q168" s="177"/>
      <c r="R168" s="177"/>
      <c r="S168" s="177"/>
      <c r="T168" s="177"/>
      <c r="U168" s="187"/>
      <c r="V168" s="188"/>
      <c r="W168" s="189"/>
      <c r="X168" s="190"/>
      <c r="Y168" s="190"/>
      <c r="Z168" s="184"/>
      <c r="AA168" s="185"/>
      <c r="AB168" s="145"/>
      <c r="AC168" s="191"/>
      <c r="AD168" s="185"/>
      <c r="AE168" s="185"/>
      <c r="AF168" s="192"/>
      <c r="AG168" s="138"/>
      <c r="AH168" s="139"/>
    </row>
    <row r="169">
      <c r="A169" s="25"/>
      <c r="B169" s="223"/>
      <c r="C169" s="179"/>
      <c r="D169" s="180" t="str">
        <f t="shared" si="1"/>
        <v>__</v>
      </c>
      <c r="E169" s="181"/>
      <c r="F169" s="182"/>
      <c r="G169" s="182"/>
      <c r="H169" s="59"/>
      <c r="I169" s="12"/>
      <c r="J169" s="59"/>
      <c r="K169" s="183"/>
      <c r="L169" s="59"/>
      <c r="M169" s="59"/>
      <c r="N169" s="185"/>
      <c r="O169" s="184"/>
      <c r="P169" s="186"/>
      <c r="Q169" s="177"/>
      <c r="R169" s="177"/>
      <c r="S169" s="177"/>
      <c r="T169" s="177"/>
      <c r="U169" s="187"/>
      <c r="V169" s="188"/>
      <c r="W169" s="189"/>
      <c r="X169" s="190"/>
      <c r="Y169" s="190"/>
      <c r="Z169" s="184"/>
      <c r="AA169" s="185"/>
      <c r="AB169" s="145"/>
      <c r="AC169" s="191"/>
      <c r="AD169" s="185"/>
      <c r="AE169" s="185"/>
      <c r="AF169" s="192"/>
      <c r="AG169" s="138"/>
      <c r="AH169" s="139"/>
    </row>
    <row r="170">
      <c r="A170" s="25"/>
      <c r="B170" s="223"/>
      <c r="C170" s="179"/>
      <c r="D170" s="180" t="str">
        <f t="shared" si="1"/>
        <v>__</v>
      </c>
      <c r="E170" s="181"/>
      <c r="F170" s="182"/>
      <c r="G170" s="182"/>
      <c r="H170" s="59"/>
      <c r="I170" s="12"/>
      <c r="J170" s="59"/>
      <c r="K170" s="183"/>
      <c r="L170" s="59"/>
      <c r="M170" s="59"/>
      <c r="N170" s="185"/>
      <c r="O170" s="184"/>
      <c r="P170" s="186"/>
      <c r="Q170" s="177"/>
      <c r="R170" s="177"/>
      <c r="S170" s="177"/>
      <c r="T170" s="177"/>
      <c r="U170" s="187"/>
      <c r="V170" s="188"/>
      <c r="W170" s="189"/>
      <c r="X170" s="190"/>
      <c r="Y170" s="190"/>
      <c r="Z170" s="184"/>
      <c r="AA170" s="185"/>
      <c r="AB170" s="145"/>
      <c r="AC170" s="191"/>
      <c r="AD170" s="185"/>
      <c r="AE170" s="185"/>
      <c r="AF170" s="192"/>
      <c r="AG170" s="138"/>
      <c r="AH170" s="139"/>
    </row>
    <row r="171">
      <c r="A171" s="25"/>
      <c r="B171" s="223"/>
      <c r="C171" s="179"/>
      <c r="D171" s="180" t="str">
        <f t="shared" si="1"/>
        <v>__</v>
      </c>
      <c r="E171" s="181"/>
      <c r="F171" s="182"/>
      <c r="G171" s="182"/>
      <c r="H171" s="59"/>
      <c r="I171" s="12"/>
      <c r="J171" s="59"/>
      <c r="K171" s="183"/>
      <c r="L171" s="59"/>
      <c r="M171" s="59"/>
      <c r="N171" s="185"/>
      <c r="O171" s="184"/>
      <c r="P171" s="186"/>
      <c r="Q171" s="177"/>
      <c r="R171" s="177"/>
      <c r="S171" s="177"/>
      <c r="T171" s="177"/>
      <c r="U171" s="187"/>
      <c r="V171" s="188"/>
      <c r="W171" s="189"/>
      <c r="X171" s="190"/>
      <c r="Y171" s="190"/>
      <c r="Z171" s="184"/>
      <c r="AA171" s="185"/>
      <c r="AB171" s="145"/>
      <c r="AC171" s="191"/>
      <c r="AD171" s="185"/>
      <c r="AE171" s="185"/>
      <c r="AF171" s="192"/>
      <c r="AG171" s="138"/>
      <c r="AH171" s="139"/>
    </row>
    <row r="172">
      <c r="A172" s="198"/>
      <c r="B172" s="223"/>
      <c r="C172" s="179"/>
      <c r="D172" s="180" t="str">
        <f t="shared" si="1"/>
        <v>__</v>
      </c>
      <c r="E172" s="181"/>
      <c r="F172" s="184"/>
      <c r="G172" s="184"/>
      <c r="H172" s="59"/>
      <c r="I172" s="215"/>
      <c r="J172" s="59"/>
      <c r="K172" s="183"/>
      <c r="L172" s="59"/>
      <c r="M172" s="59"/>
      <c r="N172" s="185"/>
      <c r="O172" s="184"/>
      <c r="P172" s="186"/>
      <c r="Q172" s="177"/>
      <c r="R172" s="177"/>
      <c r="S172" s="177"/>
      <c r="T172" s="177"/>
      <c r="U172" s="224"/>
      <c r="V172" s="224"/>
      <c r="W172" s="189"/>
      <c r="X172" s="225"/>
      <c r="Y172" s="225"/>
      <c r="Z172" s="184"/>
      <c r="AA172" s="185"/>
      <c r="AB172" s="145"/>
      <c r="AC172" s="191"/>
      <c r="AD172" s="185"/>
      <c r="AE172" s="185"/>
      <c r="AF172" s="192"/>
      <c r="AG172" s="192"/>
      <c r="AH172" s="226"/>
    </row>
    <row r="173">
      <c r="A173" s="227" t="s">
        <v>1729</v>
      </c>
      <c r="E173" s="228"/>
      <c r="F173" s="227" t="s">
        <v>1729</v>
      </c>
      <c r="J173" s="228"/>
      <c r="K173" s="227" t="s">
        <v>1729</v>
      </c>
      <c r="P173" s="228"/>
      <c r="Q173" s="229" t="s">
        <v>1729</v>
      </c>
      <c r="U173" s="228"/>
      <c r="V173" s="227" t="s">
        <v>1729</v>
      </c>
      <c r="Z173" s="228"/>
      <c r="AA173" s="227" t="s">
        <v>1729</v>
      </c>
      <c r="AE173" s="228"/>
      <c r="AF173" s="230"/>
      <c r="AG173" s="230"/>
      <c r="AH173" s="231"/>
    </row>
    <row r="174">
      <c r="A174" s="232"/>
      <c r="B174" s="232"/>
      <c r="C174" s="232"/>
      <c r="D174" s="232"/>
      <c r="E174" s="233"/>
      <c r="F174" s="232"/>
      <c r="G174" s="232"/>
      <c r="H174" s="232"/>
      <c r="I174" s="232"/>
      <c r="J174" s="233"/>
      <c r="K174" s="232"/>
      <c r="L174" s="232"/>
      <c r="M174" s="232"/>
      <c r="N174" s="232"/>
      <c r="O174" s="232"/>
      <c r="P174" s="233"/>
      <c r="Q174" s="232"/>
      <c r="R174" s="232"/>
      <c r="S174" s="232"/>
      <c r="T174" s="232"/>
      <c r="U174" s="233"/>
      <c r="V174" s="232"/>
      <c r="W174" s="232"/>
      <c r="X174" s="232"/>
      <c r="Y174" s="232"/>
      <c r="Z174" s="233"/>
      <c r="AA174" s="232"/>
      <c r="AB174" s="232"/>
      <c r="AC174" s="232"/>
      <c r="AD174" s="232"/>
      <c r="AE174" s="233"/>
      <c r="AF174" s="230"/>
      <c r="AG174" s="230"/>
      <c r="AH174" s="231"/>
    </row>
    <row r="175">
      <c r="A175" s="44" t="s">
        <v>60</v>
      </c>
      <c r="B175" s="124" t="str">
        <f t="array" ref="B175">iferror(INDEX('作品'!D:D,MATCH(A175,'作品'!A:A,0),0),"error")</f>
        <v>SPY×FAMILY</v>
      </c>
      <c r="C175" s="46" t="s">
        <v>973</v>
      </c>
      <c r="D175" s="47" t="str">
        <f t="shared" ref="D175:D243" si="46">K175&amp;"_"&amp;A175&amp;"_"&amp;C175</f>
        <v>enemy_spy_00001</v>
      </c>
      <c r="E175" s="47" t="s">
        <v>1730</v>
      </c>
      <c r="F175" s="45" t="s">
        <v>1730</v>
      </c>
      <c r="G175" s="52"/>
      <c r="H175" s="45"/>
      <c r="I175" s="59"/>
      <c r="J175" s="55"/>
      <c r="K175" s="55" t="s">
        <v>406</v>
      </c>
      <c r="L175" s="59"/>
      <c r="M175" s="197" t="s">
        <v>1006</v>
      </c>
      <c r="N175" s="59" t="s">
        <v>1039</v>
      </c>
      <c r="O175" s="59"/>
      <c r="P175" s="125"/>
      <c r="Q175" s="143" t="s">
        <v>1116</v>
      </c>
      <c r="R175" s="143" t="s">
        <v>1731</v>
      </c>
      <c r="S175" s="143" t="s">
        <v>64</v>
      </c>
      <c r="T175" s="143" t="s">
        <v>64</v>
      </c>
      <c r="U175" s="49">
        <v>45658.0</v>
      </c>
      <c r="V175" s="50">
        <v>390812.49998842593</v>
      </c>
      <c r="W175" s="127" t="str">
        <f t="shared" ref="W175:W185" si="47">"catchcopy_character_"&amp;text(D175,"000000")&amp;".png"</f>
        <v>catchcopy_character_enemy_spy_00001.png</v>
      </c>
      <c r="X175" s="128" t="str">
        <f t="shared" ref="X175:X206" si="48">"enemy_icon_"&amp;K175&amp;"_"&amp;A175&amp;"_"&amp;C175</f>
        <v>enemy_icon_enemy_spy_00001</v>
      </c>
      <c r="Y175" s="128" t="str">
        <f t="shared" ref="Y175:Y206" si="49">"boss_icon_"&amp;K175&amp;"_"&amp;A175&amp;"_"&amp;C175</f>
        <v>boss_icon_enemy_spy_00001</v>
      </c>
      <c r="Z175" s="144" t="s">
        <v>1732</v>
      </c>
      <c r="AA175" s="129"/>
      <c r="AB175" s="145" t="s">
        <v>985</v>
      </c>
      <c r="AC175" s="53" t="s">
        <v>986</v>
      </c>
      <c r="AD175" s="54"/>
      <c r="AE175" s="133" t="s">
        <v>987</v>
      </c>
      <c r="AF175" s="45" t="s">
        <v>988</v>
      </c>
      <c r="AG175" s="138" t="s">
        <v>989</v>
      </c>
      <c r="AH175" s="139"/>
    </row>
    <row r="176">
      <c r="A176" s="44" t="s">
        <v>60</v>
      </c>
      <c r="B176" s="124" t="str">
        <f t="array" ref="B176">iferror(INDEX('作品'!D:D,MATCH(A176,'作品'!A:A,0),0),"error")</f>
        <v>SPY×FAMILY</v>
      </c>
      <c r="C176" s="46" t="s">
        <v>1001</v>
      </c>
      <c r="D176" s="47" t="str">
        <f t="shared" si="46"/>
        <v>enemy_spy_00101</v>
      </c>
      <c r="E176" s="47" t="s">
        <v>1733</v>
      </c>
      <c r="F176" s="45" t="s">
        <v>1733</v>
      </c>
      <c r="G176" s="52"/>
      <c r="H176" s="52"/>
      <c r="I176" s="59"/>
      <c r="J176" s="55"/>
      <c r="K176" s="55" t="s">
        <v>406</v>
      </c>
      <c r="L176" s="59"/>
      <c r="M176" s="197" t="s">
        <v>1020</v>
      </c>
      <c r="N176" s="59" t="s">
        <v>1007</v>
      </c>
      <c r="O176" s="59"/>
      <c r="P176" s="125"/>
      <c r="Q176" s="143" t="s">
        <v>1040</v>
      </c>
      <c r="R176" s="143" t="s">
        <v>1041</v>
      </c>
      <c r="S176" s="143" t="s">
        <v>64</v>
      </c>
      <c r="T176" s="143" t="s">
        <v>64</v>
      </c>
      <c r="U176" s="49">
        <v>45658.0</v>
      </c>
      <c r="V176" s="50">
        <v>390812.49998842593</v>
      </c>
      <c r="W176" s="127" t="str">
        <f t="shared" si="47"/>
        <v>catchcopy_character_enemy_spy_00101.png</v>
      </c>
      <c r="X176" s="128" t="str">
        <f t="shared" si="48"/>
        <v>enemy_icon_enemy_spy_00101</v>
      </c>
      <c r="Y176" s="128" t="str">
        <f t="shared" si="49"/>
        <v>boss_icon_enemy_spy_00101</v>
      </c>
      <c r="Z176" s="144" t="s">
        <v>1734</v>
      </c>
      <c r="AA176" s="129"/>
      <c r="AB176" s="145" t="s">
        <v>985</v>
      </c>
      <c r="AC176" s="53" t="s">
        <v>986</v>
      </c>
      <c r="AD176" s="54"/>
      <c r="AE176" s="133" t="s">
        <v>987</v>
      </c>
      <c r="AF176" s="45" t="s">
        <v>988</v>
      </c>
      <c r="AG176" s="138" t="s">
        <v>989</v>
      </c>
      <c r="AH176" s="139"/>
    </row>
    <row r="177">
      <c r="A177" s="44" t="s">
        <v>60</v>
      </c>
      <c r="B177" s="124" t="str">
        <f t="array" ref="B177">iferror(INDEX('作品'!D:D,MATCH(A177,'作品'!A:A,0),0),"error")</f>
        <v>SPY×FAMILY</v>
      </c>
      <c r="C177" s="46" t="s">
        <v>1014</v>
      </c>
      <c r="D177" s="47" t="str">
        <f t="shared" si="46"/>
        <v>enemy_spy_00201</v>
      </c>
      <c r="E177" s="47" t="s">
        <v>1735</v>
      </c>
      <c r="F177" s="52"/>
      <c r="G177" s="52"/>
      <c r="H177" s="52"/>
      <c r="I177" s="59"/>
      <c r="J177" s="55"/>
      <c r="K177" s="55" t="s">
        <v>406</v>
      </c>
      <c r="L177" s="59"/>
      <c r="M177" s="234"/>
      <c r="N177" s="59" t="s">
        <v>1007</v>
      </c>
      <c r="O177" s="59"/>
      <c r="P177" s="125"/>
      <c r="Q177" s="143"/>
      <c r="R177" s="143"/>
      <c r="S177" s="143" t="s">
        <v>64</v>
      </c>
      <c r="T177" s="143" t="s">
        <v>64</v>
      </c>
      <c r="U177" s="49">
        <v>45658.0</v>
      </c>
      <c r="V177" s="50">
        <v>390812.49998842593</v>
      </c>
      <c r="W177" s="127" t="str">
        <f t="shared" si="47"/>
        <v>catchcopy_character_enemy_spy_00201.png</v>
      </c>
      <c r="X177" s="128" t="str">
        <f t="shared" si="48"/>
        <v>enemy_icon_enemy_spy_00201</v>
      </c>
      <c r="Y177" s="128" t="str">
        <f t="shared" si="49"/>
        <v>boss_icon_enemy_spy_00201</v>
      </c>
      <c r="Z177" s="172"/>
      <c r="AA177" s="129"/>
      <c r="AB177" s="235"/>
      <c r="AC177" s="98"/>
      <c r="AD177" s="54"/>
      <c r="AE177" s="60"/>
      <c r="AF177" s="45" t="s">
        <v>988</v>
      </c>
      <c r="AG177" s="138" t="s">
        <v>1000</v>
      </c>
      <c r="AH177" s="139"/>
    </row>
    <row r="178">
      <c r="A178" s="44" t="s">
        <v>60</v>
      </c>
      <c r="B178" s="124" t="str">
        <f t="array" ref="B178">iferror(INDEX('作品'!D:D,MATCH(A178,'作品'!A:A,0),0),"error")</f>
        <v>SPY×FAMILY</v>
      </c>
      <c r="C178" s="46" t="s">
        <v>1026</v>
      </c>
      <c r="D178" s="47" t="str">
        <f t="shared" si="46"/>
        <v>enemy_spy_00301</v>
      </c>
      <c r="E178" s="47" t="s">
        <v>1736</v>
      </c>
      <c r="F178" s="52"/>
      <c r="G178" s="52"/>
      <c r="H178" s="52"/>
      <c r="I178" s="59"/>
      <c r="J178" s="55"/>
      <c r="K178" s="55" t="s">
        <v>406</v>
      </c>
      <c r="L178" s="59"/>
      <c r="M178" s="234"/>
      <c r="N178" s="59" t="s">
        <v>1019</v>
      </c>
      <c r="O178" s="59"/>
      <c r="P178" s="125"/>
      <c r="Q178" s="143"/>
      <c r="R178" s="143"/>
      <c r="S178" s="143" t="s">
        <v>64</v>
      </c>
      <c r="T178" s="143" t="s">
        <v>64</v>
      </c>
      <c r="U178" s="49">
        <v>45658.0</v>
      </c>
      <c r="V178" s="50">
        <v>390812.49998842593</v>
      </c>
      <c r="W178" s="127" t="str">
        <f t="shared" si="47"/>
        <v>catchcopy_character_enemy_spy_00301.png</v>
      </c>
      <c r="X178" s="128" t="str">
        <f t="shared" si="48"/>
        <v>enemy_icon_enemy_spy_00301</v>
      </c>
      <c r="Y178" s="128" t="str">
        <f t="shared" si="49"/>
        <v>boss_icon_enemy_spy_00301</v>
      </c>
      <c r="Z178" s="172"/>
      <c r="AA178" s="129"/>
      <c r="AB178" s="235"/>
      <c r="AC178" s="98"/>
      <c r="AD178" s="54"/>
      <c r="AE178" s="60"/>
      <c r="AF178" s="45" t="s">
        <v>988</v>
      </c>
      <c r="AG178" s="138" t="s">
        <v>1000</v>
      </c>
      <c r="AH178" s="139"/>
    </row>
    <row r="179">
      <c r="A179" s="44" t="s">
        <v>80</v>
      </c>
      <c r="B179" s="124" t="str">
        <f t="array" ref="B179">iferror(INDEX('作品'!D:D,MATCH(A179,'作品'!A:A,0),0),"error")</f>
        <v>ダンダダン</v>
      </c>
      <c r="C179" s="46" t="s">
        <v>973</v>
      </c>
      <c r="D179" s="47" t="str">
        <f t="shared" si="46"/>
        <v>enemy_dan_00001</v>
      </c>
      <c r="E179" s="47" t="s">
        <v>1737</v>
      </c>
      <c r="F179" s="45" t="s">
        <v>1737</v>
      </c>
      <c r="G179" s="45" t="s">
        <v>981</v>
      </c>
      <c r="H179" s="52"/>
      <c r="I179" s="59"/>
      <c r="J179" s="55"/>
      <c r="K179" s="55" t="s">
        <v>406</v>
      </c>
      <c r="L179" s="59"/>
      <c r="M179" s="197" t="s">
        <v>1020</v>
      </c>
      <c r="N179" s="132"/>
      <c r="O179" s="236"/>
      <c r="P179" s="125"/>
      <c r="Q179" s="143" t="s">
        <v>1738</v>
      </c>
      <c r="R179" s="143" t="s">
        <v>1041</v>
      </c>
      <c r="S179" s="143" t="s">
        <v>64</v>
      </c>
      <c r="T179" s="143" t="s">
        <v>64</v>
      </c>
      <c r="U179" s="49">
        <v>45658.0</v>
      </c>
      <c r="V179" s="50">
        <v>390812.49998842593</v>
      </c>
      <c r="W179" s="127" t="str">
        <f t="shared" si="47"/>
        <v>catchcopy_character_enemy_dan_00001.png</v>
      </c>
      <c r="X179" s="128" t="str">
        <f t="shared" si="48"/>
        <v>enemy_icon_enemy_dan_00001</v>
      </c>
      <c r="Y179" s="128" t="str">
        <f t="shared" si="49"/>
        <v>boss_icon_enemy_dan_00001</v>
      </c>
      <c r="Z179" s="129"/>
      <c r="AA179" s="129"/>
      <c r="AB179" s="145" t="s">
        <v>985</v>
      </c>
      <c r="AC179" s="53" t="s">
        <v>986</v>
      </c>
      <c r="AD179" s="54"/>
      <c r="AE179" s="133" t="s">
        <v>987</v>
      </c>
      <c r="AF179" s="45" t="s">
        <v>1120</v>
      </c>
      <c r="AG179" s="138" t="s">
        <v>989</v>
      </c>
      <c r="AH179" s="139"/>
    </row>
    <row r="180">
      <c r="A180" s="44" t="s">
        <v>80</v>
      </c>
      <c r="B180" s="124" t="str">
        <f t="array" ref="B180">iferror(INDEX('作品'!D:D,MATCH(A180,'作品'!A:A,0),0),"error")</f>
        <v>ダンダダン</v>
      </c>
      <c r="C180" s="46" t="s">
        <v>1001</v>
      </c>
      <c r="D180" s="47" t="str">
        <f t="shared" si="46"/>
        <v>enemy_dan_00101</v>
      </c>
      <c r="E180" s="47" t="s">
        <v>1739</v>
      </c>
      <c r="F180" s="45" t="s">
        <v>1740</v>
      </c>
      <c r="G180" s="45" t="s">
        <v>981</v>
      </c>
      <c r="H180" s="52"/>
      <c r="I180" s="59"/>
      <c r="J180" s="55"/>
      <c r="K180" s="55" t="s">
        <v>406</v>
      </c>
      <c r="L180" s="59"/>
      <c r="M180" s="197" t="s">
        <v>1020</v>
      </c>
      <c r="N180" s="132"/>
      <c r="O180" s="236"/>
      <c r="P180" s="125"/>
      <c r="Q180" s="143" t="s">
        <v>1197</v>
      </c>
      <c r="R180" s="143" t="s">
        <v>1246</v>
      </c>
      <c r="S180" s="143" t="s">
        <v>64</v>
      </c>
      <c r="T180" s="143" t="s">
        <v>64</v>
      </c>
      <c r="U180" s="49">
        <v>45658.0</v>
      </c>
      <c r="V180" s="50">
        <v>390812.49998842593</v>
      </c>
      <c r="W180" s="127" t="str">
        <f t="shared" si="47"/>
        <v>catchcopy_character_enemy_dan_00101.png</v>
      </c>
      <c r="X180" s="128" t="str">
        <f t="shared" si="48"/>
        <v>enemy_icon_enemy_dan_00101</v>
      </c>
      <c r="Y180" s="128" t="str">
        <f t="shared" si="49"/>
        <v>boss_icon_enemy_dan_00101</v>
      </c>
      <c r="Z180" s="144" t="s">
        <v>1741</v>
      </c>
      <c r="AA180" s="129"/>
      <c r="AB180" s="145" t="s">
        <v>985</v>
      </c>
      <c r="AC180" s="53" t="s">
        <v>986</v>
      </c>
      <c r="AD180" s="54"/>
      <c r="AE180" s="133" t="s">
        <v>987</v>
      </c>
      <c r="AF180" s="45" t="s">
        <v>1120</v>
      </c>
      <c r="AG180" s="138" t="s">
        <v>989</v>
      </c>
      <c r="AH180" s="139"/>
    </row>
    <row r="181">
      <c r="A181" s="44" t="s">
        <v>80</v>
      </c>
      <c r="B181" s="124" t="str">
        <f t="array" ref="B181">iferror(INDEX('作品'!D:D,MATCH(A181,'作品'!A:A,0),0),"error")</f>
        <v>ダンダダン</v>
      </c>
      <c r="C181" s="46" t="s">
        <v>1014</v>
      </c>
      <c r="D181" s="47" t="str">
        <f t="shared" si="46"/>
        <v>enemy_dan_00201</v>
      </c>
      <c r="E181" s="47" t="s">
        <v>1742</v>
      </c>
      <c r="F181" s="45" t="s">
        <v>1742</v>
      </c>
      <c r="G181" s="136" t="s">
        <v>981</v>
      </c>
      <c r="H181" s="52"/>
      <c r="I181" s="59"/>
      <c r="J181" s="55"/>
      <c r="K181" s="55" t="s">
        <v>406</v>
      </c>
      <c r="L181" s="59"/>
      <c r="M181" s="197" t="s">
        <v>1020</v>
      </c>
      <c r="N181" s="132"/>
      <c r="O181" s="236"/>
      <c r="P181" s="125"/>
      <c r="Q181" s="143" t="s">
        <v>1064</v>
      </c>
      <c r="R181" s="143" t="s">
        <v>1743</v>
      </c>
      <c r="S181" s="143" t="s">
        <v>64</v>
      </c>
      <c r="T181" s="143" t="s">
        <v>64</v>
      </c>
      <c r="U181" s="49">
        <v>45658.0</v>
      </c>
      <c r="V181" s="50">
        <v>390812.49998842593</v>
      </c>
      <c r="W181" s="127" t="str">
        <f t="shared" si="47"/>
        <v>catchcopy_character_enemy_dan_00201.png</v>
      </c>
      <c r="X181" s="128" t="str">
        <f t="shared" si="48"/>
        <v>enemy_icon_enemy_dan_00201</v>
      </c>
      <c r="Y181" s="128" t="str">
        <f t="shared" si="49"/>
        <v>boss_icon_enemy_dan_00201</v>
      </c>
      <c r="Z181" s="129"/>
      <c r="AA181" s="129"/>
      <c r="AB181" s="145" t="s">
        <v>985</v>
      </c>
      <c r="AC181" s="53" t="s">
        <v>986</v>
      </c>
      <c r="AD181" s="54"/>
      <c r="AE181" s="133" t="s">
        <v>987</v>
      </c>
      <c r="AF181" s="45" t="s">
        <v>1105</v>
      </c>
      <c r="AG181" s="138" t="s">
        <v>989</v>
      </c>
      <c r="AH181" s="139"/>
    </row>
    <row r="182">
      <c r="A182" s="44" t="s">
        <v>80</v>
      </c>
      <c r="B182" s="124" t="str">
        <f t="array" ref="B182">iferror(INDEX('作品'!D:D,MATCH(A182,'作品'!A:A,0),0),"error")</f>
        <v>ダンダダン</v>
      </c>
      <c r="C182" s="46" t="s">
        <v>1026</v>
      </c>
      <c r="D182" s="47" t="str">
        <f t="shared" si="46"/>
        <v>enemy_dan_00301</v>
      </c>
      <c r="E182" s="47" t="s">
        <v>1744</v>
      </c>
      <c r="F182" s="45" t="s">
        <v>1744</v>
      </c>
      <c r="G182" s="45" t="s">
        <v>981</v>
      </c>
      <c r="H182" s="52"/>
      <c r="I182" s="59"/>
      <c r="J182" s="55"/>
      <c r="K182" s="55" t="s">
        <v>406</v>
      </c>
      <c r="L182" s="59"/>
      <c r="M182" s="197" t="s">
        <v>1020</v>
      </c>
      <c r="N182" s="59" t="s">
        <v>1019</v>
      </c>
      <c r="O182" s="236"/>
      <c r="P182" s="125"/>
      <c r="Q182" s="143" t="s">
        <v>1040</v>
      </c>
      <c r="R182" s="143" t="s">
        <v>1236</v>
      </c>
      <c r="S182" s="143" t="s">
        <v>64</v>
      </c>
      <c r="T182" s="143" t="s">
        <v>64</v>
      </c>
      <c r="U182" s="49">
        <v>45658.0</v>
      </c>
      <c r="V182" s="50">
        <v>390812.49998842593</v>
      </c>
      <c r="W182" s="127" t="str">
        <f t="shared" si="47"/>
        <v>catchcopy_character_enemy_dan_00301.png</v>
      </c>
      <c r="X182" s="128" t="str">
        <f t="shared" si="48"/>
        <v>enemy_icon_enemy_dan_00301</v>
      </c>
      <c r="Y182" s="128" t="str">
        <f t="shared" si="49"/>
        <v>boss_icon_enemy_dan_00301</v>
      </c>
      <c r="Z182" s="144" t="s">
        <v>1745</v>
      </c>
      <c r="AA182" s="129"/>
      <c r="AB182" s="145" t="s">
        <v>82</v>
      </c>
      <c r="AC182" s="53" t="s">
        <v>986</v>
      </c>
      <c r="AD182" s="54"/>
      <c r="AE182" s="133" t="s">
        <v>987</v>
      </c>
      <c r="AF182" s="45" t="s">
        <v>1105</v>
      </c>
      <c r="AG182" s="138" t="s">
        <v>1129</v>
      </c>
      <c r="AH182" s="139"/>
    </row>
    <row r="183">
      <c r="A183" s="44" t="s">
        <v>87</v>
      </c>
      <c r="B183" s="124" t="str">
        <f t="array" ref="B183">iferror(INDEX('作品'!D:D,MATCH(A183,'作品'!A:A,0),0),"error")</f>
        <v>姫様“拷問”の時間です</v>
      </c>
      <c r="C183" s="46" t="s">
        <v>1001</v>
      </c>
      <c r="D183" s="47" t="str">
        <f t="shared" si="46"/>
        <v>enemy_gom_00101</v>
      </c>
      <c r="E183" s="47" t="s">
        <v>330</v>
      </c>
      <c r="F183" s="45" t="s">
        <v>330</v>
      </c>
      <c r="G183" s="45" t="s">
        <v>1746</v>
      </c>
      <c r="H183" s="45"/>
      <c r="I183" s="59"/>
      <c r="J183" s="55"/>
      <c r="K183" s="55" t="s">
        <v>406</v>
      </c>
      <c r="L183" s="59" t="s">
        <v>1063</v>
      </c>
      <c r="M183" s="197" t="s">
        <v>1038</v>
      </c>
      <c r="N183" s="132"/>
      <c r="O183" s="236"/>
      <c r="P183" s="125" t="str">
        <f>RIGHT(D183,5)</f>
        <v>00101</v>
      </c>
      <c r="Q183" s="143" t="s">
        <v>1747</v>
      </c>
      <c r="R183" s="143" t="s">
        <v>1116</v>
      </c>
      <c r="S183" s="143" t="s">
        <v>64</v>
      </c>
      <c r="T183" s="143" t="s">
        <v>64</v>
      </c>
      <c r="U183" s="49">
        <v>45658.0</v>
      </c>
      <c r="V183" s="50">
        <v>390812.49998842593</v>
      </c>
      <c r="W183" s="127" t="str">
        <f t="shared" si="47"/>
        <v>catchcopy_character_enemy_gom_00101.png</v>
      </c>
      <c r="X183" s="128" t="str">
        <f t="shared" si="48"/>
        <v>enemy_icon_enemy_gom_00101</v>
      </c>
      <c r="Y183" s="128" t="str">
        <f t="shared" si="49"/>
        <v>boss_icon_enemy_gom_00101</v>
      </c>
      <c r="Z183" s="144" t="s">
        <v>1170</v>
      </c>
      <c r="AA183" s="129"/>
      <c r="AB183" s="145" t="s">
        <v>985</v>
      </c>
      <c r="AC183" s="53" t="s">
        <v>986</v>
      </c>
      <c r="AD183" s="54"/>
      <c r="AE183" s="133" t="s">
        <v>1748</v>
      </c>
      <c r="AF183" s="45" t="s">
        <v>1105</v>
      </c>
      <c r="AG183" s="138" t="s">
        <v>989</v>
      </c>
      <c r="AH183" s="139"/>
    </row>
    <row r="184">
      <c r="A184" s="44" t="s">
        <v>87</v>
      </c>
      <c r="B184" s="124" t="str">
        <f t="array" ref="B184">iferror(INDEX('作品'!D:D,MATCH(A184,'作品'!A:A,0),0),"error")</f>
        <v>姫様“拷問”の時間です</v>
      </c>
      <c r="C184" s="46" t="s">
        <v>973</v>
      </c>
      <c r="D184" s="47" t="str">
        <f t="shared" si="46"/>
        <v>enemy_gom_00001</v>
      </c>
      <c r="E184" s="47" t="s">
        <v>1192</v>
      </c>
      <c r="F184" s="45" t="s">
        <v>1192</v>
      </c>
      <c r="G184" s="45" t="s">
        <v>981</v>
      </c>
      <c r="H184" s="45"/>
      <c r="I184" s="59"/>
      <c r="J184" s="55" t="s">
        <v>978</v>
      </c>
      <c r="K184" s="55" t="s">
        <v>406</v>
      </c>
      <c r="L184" s="59"/>
      <c r="M184" s="234"/>
      <c r="N184" s="132"/>
      <c r="O184" s="236"/>
      <c r="P184" s="125"/>
      <c r="Q184" s="143" t="s">
        <v>1140</v>
      </c>
      <c r="R184" s="143" t="s">
        <v>1041</v>
      </c>
      <c r="S184" s="143" t="s">
        <v>64</v>
      </c>
      <c r="T184" s="143" t="s">
        <v>64</v>
      </c>
      <c r="U184" s="49">
        <v>45658.0</v>
      </c>
      <c r="V184" s="50">
        <v>390812.49998842593</v>
      </c>
      <c r="W184" s="127" t="str">
        <f t="shared" si="47"/>
        <v>catchcopy_character_enemy_gom_00001.png</v>
      </c>
      <c r="X184" s="128" t="str">
        <f t="shared" si="48"/>
        <v>enemy_icon_enemy_gom_00001</v>
      </c>
      <c r="Y184" s="128" t="str">
        <f t="shared" si="49"/>
        <v>boss_icon_enemy_gom_00001</v>
      </c>
      <c r="Z184" s="172"/>
      <c r="AA184" s="129"/>
      <c r="AB184" s="235"/>
      <c r="AC184" s="53" t="s">
        <v>986</v>
      </c>
      <c r="AD184" s="54"/>
      <c r="AE184" s="133" t="s">
        <v>987</v>
      </c>
      <c r="AF184" s="45" t="s">
        <v>1105</v>
      </c>
      <c r="AG184" s="138" t="s">
        <v>1000</v>
      </c>
      <c r="AH184" s="139"/>
    </row>
    <row r="185">
      <c r="A185" s="44" t="s">
        <v>87</v>
      </c>
      <c r="B185" s="124" t="str">
        <f t="array" ref="B185">iferror(INDEX('作品'!D:D,MATCH(A185,'作品'!A:A,0),0),"error")</f>
        <v>姫様“拷問”の時間です</v>
      </c>
      <c r="C185" s="46" t="s">
        <v>1014</v>
      </c>
      <c r="D185" s="47" t="str">
        <f t="shared" si="46"/>
        <v>enemy_gom_00201</v>
      </c>
      <c r="E185" s="47" t="s">
        <v>408</v>
      </c>
      <c r="F185" s="45" t="s">
        <v>408</v>
      </c>
      <c r="G185" s="45" t="s">
        <v>981</v>
      </c>
      <c r="H185" s="52"/>
      <c r="I185" s="59"/>
      <c r="J185" s="55"/>
      <c r="K185" s="55" t="s">
        <v>406</v>
      </c>
      <c r="L185" s="59"/>
      <c r="M185" s="197" t="s">
        <v>1020</v>
      </c>
      <c r="N185" s="132"/>
      <c r="O185" s="236"/>
      <c r="P185" s="125"/>
      <c r="Q185" s="143" t="s">
        <v>1160</v>
      </c>
      <c r="R185" s="143" t="s">
        <v>1749</v>
      </c>
      <c r="S185" s="143" t="s">
        <v>64</v>
      </c>
      <c r="T185" s="143" t="s">
        <v>64</v>
      </c>
      <c r="U185" s="49">
        <v>45658.0</v>
      </c>
      <c r="V185" s="50">
        <v>390812.49998842593</v>
      </c>
      <c r="W185" s="127" t="str">
        <f t="shared" si="47"/>
        <v>catchcopy_character_enemy_gom_00201.png</v>
      </c>
      <c r="X185" s="128" t="str">
        <f t="shared" si="48"/>
        <v>enemy_icon_enemy_gom_00201</v>
      </c>
      <c r="Y185" s="128" t="str">
        <f t="shared" si="49"/>
        <v>boss_icon_enemy_gom_00201</v>
      </c>
      <c r="Z185" s="172"/>
      <c r="AA185" s="129"/>
      <c r="AB185" s="145" t="s">
        <v>985</v>
      </c>
      <c r="AC185" s="53" t="s">
        <v>986</v>
      </c>
      <c r="AD185" s="54"/>
      <c r="AE185" s="133" t="s">
        <v>987</v>
      </c>
      <c r="AF185" s="45" t="s">
        <v>988</v>
      </c>
      <c r="AG185" s="138" t="s">
        <v>989</v>
      </c>
      <c r="AH185" s="139"/>
    </row>
    <row r="186">
      <c r="A186" s="44" t="s">
        <v>87</v>
      </c>
      <c r="B186" s="124" t="str">
        <f t="array" ref="B186">iferror(INDEX('作品'!D:D,MATCH(A186,'作品'!A:A,0),0),"error")</f>
        <v>姫様“拷問”の時間です</v>
      </c>
      <c r="C186" s="46" t="s">
        <v>1026</v>
      </c>
      <c r="D186" s="47" t="str">
        <f t="shared" si="46"/>
        <v>enemy_gom_00301</v>
      </c>
      <c r="E186" s="47" t="s">
        <v>1750</v>
      </c>
      <c r="F186" s="45" t="s">
        <v>1750</v>
      </c>
      <c r="G186" s="45" t="s">
        <v>981</v>
      </c>
      <c r="H186" s="52"/>
      <c r="I186" s="59"/>
      <c r="J186" s="55"/>
      <c r="K186" s="55" t="s">
        <v>406</v>
      </c>
      <c r="L186" s="59" t="s">
        <v>1037</v>
      </c>
      <c r="M186" s="197" t="s">
        <v>1020</v>
      </c>
      <c r="N186" s="132"/>
      <c r="O186" s="236"/>
      <c r="P186" s="125"/>
      <c r="Q186" s="143" t="s">
        <v>1751</v>
      </c>
      <c r="R186" s="143" t="s">
        <v>1064</v>
      </c>
      <c r="S186" s="143" t="s">
        <v>64</v>
      </c>
      <c r="T186" s="143" t="s">
        <v>64</v>
      </c>
      <c r="U186" s="49">
        <v>45658.0</v>
      </c>
      <c r="V186" s="50">
        <v>390812.49998842593</v>
      </c>
      <c r="W186" s="127" t="s">
        <v>1752</v>
      </c>
      <c r="X186" s="128" t="str">
        <f t="shared" si="48"/>
        <v>enemy_icon_enemy_gom_00301</v>
      </c>
      <c r="Y186" s="128" t="str">
        <f t="shared" si="49"/>
        <v>boss_icon_enemy_gom_00301</v>
      </c>
      <c r="Z186" s="172"/>
      <c r="AA186" s="129"/>
      <c r="AB186" s="145" t="s">
        <v>985</v>
      </c>
      <c r="AC186" s="53" t="s">
        <v>986</v>
      </c>
      <c r="AD186" s="54"/>
      <c r="AE186" s="133" t="s">
        <v>987</v>
      </c>
      <c r="AF186" s="45" t="s">
        <v>1105</v>
      </c>
      <c r="AG186" s="138" t="s">
        <v>989</v>
      </c>
      <c r="AH186" s="139"/>
    </row>
    <row r="187">
      <c r="A187" s="44" t="s">
        <v>87</v>
      </c>
      <c r="B187" s="124" t="str">
        <f t="array" ref="B187">iferror(INDEX('作品'!D:D,MATCH(A187,'作品'!A:A,0),0),"error")</f>
        <v>姫様“拷問”の時間です</v>
      </c>
      <c r="C187" s="46" t="s">
        <v>1034</v>
      </c>
      <c r="D187" s="47" t="str">
        <f t="shared" si="46"/>
        <v>enemy_gom_00401</v>
      </c>
      <c r="E187" s="47" t="s">
        <v>1753</v>
      </c>
      <c r="F187" s="45" t="s">
        <v>1753</v>
      </c>
      <c r="G187" s="45" t="s">
        <v>981</v>
      </c>
      <c r="H187" s="52"/>
      <c r="I187" s="59"/>
      <c r="J187" s="55"/>
      <c r="K187" s="55" t="s">
        <v>406</v>
      </c>
      <c r="L187" s="59" t="s">
        <v>1005</v>
      </c>
      <c r="M187" s="197" t="s">
        <v>1020</v>
      </c>
      <c r="N187" s="132"/>
      <c r="O187" s="236"/>
      <c r="P187" s="125"/>
      <c r="Q187" s="143" t="s">
        <v>1116</v>
      </c>
      <c r="R187" s="143" t="s">
        <v>1754</v>
      </c>
      <c r="S187" s="143" t="s">
        <v>64</v>
      </c>
      <c r="T187" s="143" t="s">
        <v>64</v>
      </c>
      <c r="U187" s="49">
        <v>45658.0</v>
      </c>
      <c r="V187" s="50">
        <v>390812.49998842593</v>
      </c>
      <c r="W187" s="127" t="s">
        <v>1755</v>
      </c>
      <c r="X187" s="128" t="str">
        <f t="shared" si="48"/>
        <v>enemy_icon_enemy_gom_00401</v>
      </c>
      <c r="Y187" s="128" t="str">
        <f t="shared" si="49"/>
        <v>boss_icon_enemy_gom_00401</v>
      </c>
      <c r="Z187" s="144" t="s">
        <v>1756</v>
      </c>
      <c r="AA187" s="129"/>
      <c r="AB187" s="145" t="s">
        <v>985</v>
      </c>
      <c r="AC187" s="53" t="s">
        <v>986</v>
      </c>
      <c r="AD187" s="54"/>
      <c r="AE187" s="133" t="s">
        <v>987</v>
      </c>
      <c r="AF187" s="45" t="s">
        <v>988</v>
      </c>
      <c r="AG187" s="138" t="s">
        <v>989</v>
      </c>
      <c r="AH187" s="139"/>
    </row>
    <row r="188">
      <c r="A188" s="44" t="s">
        <v>87</v>
      </c>
      <c r="B188" s="124" t="str">
        <f t="array" ref="B188">iferror(INDEX('作品'!D:D,MATCH(A188,'作品'!A:A,0),0),"error")</f>
        <v>姫様“拷問”の時間です</v>
      </c>
      <c r="C188" s="46" t="s">
        <v>1570</v>
      </c>
      <c r="D188" s="47" t="str">
        <f t="shared" si="46"/>
        <v>enemy_gom_00402</v>
      </c>
      <c r="E188" s="47" t="s">
        <v>1757</v>
      </c>
      <c r="F188" s="45" t="s">
        <v>1757</v>
      </c>
      <c r="G188" s="45" t="s">
        <v>981</v>
      </c>
      <c r="H188" s="52"/>
      <c r="I188" s="59"/>
      <c r="J188" s="55"/>
      <c r="K188" s="55" t="s">
        <v>406</v>
      </c>
      <c r="L188" s="59" t="s">
        <v>1005</v>
      </c>
      <c r="M188" s="197" t="s">
        <v>1020</v>
      </c>
      <c r="N188" s="132"/>
      <c r="O188" s="236"/>
      <c r="P188" s="125"/>
      <c r="Q188" s="143" t="s">
        <v>1116</v>
      </c>
      <c r="R188" s="143" t="s">
        <v>1754</v>
      </c>
      <c r="S188" s="143" t="s">
        <v>64</v>
      </c>
      <c r="T188" s="143" t="s">
        <v>64</v>
      </c>
      <c r="U188" s="49">
        <v>45658.0</v>
      </c>
      <c r="V188" s="50">
        <v>390812.49998842593</v>
      </c>
      <c r="W188" s="127" t="s">
        <v>1752</v>
      </c>
      <c r="X188" s="128" t="str">
        <f t="shared" si="48"/>
        <v>enemy_icon_enemy_gom_00402</v>
      </c>
      <c r="Y188" s="128" t="str">
        <f t="shared" si="49"/>
        <v>boss_icon_enemy_gom_00402</v>
      </c>
      <c r="Z188" s="172"/>
      <c r="AA188" s="129"/>
      <c r="AB188" s="145" t="s">
        <v>985</v>
      </c>
      <c r="AC188" s="53" t="s">
        <v>986</v>
      </c>
      <c r="AD188" s="54"/>
      <c r="AE188" s="133" t="s">
        <v>987</v>
      </c>
      <c r="AF188" s="45" t="s">
        <v>1105</v>
      </c>
      <c r="AG188" s="138" t="s">
        <v>989</v>
      </c>
      <c r="AH188" s="139"/>
    </row>
    <row r="189">
      <c r="A189" s="44" t="s">
        <v>87</v>
      </c>
      <c r="B189" s="124" t="str">
        <f t="array" ref="B189">iferror(INDEX('作品'!D:D,MATCH(A189,'作品'!A:A,0),0),"error")</f>
        <v>姫様“拷問”の時間です</v>
      </c>
      <c r="C189" s="46" t="s">
        <v>1046</v>
      </c>
      <c r="D189" s="47" t="str">
        <f t="shared" si="46"/>
        <v>enemy_gom_00501</v>
      </c>
      <c r="E189" s="47" t="s">
        <v>1758</v>
      </c>
      <c r="F189" s="45" t="s">
        <v>1758</v>
      </c>
      <c r="G189" s="45" t="s">
        <v>981</v>
      </c>
      <c r="H189" s="52"/>
      <c r="I189" s="59"/>
      <c r="J189" s="55"/>
      <c r="K189" s="55" t="s">
        <v>406</v>
      </c>
      <c r="L189" s="59" t="s">
        <v>1037</v>
      </c>
      <c r="M189" s="197" t="s">
        <v>1020</v>
      </c>
      <c r="N189" s="132"/>
      <c r="O189" s="236"/>
      <c r="P189" s="125"/>
      <c r="Q189" s="143" t="s">
        <v>1116</v>
      </c>
      <c r="R189" s="143" t="s">
        <v>1754</v>
      </c>
      <c r="S189" s="143" t="s">
        <v>64</v>
      </c>
      <c r="T189" s="143" t="s">
        <v>64</v>
      </c>
      <c r="U189" s="49">
        <v>45658.0</v>
      </c>
      <c r="V189" s="50">
        <v>390812.49998842593</v>
      </c>
      <c r="W189" s="127" t="s">
        <v>1752</v>
      </c>
      <c r="X189" s="128" t="str">
        <f t="shared" si="48"/>
        <v>enemy_icon_enemy_gom_00501</v>
      </c>
      <c r="Y189" s="128" t="str">
        <f t="shared" si="49"/>
        <v>boss_icon_enemy_gom_00501</v>
      </c>
      <c r="Z189" s="172"/>
      <c r="AA189" s="129"/>
      <c r="AB189" s="145" t="s">
        <v>985</v>
      </c>
      <c r="AC189" s="53" t="s">
        <v>986</v>
      </c>
      <c r="AD189" s="54"/>
      <c r="AE189" s="133" t="s">
        <v>987</v>
      </c>
      <c r="AF189" s="45" t="s">
        <v>1105</v>
      </c>
      <c r="AG189" s="138" t="s">
        <v>989</v>
      </c>
      <c r="AH189" s="139"/>
    </row>
    <row r="190">
      <c r="A190" s="44" t="s">
        <v>87</v>
      </c>
      <c r="B190" s="124" t="str">
        <f t="array" ref="B190">iferror(INDEX('作品'!D:D,MATCH(A190,'作品'!A:A,0),0),"error")</f>
        <v>姫様“拷問”の時間です</v>
      </c>
      <c r="C190" s="46" t="s">
        <v>1363</v>
      </c>
      <c r="D190" s="47" t="str">
        <f t="shared" si="46"/>
        <v>enemy_gom_00502</v>
      </c>
      <c r="E190" s="47" t="s">
        <v>1759</v>
      </c>
      <c r="F190" s="45" t="s">
        <v>1759</v>
      </c>
      <c r="G190" s="45" t="s">
        <v>981</v>
      </c>
      <c r="H190" s="52"/>
      <c r="I190" s="59"/>
      <c r="J190" s="55"/>
      <c r="K190" s="55" t="s">
        <v>406</v>
      </c>
      <c r="L190" s="59" t="s">
        <v>1005</v>
      </c>
      <c r="M190" s="197" t="s">
        <v>1020</v>
      </c>
      <c r="N190" s="132"/>
      <c r="O190" s="236"/>
      <c r="P190" s="125"/>
      <c r="Q190" s="143" t="s">
        <v>1116</v>
      </c>
      <c r="R190" s="143" t="s">
        <v>1754</v>
      </c>
      <c r="S190" s="143" t="s">
        <v>64</v>
      </c>
      <c r="T190" s="143" t="s">
        <v>64</v>
      </c>
      <c r="U190" s="49">
        <v>45658.0</v>
      </c>
      <c r="V190" s="50">
        <v>390812.49998842593</v>
      </c>
      <c r="W190" s="127" t="s">
        <v>1752</v>
      </c>
      <c r="X190" s="128" t="str">
        <f t="shared" si="48"/>
        <v>enemy_icon_enemy_gom_00502</v>
      </c>
      <c r="Y190" s="128" t="str">
        <f t="shared" si="49"/>
        <v>boss_icon_enemy_gom_00502</v>
      </c>
      <c r="Z190" s="172"/>
      <c r="AA190" s="129"/>
      <c r="AB190" s="145" t="s">
        <v>985</v>
      </c>
      <c r="AC190" s="53" t="s">
        <v>986</v>
      </c>
      <c r="AD190" s="54"/>
      <c r="AE190" s="133" t="s">
        <v>987</v>
      </c>
      <c r="AF190" s="45" t="s">
        <v>1105</v>
      </c>
      <c r="AG190" s="138" t="s">
        <v>989</v>
      </c>
      <c r="AH190" s="139"/>
    </row>
    <row r="191">
      <c r="A191" s="237" t="s">
        <v>87</v>
      </c>
      <c r="B191" s="238" t="str">
        <f t="array" ref="B191">iferror(INDEX('作品'!D:D,MATCH(A191,'作品'!A:A,0),0),"error")</f>
        <v>姫様“拷問”の時間です</v>
      </c>
      <c r="C191" s="239" t="s">
        <v>1151</v>
      </c>
      <c r="D191" s="240" t="str">
        <f t="shared" si="46"/>
        <v>enemy_gom_00601</v>
      </c>
      <c r="E191" s="240" t="s">
        <v>1760</v>
      </c>
      <c r="F191" s="238" t="s">
        <v>1761</v>
      </c>
      <c r="G191" s="238" t="s">
        <v>981</v>
      </c>
      <c r="H191" s="241"/>
      <c r="I191" s="242"/>
      <c r="J191" s="243"/>
      <c r="K191" s="243" t="s">
        <v>406</v>
      </c>
      <c r="L191" s="242" t="s">
        <v>1005</v>
      </c>
      <c r="M191" s="244" t="s">
        <v>1020</v>
      </c>
      <c r="N191" s="245"/>
      <c r="O191" s="246"/>
      <c r="P191" s="247"/>
      <c r="Q191" s="248" t="s">
        <v>1762</v>
      </c>
      <c r="R191" s="248" t="s">
        <v>1754</v>
      </c>
      <c r="S191" s="248" t="s">
        <v>64</v>
      </c>
      <c r="T191" s="248" t="s">
        <v>64</v>
      </c>
      <c r="U191" s="249">
        <v>45658.0</v>
      </c>
      <c r="V191" s="250">
        <v>390812.49998842593</v>
      </c>
      <c r="W191" s="251" t="s">
        <v>1752</v>
      </c>
      <c r="X191" s="252" t="str">
        <f t="shared" si="48"/>
        <v>enemy_icon_enemy_gom_00601</v>
      </c>
      <c r="Y191" s="252" t="str">
        <f t="shared" si="49"/>
        <v>boss_icon_enemy_gom_00601</v>
      </c>
      <c r="Z191" s="253"/>
      <c r="AA191" s="242"/>
      <c r="AB191" s="254" t="s">
        <v>985</v>
      </c>
      <c r="AC191" s="255" t="s">
        <v>986</v>
      </c>
      <c r="AD191" s="256"/>
      <c r="AE191" s="256"/>
      <c r="AF191" s="238" t="s">
        <v>1105</v>
      </c>
      <c r="AG191" s="138" t="s">
        <v>1763</v>
      </c>
      <c r="AH191" s="139"/>
    </row>
    <row r="192">
      <c r="A192" s="237" t="s">
        <v>87</v>
      </c>
      <c r="B192" s="238" t="str">
        <f t="array" ref="B192">iferror(INDEX('作品'!D:D,MATCH(A192,'作品'!A:A,0),0),"error")</f>
        <v>姫様“拷問”の時間です</v>
      </c>
      <c r="C192" s="239" t="s">
        <v>1764</v>
      </c>
      <c r="D192" s="240" t="str">
        <f t="shared" si="46"/>
        <v>enemy_gom_00611</v>
      </c>
      <c r="E192" s="240" t="s">
        <v>1765</v>
      </c>
      <c r="F192" s="238" t="s">
        <v>1761</v>
      </c>
      <c r="G192" s="238" t="s">
        <v>981</v>
      </c>
      <c r="H192" s="241"/>
      <c r="I192" s="242"/>
      <c r="J192" s="243"/>
      <c r="K192" s="243" t="s">
        <v>406</v>
      </c>
      <c r="L192" s="242" t="s">
        <v>1005</v>
      </c>
      <c r="M192" s="244" t="s">
        <v>1020</v>
      </c>
      <c r="N192" s="245"/>
      <c r="O192" s="246"/>
      <c r="P192" s="247"/>
      <c r="Q192" s="248" t="s">
        <v>1762</v>
      </c>
      <c r="R192" s="248" t="s">
        <v>1754</v>
      </c>
      <c r="S192" s="248" t="s">
        <v>64</v>
      </c>
      <c r="T192" s="248" t="s">
        <v>64</v>
      </c>
      <c r="U192" s="249">
        <v>45658.0</v>
      </c>
      <c r="V192" s="250">
        <v>390812.49998842593</v>
      </c>
      <c r="W192" s="251" t="s">
        <v>1752</v>
      </c>
      <c r="X192" s="252" t="str">
        <f t="shared" si="48"/>
        <v>enemy_icon_enemy_gom_00611</v>
      </c>
      <c r="Y192" s="252" t="str">
        <f t="shared" si="49"/>
        <v>boss_icon_enemy_gom_00611</v>
      </c>
      <c r="Z192" s="253"/>
      <c r="AA192" s="242"/>
      <c r="AB192" s="254" t="s">
        <v>985</v>
      </c>
      <c r="AC192" s="255" t="s">
        <v>986</v>
      </c>
      <c r="AD192" s="256"/>
      <c r="AE192" s="256"/>
      <c r="AF192" s="238" t="s">
        <v>1105</v>
      </c>
      <c r="AG192" s="138" t="s">
        <v>1763</v>
      </c>
      <c r="AH192" s="139"/>
    </row>
    <row r="193">
      <c r="A193" s="237" t="s">
        <v>87</v>
      </c>
      <c r="B193" s="238" t="str">
        <f t="array" ref="B193">iferror(INDEX('作品'!D:D,MATCH(A193,'作品'!A:A,0),0),"error")</f>
        <v>姫様“拷問”の時間です</v>
      </c>
      <c r="C193" s="239" t="s">
        <v>1766</v>
      </c>
      <c r="D193" s="240" t="str">
        <f t="shared" si="46"/>
        <v>enemy_gom_00621</v>
      </c>
      <c r="E193" s="240" t="s">
        <v>1767</v>
      </c>
      <c r="F193" s="238" t="s">
        <v>1761</v>
      </c>
      <c r="G193" s="238" t="s">
        <v>981</v>
      </c>
      <c r="H193" s="241"/>
      <c r="I193" s="242"/>
      <c r="J193" s="243"/>
      <c r="K193" s="243" t="s">
        <v>406</v>
      </c>
      <c r="L193" s="242" t="s">
        <v>1005</v>
      </c>
      <c r="M193" s="244" t="s">
        <v>1020</v>
      </c>
      <c r="N193" s="245"/>
      <c r="O193" s="246"/>
      <c r="P193" s="247"/>
      <c r="Q193" s="248" t="s">
        <v>1762</v>
      </c>
      <c r="R193" s="248" t="s">
        <v>1754</v>
      </c>
      <c r="S193" s="248" t="s">
        <v>64</v>
      </c>
      <c r="T193" s="248" t="s">
        <v>64</v>
      </c>
      <c r="U193" s="249">
        <v>45658.0</v>
      </c>
      <c r="V193" s="250">
        <v>390812.49998842593</v>
      </c>
      <c r="W193" s="251" t="s">
        <v>1752</v>
      </c>
      <c r="X193" s="252" t="str">
        <f t="shared" si="48"/>
        <v>enemy_icon_enemy_gom_00621</v>
      </c>
      <c r="Y193" s="252" t="str">
        <f t="shared" si="49"/>
        <v>boss_icon_enemy_gom_00621</v>
      </c>
      <c r="Z193" s="253"/>
      <c r="AA193" s="242"/>
      <c r="AB193" s="254" t="s">
        <v>985</v>
      </c>
      <c r="AC193" s="255" t="s">
        <v>986</v>
      </c>
      <c r="AD193" s="256"/>
      <c r="AE193" s="256"/>
      <c r="AF193" s="238" t="s">
        <v>1105</v>
      </c>
      <c r="AG193" s="138" t="s">
        <v>1763</v>
      </c>
      <c r="AH193" s="139"/>
    </row>
    <row r="194">
      <c r="A194" s="237" t="s">
        <v>87</v>
      </c>
      <c r="B194" s="238" t="str">
        <f t="array" ref="B194">iferror(INDEX('作品'!D:D,MATCH(A194,'作品'!A:A,0),0),"error")</f>
        <v>姫様“拷問”の時間です</v>
      </c>
      <c r="C194" s="239" t="s">
        <v>1768</v>
      </c>
      <c r="D194" s="240" t="str">
        <f t="shared" si="46"/>
        <v>enemy_gom_00631</v>
      </c>
      <c r="E194" s="240" t="s">
        <v>1769</v>
      </c>
      <c r="F194" s="238" t="s">
        <v>1761</v>
      </c>
      <c r="G194" s="238" t="s">
        <v>981</v>
      </c>
      <c r="H194" s="241"/>
      <c r="I194" s="242"/>
      <c r="J194" s="243"/>
      <c r="K194" s="243" t="s">
        <v>406</v>
      </c>
      <c r="L194" s="242" t="s">
        <v>1005</v>
      </c>
      <c r="M194" s="244" t="s">
        <v>1020</v>
      </c>
      <c r="N194" s="245"/>
      <c r="O194" s="246"/>
      <c r="P194" s="247"/>
      <c r="Q194" s="248" t="s">
        <v>1762</v>
      </c>
      <c r="R194" s="248" t="s">
        <v>1754</v>
      </c>
      <c r="S194" s="248" t="s">
        <v>64</v>
      </c>
      <c r="T194" s="248" t="s">
        <v>64</v>
      </c>
      <c r="U194" s="249">
        <v>45658.0</v>
      </c>
      <c r="V194" s="250">
        <v>390812.49998842593</v>
      </c>
      <c r="W194" s="251" t="s">
        <v>1752</v>
      </c>
      <c r="X194" s="252" t="str">
        <f t="shared" si="48"/>
        <v>enemy_icon_enemy_gom_00631</v>
      </c>
      <c r="Y194" s="252" t="str">
        <f t="shared" si="49"/>
        <v>boss_icon_enemy_gom_00631</v>
      </c>
      <c r="Z194" s="253"/>
      <c r="AA194" s="242"/>
      <c r="AB194" s="254" t="s">
        <v>985</v>
      </c>
      <c r="AC194" s="255" t="s">
        <v>986</v>
      </c>
      <c r="AD194" s="256"/>
      <c r="AE194" s="256"/>
      <c r="AF194" s="238" t="s">
        <v>1105</v>
      </c>
      <c r="AG194" s="138" t="s">
        <v>1763</v>
      </c>
      <c r="AH194" s="139"/>
    </row>
    <row r="195">
      <c r="A195" s="44" t="s">
        <v>87</v>
      </c>
      <c r="B195" s="124" t="str">
        <f t="array" ref="B195">iferror(INDEX('作品'!D:D,MATCH(A195,'作品'!A:A,0),0),"error")</f>
        <v>姫様“拷問”の時間です</v>
      </c>
      <c r="C195" s="46" t="s">
        <v>1191</v>
      </c>
      <c r="D195" s="47" t="str">
        <f t="shared" si="46"/>
        <v>enemy_gom_00701</v>
      </c>
      <c r="E195" s="47" t="s">
        <v>1770</v>
      </c>
      <c r="F195" s="45" t="s">
        <v>1770</v>
      </c>
      <c r="G195" s="45" t="s">
        <v>981</v>
      </c>
      <c r="H195" s="52"/>
      <c r="I195" s="59"/>
      <c r="J195" s="55"/>
      <c r="K195" s="55" t="s">
        <v>406</v>
      </c>
      <c r="L195" s="59" t="s">
        <v>1005</v>
      </c>
      <c r="M195" s="197" t="s">
        <v>1020</v>
      </c>
      <c r="N195" s="132"/>
      <c r="O195" s="236"/>
      <c r="P195" s="125"/>
      <c r="Q195" s="143" t="s">
        <v>1116</v>
      </c>
      <c r="R195" s="143" t="s">
        <v>1754</v>
      </c>
      <c r="S195" s="143" t="s">
        <v>64</v>
      </c>
      <c r="T195" s="143" t="s">
        <v>64</v>
      </c>
      <c r="U195" s="49">
        <v>45658.0</v>
      </c>
      <c r="V195" s="50">
        <v>390812.49998842593</v>
      </c>
      <c r="W195" s="127" t="s">
        <v>1752</v>
      </c>
      <c r="X195" s="128" t="str">
        <f t="shared" si="48"/>
        <v>enemy_icon_enemy_gom_00701</v>
      </c>
      <c r="Y195" s="128" t="str">
        <f t="shared" si="49"/>
        <v>boss_icon_enemy_gom_00701</v>
      </c>
      <c r="Z195" s="172"/>
      <c r="AA195" s="129"/>
      <c r="AB195" s="145" t="s">
        <v>985</v>
      </c>
      <c r="AC195" s="53" t="s">
        <v>986</v>
      </c>
      <c r="AD195" s="54"/>
      <c r="AE195" s="133" t="s">
        <v>987</v>
      </c>
      <c r="AF195" s="45" t="s">
        <v>1105</v>
      </c>
      <c r="AG195" s="138" t="s">
        <v>989</v>
      </c>
      <c r="AH195" s="139"/>
    </row>
    <row r="196">
      <c r="A196" s="44" t="s">
        <v>87</v>
      </c>
      <c r="B196" s="124" t="str">
        <f t="array" ref="B196">iferror(INDEX('作品'!D:D,MATCH(A196,'作品'!A:A,0),0),"error")</f>
        <v>姫様“拷問”の時間です</v>
      </c>
      <c r="C196" s="46" t="s">
        <v>1238</v>
      </c>
      <c r="D196" s="47" t="str">
        <f t="shared" si="46"/>
        <v>enemy_gom_00801</v>
      </c>
      <c r="E196" s="47" t="s">
        <v>1771</v>
      </c>
      <c r="F196" s="45" t="s">
        <v>1771</v>
      </c>
      <c r="G196" s="45" t="s">
        <v>981</v>
      </c>
      <c r="H196" s="52"/>
      <c r="I196" s="59"/>
      <c r="J196" s="55"/>
      <c r="K196" s="55" t="s">
        <v>406</v>
      </c>
      <c r="L196" s="59" t="s">
        <v>1037</v>
      </c>
      <c r="M196" s="197" t="s">
        <v>1020</v>
      </c>
      <c r="N196" s="132"/>
      <c r="O196" s="236"/>
      <c r="P196" s="125"/>
      <c r="Q196" s="143" t="s">
        <v>1116</v>
      </c>
      <c r="R196" s="143" t="s">
        <v>1754</v>
      </c>
      <c r="S196" s="143" t="s">
        <v>64</v>
      </c>
      <c r="T196" s="143" t="s">
        <v>64</v>
      </c>
      <c r="U196" s="49">
        <v>45658.0</v>
      </c>
      <c r="V196" s="50">
        <v>390812.49998842593</v>
      </c>
      <c r="W196" s="127" t="s">
        <v>1752</v>
      </c>
      <c r="X196" s="128" t="str">
        <f t="shared" si="48"/>
        <v>enemy_icon_enemy_gom_00801</v>
      </c>
      <c r="Y196" s="128" t="str">
        <f t="shared" si="49"/>
        <v>boss_icon_enemy_gom_00801</v>
      </c>
      <c r="Z196" s="172"/>
      <c r="AA196" s="129"/>
      <c r="AB196" s="145" t="s">
        <v>985</v>
      </c>
      <c r="AC196" s="53" t="s">
        <v>986</v>
      </c>
      <c r="AD196" s="54"/>
      <c r="AE196" s="133" t="s">
        <v>987</v>
      </c>
      <c r="AF196" s="45" t="s">
        <v>1105</v>
      </c>
      <c r="AG196" s="138" t="s">
        <v>989</v>
      </c>
      <c r="AH196" s="139"/>
    </row>
    <row r="197">
      <c r="A197" s="44" t="s">
        <v>87</v>
      </c>
      <c r="B197" s="124" t="str">
        <f t="array" ref="B197">iferror(INDEX('作品'!D:D,MATCH(A197,'作品'!A:A,0),0),"error")</f>
        <v>姫様“拷問”の時間です</v>
      </c>
      <c r="C197" s="46" t="s">
        <v>1242</v>
      </c>
      <c r="D197" s="47" t="str">
        <f t="shared" si="46"/>
        <v>enemy_gom_00901</v>
      </c>
      <c r="E197" s="47" t="s">
        <v>1772</v>
      </c>
      <c r="F197" s="45" t="s">
        <v>1773</v>
      </c>
      <c r="G197" s="45" t="s">
        <v>981</v>
      </c>
      <c r="H197" s="52"/>
      <c r="I197" s="59"/>
      <c r="J197" s="55"/>
      <c r="K197" s="55" t="s">
        <v>406</v>
      </c>
      <c r="L197" s="59" t="s">
        <v>1005</v>
      </c>
      <c r="M197" s="197" t="s">
        <v>1020</v>
      </c>
      <c r="N197" s="132"/>
      <c r="O197" s="236"/>
      <c r="P197" s="125"/>
      <c r="Q197" s="143" t="s">
        <v>1116</v>
      </c>
      <c r="R197" s="143" t="s">
        <v>1754</v>
      </c>
      <c r="S197" s="143" t="s">
        <v>64</v>
      </c>
      <c r="T197" s="143" t="s">
        <v>64</v>
      </c>
      <c r="U197" s="49">
        <v>45658.0</v>
      </c>
      <c r="V197" s="50">
        <v>390812.49998842593</v>
      </c>
      <c r="W197" s="127" t="s">
        <v>1752</v>
      </c>
      <c r="X197" s="128" t="str">
        <f t="shared" si="48"/>
        <v>enemy_icon_enemy_gom_00901</v>
      </c>
      <c r="Y197" s="128" t="str">
        <f t="shared" si="49"/>
        <v>boss_icon_enemy_gom_00901</v>
      </c>
      <c r="Z197" s="172"/>
      <c r="AA197" s="129"/>
      <c r="AB197" s="145" t="s">
        <v>985</v>
      </c>
      <c r="AC197" s="53" t="s">
        <v>986</v>
      </c>
      <c r="AD197" s="54"/>
      <c r="AE197" s="133" t="s">
        <v>987</v>
      </c>
      <c r="AF197" s="45" t="s">
        <v>1105</v>
      </c>
      <c r="AG197" s="138" t="s">
        <v>989</v>
      </c>
      <c r="AH197" s="139"/>
    </row>
    <row r="198">
      <c r="A198" s="194" t="s">
        <v>87</v>
      </c>
      <c r="B198" s="178" t="str">
        <f t="array" ref="B198">iferror(INDEX('作品'!D:D,MATCH(A198,'作品'!A:A,0),0),"error")</f>
        <v>姫様“拷問”の時間です</v>
      </c>
      <c r="C198" s="257" t="s">
        <v>1315</v>
      </c>
      <c r="D198" s="180" t="str">
        <f t="shared" si="46"/>
        <v>enemy_gom_01001</v>
      </c>
      <c r="E198" s="196" t="s">
        <v>1774</v>
      </c>
      <c r="F198" s="106" t="s">
        <v>1774</v>
      </c>
      <c r="G198" s="192" t="s">
        <v>981</v>
      </c>
      <c r="H198" s="204"/>
      <c r="I198" s="184"/>
      <c r="J198" s="184"/>
      <c r="K198" s="198" t="s">
        <v>406</v>
      </c>
      <c r="L198" s="184"/>
      <c r="M198" s="234"/>
      <c r="N198" s="204"/>
      <c r="O198" s="185"/>
      <c r="P198" s="186"/>
      <c r="Q198" s="258"/>
      <c r="R198" s="258"/>
      <c r="S198" s="143" t="s">
        <v>64</v>
      </c>
      <c r="T198" s="143" t="s">
        <v>64</v>
      </c>
      <c r="U198" s="201">
        <v>45658.0</v>
      </c>
      <c r="V198" s="201">
        <v>390812.49998842593</v>
      </c>
      <c r="W198" s="189" t="s">
        <v>1752</v>
      </c>
      <c r="X198" s="259" t="str">
        <f t="shared" si="48"/>
        <v>enemy_icon_enemy_gom_01001</v>
      </c>
      <c r="Y198" s="259" t="str">
        <f t="shared" si="49"/>
        <v>boss_icon_enemy_gom_01001</v>
      </c>
      <c r="Z198" s="202"/>
      <c r="AA198" s="129"/>
      <c r="AB198" s="145" t="s">
        <v>985</v>
      </c>
      <c r="AC198" s="53" t="s">
        <v>986</v>
      </c>
      <c r="AD198" s="204"/>
      <c r="AE198" s="133" t="s">
        <v>987</v>
      </c>
      <c r="AF198" s="192"/>
      <c r="AG198" s="138" t="s">
        <v>989</v>
      </c>
      <c r="AH198" s="139"/>
    </row>
    <row r="199">
      <c r="A199" s="194" t="s">
        <v>87</v>
      </c>
      <c r="B199" s="178" t="str">
        <f t="array" ref="B199">iferror(INDEX('作品'!D:D,MATCH(A199,'作品'!A:A,0),0),"error")</f>
        <v>姫様“拷問”の時間です</v>
      </c>
      <c r="C199" s="257" t="s">
        <v>1775</v>
      </c>
      <c r="D199" s="180" t="str">
        <f t="shared" si="46"/>
        <v>enemy_gom_01002</v>
      </c>
      <c r="E199" s="196" t="s">
        <v>1776</v>
      </c>
      <c r="F199" s="106" t="s">
        <v>1776</v>
      </c>
      <c r="G199" s="192" t="s">
        <v>981</v>
      </c>
      <c r="H199" s="204"/>
      <c r="I199" s="184"/>
      <c r="J199" s="184"/>
      <c r="K199" s="198" t="s">
        <v>406</v>
      </c>
      <c r="L199" s="184"/>
      <c r="M199" s="234"/>
      <c r="N199" s="204"/>
      <c r="O199" s="185"/>
      <c r="P199" s="186"/>
      <c r="Q199" s="258"/>
      <c r="R199" s="258"/>
      <c r="S199" s="143" t="s">
        <v>64</v>
      </c>
      <c r="T199" s="143" t="s">
        <v>64</v>
      </c>
      <c r="U199" s="201">
        <v>45658.0</v>
      </c>
      <c r="V199" s="201">
        <v>390812.49998842593</v>
      </c>
      <c r="W199" s="189" t="s">
        <v>1752</v>
      </c>
      <c r="X199" s="259" t="str">
        <f t="shared" si="48"/>
        <v>enemy_icon_enemy_gom_01002</v>
      </c>
      <c r="Y199" s="259" t="str">
        <f t="shared" si="49"/>
        <v>boss_icon_enemy_gom_01002</v>
      </c>
      <c r="Z199" s="202"/>
      <c r="AA199" s="129"/>
      <c r="AB199" s="145" t="s">
        <v>985</v>
      </c>
      <c r="AC199" s="53" t="s">
        <v>986</v>
      </c>
      <c r="AD199" s="204"/>
      <c r="AE199" s="133" t="s">
        <v>987</v>
      </c>
      <c r="AF199" s="192"/>
      <c r="AG199" s="138" t="s">
        <v>989</v>
      </c>
      <c r="AH199" s="139"/>
    </row>
    <row r="200">
      <c r="A200" s="44" t="s">
        <v>87</v>
      </c>
      <c r="B200" s="124" t="str">
        <f t="array" ref="B200">iferror(INDEX('作品'!D:D,MATCH(A200,'作品'!A:A,0),0),"error")</f>
        <v>姫様“拷問”の時間です</v>
      </c>
      <c r="C200" s="46" t="s">
        <v>1777</v>
      </c>
      <c r="D200" s="47" t="str">
        <f t="shared" si="46"/>
        <v>enemy_gom_01101</v>
      </c>
      <c r="E200" s="47" t="s">
        <v>1778</v>
      </c>
      <c r="F200" s="45" t="s">
        <v>1778</v>
      </c>
      <c r="G200" s="45" t="s">
        <v>981</v>
      </c>
      <c r="H200" s="52"/>
      <c r="I200" s="59"/>
      <c r="J200" s="55"/>
      <c r="K200" s="55" t="s">
        <v>406</v>
      </c>
      <c r="L200" s="59"/>
      <c r="M200" s="234"/>
      <c r="N200" s="132"/>
      <c r="O200" s="236"/>
      <c r="P200" s="125"/>
      <c r="Q200" s="143"/>
      <c r="R200" s="143"/>
      <c r="S200" s="143" t="s">
        <v>64</v>
      </c>
      <c r="T200" s="143" t="s">
        <v>64</v>
      </c>
      <c r="U200" s="49">
        <v>45658.0</v>
      </c>
      <c r="V200" s="50">
        <v>390812.49998842593</v>
      </c>
      <c r="W200" s="127" t="s">
        <v>1752</v>
      </c>
      <c r="X200" s="128" t="str">
        <f t="shared" si="48"/>
        <v>enemy_icon_enemy_gom_01101</v>
      </c>
      <c r="Y200" s="128" t="str">
        <f t="shared" si="49"/>
        <v>boss_icon_enemy_gom_01101</v>
      </c>
      <c r="Z200" s="172"/>
      <c r="AA200" s="129"/>
      <c r="AB200" s="145" t="s">
        <v>985</v>
      </c>
      <c r="AC200" s="53" t="s">
        <v>986</v>
      </c>
      <c r="AD200" s="54"/>
      <c r="AE200" s="60"/>
      <c r="AF200" s="45" t="s">
        <v>1105</v>
      </c>
      <c r="AG200" s="138" t="s">
        <v>1000</v>
      </c>
      <c r="AH200" s="139"/>
    </row>
    <row r="201">
      <c r="A201" s="44" t="s">
        <v>92</v>
      </c>
      <c r="B201" s="124" t="str">
        <f t="array" ref="B201">iferror(INDEX('作品'!D:D,MATCH(A201,'作品'!A:A,0),0),"error")</f>
        <v>チェンソーマン</v>
      </c>
      <c r="C201" s="46" t="s">
        <v>973</v>
      </c>
      <c r="D201" s="47" t="str">
        <f t="shared" si="46"/>
        <v>enemy_chi_00001</v>
      </c>
      <c r="E201" s="47" t="s">
        <v>1779</v>
      </c>
      <c r="F201" s="45" t="s">
        <v>1779</v>
      </c>
      <c r="G201" s="136" t="s">
        <v>981</v>
      </c>
      <c r="H201" s="52"/>
      <c r="I201" s="59"/>
      <c r="J201" s="55"/>
      <c r="K201" s="55" t="s">
        <v>406</v>
      </c>
      <c r="L201" s="59"/>
      <c r="M201" s="197" t="s">
        <v>1038</v>
      </c>
      <c r="N201" s="132"/>
      <c r="O201" s="236"/>
      <c r="P201" s="125"/>
      <c r="Q201" s="143" t="s">
        <v>1051</v>
      </c>
      <c r="R201" s="143" t="s">
        <v>1780</v>
      </c>
      <c r="S201" s="143" t="s">
        <v>64</v>
      </c>
      <c r="T201" s="143" t="s">
        <v>64</v>
      </c>
      <c r="U201" s="49">
        <v>45658.0</v>
      </c>
      <c r="V201" s="50">
        <v>390812.49998842593</v>
      </c>
      <c r="W201" s="127" t="str">
        <f t="shared" ref="W201:W206" si="50">"catchcopy_character_"&amp;text(D201,"000000")&amp;".png"</f>
        <v>catchcopy_character_enemy_chi_00001.png</v>
      </c>
      <c r="X201" s="128" t="str">
        <f t="shared" si="48"/>
        <v>enemy_icon_enemy_chi_00001</v>
      </c>
      <c r="Y201" s="128" t="str">
        <f t="shared" si="49"/>
        <v>boss_icon_enemy_chi_00001</v>
      </c>
      <c r="Z201" s="144" t="s">
        <v>1781</v>
      </c>
      <c r="AA201" s="129"/>
      <c r="AB201" s="145" t="s">
        <v>985</v>
      </c>
      <c r="AC201" s="53" t="s">
        <v>986</v>
      </c>
      <c r="AD201" s="54"/>
      <c r="AE201" s="133" t="s">
        <v>987</v>
      </c>
      <c r="AF201" s="45" t="s">
        <v>988</v>
      </c>
      <c r="AG201" s="138" t="s">
        <v>989</v>
      </c>
      <c r="AH201" s="139"/>
    </row>
    <row r="202">
      <c r="A202" s="44" t="s">
        <v>92</v>
      </c>
      <c r="B202" s="124" t="str">
        <f t="array" ref="B202">iferror(INDEX('作品'!D:D,MATCH(A202,'作品'!A:A,0),0),"error")</f>
        <v>チェンソーマン</v>
      </c>
      <c r="C202" s="46" t="s">
        <v>1001</v>
      </c>
      <c r="D202" s="47" t="str">
        <f t="shared" si="46"/>
        <v>enemy_chi_00101</v>
      </c>
      <c r="E202" s="47" t="s">
        <v>1782</v>
      </c>
      <c r="F202" s="45" t="s">
        <v>1782</v>
      </c>
      <c r="G202" s="45" t="s">
        <v>981</v>
      </c>
      <c r="H202" s="52"/>
      <c r="I202" s="59"/>
      <c r="J202" s="55"/>
      <c r="K202" s="55" t="s">
        <v>406</v>
      </c>
      <c r="L202" s="59"/>
      <c r="M202" s="197" t="s">
        <v>1020</v>
      </c>
      <c r="N202" s="132"/>
      <c r="O202" s="236"/>
      <c r="P202" s="125"/>
      <c r="Q202" s="143" t="s">
        <v>1496</v>
      </c>
      <c r="R202" s="143" t="s">
        <v>1060</v>
      </c>
      <c r="S202" s="143" t="s">
        <v>64</v>
      </c>
      <c r="T202" s="143" t="s">
        <v>64</v>
      </c>
      <c r="U202" s="49">
        <v>45658.0</v>
      </c>
      <c r="V202" s="50">
        <v>390812.49998842593</v>
      </c>
      <c r="W202" s="127" t="str">
        <f t="shared" si="50"/>
        <v>catchcopy_character_enemy_chi_00101.png</v>
      </c>
      <c r="X202" s="128" t="str">
        <f t="shared" si="48"/>
        <v>enemy_icon_enemy_chi_00101</v>
      </c>
      <c r="Y202" s="128" t="str">
        <f t="shared" si="49"/>
        <v>boss_icon_enemy_chi_00101</v>
      </c>
      <c r="Z202" s="172"/>
      <c r="AA202" s="129"/>
      <c r="AB202" s="145" t="s">
        <v>985</v>
      </c>
      <c r="AC202" s="53" t="s">
        <v>986</v>
      </c>
      <c r="AD202" s="54"/>
      <c r="AE202" s="133" t="s">
        <v>987</v>
      </c>
      <c r="AF202" s="45" t="s">
        <v>988</v>
      </c>
      <c r="AG202" s="138" t="s">
        <v>989</v>
      </c>
      <c r="AH202" s="139"/>
    </row>
    <row r="203">
      <c r="A203" s="44" t="s">
        <v>92</v>
      </c>
      <c r="B203" s="124" t="str">
        <f t="array" ref="B203">iferror(INDEX('作品'!D:D,MATCH(A203,'作品'!A:A,0),0),"error")</f>
        <v>チェンソーマン</v>
      </c>
      <c r="C203" s="46" t="s">
        <v>1014</v>
      </c>
      <c r="D203" s="47" t="str">
        <f t="shared" si="46"/>
        <v>enemy_chi_00201</v>
      </c>
      <c r="E203" s="47" t="s">
        <v>1783</v>
      </c>
      <c r="F203" s="45" t="s">
        <v>1783</v>
      </c>
      <c r="G203" s="45" t="s">
        <v>981</v>
      </c>
      <c r="H203" s="52"/>
      <c r="I203" s="59"/>
      <c r="J203" s="55"/>
      <c r="K203" s="55" t="s">
        <v>406</v>
      </c>
      <c r="L203" s="59"/>
      <c r="M203" s="197" t="s">
        <v>1020</v>
      </c>
      <c r="N203" s="132"/>
      <c r="O203" s="236"/>
      <c r="P203" s="125"/>
      <c r="Q203" s="143" t="s">
        <v>1043</v>
      </c>
      <c r="R203" s="143" t="s">
        <v>1784</v>
      </c>
      <c r="S203" s="143" t="s">
        <v>64</v>
      </c>
      <c r="T203" s="143" t="s">
        <v>64</v>
      </c>
      <c r="U203" s="49">
        <v>45658.0</v>
      </c>
      <c r="V203" s="50">
        <v>390812.49998842593</v>
      </c>
      <c r="W203" s="127" t="str">
        <f t="shared" si="50"/>
        <v>catchcopy_character_enemy_chi_00201.png</v>
      </c>
      <c r="X203" s="128" t="str">
        <f t="shared" si="48"/>
        <v>enemy_icon_enemy_chi_00201</v>
      </c>
      <c r="Y203" s="128" t="str">
        <f t="shared" si="49"/>
        <v>boss_icon_enemy_chi_00201</v>
      </c>
      <c r="Z203" s="144" t="s">
        <v>1785</v>
      </c>
      <c r="AA203" s="129"/>
      <c r="AB203" s="145" t="s">
        <v>985</v>
      </c>
      <c r="AC203" s="53" t="s">
        <v>986</v>
      </c>
      <c r="AD203" s="54"/>
      <c r="AE203" s="133" t="s">
        <v>987</v>
      </c>
      <c r="AF203" s="45" t="s">
        <v>988</v>
      </c>
      <c r="AG203" s="138" t="s">
        <v>989</v>
      </c>
      <c r="AH203" s="139"/>
    </row>
    <row r="204">
      <c r="A204" s="44" t="s">
        <v>115</v>
      </c>
      <c r="B204" s="124" t="str">
        <f t="array" ref="B204">iferror(INDEX('作品'!D:D,MATCH(A204,'作品'!A:A,0),0),"error")</f>
        <v>怪獣８号</v>
      </c>
      <c r="C204" s="46" t="s">
        <v>973</v>
      </c>
      <c r="D204" s="47" t="str">
        <f t="shared" si="46"/>
        <v>enemy_kai_00001</v>
      </c>
      <c r="E204" s="47" t="s">
        <v>1786</v>
      </c>
      <c r="F204" s="45" t="s">
        <v>1786</v>
      </c>
      <c r="G204" s="45" t="s">
        <v>981</v>
      </c>
      <c r="H204" s="52"/>
      <c r="I204" s="59"/>
      <c r="J204" s="55"/>
      <c r="K204" s="55" t="s">
        <v>406</v>
      </c>
      <c r="L204" s="59"/>
      <c r="M204" s="197" t="s">
        <v>1020</v>
      </c>
      <c r="N204" s="132"/>
      <c r="O204" s="236"/>
      <c r="P204" s="125"/>
      <c r="Q204" s="143" t="s">
        <v>1469</v>
      </c>
      <c r="R204" s="143" t="s">
        <v>1787</v>
      </c>
      <c r="S204" s="143" t="s">
        <v>64</v>
      </c>
      <c r="T204" s="143" t="s">
        <v>64</v>
      </c>
      <c r="U204" s="49">
        <v>45658.0</v>
      </c>
      <c r="V204" s="50">
        <v>390812.49998842593</v>
      </c>
      <c r="W204" s="127" t="str">
        <f t="shared" si="50"/>
        <v>catchcopy_character_enemy_kai_00001.png</v>
      </c>
      <c r="X204" s="128" t="str">
        <f t="shared" si="48"/>
        <v>enemy_icon_enemy_kai_00001</v>
      </c>
      <c r="Y204" s="128" t="str">
        <f t="shared" si="49"/>
        <v>boss_icon_enemy_kai_00001</v>
      </c>
      <c r="Z204" s="172"/>
      <c r="AA204" s="129"/>
      <c r="AB204" s="145" t="s">
        <v>985</v>
      </c>
      <c r="AC204" s="53" t="s">
        <v>986</v>
      </c>
      <c r="AD204" s="54"/>
      <c r="AE204" s="133" t="s">
        <v>987</v>
      </c>
      <c r="AF204" s="45" t="s">
        <v>988</v>
      </c>
      <c r="AG204" s="138" t="s">
        <v>989</v>
      </c>
      <c r="AH204" s="139"/>
    </row>
    <row r="205">
      <c r="A205" s="44" t="s">
        <v>115</v>
      </c>
      <c r="B205" s="124" t="str">
        <f t="array" ref="B205">iferror(INDEX('作品'!D:D,MATCH(A205,'作品'!A:A,0),0),"error")</f>
        <v>怪獣８号</v>
      </c>
      <c r="C205" s="46" t="s">
        <v>1001</v>
      </c>
      <c r="D205" s="47" t="str">
        <f t="shared" si="46"/>
        <v>enemy_kai_00101</v>
      </c>
      <c r="E205" s="47" t="s">
        <v>1788</v>
      </c>
      <c r="F205" s="45" t="s">
        <v>1788</v>
      </c>
      <c r="G205" s="45" t="s">
        <v>981</v>
      </c>
      <c r="H205" s="52"/>
      <c r="I205" s="59"/>
      <c r="J205" s="55"/>
      <c r="K205" s="55" t="s">
        <v>406</v>
      </c>
      <c r="L205" s="59"/>
      <c r="M205" s="197" t="s">
        <v>1020</v>
      </c>
      <c r="N205" s="132"/>
      <c r="O205" s="236"/>
      <c r="P205" s="125"/>
      <c r="Q205" s="143" t="s">
        <v>1619</v>
      </c>
      <c r="R205" s="143" t="s">
        <v>1789</v>
      </c>
      <c r="S205" s="143" t="s">
        <v>64</v>
      </c>
      <c r="T205" s="143" t="s">
        <v>64</v>
      </c>
      <c r="U205" s="49">
        <v>45658.0</v>
      </c>
      <c r="V205" s="50">
        <v>390812.49998842593</v>
      </c>
      <c r="W205" s="127" t="str">
        <f t="shared" si="50"/>
        <v>catchcopy_character_enemy_kai_00101.png</v>
      </c>
      <c r="X205" s="128" t="str">
        <f t="shared" si="48"/>
        <v>enemy_icon_enemy_kai_00101</v>
      </c>
      <c r="Y205" s="128" t="str">
        <f t="shared" si="49"/>
        <v>boss_icon_enemy_kai_00101</v>
      </c>
      <c r="Z205" s="172"/>
      <c r="AA205" s="129"/>
      <c r="AB205" s="145" t="s">
        <v>985</v>
      </c>
      <c r="AC205" s="53" t="s">
        <v>986</v>
      </c>
      <c r="AD205" s="54"/>
      <c r="AE205" s="133" t="s">
        <v>987</v>
      </c>
      <c r="AF205" s="45" t="s">
        <v>988</v>
      </c>
      <c r="AG205" s="138" t="s">
        <v>989</v>
      </c>
      <c r="AH205" s="139"/>
    </row>
    <row r="206">
      <c r="A206" s="44" t="s">
        <v>115</v>
      </c>
      <c r="B206" s="124" t="str">
        <f t="array" ref="B206">iferror(INDEX('作品'!D:D,MATCH(A206,'作品'!A:A,0),0),"error")</f>
        <v>怪獣８号</v>
      </c>
      <c r="C206" s="46" t="s">
        <v>1014</v>
      </c>
      <c r="D206" s="47" t="str">
        <f t="shared" si="46"/>
        <v>enemy_kai_00201</v>
      </c>
      <c r="E206" s="47" t="s">
        <v>1790</v>
      </c>
      <c r="F206" s="45" t="s">
        <v>1790</v>
      </c>
      <c r="G206" s="45" t="s">
        <v>981</v>
      </c>
      <c r="H206" s="52"/>
      <c r="I206" s="59"/>
      <c r="J206" s="55"/>
      <c r="K206" s="55" t="s">
        <v>406</v>
      </c>
      <c r="L206" s="59"/>
      <c r="M206" s="197" t="s">
        <v>1006</v>
      </c>
      <c r="N206" s="132"/>
      <c r="O206" s="236"/>
      <c r="P206" s="125"/>
      <c r="Q206" s="143" t="s">
        <v>1568</v>
      </c>
      <c r="R206" s="143" t="s">
        <v>1791</v>
      </c>
      <c r="S206" s="143" t="s">
        <v>64</v>
      </c>
      <c r="T206" s="143" t="s">
        <v>64</v>
      </c>
      <c r="U206" s="49">
        <v>45658.0</v>
      </c>
      <c r="V206" s="50">
        <v>390812.49998842593</v>
      </c>
      <c r="W206" s="127" t="str">
        <f t="shared" si="50"/>
        <v>catchcopy_character_enemy_kai_00201.png</v>
      </c>
      <c r="X206" s="128" t="str">
        <f t="shared" si="48"/>
        <v>enemy_icon_enemy_kai_00201</v>
      </c>
      <c r="Y206" s="128" t="str">
        <f t="shared" si="49"/>
        <v>boss_icon_enemy_kai_00201</v>
      </c>
      <c r="Z206" s="172"/>
      <c r="AA206" s="129"/>
      <c r="AB206" s="145" t="s">
        <v>985</v>
      </c>
      <c r="AC206" s="53" t="s">
        <v>986</v>
      </c>
      <c r="AD206" s="54"/>
      <c r="AE206" s="133" t="s">
        <v>987</v>
      </c>
      <c r="AF206" s="45" t="s">
        <v>988</v>
      </c>
      <c r="AG206" s="138" t="s">
        <v>989</v>
      </c>
      <c r="AH206" s="139"/>
    </row>
    <row r="207">
      <c r="A207" s="44" t="s">
        <v>115</v>
      </c>
      <c r="B207" s="124" t="str">
        <f t="array" ref="B207">iferror(INDEX('作品'!D:D,MATCH(A207,'作品'!A:A,0),0),"error")</f>
        <v>怪獣８号</v>
      </c>
      <c r="C207" s="46" t="s">
        <v>1026</v>
      </c>
      <c r="D207" s="47" t="str">
        <f t="shared" si="46"/>
        <v>enemy_kai_00301</v>
      </c>
      <c r="E207" s="47" t="s">
        <v>1792</v>
      </c>
      <c r="F207" s="45" t="s">
        <v>1792</v>
      </c>
      <c r="G207" s="45" t="s">
        <v>981</v>
      </c>
      <c r="H207" s="52"/>
      <c r="I207" s="59"/>
      <c r="J207" s="55"/>
      <c r="K207" s="55" t="s">
        <v>406</v>
      </c>
      <c r="L207" s="59"/>
      <c r="M207" s="197" t="s">
        <v>1020</v>
      </c>
      <c r="N207" s="132"/>
      <c r="O207" s="236"/>
      <c r="P207" s="125"/>
      <c r="Q207" s="143" t="s">
        <v>1116</v>
      </c>
      <c r="R207" s="143" t="s">
        <v>1743</v>
      </c>
      <c r="S207" s="143" t="s">
        <v>64</v>
      </c>
      <c r="T207" s="143" t="s">
        <v>64</v>
      </c>
      <c r="U207" s="49"/>
      <c r="V207" s="50"/>
      <c r="W207" s="127"/>
      <c r="X207" s="128"/>
      <c r="Y207" s="128"/>
      <c r="Z207" s="172"/>
      <c r="AA207" s="129"/>
      <c r="AB207" s="145" t="s">
        <v>985</v>
      </c>
      <c r="AC207" s="53" t="s">
        <v>986</v>
      </c>
      <c r="AD207" s="54"/>
      <c r="AE207" s="133" t="s">
        <v>987</v>
      </c>
      <c r="AF207" s="45"/>
      <c r="AG207" s="138" t="s">
        <v>989</v>
      </c>
      <c r="AH207" s="139"/>
    </row>
    <row r="208">
      <c r="A208" s="44" t="s">
        <v>115</v>
      </c>
      <c r="B208" s="124" t="str">
        <f t="array" ref="B208">iferror(INDEX('作品'!D:D,MATCH(A208,'作品'!A:A,0),0),"error")</f>
        <v>怪獣８号</v>
      </c>
      <c r="C208" s="46" t="s">
        <v>1034</v>
      </c>
      <c r="D208" s="47" t="str">
        <f t="shared" si="46"/>
        <v>enemy_kai_00401</v>
      </c>
      <c r="E208" s="47" t="s">
        <v>1793</v>
      </c>
      <c r="F208" s="45" t="s">
        <v>1793</v>
      </c>
      <c r="G208" s="45" t="s">
        <v>981</v>
      </c>
      <c r="H208" s="52"/>
      <c r="I208" s="59"/>
      <c r="J208" s="55"/>
      <c r="K208" s="55" t="s">
        <v>406</v>
      </c>
      <c r="L208" s="59"/>
      <c r="M208" s="197" t="s">
        <v>1020</v>
      </c>
      <c r="N208" s="132"/>
      <c r="O208" s="236"/>
      <c r="P208" s="125"/>
      <c r="Q208" s="143" t="s">
        <v>1160</v>
      </c>
      <c r="R208" s="143" t="s">
        <v>1080</v>
      </c>
      <c r="S208" s="143" t="s">
        <v>64</v>
      </c>
      <c r="T208" s="143" t="s">
        <v>64</v>
      </c>
      <c r="U208" s="49"/>
      <c r="V208" s="50"/>
      <c r="W208" s="127"/>
      <c r="X208" s="128"/>
      <c r="Y208" s="128"/>
      <c r="Z208" s="172"/>
      <c r="AA208" s="129"/>
      <c r="AB208" s="145" t="s">
        <v>1794</v>
      </c>
      <c r="AC208" s="53" t="s">
        <v>986</v>
      </c>
      <c r="AD208" s="54"/>
      <c r="AE208" s="133" t="s">
        <v>987</v>
      </c>
      <c r="AF208" s="45"/>
      <c r="AG208" s="138" t="s">
        <v>1285</v>
      </c>
      <c r="AH208" s="139"/>
    </row>
    <row r="209">
      <c r="A209" s="55" t="s">
        <v>127</v>
      </c>
      <c r="B209" s="124" t="str">
        <f t="array" ref="B209">iferror(INDEX('作品'!D:D,MATCH(A209,'作品'!A:A,0),0),"error")</f>
        <v>魔都精兵のスレイブ</v>
      </c>
      <c r="C209" s="46" t="s">
        <v>973</v>
      </c>
      <c r="D209" s="47" t="str">
        <f t="shared" si="46"/>
        <v>enemy_sur_00001</v>
      </c>
      <c r="E209" s="47" t="s">
        <v>1407</v>
      </c>
      <c r="F209" s="45" t="s">
        <v>1407</v>
      </c>
      <c r="G209" s="45" t="s">
        <v>981</v>
      </c>
      <c r="H209" s="45"/>
      <c r="I209" s="59"/>
      <c r="J209" s="55"/>
      <c r="K209" s="55" t="s">
        <v>406</v>
      </c>
      <c r="L209" s="59"/>
      <c r="M209" s="197" t="s">
        <v>1020</v>
      </c>
      <c r="N209" s="132"/>
      <c r="O209" s="236"/>
      <c r="P209" s="125"/>
      <c r="Q209" s="143" t="s">
        <v>1358</v>
      </c>
      <c r="R209" s="143" t="s">
        <v>1161</v>
      </c>
      <c r="S209" s="143" t="s">
        <v>64</v>
      </c>
      <c r="T209" s="143" t="s">
        <v>64</v>
      </c>
      <c r="U209" s="49">
        <v>45658.0</v>
      </c>
      <c r="V209" s="50">
        <v>390812.49998842593</v>
      </c>
      <c r="W209" s="127" t="str">
        <f t="shared" ref="W209:W222" si="51">"catchcopy_character_"&amp;text(D209,"000000")&amp;".png"</f>
        <v>catchcopy_character_enemy_sur_00001.png</v>
      </c>
      <c r="X209" s="128" t="str">
        <f t="shared" ref="X209:X222" si="52">"enemy_icon_"&amp;K209&amp;"_"&amp;A209&amp;"_"&amp;C209</f>
        <v>enemy_icon_enemy_sur_00001</v>
      </c>
      <c r="Y209" s="128" t="str">
        <f t="shared" ref="Y209:Y217" si="53">"boss_icon_"&amp;K209&amp;"_"&amp;A209&amp;"_"&amp;C209</f>
        <v>boss_icon_enemy_sur_00001</v>
      </c>
      <c r="Z209" s="172"/>
      <c r="AA209" s="129"/>
      <c r="AB209" s="145" t="s">
        <v>985</v>
      </c>
      <c r="AC209" s="53" t="s">
        <v>986</v>
      </c>
      <c r="AD209" s="54"/>
      <c r="AE209" s="133" t="s">
        <v>987</v>
      </c>
      <c r="AF209" s="45" t="s">
        <v>988</v>
      </c>
      <c r="AG209" s="138" t="s">
        <v>989</v>
      </c>
      <c r="AH209" s="139"/>
    </row>
    <row r="210">
      <c r="A210" s="44" t="s">
        <v>127</v>
      </c>
      <c r="B210" s="124" t="str">
        <f t="array" ref="B210">iferror(INDEX('作品'!D:D,MATCH(A210,'作品'!A:A,0),0),"error")</f>
        <v>魔都精兵のスレイブ</v>
      </c>
      <c r="C210" s="46" t="s">
        <v>1001</v>
      </c>
      <c r="D210" s="47" t="str">
        <f t="shared" si="46"/>
        <v>enemy_sur_00101</v>
      </c>
      <c r="E210" s="47" t="s">
        <v>1795</v>
      </c>
      <c r="F210" s="45" t="s">
        <v>1795</v>
      </c>
      <c r="G210" s="45" t="s">
        <v>981</v>
      </c>
      <c r="H210" s="52"/>
      <c r="I210" s="59"/>
      <c r="J210" s="55"/>
      <c r="K210" s="55" t="s">
        <v>406</v>
      </c>
      <c r="L210" s="59" t="s">
        <v>1037</v>
      </c>
      <c r="M210" s="197" t="s">
        <v>1020</v>
      </c>
      <c r="N210" s="132"/>
      <c r="O210" s="236"/>
      <c r="P210" s="125"/>
      <c r="Q210" s="143" t="s">
        <v>1796</v>
      </c>
      <c r="R210" s="143" t="s">
        <v>1749</v>
      </c>
      <c r="S210" s="143" t="s">
        <v>64</v>
      </c>
      <c r="T210" s="143" t="s">
        <v>64</v>
      </c>
      <c r="U210" s="49">
        <v>45658.0</v>
      </c>
      <c r="V210" s="50">
        <v>390812.49998842593</v>
      </c>
      <c r="W210" s="127" t="str">
        <f t="shared" si="51"/>
        <v>catchcopy_character_enemy_sur_00101.png</v>
      </c>
      <c r="X210" s="128" t="str">
        <f t="shared" si="52"/>
        <v>enemy_icon_enemy_sur_00101</v>
      </c>
      <c r="Y210" s="128" t="str">
        <f t="shared" si="53"/>
        <v>boss_icon_enemy_sur_00101</v>
      </c>
      <c r="Z210" s="172"/>
      <c r="AA210" s="129"/>
      <c r="AB210" s="145" t="s">
        <v>985</v>
      </c>
      <c r="AC210" s="53" t="s">
        <v>986</v>
      </c>
      <c r="AD210" s="54"/>
      <c r="AE210" s="133" t="s">
        <v>987</v>
      </c>
      <c r="AF210" s="45" t="s">
        <v>988</v>
      </c>
      <c r="AG210" s="138" t="s">
        <v>989</v>
      </c>
      <c r="AH210" s="139"/>
    </row>
    <row r="211">
      <c r="A211" s="44" t="s">
        <v>148</v>
      </c>
      <c r="B211" s="124" t="str">
        <f t="array" ref="B211">iferror(INDEX('作品'!D:D,MATCH(A211,'作品'!A:A,0),0),"error")</f>
        <v>地獄楽</v>
      </c>
      <c r="C211" s="46" t="s">
        <v>973</v>
      </c>
      <c r="D211" s="47" t="str">
        <f t="shared" si="46"/>
        <v>enemy_jig_00001</v>
      </c>
      <c r="E211" s="47" t="s">
        <v>1797</v>
      </c>
      <c r="F211" s="45" t="s">
        <v>1797</v>
      </c>
      <c r="G211" s="136" t="s">
        <v>981</v>
      </c>
      <c r="H211" s="52"/>
      <c r="I211" s="59"/>
      <c r="J211" s="55"/>
      <c r="K211" s="55" t="s">
        <v>406</v>
      </c>
      <c r="L211" s="59" t="s">
        <v>1037</v>
      </c>
      <c r="M211" s="197" t="s">
        <v>1020</v>
      </c>
      <c r="N211" s="132"/>
      <c r="O211" s="236"/>
      <c r="P211" s="125"/>
      <c r="Q211" s="143" t="s">
        <v>1142</v>
      </c>
      <c r="R211" s="143" t="s">
        <v>1009</v>
      </c>
      <c r="S211" s="143" t="s">
        <v>64</v>
      </c>
      <c r="T211" s="143" t="s">
        <v>64</v>
      </c>
      <c r="U211" s="49">
        <v>45658.0</v>
      </c>
      <c r="V211" s="50">
        <v>390812.49998842593</v>
      </c>
      <c r="W211" s="127" t="str">
        <f t="shared" si="51"/>
        <v>catchcopy_character_enemy_jig_00001.png</v>
      </c>
      <c r="X211" s="128" t="str">
        <f t="shared" si="52"/>
        <v>enemy_icon_enemy_jig_00001</v>
      </c>
      <c r="Y211" s="128" t="str">
        <f t="shared" si="53"/>
        <v>boss_icon_enemy_jig_00001</v>
      </c>
      <c r="Z211" s="144" t="s">
        <v>1798</v>
      </c>
      <c r="AA211" s="129"/>
      <c r="AB211" s="145" t="s">
        <v>985</v>
      </c>
      <c r="AC211" s="53" t="s">
        <v>986</v>
      </c>
      <c r="AD211" s="54"/>
      <c r="AE211" s="133" t="s">
        <v>987</v>
      </c>
      <c r="AF211" s="45" t="s">
        <v>1120</v>
      </c>
      <c r="AG211" s="138" t="s">
        <v>989</v>
      </c>
      <c r="AH211" s="139"/>
    </row>
    <row r="212">
      <c r="A212" s="44" t="s">
        <v>148</v>
      </c>
      <c r="B212" s="124" t="str">
        <f t="array" ref="B212">iferror(INDEX('作品'!D:D,MATCH(A212,'作品'!A:A,0),0),"error")</f>
        <v>地獄楽</v>
      </c>
      <c r="C212" s="46" t="s">
        <v>1001</v>
      </c>
      <c r="D212" s="47" t="str">
        <f t="shared" si="46"/>
        <v>enemy_jig_00101</v>
      </c>
      <c r="E212" s="47" t="s">
        <v>1799</v>
      </c>
      <c r="F212" s="45" t="s">
        <v>1800</v>
      </c>
      <c r="G212" s="136" t="s">
        <v>981</v>
      </c>
      <c r="H212" s="52"/>
      <c r="I212" s="59"/>
      <c r="J212" s="55"/>
      <c r="K212" s="55" t="s">
        <v>406</v>
      </c>
      <c r="L212" s="59" t="s">
        <v>1037</v>
      </c>
      <c r="M212" s="197" t="s">
        <v>1020</v>
      </c>
      <c r="N212" s="132"/>
      <c r="O212" s="236"/>
      <c r="P212" s="125"/>
      <c r="Q212" s="143" t="s">
        <v>1142</v>
      </c>
      <c r="R212" s="143" t="s">
        <v>1009</v>
      </c>
      <c r="S212" s="143" t="s">
        <v>64</v>
      </c>
      <c r="T212" s="143" t="s">
        <v>64</v>
      </c>
      <c r="U212" s="49">
        <v>45658.0</v>
      </c>
      <c r="V212" s="50">
        <v>390812.49998842593</v>
      </c>
      <c r="W212" s="127" t="str">
        <f t="shared" si="51"/>
        <v>catchcopy_character_enemy_jig_00101.png</v>
      </c>
      <c r="X212" s="128" t="str">
        <f t="shared" si="52"/>
        <v>enemy_icon_enemy_jig_00101</v>
      </c>
      <c r="Y212" s="128" t="str">
        <f t="shared" si="53"/>
        <v>boss_icon_enemy_jig_00101</v>
      </c>
      <c r="Z212" s="144" t="s">
        <v>1801</v>
      </c>
      <c r="AA212" s="129"/>
      <c r="AB212" s="145" t="s">
        <v>985</v>
      </c>
      <c r="AC212" s="53" t="s">
        <v>986</v>
      </c>
      <c r="AD212" s="54"/>
      <c r="AE212" s="133" t="s">
        <v>987</v>
      </c>
      <c r="AF212" s="45" t="s">
        <v>1120</v>
      </c>
      <c r="AG212" s="138" t="s">
        <v>989</v>
      </c>
      <c r="AH212" s="139"/>
    </row>
    <row r="213">
      <c r="A213" s="44" t="s">
        <v>148</v>
      </c>
      <c r="B213" s="124" t="str">
        <f t="array" ref="B213">iferror(INDEX('作品'!D:D,MATCH(A213,'作品'!A:A,0),0),"error")</f>
        <v>地獄楽</v>
      </c>
      <c r="C213" s="46" t="s">
        <v>1014</v>
      </c>
      <c r="D213" s="47" t="str">
        <f t="shared" si="46"/>
        <v>enemy_jig_00201</v>
      </c>
      <c r="E213" s="47" t="s">
        <v>1802</v>
      </c>
      <c r="F213" s="45" t="s">
        <v>1803</v>
      </c>
      <c r="G213" s="136" t="s">
        <v>981</v>
      </c>
      <c r="H213" s="52"/>
      <c r="I213" s="59"/>
      <c r="J213" s="55"/>
      <c r="K213" s="55" t="s">
        <v>406</v>
      </c>
      <c r="L213" s="59" t="s">
        <v>1037</v>
      </c>
      <c r="M213" s="197" t="s">
        <v>1020</v>
      </c>
      <c r="N213" s="132"/>
      <c r="O213" s="236"/>
      <c r="P213" s="125"/>
      <c r="Q213" s="143" t="s">
        <v>1142</v>
      </c>
      <c r="R213" s="143" t="s">
        <v>1009</v>
      </c>
      <c r="S213" s="143" t="s">
        <v>64</v>
      </c>
      <c r="T213" s="143" t="s">
        <v>64</v>
      </c>
      <c r="U213" s="49">
        <v>45658.0</v>
      </c>
      <c r="V213" s="50">
        <v>390812.49998842593</v>
      </c>
      <c r="W213" s="127" t="str">
        <f t="shared" si="51"/>
        <v>catchcopy_character_enemy_jig_00201.png</v>
      </c>
      <c r="X213" s="128" t="str">
        <f t="shared" si="52"/>
        <v>enemy_icon_enemy_jig_00201</v>
      </c>
      <c r="Y213" s="128" t="str">
        <f t="shared" si="53"/>
        <v>boss_icon_enemy_jig_00201</v>
      </c>
      <c r="Z213" s="144" t="s">
        <v>1804</v>
      </c>
      <c r="AA213" s="129"/>
      <c r="AB213" s="145" t="s">
        <v>985</v>
      </c>
      <c r="AC213" s="53" t="s">
        <v>986</v>
      </c>
      <c r="AD213" s="54"/>
      <c r="AE213" s="133" t="s">
        <v>987</v>
      </c>
      <c r="AF213" s="45" t="s">
        <v>1120</v>
      </c>
      <c r="AG213" s="138" t="s">
        <v>989</v>
      </c>
      <c r="AH213" s="139"/>
    </row>
    <row r="214">
      <c r="A214" s="44" t="s">
        <v>148</v>
      </c>
      <c r="B214" s="124" t="str">
        <f t="array" ref="B214">iferror(INDEX('作品'!D:D,MATCH(A214,'作品'!A:A,0),0),"error")</f>
        <v>地獄楽</v>
      </c>
      <c r="C214" s="46" t="s">
        <v>1026</v>
      </c>
      <c r="D214" s="47" t="str">
        <f t="shared" si="46"/>
        <v>enemy_jig_00301</v>
      </c>
      <c r="E214" s="47" t="s">
        <v>1805</v>
      </c>
      <c r="F214" s="45" t="s">
        <v>1805</v>
      </c>
      <c r="G214" s="45" t="s">
        <v>981</v>
      </c>
      <c r="H214" s="52"/>
      <c r="I214" s="59"/>
      <c r="J214" s="55"/>
      <c r="K214" s="55" t="s">
        <v>406</v>
      </c>
      <c r="L214" s="59" t="s">
        <v>1005</v>
      </c>
      <c r="M214" s="197" t="s">
        <v>1020</v>
      </c>
      <c r="N214" s="132"/>
      <c r="O214" s="236"/>
      <c r="P214" s="125"/>
      <c r="Q214" s="143" t="s">
        <v>1064</v>
      </c>
      <c r="R214" s="143" t="s">
        <v>1060</v>
      </c>
      <c r="S214" s="143" t="s">
        <v>64</v>
      </c>
      <c r="T214" s="143" t="s">
        <v>64</v>
      </c>
      <c r="U214" s="49">
        <v>45658.0</v>
      </c>
      <c r="V214" s="50">
        <v>390812.49998842593</v>
      </c>
      <c r="W214" s="127" t="str">
        <f t="shared" si="51"/>
        <v>catchcopy_character_enemy_jig_00301.png</v>
      </c>
      <c r="X214" s="128" t="str">
        <f t="shared" si="52"/>
        <v>enemy_icon_enemy_jig_00301</v>
      </c>
      <c r="Y214" s="128" t="str">
        <f t="shared" si="53"/>
        <v>boss_icon_enemy_jig_00301</v>
      </c>
      <c r="Z214" s="172"/>
      <c r="AA214" s="129"/>
      <c r="AB214" s="145" t="s">
        <v>985</v>
      </c>
      <c r="AC214" s="53" t="s">
        <v>986</v>
      </c>
      <c r="AD214" s="54"/>
      <c r="AE214" s="133" t="s">
        <v>987</v>
      </c>
      <c r="AF214" s="45" t="s">
        <v>1105</v>
      </c>
      <c r="AG214" s="138" t="s">
        <v>989</v>
      </c>
      <c r="AH214" s="139"/>
    </row>
    <row r="215">
      <c r="A215" s="44" t="s">
        <v>148</v>
      </c>
      <c r="B215" s="124" t="str">
        <f t="array" ref="B215">iferror(INDEX('作品'!D:D,MATCH(A215,'作品'!A:A,0),0),"error")</f>
        <v>地獄楽</v>
      </c>
      <c r="C215" s="46" t="s">
        <v>1034</v>
      </c>
      <c r="D215" s="47" t="str">
        <f t="shared" si="46"/>
        <v>enemy_jig_00401</v>
      </c>
      <c r="E215" s="47" t="s">
        <v>1806</v>
      </c>
      <c r="F215" s="45" t="s">
        <v>1806</v>
      </c>
      <c r="G215" s="45" t="s">
        <v>981</v>
      </c>
      <c r="H215" s="52"/>
      <c r="I215" s="59"/>
      <c r="J215" s="55"/>
      <c r="K215" s="55" t="s">
        <v>406</v>
      </c>
      <c r="L215" s="59" t="s">
        <v>1005</v>
      </c>
      <c r="M215" s="197" t="s">
        <v>1038</v>
      </c>
      <c r="N215" s="132"/>
      <c r="O215" s="236"/>
      <c r="P215" s="125"/>
      <c r="Q215" s="143" t="s">
        <v>1160</v>
      </c>
      <c r="R215" s="143" t="s">
        <v>1060</v>
      </c>
      <c r="S215" s="143" t="s">
        <v>64</v>
      </c>
      <c r="T215" s="143" t="s">
        <v>64</v>
      </c>
      <c r="U215" s="49">
        <v>45658.0</v>
      </c>
      <c r="V215" s="50">
        <v>390812.49998842593</v>
      </c>
      <c r="W215" s="127" t="str">
        <f t="shared" si="51"/>
        <v>catchcopy_character_enemy_jig_00401.png</v>
      </c>
      <c r="X215" s="128" t="str">
        <f t="shared" si="52"/>
        <v>enemy_icon_enemy_jig_00401</v>
      </c>
      <c r="Y215" s="128" t="str">
        <f t="shared" si="53"/>
        <v>boss_icon_enemy_jig_00401</v>
      </c>
      <c r="Z215" s="172"/>
      <c r="AA215" s="129"/>
      <c r="AB215" s="145" t="s">
        <v>985</v>
      </c>
      <c r="AC215" s="53" t="s">
        <v>986</v>
      </c>
      <c r="AD215" s="54"/>
      <c r="AE215" s="133" t="s">
        <v>987</v>
      </c>
      <c r="AF215" s="45" t="s">
        <v>1105</v>
      </c>
      <c r="AG215" s="138" t="s">
        <v>989</v>
      </c>
      <c r="AH215" s="139"/>
    </row>
    <row r="216">
      <c r="A216" s="44" t="s">
        <v>148</v>
      </c>
      <c r="B216" s="124" t="str">
        <f t="array" ref="B216">iferror(INDEX('作品'!D:D,MATCH(A216,'作品'!A:A,0),0),"error")</f>
        <v>地獄楽</v>
      </c>
      <c r="C216" s="46" t="s">
        <v>1570</v>
      </c>
      <c r="D216" s="47" t="str">
        <f t="shared" si="46"/>
        <v>enemy_jig_00402</v>
      </c>
      <c r="E216" s="47" t="s">
        <v>1806</v>
      </c>
      <c r="F216" s="45" t="s">
        <v>1806</v>
      </c>
      <c r="G216" s="45" t="s">
        <v>981</v>
      </c>
      <c r="H216" s="52"/>
      <c r="I216" s="59"/>
      <c r="J216" s="55"/>
      <c r="K216" s="55" t="s">
        <v>406</v>
      </c>
      <c r="L216" s="59" t="s">
        <v>1005</v>
      </c>
      <c r="M216" s="197" t="s">
        <v>1038</v>
      </c>
      <c r="N216" s="132"/>
      <c r="O216" s="236"/>
      <c r="P216" s="125"/>
      <c r="Q216" s="143" t="s">
        <v>1030</v>
      </c>
      <c r="R216" s="143" t="s">
        <v>1519</v>
      </c>
      <c r="S216" s="143" t="s">
        <v>64</v>
      </c>
      <c r="T216" s="143" t="s">
        <v>64</v>
      </c>
      <c r="U216" s="49">
        <v>45658.0</v>
      </c>
      <c r="V216" s="50">
        <v>390812.49998842593</v>
      </c>
      <c r="W216" s="127" t="str">
        <f t="shared" si="51"/>
        <v>catchcopy_character_enemy_jig_00402.png</v>
      </c>
      <c r="X216" s="128" t="str">
        <f t="shared" si="52"/>
        <v>enemy_icon_enemy_jig_00402</v>
      </c>
      <c r="Y216" s="128" t="str">
        <f t="shared" si="53"/>
        <v>boss_icon_enemy_jig_00402</v>
      </c>
      <c r="Z216" s="144" t="s">
        <v>1807</v>
      </c>
      <c r="AA216" s="129"/>
      <c r="AB216" s="145" t="s">
        <v>985</v>
      </c>
      <c r="AC216" s="53" t="s">
        <v>986</v>
      </c>
      <c r="AD216" s="54"/>
      <c r="AE216" s="133" t="s">
        <v>1808</v>
      </c>
      <c r="AF216" s="45" t="s">
        <v>1105</v>
      </c>
      <c r="AG216" s="138" t="s">
        <v>989</v>
      </c>
      <c r="AH216" s="139"/>
    </row>
    <row r="217">
      <c r="A217" s="44" t="s">
        <v>148</v>
      </c>
      <c r="B217" s="124" t="str">
        <f t="array" ref="B217">iferror(INDEX('作品'!D:D,MATCH(A217,'作品'!A:A,0),0),"error")</f>
        <v>地獄楽</v>
      </c>
      <c r="C217" s="46" t="s">
        <v>1046</v>
      </c>
      <c r="D217" s="47" t="str">
        <f t="shared" si="46"/>
        <v>enemy_jig_00501</v>
      </c>
      <c r="E217" s="47" t="s">
        <v>1809</v>
      </c>
      <c r="F217" s="45" t="s">
        <v>1809</v>
      </c>
      <c r="G217" s="45" t="s">
        <v>981</v>
      </c>
      <c r="H217" s="52"/>
      <c r="I217" s="59"/>
      <c r="J217" s="55"/>
      <c r="K217" s="55" t="s">
        <v>406</v>
      </c>
      <c r="L217" s="59" t="s">
        <v>1037</v>
      </c>
      <c r="M217" s="197" t="s">
        <v>1018</v>
      </c>
      <c r="N217" s="132"/>
      <c r="O217" s="236"/>
      <c r="P217" s="125"/>
      <c r="Q217" s="143" t="s">
        <v>1099</v>
      </c>
      <c r="R217" s="143" t="s">
        <v>1060</v>
      </c>
      <c r="S217" s="143" t="s">
        <v>64</v>
      </c>
      <c r="T217" s="143" t="s">
        <v>64</v>
      </c>
      <c r="U217" s="49">
        <v>45658.0</v>
      </c>
      <c r="V217" s="50">
        <v>390812.49998842593</v>
      </c>
      <c r="W217" s="127" t="str">
        <f t="shared" si="51"/>
        <v>catchcopy_character_enemy_jig_00501.png</v>
      </c>
      <c r="X217" s="128" t="str">
        <f t="shared" si="52"/>
        <v>enemy_icon_enemy_jig_00501</v>
      </c>
      <c r="Y217" s="128" t="str">
        <f t="shared" si="53"/>
        <v>boss_icon_enemy_jig_00501</v>
      </c>
      <c r="Z217" s="144" t="s">
        <v>1810</v>
      </c>
      <c r="AA217" s="129"/>
      <c r="AB217" s="145" t="s">
        <v>985</v>
      </c>
      <c r="AC217" s="53" t="s">
        <v>986</v>
      </c>
      <c r="AD217" s="54"/>
      <c r="AE217" s="133" t="s">
        <v>987</v>
      </c>
      <c r="AF217" s="45" t="s">
        <v>1105</v>
      </c>
      <c r="AG217" s="138" t="s">
        <v>1477</v>
      </c>
      <c r="AH217" s="139"/>
    </row>
    <row r="218">
      <c r="A218" s="44" t="s">
        <v>148</v>
      </c>
      <c r="B218" s="124" t="str">
        <f t="array" ref="B218">iferror(INDEX('作品'!D:D,MATCH(A218,'作品'!A:A,0),0),"error")</f>
        <v>地獄楽</v>
      </c>
      <c r="C218" s="46" t="s">
        <v>1151</v>
      </c>
      <c r="D218" s="47" t="str">
        <f t="shared" si="46"/>
        <v>enemy_jig_00601</v>
      </c>
      <c r="E218" s="47" t="s">
        <v>1811</v>
      </c>
      <c r="F218" s="45" t="s">
        <v>1811</v>
      </c>
      <c r="G218" s="45" t="s">
        <v>981</v>
      </c>
      <c r="H218" s="52"/>
      <c r="I218" s="59"/>
      <c r="J218" s="55"/>
      <c r="K218" s="55" t="s">
        <v>406</v>
      </c>
      <c r="L218" s="59"/>
      <c r="M218" s="197"/>
      <c r="N218" s="51"/>
      <c r="O218" s="51"/>
      <c r="P218" s="125"/>
      <c r="Q218" s="143" t="s">
        <v>1123</v>
      </c>
      <c r="R218" s="143" t="s">
        <v>1251</v>
      </c>
      <c r="S218" s="143" t="s">
        <v>64</v>
      </c>
      <c r="T218" s="143" t="s">
        <v>64</v>
      </c>
      <c r="U218" s="49">
        <v>46038.625</v>
      </c>
      <c r="V218" s="50">
        <v>390812.49998842593</v>
      </c>
      <c r="W218" s="127" t="str">
        <f t="shared" si="51"/>
        <v>catchcopy_character_enemy_jig_00601.png</v>
      </c>
      <c r="X218" s="128" t="str">
        <f t="shared" si="52"/>
        <v>enemy_icon_enemy_jig_00601</v>
      </c>
      <c r="Y218" s="128" t="s">
        <v>1812</v>
      </c>
      <c r="Z218" s="144"/>
      <c r="AA218" s="129"/>
      <c r="AB218" s="145" t="s">
        <v>1813</v>
      </c>
      <c r="AC218" s="53" t="s">
        <v>986</v>
      </c>
      <c r="AD218" s="54"/>
      <c r="AE218" s="52"/>
      <c r="AF218" s="45" t="s">
        <v>1105</v>
      </c>
      <c r="AG218" s="138" t="s">
        <v>1477</v>
      </c>
      <c r="AH218" s="139"/>
    </row>
    <row r="219">
      <c r="A219" s="55" t="s">
        <v>98</v>
      </c>
      <c r="B219" s="124" t="str">
        <f t="array" ref="B219">iferror(INDEX('作品'!D:D,MATCH(A219,'作品'!A:A,0),0),"error")</f>
        <v>株式会社マジルミエ</v>
      </c>
      <c r="C219" s="46" t="s">
        <v>973</v>
      </c>
      <c r="D219" s="47" t="str">
        <f t="shared" si="46"/>
        <v>enemy_mag_00001</v>
      </c>
      <c r="E219" s="47" t="s">
        <v>1814</v>
      </c>
      <c r="F219" s="45" t="s">
        <v>1815</v>
      </c>
      <c r="G219" s="45" t="s">
        <v>981</v>
      </c>
      <c r="H219" s="45"/>
      <c r="I219" s="59"/>
      <c r="J219" s="55"/>
      <c r="K219" s="55" t="s">
        <v>406</v>
      </c>
      <c r="L219" s="59"/>
      <c r="M219" s="197" t="s">
        <v>1006</v>
      </c>
      <c r="N219" s="132"/>
      <c r="O219" s="236"/>
      <c r="P219" s="125" t="str">
        <f t="shared" ref="P219:P222" si="54">RIGHT(D219,5)</f>
        <v>00001</v>
      </c>
      <c r="Q219" s="143" t="s">
        <v>1064</v>
      </c>
      <c r="R219" s="143" t="s">
        <v>1796</v>
      </c>
      <c r="S219" s="143" t="s">
        <v>64</v>
      </c>
      <c r="T219" s="143" t="s">
        <v>64</v>
      </c>
      <c r="U219" s="49">
        <v>45658.0</v>
      </c>
      <c r="V219" s="50">
        <v>390812.49998842593</v>
      </c>
      <c r="W219" s="127" t="str">
        <f t="shared" si="51"/>
        <v>catchcopy_character_enemy_mag_00001.png</v>
      </c>
      <c r="X219" s="128" t="str">
        <f t="shared" si="52"/>
        <v>enemy_icon_enemy_mag_00001</v>
      </c>
      <c r="Y219" s="128" t="str">
        <f t="shared" ref="Y219:Y222" si="55">"boss_icon_"&amp;K219&amp;"_"&amp;A219&amp;"_"&amp;C219</f>
        <v>boss_icon_enemy_mag_00001</v>
      </c>
      <c r="Z219" s="144" t="s">
        <v>1816</v>
      </c>
      <c r="AA219" s="129"/>
      <c r="AB219" s="145" t="s">
        <v>985</v>
      </c>
      <c r="AC219" s="53" t="s">
        <v>986</v>
      </c>
      <c r="AD219" s="54"/>
      <c r="AE219" s="133" t="s">
        <v>987</v>
      </c>
      <c r="AF219" s="45" t="s">
        <v>988</v>
      </c>
      <c r="AG219" s="138" t="s">
        <v>989</v>
      </c>
      <c r="AH219" s="139"/>
    </row>
    <row r="220">
      <c r="A220" s="55" t="s">
        <v>98</v>
      </c>
      <c r="B220" s="124" t="str">
        <f t="array" ref="B220">iferror(INDEX('作品'!D:D,MATCH(A220,'作品'!A:A,0),0),"error")</f>
        <v>株式会社マジルミエ</v>
      </c>
      <c r="C220" s="46" t="s">
        <v>1001</v>
      </c>
      <c r="D220" s="47" t="str">
        <f t="shared" si="46"/>
        <v>enemy_mag_00101</v>
      </c>
      <c r="E220" s="47" t="s">
        <v>1817</v>
      </c>
      <c r="F220" s="45" t="s">
        <v>1817</v>
      </c>
      <c r="G220" s="45" t="s">
        <v>981</v>
      </c>
      <c r="H220" s="45"/>
      <c r="I220" s="59"/>
      <c r="J220" s="55"/>
      <c r="K220" s="55" t="s">
        <v>406</v>
      </c>
      <c r="L220" s="59"/>
      <c r="M220" s="197" t="s">
        <v>1018</v>
      </c>
      <c r="N220" s="132"/>
      <c r="O220" s="236"/>
      <c r="P220" s="125" t="str">
        <f t="shared" si="54"/>
        <v>00101</v>
      </c>
      <c r="Q220" s="143" t="s">
        <v>1818</v>
      </c>
      <c r="R220" s="143" t="s">
        <v>1819</v>
      </c>
      <c r="S220" s="143" t="s">
        <v>64</v>
      </c>
      <c r="T220" s="143" t="s">
        <v>64</v>
      </c>
      <c r="U220" s="49">
        <v>45658.0</v>
      </c>
      <c r="V220" s="50">
        <v>390812.49998842593</v>
      </c>
      <c r="W220" s="127" t="str">
        <f t="shared" si="51"/>
        <v>catchcopy_character_enemy_mag_00101.png</v>
      </c>
      <c r="X220" s="128" t="str">
        <f t="shared" si="52"/>
        <v>enemy_icon_enemy_mag_00101</v>
      </c>
      <c r="Y220" s="128" t="str">
        <f t="shared" si="55"/>
        <v>boss_icon_enemy_mag_00101</v>
      </c>
      <c r="Z220" s="172"/>
      <c r="AA220" s="129"/>
      <c r="AB220" s="145" t="s">
        <v>985</v>
      </c>
      <c r="AC220" s="53" t="s">
        <v>986</v>
      </c>
      <c r="AD220" s="54"/>
      <c r="AE220" s="133" t="s">
        <v>987</v>
      </c>
      <c r="AF220" s="45" t="s">
        <v>988</v>
      </c>
      <c r="AG220" s="138" t="s">
        <v>989</v>
      </c>
      <c r="AH220" s="139"/>
    </row>
    <row r="221">
      <c r="A221" s="55" t="s">
        <v>98</v>
      </c>
      <c r="B221" s="124" t="str">
        <f t="array" ref="B221">iferror(INDEX('作品'!D:D,MATCH(A221,'作品'!A:A,0),0),"error")</f>
        <v>株式会社マジルミエ</v>
      </c>
      <c r="C221" s="46" t="s">
        <v>1014</v>
      </c>
      <c r="D221" s="47" t="str">
        <f t="shared" si="46"/>
        <v>enemy_mag_00201</v>
      </c>
      <c r="E221" s="47" t="s">
        <v>1820</v>
      </c>
      <c r="F221" s="45" t="s">
        <v>1821</v>
      </c>
      <c r="G221" s="45" t="s">
        <v>981</v>
      </c>
      <c r="H221" s="45"/>
      <c r="I221" s="59"/>
      <c r="J221" s="55"/>
      <c r="K221" s="55" t="s">
        <v>406</v>
      </c>
      <c r="L221" s="59"/>
      <c r="M221" s="197" t="s">
        <v>1020</v>
      </c>
      <c r="N221" s="132"/>
      <c r="O221" s="236"/>
      <c r="P221" s="125" t="str">
        <f t="shared" si="54"/>
        <v>00201</v>
      </c>
      <c r="Q221" s="143" t="s">
        <v>1064</v>
      </c>
      <c r="R221" s="143" t="s">
        <v>1822</v>
      </c>
      <c r="S221" s="143" t="s">
        <v>64</v>
      </c>
      <c r="T221" s="143" t="s">
        <v>64</v>
      </c>
      <c r="U221" s="49">
        <v>45658.0</v>
      </c>
      <c r="V221" s="50">
        <v>390812.49998842593</v>
      </c>
      <c r="W221" s="127" t="str">
        <f t="shared" si="51"/>
        <v>catchcopy_character_enemy_mag_00201.png</v>
      </c>
      <c r="X221" s="128" t="str">
        <f t="shared" si="52"/>
        <v>enemy_icon_enemy_mag_00201</v>
      </c>
      <c r="Y221" s="128" t="str">
        <f t="shared" si="55"/>
        <v>boss_icon_enemy_mag_00201</v>
      </c>
      <c r="Z221" s="144" t="s">
        <v>1823</v>
      </c>
      <c r="AA221" s="129"/>
      <c r="AB221" s="145" t="s">
        <v>985</v>
      </c>
      <c r="AC221" s="53" t="s">
        <v>986</v>
      </c>
      <c r="AD221" s="54"/>
      <c r="AE221" s="133" t="s">
        <v>987</v>
      </c>
      <c r="AF221" s="45" t="s">
        <v>988</v>
      </c>
      <c r="AG221" s="138" t="s">
        <v>989</v>
      </c>
      <c r="AH221" s="139"/>
    </row>
    <row r="222">
      <c r="A222" s="260" t="s">
        <v>98</v>
      </c>
      <c r="B222" s="124" t="str">
        <f t="array" ref="B222">iferror(INDEX('作品'!D:D,MATCH(A222,'作品'!A:A,0),0),"error")</f>
        <v>株式会社マジルミエ</v>
      </c>
      <c r="C222" s="261" t="s">
        <v>1026</v>
      </c>
      <c r="D222" s="262" t="str">
        <f t="shared" si="46"/>
        <v>enemy_mag_00301</v>
      </c>
      <c r="E222" s="263" t="s">
        <v>1824</v>
      </c>
      <c r="F222" s="264" t="s">
        <v>1825</v>
      </c>
      <c r="G222" s="45" t="s">
        <v>981</v>
      </c>
      <c r="H222" s="211"/>
      <c r="I222" s="59"/>
      <c r="J222" s="198"/>
      <c r="K222" s="265" t="s">
        <v>406</v>
      </c>
      <c r="L222" s="211"/>
      <c r="M222" s="197" t="s">
        <v>1038</v>
      </c>
      <c r="N222" s="208"/>
      <c r="O222" s="208"/>
      <c r="P222" s="266" t="str">
        <f t="shared" si="54"/>
        <v>00301</v>
      </c>
      <c r="Q222" s="143" t="s">
        <v>1064</v>
      </c>
      <c r="R222" s="143" t="s">
        <v>1822</v>
      </c>
      <c r="S222" s="143" t="s">
        <v>64</v>
      </c>
      <c r="T222" s="143" t="s">
        <v>64</v>
      </c>
      <c r="U222" s="267">
        <v>45658.0</v>
      </c>
      <c r="V222" s="267">
        <v>390812.49998842593</v>
      </c>
      <c r="W222" s="268" t="str">
        <f t="shared" si="51"/>
        <v>catchcopy_character_enemy_mag_00301.png</v>
      </c>
      <c r="X222" s="259" t="str">
        <f t="shared" si="52"/>
        <v>enemy_icon_enemy_mag_00301</v>
      </c>
      <c r="Y222" s="259" t="str">
        <f t="shared" si="55"/>
        <v>boss_icon_enemy_mag_00301</v>
      </c>
      <c r="Z222" s="208"/>
      <c r="AA222" s="129"/>
      <c r="AB222" s="145" t="s">
        <v>985</v>
      </c>
      <c r="AC222" s="53" t="s">
        <v>986</v>
      </c>
      <c r="AD222" s="202"/>
      <c r="AE222" s="133" t="s">
        <v>987</v>
      </c>
      <c r="AF222" s="269" t="s">
        <v>988</v>
      </c>
      <c r="AG222" s="138" t="s">
        <v>989</v>
      </c>
      <c r="AH222" s="139"/>
    </row>
    <row r="223">
      <c r="A223" s="260" t="s">
        <v>98</v>
      </c>
      <c r="B223" s="124" t="str">
        <f t="array" ref="B223">iferror(INDEX('作品'!D:D,MATCH(A223,'作品'!A:A,0),0),"error")</f>
        <v>株式会社マジルミエ</v>
      </c>
      <c r="C223" s="261" t="s">
        <v>1034</v>
      </c>
      <c r="D223" s="262" t="str">
        <f t="shared" si="46"/>
        <v>enemy_mag_00401</v>
      </c>
      <c r="E223" s="263" t="s">
        <v>1826</v>
      </c>
      <c r="F223" s="264" t="s">
        <v>1826</v>
      </c>
      <c r="G223" s="45"/>
      <c r="H223" s="211"/>
      <c r="I223" s="59"/>
      <c r="J223" s="198"/>
      <c r="K223" s="183" t="s">
        <v>406</v>
      </c>
      <c r="L223" s="184"/>
      <c r="M223" s="234"/>
      <c r="N223" s="208"/>
      <c r="O223" s="270"/>
      <c r="P223" s="199"/>
      <c r="Q223" s="143" t="s">
        <v>1336</v>
      </c>
      <c r="R223" s="143" t="s">
        <v>1827</v>
      </c>
      <c r="S223" s="143" t="s">
        <v>64</v>
      </c>
      <c r="T223" s="143" t="s">
        <v>64</v>
      </c>
      <c r="U223" s="267"/>
      <c r="V223" s="267"/>
      <c r="W223" s="189"/>
      <c r="X223" s="259"/>
      <c r="Y223" s="259"/>
      <c r="Z223" s="208"/>
      <c r="AA223" s="129"/>
      <c r="AB223" s="145" t="s">
        <v>1828</v>
      </c>
      <c r="AC223" s="53" t="s">
        <v>986</v>
      </c>
      <c r="AD223" s="202"/>
      <c r="AE223" s="202"/>
      <c r="AF223" s="269"/>
      <c r="AG223" s="138" t="s">
        <v>1506</v>
      </c>
      <c r="AH223" s="139"/>
    </row>
    <row r="224">
      <c r="A224" s="44" t="s">
        <v>143</v>
      </c>
      <c r="B224" s="124" t="str">
        <f t="array" ref="B224">iferror(INDEX('作品'!D:D,MATCH(A224,'作品'!A:A,0),0),"error")</f>
        <v>サマータイムレンダ</v>
      </c>
      <c r="C224" s="46" t="s">
        <v>973</v>
      </c>
      <c r="D224" s="47" t="str">
        <f t="shared" si="46"/>
        <v>enemy_sum_00001</v>
      </c>
      <c r="E224" s="47" t="s">
        <v>1829</v>
      </c>
      <c r="F224" s="45" t="s">
        <v>1829</v>
      </c>
      <c r="G224" s="45" t="s">
        <v>981</v>
      </c>
      <c r="H224" s="45"/>
      <c r="I224" s="59"/>
      <c r="J224" s="55"/>
      <c r="K224" s="55" t="s">
        <v>406</v>
      </c>
      <c r="L224" s="59" t="s">
        <v>1037</v>
      </c>
      <c r="M224" s="197" t="s">
        <v>1020</v>
      </c>
      <c r="N224" s="132"/>
      <c r="O224" s="236"/>
      <c r="P224" s="125" t="str">
        <f t="shared" ref="P224:P226" si="56">RIGHT(D224,5)</f>
        <v>00001</v>
      </c>
      <c r="Q224" s="143" t="s">
        <v>1064</v>
      </c>
      <c r="R224" s="143" t="s">
        <v>1060</v>
      </c>
      <c r="S224" s="143" t="s">
        <v>64</v>
      </c>
      <c r="T224" s="143" t="s">
        <v>64</v>
      </c>
      <c r="U224" s="49">
        <v>45658.0</v>
      </c>
      <c r="V224" s="50">
        <v>390812.49998842593</v>
      </c>
      <c r="W224" s="127" t="str">
        <f t="shared" ref="W224:W240" si="57">"catchcopy_character_"&amp;text(D224,"000000")&amp;".png"</f>
        <v>catchcopy_character_enemy_sum_00001.png</v>
      </c>
      <c r="X224" s="128" t="str">
        <f t="shared" ref="X224:X240" si="58">"enemy_icon_"&amp;K224&amp;"_"&amp;A224&amp;"_"&amp;C224</f>
        <v>enemy_icon_enemy_sum_00001</v>
      </c>
      <c r="Y224" s="128" t="str">
        <f t="shared" ref="Y224:Y240" si="59">"boss_icon_"&amp;K224&amp;"_"&amp;A224&amp;"_"&amp;C224</f>
        <v>boss_icon_enemy_sum_00001</v>
      </c>
      <c r="Z224" s="144" t="s">
        <v>1830</v>
      </c>
      <c r="AA224" s="129"/>
      <c r="AB224" s="145" t="s">
        <v>985</v>
      </c>
      <c r="AC224" s="53" t="s">
        <v>986</v>
      </c>
      <c r="AD224" s="54"/>
      <c r="AE224" s="133" t="s">
        <v>987</v>
      </c>
      <c r="AF224" s="45" t="s">
        <v>1541</v>
      </c>
      <c r="AG224" s="138" t="s">
        <v>989</v>
      </c>
      <c r="AH224" s="139"/>
    </row>
    <row r="225">
      <c r="A225" s="44" t="s">
        <v>143</v>
      </c>
      <c r="B225" s="124" t="str">
        <f t="array" ref="B225">iferror(INDEX('作品'!D:D,MATCH(A225,'作品'!A:A,0),0),"error")</f>
        <v>サマータイムレンダ</v>
      </c>
      <c r="C225" s="46" t="s">
        <v>1001</v>
      </c>
      <c r="D225" s="47" t="str">
        <f t="shared" si="46"/>
        <v>enemy_sum_00101</v>
      </c>
      <c r="E225" s="47" t="s">
        <v>1831</v>
      </c>
      <c r="F225" s="45" t="s">
        <v>1832</v>
      </c>
      <c r="G225" s="45" t="s">
        <v>981</v>
      </c>
      <c r="H225" s="45"/>
      <c r="I225" s="59"/>
      <c r="J225" s="55"/>
      <c r="K225" s="55" t="s">
        <v>406</v>
      </c>
      <c r="L225" s="59" t="s">
        <v>1005</v>
      </c>
      <c r="M225" s="197" t="s">
        <v>1006</v>
      </c>
      <c r="N225" s="132"/>
      <c r="O225" s="236"/>
      <c r="P225" s="125" t="str">
        <f t="shared" si="56"/>
        <v>00101</v>
      </c>
      <c r="Q225" s="143" t="s">
        <v>1197</v>
      </c>
      <c r="R225" s="143" t="s">
        <v>1519</v>
      </c>
      <c r="S225" s="143" t="s">
        <v>64</v>
      </c>
      <c r="T225" s="143" t="s">
        <v>64</v>
      </c>
      <c r="U225" s="49">
        <v>45658.0</v>
      </c>
      <c r="V225" s="50">
        <v>390812.49998842593</v>
      </c>
      <c r="W225" s="127" t="str">
        <f t="shared" si="57"/>
        <v>catchcopy_character_enemy_sum_00101.png</v>
      </c>
      <c r="X225" s="128" t="str">
        <f t="shared" si="58"/>
        <v>enemy_icon_enemy_sum_00101</v>
      </c>
      <c r="Y225" s="128" t="str">
        <f t="shared" si="59"/>
        <v>boss_icon_enemy_sum_00101</v>
      </c>
      <c r="Z225" s="144" t="s">
        <v>1833</v>
      </c>
      <c r="AA225" s="129"/>
      <c r="AB225" s="145" t="s">
        <v>985</v>
      </c>
      <c r="AC225" s="53" t="s">
        <v>986</v>
      </c>
      <c r="AD225" s="54"/>
      <c r="AE225" s="133" t="s">
        <v>987</v>
      </c>
      <c r="AF225" s="45" t="s">
        <v>1541</v>
      </c>
      <c r="AG225" s="138" t="s">
        <v>989</v>
      </c>
      <c r="AH225" s="139"/>
    </row>
    <row r="226">
      <c r="A226" s="44" t="s">
        <v>143</v>
      </c>
      <c r="B226" s="124" t="str">
        <f t="array" ref="B226">iferror(INDEX('作品'!D:D,MATCH(A226,'作品'!A:A,0),0),"error")</f>
        <v>サマータイムレンダ</v>
      </c>
      <c r="C226" s="46" t="s">
        <v>1014</v>
      </c>
      <c r="D226" s="47" t="str">
        <f t="shared" si="46"/>
        <v>enemy_sum_00201</v>
      </c>
      <c r="E226" s="47" t="s">
        <v>1834</v>
      </c>
      <c r="F226" s="45" t="s">
        <v>1835</v>
      </c>
      <c r="G226" s="45" t="s">
        <v>981</v>
      </c>
      <c r="H226" s="45"/>
      <c r="I226" s="59"/>
      <c r="J226" s="55"/>
      <c r="K226" s="55" t="s">
        <v>406</v>
      </c>
      <c r="L226" s="59" t="s">
        <v>1005</v>
      </c>
      <c r="M226" s="197" t="s">
        <v>1018</v>
      </c>
      <c r="N226" s="132"/>
      <c r="O226" s="236"/>
      <c r="P226" s="125" t="str">
        <f t="shared" si="56"/>
        <v>00201</v>
      </c>
      <c r="Q226" s="143" t="s">
        <v>1197</v>
      </c>
      <c r="R226" s="143" t="s">
        <v>1060</v>
      </c>
      <c r="S226" s="143" t="s">
        <v>64</v>
      </c>
      <c r="T226" s="143" t="s">
        <v>64</v>
      </c>
      <c r="U226" s="49">
        <v>45658.0</v>
      </c>
      <c r="V226" s="50">
        <v>390812.49998842593</v>
      </c>
      <c r="W226" s="127" t="str">
        <f t="shared" si="57"/>
        <v>catchcopy_character_enemy_sum_00201.png</v>
      </c>
      <c r="X226" s="128" t="str">
        <f t="shared" si="58"/>
        <v>enemy_icon_enemy_sum_00201</v>
      </c>
      <c r="Y226" s="128" t="str">
        <f t="shared" si="59"/>
        <v>boss_icon_enemy_sum_00201</v>
      </c>
      <c r="Z226" s="144" t="s">
        <v>1836</v>
      </c>
      <c r="AA226" s="129"/>
      <c r="AB226" s="145" t="s">
        <v>985</v>
      </c>
      <c r="AC226" s="53" t="s">
        <v>986</v>
      </c>
      <c r="AD226" s="54"/>
      <c r="AE226" s="133" t="s">
        <v>987</v>
      </c>
      <c r="AF226" s="45" t="s">
        <v>1541</v>
      </c>
      <c r="AG226" s="138" t="s">
        <v>989</v>
      </c>
      <c r="AH226" s="139"/>
    </row>
    <row r="227">
      <c r="A227" s="55" t="s">
        <v>162</v>
      </c>
      <c r="B227" s="124" t="str">
        <f t="array" ref="B227">iferror(INDEX('作品'!D:D,MATCH(A227,'作品'!A:A,0),0),"error")</f>
        <v>幼稚園WARS</v>
      </c>
      <c r="C227" s="46" t="s">
        <v>973</v>
      </c>
      <c r="D227" s="47" t="str">
        <f t="shared" si="46"/>
        <v>enemy_you_00001</v>
      </c>
      <c r="E227" s="47" t="s">
        <v>1837</v>
      </c>
      <c r="F227" s="271" t="s">
        <v>1838</v>
      </c>
      <c r="G227" s="45" t="s">
        <v>981</v>
      </c>
      <c r="H227" s="45"/>
      <c r="I227" s="59"/>
      <c r="J227" s="55"/>
      <c r="K227" s="55" t="s">
        <v>406</v>
      </c>
      <c r="L227" s="59" t="s">
        <v>1005</v>
      </c>
      <c r="M227" s="197" t="s">
        <v>1018</v>
      </c>
      <c r="N227" s="132"/>
      <c r="O227" s="236"/>
      <c r="P227" s="125"/>
      <c r="Q227" s="143" t="s">
        <v>1296</v>
      </c>
      <c r="R227" s="143" t="s">
        <v>1839</v>
      </c>
      <c r="S227" s="143" t="s">
        <v>64</v>
      </c>
      <c r="T227" s="143" t="s">
        <v>64</v>
      </c>
      <c r="U227" s="49">
        <v>46055.625</v>
      </c>
      <c r="V227" s="50">
        <v>390812.49998842593</v>
      </c>
      <c r="W227" s="127" t="str">
        <f t="shared" si="57"/>
        <v>catchcopy_character_enemy_you_00001.png</v>
      </c>
      <c r="X227" s="128" t="str">
        <f t="shared" si="58"/>
        <v>enemy_icon_enemy_you_00001</v>
      </c>
      <c r="Y227" s="128" t="str">
        <f t="shared" si="59"/>
        <v>boss_icon_enemy_you_00001</v>
      </c>
      <c r="Z227" s="144"/>
      <c r="AA227" s="129"/>
      <c r="AB227" s="145" t="s">
        <v>1595</v>
      </c>
      <c r="AC227" s="53"/>
      <c r="AD227" s="54"/>
      <c r="AE227" s="52"/>
      <c r="AF227" s="45"/>
      <c r="AG227" s="138" t="s">
        <v>1840</v>
      </c>
      <c r="AH227" s="139"/>
    </row>
    <row r="228">
      <c r="A228" s="55" t="s">
        <v>162</v>
      </c>
      <c r="B228" s="124" t="str">
        <f t="array" ref="B228">iferror(INDEX('作品'!D:D,MATCH(A228,'作品'!A:A,0),0),"error")</f>
        <v>幼稚園WARS</v>
      </c>
      <c r="C228" s="46" t="s">
        <v>1001</v>
      </c>
      <c r="D228" s="47" t="str">
        <f t="shared" si="46"/>
        <v>enemy_you_00101</v>
      </c>
      <c r="E228" s="47" t="s">
        <v>1841</v>
      </c>
      <c r="F228" s="45" t="s">
        <v>1842</v>
      </c>
      <c r="G228" s="45" t="s">
        <v>981</v>
      </c>
      <c r="H228" s="45"/>
      <c r="I228" s="59"/>
      <c r="J228" s="55"/>
      <c r="K228" s="55" t="s">
        <v>406</v>
      </c>
      <c r="L228" s="59" t="s">
        <v>1005</v>
      </c>
      <c r="M228" s="197" t="s">
        <v>1006</v>
      </c>
      <c r="N228" s="132"/>
      <c r="O228" s="236"/>
      <c r="P228" s="125"/>
      <c r="Q228" s="143" t="s">
        <v>1296</v>
      </c>
      <c r="R228" s="143" t="s">
        <v>1843</v>
      </c>
      <c r="S228" s="143" t="s">
        <v>64</v>
      </c>
      <c r="T228" s="143" t="s">
        <v>64</v>
      </c>
      <c r="U228" s="49">
        <v>46055.625</v>
      </c>
      <c r="V228" s="50">
        <v>390812.49998842593</v>
      </c>
      <c r="W228" s="127" t="str">
        <f t="shared" si="57"/>
        <v>catchcopy_character_enemy_you_00101.png</v>
      </c>
      <c r="X228" s="128" t="str">
        <f t="shared" si="58"/>
        <v>enemy_icon_enemy_you_00101</v>
      </c>
      <c r="Y228" s="128" t="str">
        <f t="shared" si="59"/>
        <v>boss_icon_enemy_you_00101</v>
      </c>
      <c r="Z228" s="144"/>
      <c r="AA228" s="129"/>
      <c r="AB228" s="145" t="s">
        <v>1595</v>
      </c>
      <c r="AC228" s="53"/>
      <c r="AD228" s="54"/>
      <c r="AE228" s="52"/>
      <c r="AF228" s="45"/>
      <c r="AG228" s="138" t="s">
        <v>1840</v>
      </c>
      <c r="AH228" s="139"/>
    </row>
    <row r="229">
      <c r="A229" s="160" t="s">
        <v>166</v>
      </c>
      <c r="B229" s="157" t="str">
        <f t="array" ref="B229">iferror(INDEX('作品'!D:D,MATCH(A229,'作品'!A:A,0),0),"error")</f>
        <v>君のことが大大大大大好きな100人の彼女</v>
      </c>
      <c r="C229" s="158" t="s">
        <v>973</v>
      </c>
      <c r="D229" s="159" t="str">
        <f t="shared" si="46"/>
        <v>enemy_kim_00001</v>
      </c>
      <c r="E229" s="159" t="s">
        <v>1844</v>
      </c>
      <c r="F229" s="157" t="s">
        <v>1844</v>
      </c>
      <c r="G229" s="157" t="s">
        <v>981</v>
      </c>
      <c r="H229" s="157"/>
      <c r="I229" s="129"/>
      <c r="J229" s="160"/>
      <c r="K229" s="160" t="s">
        <v>406</v>
      </c>
      <c r="L229" s="129" t="s">
        <v>1005</v>
      </c>
      <c r="M229" s="272"/>
      <c r="N229" s="273"/>
      <c r="O229" s="274"/>
      <c r="P229" s="161"/>
      <c r="Q229" s="162" t="s">
        <v>1296</v>
      </c>
      <c r="R229" s="162" t="s">
        <v>1845</v>
      </c>
      <c r="S229" s="162" t="s">
        <v>64</v>
      </c>
      <c r="T229" s="162" t="s">
        <v>64</v>
      </c>
      <c r="U229" s="275">
        <v>45658.0</v>
      </c>
      <c r="V229" s="164">
        <v>390812.49998842593</v>
      </c>
      <c r="W229" s="165" t="str">
        <f t="shared" si="57"/>
        <v>catchcopy_character_enemy_kim_00001.png</v>
      </c>
      <c r="X229" s="166" t="str">
        <f t="shared" si="58"/>
        <v>enemy_icon_enemy_kim_00001</v>
      </c>
      <c r="Y229" s="166" t="str">
        <f t="shared" si="59"/>
        <v>boss_icon_enemy_kim_00001</v>
      </c>
      <c r="Z229" s="276"/>
      <c r="AA229" s="129"/>
      <c r="AB229" s="277" t="s">
        <v>1615</v>
      </c>
      <c r="AC229" s="169"/>
      <c r="AD229" s="170"/>
      <c r="AE229" s="278"/>
      <c r="AF229" s="157"/>
      <c r="AG229" s="279" t="s">
        <v>1763</v>
      </c>
      <c r="AH229" s="139"/>
    </row>
    <row r="230">
      <c r="A230" s="160" t="s">
        <v>166</v>
      </c>
      <c r="B230" s="157" t="str">
        <f t="array" ref="B230">iferror(INDEX('作品'!D:D,MATCH(A230,'作品'!A:A,0),0),"error")</f>
        <v>君のことが大大大大大好きな100人の彼女</v>
      </c>
      <c r="C230" s="280" t="s">
        <v>1001</v>
      </c>
      <c r="D230" s="159" t="str">
        <f t="shared" si="46"/>
        <v>enemy_kim_00101</v>
      </c>
      <c r="E230" s="159" t="s">
        <v>1846</v>
      </c>
      <c r="F230" s="281"/>
      <c r="G230" s="281" t="s">
        <v>981</v>
      </c>
      <c r="H230" s="281"/>
      <c r="I230" s="282"/>
      <c r="J230" s="283"/>
      <c r="K230" s="283" t="s">
        <v>406</v>
      </c>
      <c r="L230" s="282" t="s">
        <v>1005</v>
      </c>
      <c r="M230" s="284"/>
      <c r="N230" s="273"/>
      <c r="O230" s="274"/>
      <c r="P230" s="285"/>
      <c r="Q230" s="286"/>
      <c r="R230" s="286"/>
      <c r="S230" s="286" t="s">
        <v>64</v>
      </c>
      <c r="T230" s="286" t="s">
        <v>64</v>
      </c>
      <c r="U230" s="164">
        <v>45658.0</v>
      </c>
      <c r="V230" s="164">
        <v>390812.49998842593</v>
      </c>
      <c r="W230" s="165" t="str">
        <f t="shared" si="57"/>
        <v>catchcopy_character_enemy_kim_00101.png</v>
      </c>
      <c r="X230" s="166" t="str">
        <f t="shared" si="58"/>
        <v>enemy_icon_enemy_kim_00101</v>
      </c>
      <c r="Y230" s="166" t="str">
        <f t="shared" si="59"/>
        <v>boss_icon_enemy_kim_00101</v>
      </c>
      <c r="Z230" s="287"/>
      <c r="AA230" s="282"/>
      <c r="AB230" s="277" t="s">
        <v>1615</v>
      </c>
      <c r="AC230" s="288"/>
      <c r="AD230" s="170"/>
      <c r="AE230" s="278"/>
      <c r="AF230" s="281"/>
      <c r="AG230" s="279" t="s">
        <v>1763</v>
      </c>
      <c r="AH230" s="139"/>
    </row>
    <row r="231">
      <c r="A231" s="55" t="s">
        <v>172</v>
      </c>
      <c r="B231" s="124" t="str">
        <f t="array" ref="B231">iferror(INDEX('作品'!D:D,MATCH(A231,'作品'!A:A,0),0),"error")</f>
        <v>ふつうの軽音部</v>
      </c>
      <c r="C231" s="46" t="s">
        <v>973</v>
      </c>
      <c r="D231" s="47" t="str">
        <f t="shared" si="46"/>
        <v>enemy_hut_00001</v>
      </c>
      <c r="E231" s="47" t="s">
        <v>1847</v>
      </c>
      <c r="F231" s="45"/>
      <c r="G231" s="289" t="s">
        <v>981</v>
      </c>
      <c r="H231" s="289"/>
      <c r="I231" s="290"/>
      <c r="J231" s="291"/>
      <c r="K231" s="291" t="s">
        <v>406</v>
      </c>
      <c r="L231" s="290" t="s">
        <v>1005</v>
      </c>
      <c r="M231" s="191"/>
      <c r="N231" s="132"/>
      <c r="O231" s="236"/>
      <c r="P231" s="292"/>
      <c r="Q231" s="143" t="s">
        <v>1073</v>
      </c>
      <c r="R231" s="143" t="s">
        <v>1848</v>
      </c>
      <c r="S231" s="293" t="s">
        <v>64</v>
      </c>
      <c r="T231" s="293" t="s">
        <v>64</v>
      </c>
      <c r="U231" s="50">
        <v>45658.0</v>
      </c>
      <c r="V231" s="50">
        <v>390812.49998842593</v>
      </c>
      <c r="W231" s="127" t="str">
        <f t="shared" si="57"/>
        <v>catchcopy_character_enemy_hut_00001.png</v>
      </c>
      <c r="X231" s="128" t="str">
        <f t="shared" si="58"/>
        <v>enemy_icon_enemy_hut_00001</v>
      </c>
      <c r="Y231" s="128" t="str">
        <f t="shared" si="59"/>
        <v>boss_icon_enemy_hut_00001</v>
      </c>
      <c r="Z231" s="294"/>
      <c r="AA231" s="282"/>
      <c r="AB231" s="217" t="s">
        <v>1638</v>
      </c>
      <c r="AC231" s="110"/>
      <c r="AD231" s="54"/>
      <c r="AE231" s="52"/>
      <c r="AF231" s="289"/>
      <c r="AG231" s="138" t="s">
        <v>1000</v>
      </c>
      <c r="AH231" s="139"/>
    </row>
    <row r="232">
      <c r="A232" s="55" t="s">
        <v>172</v>
      </c>
      <c r="B232" s="124" t="str">
        <f t="array" ref="B232">iferror(INDEX('作品'!D:D,MATCH(A232,'作品'!A:A,0),0),"error")</f>
        <v>ふつうの軽音部</v>
      </c>
      <c r="C232" s="295" t="s">
        <v>1001</v>
      </c>
      <c r="D232" s="47" t="str">
        <f t="shared" si="46"/>
        <v>enemy_hut_00101</v>
      </c>
      <c r="E232" s="47" t="s">
        <v>1849</v>
      </c>
      <c r="F232" s="45"/>
      <c r="G232" s="289" t="s">
        <v>981</v>
      </c>
      <c r="H232" s="289"/>
      <c r="I232" s="290"/>
      <c r="J232" s="291"/>
      <c r="K232" s="291" t="s">
        <v>406</v>
      </c>
      <c r="L232" s="290" t="s">
        <v>1005</v>
      </c>
      <c r="M232" s="191"/>
      <c r="N232" s="132"/>
      <c r="O232" s="236"/>
      <c r="P232" s="292"/>
      <c r="Q232" s="143" t="s">
        <v>1850</v>
      </c>
      <c r="R232" s="143" t="s">
        <v>1851</v>
      </c>
      <c r="S232" s="293" t="s">
        <v>64</v>
      </c>
      <c r="T232" s="293" t="s">
        <v>64</v>
      </c>
      <c r="U232" s="50">
        <v>45658.0</v>
      </c>
      <c r="V232" s="50">
        <v>390812.49998842593</v>
      </c>
      <c r="W232" s="127" t="str">
        <f t="shared" si="57"/>
        <v>catchcopy_character_enemy_hut_00101.png</v>
      </c>
      <c r="X232" s="128" t="str">
        <f t="shared" si="58"/>
        <v>enemy_icon_enemy_hut_00101</v>
      </c>
      <c r="Y232" s="128" t="str">
        <f t="shared" si="59"/>
        <v>boss_icon_enemy_hut_00101</v>
      </c>
      <c r="Z232" s="294"/>
      <c r="AA232" s="282"/>
      <c r="AB232" s="217" t="s">
        <v>1638</v>
      </c>
      <c r="AC232" s="110"/>
      <c r="AD232" s="54"/>
      <c r="AE232" s="52"/>
      <c r="AF232" s="289"/>
      <c r="AG232" s="138" t="s">
        <v>1000</v>
      </c>
      <c r="AH232" s="139"/>
    </row>
    <row r="233">
      <c r="A233" s="25" t="s">
        <v>206</v>
      </c>
      <c r="B233" s="124" t="str">
        <f t="array" ref="B233">iferror(INDEX('作品'!D:D,MATCH(A233,'作品'!A:A,0),0),"error")</f>
        <v>あやかしトライアングル</v>
      </c>
      <c r="C233" s="46" t="s">
        <v>973</v>
      </c>
      <c r="D233" s="47" t="str">
        <f t="shared" si="46"/>
        <v>enemy_aya_00001</v>
      </c>
      <c r="E233" s="47" t="s">
        <v>1852</v>
      </c>
      <c r="F233" s="45"/>
      <c r="G233" s="289" t="s">
        <v>981</v>
      </c>
      <c r="H233" s="289"/>
      <c r="I233" s="290"/>
      <c r="J233" s="291"/>
      <c r="K233" s="291" t="s">
        <v>406</v>
      </c>
      <c r="L233" s="290" t="s">
        <v>1005</v>
      </c>
      <c r="M233" s="191"/>
      <c r="N233" s="132"/>
      <c r="O233" s="236"/>
      <c r="P233" s="292"/>
      <c r="Q233" s="143"/>
      <c r="R233" s="143" t="s">
        <v>1853</v>
      </c>
      <c r="S233" s="293" t="s">
        <v>64</v>
      </c>
      <c r="T233" s="293" t="s">
        <v>64</v>
      </c>
      <c r="U233" s="174" t="s">
        <v>1677</v>
      </c>
      <c r="V233" s="50">
        <v>390812.49998842593</v>
      </c>
      <c r="W233" s="127" t="str">
        <f t="shared" si="57"/>
        <v>catchcopy_character_enemy_aya_00001.png</v>
      </c>
      <c r="X233" s="128" t="str">
        <f t="shared" si="58"/>
        <v>enemy_icon_enemy_aya_00001</v>
      </c>
      <c r="Y233" s="128" t="str">
        <f t="shared" si="59"/>
        <v>boss_icon_enemy_aya_00001</v>
      </c>
      <c r="Z233" s="294"/>
      <c r="AA233" s="282"/>
      <c r="AB233" s="217" t="s">
        <v>1638</v>
      </c>
      <c r="AC233" s="110"/>
      <c r="AD233" s="54"/>
      <c r="AE233" s="52"/>
      <c r="AF233" s="289"/>
      <c r="AG233" s="138" t="s">
        <v>1000</v>
      </c>
      <c r="AH233" s="139"/>
    </row>
    <row r="234">
      <c r="A234" s="25" t="s">
        <v>211</v>
      </c>
      <c r="B234" s="124" t="str">
        <f t="array" ref="B234">iferror(INDEX('作品'!D:D,MATCH(A234,'作品'!A:A,0),0),"error")</f>
        <v>マリッジトキシン</v>
      </c>
      <c r="C234" s="46" t="s">
        <v>973</v>
      </c>
      <c r="D234" s="47" t="str">
        <f t="shared" si="46"/>
        <v>enemy_mar_00001</v>
      </c>
      <c r="E234" s="47" t="s">
        <v>1854</v>
      </c>
      <c r="F234" s="289"/>
      <c r="G234" s="289" t="s">
        <v>981</v>
      </c>
      <c r="H234" s="289"/>
      <c r="I234" s="290"/>
      <c r="J234" s="291"/>
      <c r="K234" s="55" t="s">
        <v>406</v>
      </c>
      <c r="L234" s="290" t="s">
        <v>1005</v>
      </c>
      <c r="M234" s="197" t="s">
        <v>1020</v>
      </c>
      <c r="N234" s="132"/>
      <c r="O234" s="236"/>
      <c r="P234" s="292"/>
      <c r="Q234" s="143" t="s">
        <v>1855</v>
      </c>
      <c r="R234" s="143" t="s">
        <v>1856</v>
      </c>
      <c r="S234" s="293" t="s">
        <v>64</v>
      </c>
      <c r="T234" s="293" t="s">
        <v>64</v>
      </c>
      <c r="U234" s="174" t="s">
        <v>1857</v>
      </c>
      <c r="V234" s="50">
        <v>390812.49998842593</v>
      </c>
      <c r="W234" s="127" t="str">
        <f t="shared" si="57"/>
        <v>catchcopy_character_enemy_mar_00001.png</v>
      </c>
      <c r="X234" s="128" t="str">
        <f t="shared" si="58"/>
        <v>enemy_icon_enemy_mar_00001</v>
      </c>
      <c r="Y234" s="128" t="str">
        <f t="shared" si="59"/>
        <v>boss_icon_enemy_mar_00001</v>
      </c>
      <c r="Z234" s="294"/>
      <c r="AA234" s="282"/>
      <c r="AB234" s="217" t="s">
        <v>1857</v>
      </c>
      <c r="AC234" s="110"/>
      <c r="AD234" s="54"/>
      <c r="AE234" s="52"/>
      <c r="AF234" s="289"/>
      <c r="AG234" s="138" t="s">
        <v>1078</v>
      </c>
      <c r="AH234" s="139"/>
    </row>
    <row r="235">
      <c r="A235" s="25" t="s">
        <v>229</v>
      </c>
      <c r="B235" s="124" t="str">
        <f t="array" ref="B235">iferror(INDEX('作品'!D:D,MATCH(A235,'作品'!A:A,0),0),"error")</f>
        <v>MAD</v>
      </c>
      <c r="C235" s="46" t="s">
        <v>973</v>
      </c>
      <c r="D235" s="47" t="str">
        <f t="shared" si="46"/>
        <v>enemy_mad_00001</v>
      </c>
      <c r="E235" s="47" t="s">
        <v>1858</v>
      </c>
      <c r="F235" s="289"/>
      <c r="G235" s="289"/>
      <c r="H235" s="289"/>
      <c r="I235" s="290"/>
      <c r="J235" s="291"/>
      <c r="K235" s="55" t="s">
        <v>406</v>
      </c>
      <c r="L235" s="59" t="s">
        <v>1005</v>
      </c>
      <c r="M235" s="191"/>
      <c r="N235" s="132"/>
      <c r="O235" s="236"/>
      <c r="P235" s="292"/>
      <c r="Q235" s="293"/>
      <c r="R235" s="293"/>
      <c r="S235" s="293"/>
      <c r="T235" s="293"/>
      <c r="U235" s="58" t="s">
        <v>1859</v>
      </c>
      <c r="V235" s="50">
        <v>390812.49998842593</v>
      </c>
      <c r="W235" s="127" t="str">
        <f t="shared" si="57"/>
        <v>catchcopy_character_enemy_mad_00001.png</v>
      </c>
      <c r="X235" s="128" t="str">
        <f t="shared" si="58"/>
        <v>enemy_icon_enemy_mad_00001</v>
      </c>
      <c r="Y235" s="128" t="str">
        <f t="shared" si="59"/>
        <v>boss_icon_enemy_mad_00001</v>
      </c>
      <c r="Z235" s="294"/>
      <c r="AA235" s="282"/>
      <c r="AB235" s="296" t="s">
        <v>1859</v>
      </c>
      <c r="AC235" s="110"/>
      <c r="AD235" s="54"/>
      <c r="AE235" s="52"/>
      <c r="AF235" s="289"/>
      <c r="AG235" s="138" t="s">
        <v>1078</v>
      </c>
      <c r="AH235" s="297"/>
    </row>
    <row r="236">
      <c r="A236" s="25" t="s">
        <v>232</v>
      </c>
      <c r="B236" s="124" t="str">
        <f t="array" ref="B236">iferror(INDEX('作品'!D:D,MATCH(A236,'作品'!A:A,0),0),"error")</f>
        <v>終末のハーレム</v>
      </c>
      <c r="C236" s="46" t="s">
        <v>973</v>
      </c>
      <c r="D236" s="47" t="str">
        <f t="shared" si="46"/>
        <v>enemy_syu_00001</v>
      </c>
      <c r="E236" s="47" t="s">
        <v>1860</v>
      </c>
      <c r="F236" s="289"/>
      <c r="G236" s="289"/>
      <c r="H236" s="289"/>
      <c r="I236" s="290"/>
      <c r="J236" s="291"/>
      <c r="K236" s="55" t="s">
        <v>406</v>
      </c>
      <c r="L236" s="59" t="s">
        <v>1005</v>
      </c>
      <c r="M236" s="191"/>
      <c r="N236" s="132"/>
      <c r="O236" s="236"/>
      <c r="P236" s="292"/>
      <c r="Q236" s="293"/>
      <c r="R236" s="293"/>
      <c r="S236" s="293"/>
      <c r="T236" s="293"/>
      <c r="U236" s="58" t="s">
        <v>1861</v>
      </c>
      <c r="V236" s="50">
        <v>390812.49998842593</v>
      </c>
      <c r="W236" s="127" t="str">
        <f t="shared" si="57"/>
        <v>catchcopy_character_enemy_syu_00001.png</v>
      </c>
      <c r="X236" s="128" t="str">
        <f t="shared" si="58"/>
        <v>enemy_icon_enemy_syu_00001</v>
      </c>
      <c r="Y236" s="128" t="str">
        <f t="shared" si="59"/>
        <v>boss_icon_enemy_syu_00001</v>
      </c>
      <c r="Z236" s="294"/>
      <c r="AA236" s="282"/>
      <c r="AB236" s="296" t="s">
        <v>1861</v>
      </c>
      <c r="AC236" s="110"/>
      <c r="AD236" s="54"/>
      <c r="AE236" s="52"/>
      <c r="AF236" s="289"/>
      <c r="AG236" s="138" t="s">
        <v>1078</v>
      </c>
      <c r="AH236" s="297"/>
    </row>
    <row r="237">
      <c r="A237" s="25" t="s">
        <v>237</v>
      </c>
      <c r="B237" s="124" t="str">
        <f t="array" ref="B237">iferror(INDEX('作品'!D:D,MATCH(A237,'作品'!A:A,0),0),"error")</f>
        <v>終末のハーレム After World</v>
      </c>
      <c r="C237" s="46" t="s">
        <v>973</v>
      </c>
      <c r="D237" s="47" t="str">
        <f t="shared" si="46"/>
        <v>enemy_aft_00001</v>
      </c>
      <c r="E237" s="47" t="s">
        <v>1862</v>
      </c>
      <c r="F237" s="289"/>
      <c r="G237" s="289"/>
      <c r="H237" s="289"/>
      <c r="I237" s="290"/>
      <c r="J237" s="291"/>
      <c r="K237" s="55" t="s">
        <v>406</v>
      </c>
      <c r="L237" s="59" t="s">
        <v>1005</v>
      </c>
      <c r="M237" s="191"/>
      <c r="N237" s="132"/>
      <c r="O237" s="236"/>
      <c r="P237" s="292"/>
      <c r="Q237" s="293"/>
      <c r="R237" s="293"/>
      <c r="S237" s="293"/>
      <c r="T237" s="293"/>
      <c r="U237" s="58" t="s">
        <v>1861</v>
      </c>
      <c r="V237" s="50">
        <v>390812.49998842593</v>
      </c>
      <c r="W237" s="127" t="str">
        <f t="shared" si="57"/>
        <v>catchcopy_character_enemy_aft_00001.png</v>
      </c>
      <c r="X237" s="128" t="str">
        <f t="shared" si="58"/>
        <v>enemy_icon_enemy_aft_00001</v>
      </c>
      <c r="Y237" s="128" t="str">
        <f t="shared" si="59"/>
        <v>boss_icon_enemy_aft_00001</v>
      </c>
      <c r="Z237" s="294"/>
      <c r="AA237" s="282"/>
      <c r="AB237" s="296" t="s">
        <v>1861</v>
      </c>
      <c r="AC237" s="110"/>
      <c r="AD237" s="54"/>
      <c r="AE237" s="52"/>
      <c r="AF237" s="289"/>
      <c r="AG237" s="138" t="s">
        <v>1078</v>
      </c>
      <c r="AH237" s="297"/>
    </row>
    <row r="238">
      <c r="A238" s="25" t="s">
        <v>248</v>
      </c>
      <c r="B238" s="124" t="str">
        <f t="array" ref="B238">iferror(INDEX('作品'!D:D,MATCH(A238,'作品'!A:A,0),0),"error")</f>
        <v>口が裂けても君には</v>
      </c>
      <c r="C238" s="46" t="s">
        <v>973</v>
      </c>
      <c r="D238" s="47" t="str">
        <f t="shared" si="46"/>
        <v>enemy_kut_00001</v>
      </c>
      <c r="E238" s="47" t="s">
        <v>1863</v>
      </c>
      <c r="F238" s="289"/>
      <c r="G238" s="289"/>
      <c r="H238" s="289"/>
      <c r="I238" s="290"/>
      <c r="J238" s="291"/>
      <c r="K238" s="55" t="s">
        <v>406</v>
      </c>
      <c r="L238" s="59" t="s">
        <v>1037</v>
      </c>
      <c r="M238" s="191"/>
      <c r="N238" s="132"/>
      <c r="O238" s="236"/>
      <c r="P238" s="292"/>
      <c r="Q238" s="293"/>
      <c r="R238" s="293"/>
      <c r="S238" s="293"/>
      <c r="T238" s="293"/>
      <c r="U238" s="58" t="s">
        <v>1861</v>
      </c>
      <c r="V238" s="50">
        <v>390812.49998842593</v>
      </c>
      <c r="W238" s="127" t="str">
        <f t="shared" si="57"/>
        <v>catchcopy_character_enemy_kut_00001.png</v>
      </c>
      <c r="X238" s="128" t="str">
        <f t="shared" si="58"/>
        <v>enemy_icon_enemy_kut_00001</v>
      </c>
      <c r="Y238" s="128" t="str">
        <f t="shared" si="59"/>
        <v>boss_icon_enemy_kut_00001</v>
      </c>
      <c r="Z238" s="294"/>
      <c r="AA238" s="282"/>
      <c r="AB238" s="296" t="s">
        <v>1861</v>
      </c>
      <c r="AC238" s="110"/>
      <c r="AD238" s="54"/>
      <c r="AE238" s="52"/>
      <c r="AF238" s="289"/>
      <c r="AG238" s="138" t="s">
        <v>1078</v>
      </c>
      <c r="AH238" s="297"/>
    </row>
    <row r="239">
      <c r="A239" s="25" t="s">
        <v>115</v>
      </c>
      <c r="B239" s="124" t="str">
        <f t="array" ref="B239">iferror(INDEX('作品'!D:D,MATCH(A239,'作品'!A:A,0),0),"error")</f>
        <v>怪獣８号</v>
      </c>
      <c r="C239" s="46" t="s">
        <v>990</v>
      </c>
      <c r="D239" s="47" t="str">
        <f t="shared" si="46"/>
        <v>enemy_kai_00002</v>
      </c>
      <c r="E239" s="47" t="s">
        <v>1864</v>
      </c>
      <c r="F239" s="289"/>
      <c r="G239" s="289"/>
      <c r="H239" s="289"/>
      <c r="I239" s="290"/>
      <c r="J239" s="291"/>
      <c r="K239" s="55" t="s">
        <v>406</v>
      </c>
      <c r="L239" s="59" t="s">
        <v>1005</v>
      </c>
      <c r="M239" s="191"/>
      <c r="N239" s="132"/>
      <c r="O239" s="236"/>
      <c r="P239" s="292"/>
      <c r="Q239" s="293"/>
      <c r="R239" s="293"/>
      <c r="S239" s="293"/>
      <c r="T239" s="293"/>
      <c r="U239" s="58" t="s">
        <v>1865</v>
      </c>
      <c r="V239" s="50">
        <v>390812.49998842593</v>
      </c>
      <c r="W239" s="127" t="str">
        <f t="shared" si="57"/>
        <v>catchcopy_character_enemy_kai_00002.png</v>
      </c>
      <c r="X239" s="128" t="str">
        <f t="shared" si="58"/>
        <v>enemy_icon_enemy_kai_00002</v>
      </c>
      <c r="Y239" s="128" t="str">
        <f t="shared" si="59"/>
        <v>boss_icon_enemy_kai_00002</v>
      </c>
      <c r="Z239" s="294"/>
      <c r="AA239" s="282"/>
      <c r="AB239" s="296" t="s">
        <v>1866</v>
      </c>
      <c r="AC239" s="110"/>
      <c r="AD239" s="54"/>
      <c r="AE239" s="52"/>
      <c r="AF239" s="289"/>
      <c r="AG239" s="138" t="s">
        <v>1078</v>
      </c>
      <c r="AH239" s="297"/>
    </row>
    <row r="240">
      <c r="A240" s="25" t="s">
        <v>115</v>
      </c>
      <c r="B240" s="124" t="str">
        <f t="array" ref="B240">iferror(INDEX('作品'!D:D,MATCH(A240,'作品'!A:A,0),0),"error")</f>
        <v>怪獣８号</v>
      </c>
      <c r="C240" s="46" t="s">
        <v>1046</v>
      </c>
      <c r="D240" s="47" t="str">
        <f t="shared" si="46"/>
        <v>enemy_kai_00501</v>
      </c>
      <c r="E240" s="47" t="s">
        <v>1867</v>
      </c>
      <c r="F240" s="289"/>
      <c r="G240" s="289"/>
      <c r="H240" s="289"/>
      <c r="I240" s="290"/>
      <c r="J240" s="291"/>
      <c r="K240" s="55" t="s">
        <v>406</v>
      </c>
      <c r="L240" s="59" t="s">
        <v>1005</v>
      </c>
      <c r="M240" s="191"/>
      <c r="N240" s="132"/>
      <c r="O240" s="236"/>
      <c r="P240" s="292"/>
      <c r="Q240" s="293"/>
      <c r="R240" s="293"/>
      <c r="S240" s="293"/>
      <c r="T240" s="293"/>
      <c r="U240" s="58" t="s">
        <v>1865</v>
      </c>
      <c r="V240" s="50">
        <v>390812.49998842593</v>
      </c>
      <c r="W240" s="127" t="str">
        <f t="shared" si="57"/>
        <v>catchcopy_character_enemy_kai_00501.png</v>
      </c>
      <c r="X240" s="128" t="str">
        <f t="shared" si="58"/>
        <v>enemy_icon_enemy_kai_00501</v>
      </c>
      <c r="Y240" s="128" t="str">
        <f t="shared" si="59"/>
        <v>boss_icon_enemy_kai_00501</v>
      </c>
      <c r="Z240" s="294"/>
      <c r="AA240" s="282"/>
      <c r="AB240" s="296" t="s">
        <v>1866</v>
      </c>
      <c r="AC240" s="110"/>
      <c r="AD240" s="54"/>
      <c r="AE240" s="52"/>
      <c r="AF240" s="289"/>
      <c r="AG240" s="138" t="s">
        <v>1078</v>
      </c>
      <c r="AH240" s="297"/>
    </row>
    <row r="241">
      <c r="A241" s="25" t="s">
        <v>158</v>
      </c>
      <c r="B241" s="124" t="str">
        <f t="array" ref="B241">iferror(INDEX('作品'!D:D,MATCH(A241,'作品'!A:A,0),0),"error")</f>
        <v>【推しの子】</v>
      </c>
      <c r="C241" s="46" t="s">
        <v>973</v>
      </c>
      <c r="D241" s="47" t="str">
        <f t="shared" si="46"/>
        <v>enemy_osh_00001</v>
      </c>
      <c r="E241" s="47" t="s">
        <v>1868</v>
      </c>
      <c r="F241" s="289"/>
      <c r="G241" s="289"/>
      <c r="H241" s="289"/>
      <c r="I241" s="290"/>
      <c r="J241" s="291"/>
      <c r="K241" s="55" t="s">
        <v>406</v>
      </c>
      <c r="L241" s="59"/>
      <c r="M241" s="191"/>
      <c r="N241" s="132"/>
      <c r="O241" s="236"/>
      <c r="P241" s="292"/>
      <c r="Q241" s="293"/>
      <c r="R241" s="293"/>
      <c r="S241" s="293"/>
      <c r="T241" s="293"/>
      <c r="U241" s="58"/>
      <c r="V241" s="50"/>
      <c r="W241" s="127"/>
      <c r="X241" s="128"/>
      <c r="Y241" s="128"/>
      <c r="Z241" s="294"/>
      <c r="AA241" s="282"/>
      <c r="AB241" s="296"/>
      <c r="AC241" s="110"/>
      <c r="AD241" s="54"/>
      <c r="AE241" s="52"/>
      <c r="AF241" s="289"/>
      <c r="AG241" s="138"/>
      <c r="AH241" s="297"/>
    </row>
    <row r="242">
      <c r="A242" s="25" t="s">
        <v>158</v>
      </c>
      <c r="B242" s="124" t="str">
        <f t="array" ref="B242">iferror(INDEX('作品'!D:D,MATCH(A242,'作品'!A:A,0),0),"error")</f>
        <v>【推しの子】</v>
      </c>
      <c r="C242" s="46" t="s">
        <v>1001</v>
      </c>
      <c r="D242" s="47" t="str">
        <f t="shared" si="46"/>
        <v>enemy_osh_00101</v>
      </c>
      <c r="E242" s="47" t="s">
        <v>1869</v>
      </c>
      <c r="F242" s="289"/>
      <c r="G242" s="289"/>
      <c r="H242" s="289"/>
      <c r="I242" s="290"/>
      <c r="J242" s="291"/>
      <c r="K242" s="55" t="s">
        <v>406</v>
      </c>
      <c r="L242" s="59"/>
      <c r="M242" s="191"/>
      <c r="N242" s="132"/>
      <c r="O242" s="236"/>
      <c r="P242" s="292"/>
      <c r="Q242" s="293"/>
      <c r="R242" s="293"/>
      <c r="S242" s="293"/>
      <c r="T242" s="293"/>
      <c r="U242" s="58"/>
      <c r="V242" s="50"/>
      <c r="W242" s="127"/>
      <c r="X242" s="128"/>
      <c r="Y242" s="128"/>
      <c r="Z242" s="294"/>
      <c r="AA242" s="282"/>
      <c r="AB242" s="296"/>
      <c r="AC242" s="110"/>
      <c r="AD242" s="54"/>
      <c r="AE242" s="52"/>
      <c r="AF242" s="289"/>
      <c r="AG242" s="138"/>
      <c r="AH242" s="297"/>
    </row>
    <row r="243">
      <c r="A243" s="25" t="s">
        <v>158</v>
      </c>
      <c r="B243" s="124" t="str">
        <f t="array" ref="B243">iferror(INDEX('作品'!D:D,MATCH(A243,'作品'!A:A,0),0),"error")</f>
        <v>【推しの子】</v>
      </c>
      <c r="C243" s="46" t="s">
        <v>1014</v>
      </c>
      <c r="D243" s="47" t="str">
        <f t="shared" si="46"/>
        <v>enemy_osh_00201</v>
      </c>
      <c r="E243" s="47" t="s">
        <v>1870</v>
      </c>
      <c r="F243" s="289"/>
      <c r="G243" s="289"/>
      <c r="H243" s="289"/>
      <c r="I243" s="290"/>
      <c r="J243" s="291"/>
      <c r="K243" s="55" t="s">
        <v>406</v>
      </c>
      <c r="L243" s="59"/>
      <c r="M243" s="191"/>
      <c r="N243" s="132"/>
      <c r="O243" s="236"/>
      <c r="P243" s="292"/>
      <c r="Q243" s="293"/>
      <c r="R243" s="293"/>
      <c r="S243" s="293"/>
      <c r="T243" s="293"/>
      <c r="U243" s="58"/>
      <c r="V243" s="50"/>
      <c r="W243" s="127"/>
      <c r="X243" s="128"/>
      <c r="Y243" s="128"/>
      <c r="Z243" s="294"/>
      <c r="AA243" s="282"/>
      <c r="AB243" s="296"/>
      <c r="AC243" s="110"/>
      <c r="AD243" s="54"/>
      <c r="AE243" s="52"/>
      <c r="AF243" s="289"/>
      <c r="AG243" s="138"/>
      <c r="AH243" s="297"/>
    </row>
    <row r="244">
      <c r="A244" s="25"/>
      <c r="B244" s="124"/>
      <c r="C244" s="295"/>
      <c r="D244" s="47"/>
      <c r="E244" s="47"/>
      <c r="F244" s="289"/>
      <c r="G244" s="289"/>
      <c r="H244" s="289"/>
      <c r="I244" s="290"/>
      <c r="J244" s="291"/>
      <c r="K244" s="291"/>
      <c r="L244" s="290"/>
      <c r="M244" s="191"/>
      <c r="N244" s="132"/>
      <c r="O244" s="236"/>
      <c r="P244" s="292"/>
      <c r="Q244" s="293"/>
      <c r="R244" s="293"/>
      <c r="S244" s="293"/>
      <c r="T244" s="293"/>
      <c r="U244" s="50"/>
      <c r="V244" s="50"/>
      <c r="W244" s="127"/>
      <c r="X244" s="128"/>
      <c r="Y244" s="128"/>
      <c r="Z244" s="294"/>
      <c r="AA244" s="282"/>
      <c r="AB244" s="217"/>
      <c r="AC244" s="110"/>
      <c r="AD244" s="54"/>
      <c r="AE244" s="52"/>
      <c r="AF244" s="289"/>
      <c r="AG244" s="289"/>
      <c r="AH244" s="297"/>
    </row>
    <row r="245">
      <c r="A245" s="55" t="s">
        <v>283</v>
      </c>
      <c r="B245" s="124" t="str">
        <f t="array" ref="B245">iferror(INDEX('作品'!D:D,MATCH(A245,'作品'!A:A,0),0),"error")</f>
        <v>GLOW</v>
      </c>
      <c r="C245" s="46" t="s">
        <v>973</v>
      </c>
      <c r="D245" s="47" t="str">
        <f t="shared" ref="D245:D252" si="60">K245&amp;"_"&amp;A245&amp;"_"&amp;C245</f>
        <v>enemy_glo_00001</v>
      </c>
      <c r="E245" s="47" t="s">
        <v>1871</v>
      </c>
      <c r="F245" s="45" t="s">
        <v>1871</v>
      </c>
      <c r="G245" s="45" t="s">
        <v>981</v>
      </c>
      <c r="H245" s="45"/>
      <c r="I245" s="59"/>
      <c r="J245" s="55"/>
      <c r="K245" s="55" t="s">
        <v>406</v>
      </c>
      <c r="L245" s="59" t="s">
        <v>1005</v>
      </c>
      <c r="M245" s="197" t="s">
        <v>1020</v>
      </c>
      <c r="N245" s="132"/>
      <c r="O245" s="236"/>
      <c r="P245" s="125" t="str">
        <f t="shared" ref="P245:P246" si="61">RIGHT(D245,5)</f>
        <v>00001</v>
      </c>
      <c r="Q245" s="143" t="s">
        <v>1116</v>
      </c>
      <c r="R245" s="143" t="s">
        <v>1041</v>
      </c>
      <c r="S245" s="143"/>
      <c r="T245" s="143"/>
      <c r="U245" s="49">
        <v>45658.0</v>
      </c>
      <c r="V245" s="50">
        <v>390812.49998842593</v>
      </c>
      <c r="W245" s="127" t="str">
        <f t="shared" ref="W245:W246" si="62">"catchcopy_character_"&amp;text(D245,"000000")&amp;".png"</f>
        <v>catchcopy_character_enemy_glo_00001.png</v>
      </c>
      <c r="X245" s="128" t="str">
        <f t="shared" ref="X245:X246" si="63">"enemy_icon_"&amp;K245&amp;"_"&amp;A245&amp;"_"&amp;C245</f>
        <v>enemy_icon_enemy_glo_00001</v>
      </c>
      <c r="Y245" s="128" t="str">
        <f t="shared" ref="Y245:Y246" si="64">"boss_icon_"&amp;K245&amp;"_"&amp;A245&amp;"_"&amp;C245</f>
        <v>boss_icon_enemy_glo_00001</v>
      </c>
      <c r="Z245" s="144" t="s">
        <v>1872</v>
      </c>
      <c r="AA245" s="144" t="s">
        <v>1873</v>
      </c>
      <c r="AB245" s="145" t="s">
        <v>985</v>
      </c>
      <c r="AC245" s="53" t="s">
        <v>986</v>
      </c>
      <c r="AD245" s="54"/>
      <c r="AE245" s="52"/>
      <c r="AF245" s="45" t="s">
        <v>1541</v>
      </c>
      <c r="AG245" s="138" t="s">
        <v>989</v>
      </c>
      <c r="AH245" s="139"/>
    </row>
    <row r="246">
      <c r="A246" s="55" t="s">
        <v>283</v>
      </c>
      <c r="B246" s="124" t="str">
        <f t="array" ref="B246">iferror(INDEX('作品'!D:D,MATCH(A246,'作品'!A:A,0),0),"error")</f>
        <v>GLOW</v>
      </c>
      <c r="C246" s="46" t="s">
        <v>990</v>
      </c>
      <c r="D246" s="47" t="str">
        <f t="shared" si="60"/>
        <v>enemy_glo_00002</v>
      </c>
      <c r="E246" s="47" t="s">
        <v>1874</v>
      </c>
      <c r="F246" s="298" t="s">
        <v>1875</v>
      </c>
      <c r="G246" s="45" t="s">
        <v>981</v>
      </c>
      <c r="H246" s="45"/>
      <c r="I246" s="59"/>
      <c r="J246" s="55"/>
      <c r="K246" s="55" t="s">
        <v>406</v>
      </c>
      <c r="L246" s="59" t="s">
        <v>1005</v>
      </c>
      <c r="M246" s="197" t="s">
        <v>1020</v>
      </c>
      <c r="N246" s="132"/>
      <c r="O246" s="236"/>
      <c r="P246" s="125" t="str">
        <f t="shared" si="61"/>
        <v>00002</v>
      </c>
      <c r="Q246" s="143" t="s">
        <v>1226</v>
      </c>
      <c r="R246" s="143" t="s">
        <v>1876</v>
      </c>
      <c r="S246" s="143"/>
      <c r="T246" s="143"/>
      <c r="U246" s="49">
        <v>45658.0</v>
      </c>
      <c r="V246" s="50">
        <v>390812.49998842593</v>
      </c>
      <c r="W246" s="127" t="str">
        <f t="shared" si="62"/>
        <v>catchcopy_character_enemy_glo_00002.png</v>
      </c>
      <c r="X246" s="128" t="str">
        <f t="shared" si="63"/>
        <v>enemy_icon_enemy_glo_00002</v>
      </c>
      <c r="Y246" s="128" t="str">
        <f t="shared" si="64"/>
        <v>boss_icon_enemy_glo_00002</v>
      </c>
      <c r="Z246" s="172"/>
      <c r="AA246" s="172"/>
      <c r="AB246" s="145"/>
      <c r="AC246" s="53"/>
      <c r="AD246" s="54"/>
      <c r="AE246" s="52"/>
      <c r="AF246" s="45" t="s">
        <v>1541</v>
      </c>
      <c r="AG246" s="138" t="s">
        <v>1551</v>
      </c>
      <c r="AH246" s="139"/>
    </row>
    <row r="247">
      <c r="A247" s="55" t="s">
        <v>283</v>
      </c>
      <c r="B247" s="124" t="str">
        <f t="array" ref="B247">iferror(INDEX('作品'!D:D,MATCH(A247,'作品'!A:A,0),0),"error")</f>
        <v>GLOW</v>
      </c>
      <c r="C247" s="46" t="s">
        <v>1267</v>
      </c>
      <c r="D247" s="47" t="str">
        <f t="shared" si="60"/>
        <v>enemy_glo_00003</v>
      </c>
      <c r="E247" s="47" t="s">
        <v>1877</v>
      </c>
      <c r="F247" s="298"/>
      <c r="G247" s="45"/>
      <c r="H247" s="45"/>
      <c r="I247" s="59"/>
      <c r="J247" s="55"/>
      <c r="K247" s="55" t="s">
        <v>406</v>
      </c>
      <c r="L247" s="59"/>
      <c r="M247" s="197"/>
      <c r="N247" s="132"/>
      <c r="O247" s="236"/>
      <c r="P247" s="125"/>
      <c r="Q247" s="143"/>
      <c r="R247" s="143"/>
      <c r="S247" s="143"/>
      <c r="T247" s="143"/>
      <c r="U247" s="49"/>
      <c r="V247" s="50"/>
      <c r="W247" s="127"/>
      <c r="X247" s="128"/>
      <c r="Y247" s="128"/>
      <c r="Z247" s="172"/>
      <c r="AA247" s="172"/>
      <c r="AB247" s="145"/>
      <c r="AC247" s="53"/>
      <c r="AD247" s="54"/>
      <c r="AE247" s="52"/>
      <c r="AF247" s="45"/>
      <c r="AG247" s="138"/>
      <c r="AH247" s="139"/>
    </row>
    <row r="248">
      <c r="A248" s="55" t="s">
        <v>283</v>
      </c>
      <c r="B248" s="124" t="str">
        <f t="array" ref="B248">iferror(INDEX('作品'!D:D,MATCH(A248,'作品'!A:A,0),0),"error")</f>
        <v>GLOW</v>
      </c>
      <c r="C248" s="46" t="s">
        <v>1878</v>
      </c>
      <c r="D248" s="47" t="str">
        <f t="shared" si="60"/>
        <v>enemy_glo_00004</v>
      </c>
      <c r="E248" s="47" t="s">
        <v>1879</v>
      </c>
      <c r="F248" s="298"/>
      <c r="G248" s="45"/>
      <c r="H248" s="45"/>
      <c r="I248" s="59"/>
      <c r="J248" s="55"/>
      <c r="K248" s="55" t="s">
        <v>406</v>
      </c>
      <c r="L248" s="59"/>
      <c r="M248" s="197"/>
      <c r="N248" s="132"/>
      <c r="O248" s="236"/>
      <c r="P248" s="125"/>
      <c r="Q248" s="143"/>
      <c r="R248" s="143"/>
      <c r="S248" s="143"/>
      <c r="T248" s="143"/>
      <c r="U248" s="49"/>
      <c r="V248" s="50"/>
      <c r="W248" s="127"/>
      <c r="X248" s="128"/>
      <c r="Y248" s="128"/>
      <c r="Z248" s="172"/>
      <c r="AA248" s="172"/>
      <c r="AB248" s="145"/>
      <c r="AC248" s="53"/>
      <c r="AD248" s="54"/>
      <c r="AE248" s="52"/>
      <c r="AF248" s="45"/>
      <c r="AG248" s="138"/>
      <c r="AH248" s="139"/>
    </row>
    <row r="249">
      <c r="A249" s="55" t="s">
        <v>283</v>
      </c>
      <c r="B249" s="124" t="str">
        <f t="array" ref="B249">iferror(INDEX('作品'!D:D,MATCH(A249,'作品'!A:A,0),0),"error")</f>
        <v>GLOW</v>
      </c>
      <c r="C249" s="46" t="s">
        <v>1880</v>
      </c>
      <c r="D249" s="47" t="str">
        <f t="shared" si="60"/>
        <v>enemy_glo_00005</v>
      </c>
      <c r="E249" s="47" t="s">
        <v>1881</v>
      </c>
      <c r="F249" s="298"/>
      <c r="G249" s="45"/>
      <c r="H249" s="45"/>
      <c r="I249" s="59"/>
      <c r="J249" s="55"/>
      <c r="K249" s="55" t="s">
        <v>406</v>
      </c>
      <c r="L249" s="59"/>
      <c r="M249" s="197"/>
      <c r="N249" s="132"/>
      <c r="O249" s="236"/>
      <c r="P249" s="125"/>
      <c r="Q249" s="143"/>
      <c r="R249" s="143"/>
      <c r="S249" s="143"/>
      <c r="T249" s="143"/>
      <c r="U249" s="49"/>
      <c r="V249" s="50"/>
      <c r="W249" s="127"/>
      <c r="X249" s="128"/>
      <c r="Y249" s="128"/>
      <c r="Z249" s="172"/>
      <c r="AA249" s="172"/>
      <c r="AB249" s="145"/>
      <c r="AC249" s="53"/>
      <c r="AD249" s="54"/>
      <c r="AE249" s="52"/>
      <c r="AF249" s="45"/>
      <c r="AG249" s="138"/>
      <c r="AH249" s="139"/>
    </row>
    <row r="250">
      <c r="A250" s="55" t="s">
        <v>283</v>
      </c>
      <c r="B250" s="124" t="str">
        <f t="array" ref="B250">iferror(INDEX('作品'!D:D,MATCH(A250,'作品'!A:A,0),0),"error")</f>
        <v>GLOW</v>
      </c>
      <c r="C250" s="46" t="s">
        <v>1882</v>
      </c>
      <c r="D250" s="47" t="str">
        <f t="shared" si="60"/>
        <v>enemy_glo_00006</v>
      </c>
      <c r="E250" s="47" t="s">
        <v>1883</v>
      </c>
      <c r="F250" s="298"/>
      <c r="G250" s="45"/>
      <c r="H250" s="45"/>
      <c r="I250" s="59"/>
      <c r="J250" s="55"/>
      <c r="K250" s="55" t="s">
        <v>406</v>
      </c>
      <c r="L250" s="59"/>
      <c r="M250" s="197"/>
      <c r="N250" s="132"/>
      <c r="O250" s="236"/>
      <c r="P250" s="125"/>
      <c r="Q250" s="143"/>
      <c r="R250" s="143"/>
      <c r="S250" s="143"/>
      <c r="T250" s="143"/>
      <c r="U250" s="49"/>
      <c r="V250" s="50"/>
      <c r="W250" s="127"/>
      <c r="X250" s="128"/>
      <c r="Y250" s="128"/>
      <c r="Z250" s="172"/>
      <c r="AA250" s="172"/>
      <c r="AB250" s="145"/>
      <c r="AC250" s="53"/>
      <c r="AD250" s="54"/>
      <c r="AE250" s="52"/>
      <c r="AF250" s="45"/>
      <c r="AG250" s="138"/>
      <c r="AH250" s="139"/>
    </row>
    <row r="251">
      <c r="A251" s="55" t="s">
        <v>283</v>
      </c>
      <c r="B251" s="124" t="str">
        <f t="array" ref="B251">iferror(INDEX('作品'!D:D,MATCH(A251,'作品'!A:A,0),0),"error")</f>
        <v>GLOW</v>
      </c>
      <c r="C251" s="46" t="s">
        <v>1001</v>
      </c>
      <c r="D251" s="47" t="str">
        <f t="shared" si="60"/>
        <v>enemy_glo_00101</v>
      </c>
      <c r="E251" s="47" t="s">
        <v>1884</v>
      </c>
      <c r="F251" s="45" t="s">
        <v>1885</v>
      </c>
      <c r="G251" s="45" t="s">
        <v>981</v>
      </c>
      <c r="H251" s="45"/>
      <c r="I251" s="59"/>
      <c r="J251" s="55"/>
      <c r="K251" s="55" t="s">
        <v>406</v>
      </c>
      <c r="L251" s="59" t="s">
        <v>1005</v>
      </c>
      <c r="M251" s="197" t="s">
        <v>64</v>
      </c>
      <c r="N251" s="132"/>
      <c r="O251" s="236"/>
      <c r="P251" s="125" t="str">
        <f t="shared" ref="P251:P252" si="65">RIGHT(D251,5)</f>
        <v>00101</v>
      </c>
      <c r="Q251" s="143" t="s">
        <v>1226</v>
      </c>
      <c r="R251" s="143" t="s">
        <v>1789</v>
      </c>
      <c r="S251" s="143" t="s">
        <v>64</v>
      </c>
      <c r="T251" s="143" t="s">
        <v>64</v>
      </c>
      <c r="U251" s="49">
        <v>45658.0</v>
      </c>
      <c r="V251" s="50">
        <v>390812.49998842593</v>
      </c>
      <c r="W251" s="127" t="str">
        <f t="shared" ref="W251:W252" si="66">"catchcopy_character_"&amp;text(D251,"000000")&amp;".png"</f>
        <v>catchcopy_character_enemy_glo_00101.png</v>
      </c>
      <c r="X251" s="128" t="str">
        <f t="shared" ref="X251:X252" si="67">"enemy_icon_"&amp;K251&amp;"_"&amp;A251&amp;"_"&amp;C251</f>
        <v>enemy_icon_enemy_glo_00101</v>
      </c>
      <c r="Y251" s="128" t="str">
        <f t="shared" ref="Y251:Y252" si="68">"boss_icon_"&amp;K251&amp;"_"&amp;A251&amp;"_"&amp;C251</f>
        <v>boss_icon_enemy_glo_00101</v>
      </c>
      <c r="Z251" s="172"/>
      <c r="AA251" s="172"/>
      <c r="AB251" s="145" t="s">
        <v>985</v>
      </c>
      <c r="AC251" s="53"/>
      <c r="AD251" s="54"/>
      <c r="AE251" s="52"/>
      <c r="AF251" s="45" t="s">
        <v>1541</v>
      </c>
      <c r="AG251" s="138" t="s">
        <v>989</v>
      </c>
      <c r="AH251" s="139"/>
    </row>
    <row r="252">
      <c r="A252" s="55" t="s">
        <v>283</v>
      </c>
      <c r="B252" s="124" t="str">
        <f t="array" ref="B252">iferror(INDEX('作品'!D:D,MATCH(A252,'作品'!A:A,0),0),"error")</f>
        <v>GLOW</v>
      </c>
      <c r="C252" s="46" t="s">
        <v>1242</v>
      </c>
      <c r="D252" s="47" t="str">
        <f t="shared" si="60"/>
        <v>enemy_glo_00901</v>
      </c>
      <c r="E252" s="47" t="s">
        <v>410</v>
      </c>
      <c r="F252" s="45" t="s">
        <v>410</v>
      </c>
      <c r="G252" s="45" t="s">
        <v>981</v>
      </c>
      <c r="H252" s="45"/>
      <c r="I252" s="59"/>
      <c r="J252" s="55" t="s">
        <v>978</v>
      </c>
      <c r="K252" s="55" t="s">
        <v>406</v>
      </c>
      <c r="L252" s="59" t="s">
        <v>1005</v>
      </c>
      <c r="M252" s="197" t="s">
        <v>64</v>
      </c>
      <c r="N252" s="132"/>
      <c r="O252" s="236"/>
      <c r="P252" s="125" t="str">
        <f t="shared" si="65"/>
        <v>00901</v>
      </c>
      <c r="Q252" s="143"/>
      <c r="R252" s="143"/>
      <c r="S252" s="143"/>
      <c r="T252" s="143"/>
      <c r="U252" s="49">
        <v>45658.0</v>
      </c>
      <c r="V252" s="50">
        <v>390812.49998842593</v>
      </c>
      <c r="W252" s="127" t="str">
        <f t="shared" si="66"/>
        <v>catchcopy_character_enemy_glo_00901.png</v>
      </c>
      <c r="X252" s="128" t="str">
        <f t="shared" si="67"/>
        <v>enemy_icon_enemy_glo_00901</v>
      </c>
      <c r="Y252" s="128" t="str">
        <f t="shared" si="68"/>
        <v>boss_icon_enemy_glo_00901</v>
      </c>
      <c r="Z252" s="172"/>
      <c r="AA252" s="172"/>
      <c r="AB252" s="145" t="s">
        <v>985</v>
      </c>
      <c r="AC252" s="53" t="s">
        <v>986</v>
      </c>
      <c r="AD252" s="54"/>
      <c r="AE252" s="52"/>
      <c r="AF252" s="45" t="s">
        <v>1541</v>
      </c>
      <c r="AG252" s="138" t="s">
        <v>989</v>
      </c>
      <c r="AH252" s="139"/>
    </row>
    <row r="253">
      <c r="A253" s="55"/>
      <c r="B253" s="124"/>
      <c r="C253" s="46"/>
      <c r="D253" s="47"/>
      <c r="E253" s="47"/>
      <c r="F253" s="45"/>
      <c r="G253" s="45"/>
      <c r="H253" s="45"/>
      <c r="I253" s="59"/>
      <c r="J253" s="55" t="s">
        <v>978</v>
      </c>
      <c r="K253" s="55"/>
      <c r="L253" s="59" t="s">
        <v>1005</v>
      </c>
      <c r="M253" s="197"/>
      <c r="N253" s="132"/>
      <c r="O253" s="236"/>
      <c r="P253" s="125"/>
      <c r="Q253" s="143"/>
      <c r="R253" s="143"/>
      <c r="S253" s="143"/>
      <c r="T253" s="143"/>
      <c r="U253" s="49"/>
      <c r="V253" s="50"/>
      <c r="W253" s="127"/>
      <c r="X253" s="128"/>
      <c r="Y253" s="128"/>
      <c r="Z253" s="172"/>
      <c r="AA253" s="172"/>
      <c r="AB253" s="145"/>
      <c r="AC253" s="53"/>
      <c r="AD253" s="54"/>
      <c r="AE253" s="52"/>
      <c r="AF253" s="45"/>
      <c r="AG253" s="45"/>
      <c r="AH253" s="299"/>
    </row>
  </sheetData>
  <autoFilter ref="$A$1:$AF$245"/>
  <customSheetViews>
    <customSheetView guid="{AA96AFEB-C8E2-47D0-ADED-98F2FA1919F2}" filter="1" showAutoFilter="1">
      <autoFilter ref="$A$1:$AF$172"/>
    </customSheetView>
    <customSheetView guid="{D16812C9-6CED-4B7B-9EF5-D37C7B337631}" filter="1" showAutoFilter="1">
      <autoFilter ref="$A$1:$AF$245">
        <filterColumn colId="7">
          <filters>
            <filter val="以下エネミーを記載"/>
            <filter val="UR"/>
          </filters>
        </filterColumn>
      </autoFilter>
    </customSheetView>
    <customSheetView guid="{9DF13CA4-3118-4E81-834F-E8791AD4D91D}" filter="1" showAutoFilter="1">
      <autoFilter ref="$A$1:$AF$253">
        <filterColumn colId="7">
          <filters>
            <filter val="R"/>
          </filters>
        </filterColumn>
      </autoFilter>
    </customSheetView>
  </customSheetViews>
  <mergeCells count="6">
    <mergeCell ref="A173:E174"/>
    <mergeCell ref="F173:J174"/>
    <mergeCell ref="K173:P174"/>
    <mergeCell ref="Q173:U174"/>
    <mergeCell ref="V173:Z174"/>
    <mergeCell ref="AA173:AE174"/>
  </mergeCells>
  <conditionalFormatting sqref="D1:D172 D175:D253">
    <cfRule type="expression" dxfId="0" priority="1">
      <formula>COUNTIF(D:D,D:D)&gt;1</formula>
    </cfRule>
  </conditionalFormatting>
  <dataValidations>
    <dataValidation type="list" allowBlank="1" showErrorMessage="1" sqref="I66">
      <formula1>"PremiumUR,PremiumSSR,PremiumSR,PremiumR,DropSSR,DropSR,DropR"</formula1>
    </dataValidation>
    <dataValidation type="list" allowBlank="1" showErrorMessage="1" sqref="AG65">
      <formula1>"202509010_リリース,202509010_怪獣8号,エネミー使用,202510010_SPY×FAMILY,202510020_ダンダダン,202511010_株式会社マジルミエ,202511015_Black Friday イベント,202511020_【クリスマス】2.5次元の誘惑,202512010_魔都精兵のスレイブ,202501220_【正月】推しの子,202601010_地獄楽,202601020_幼稚園WARS,999999999_リリースキー未定,オミット,プラン確認,202"&amp;"512015_クリスマス"</formula1>
    </dataValidation>
    <dataValidation type="list" allowBlank="1" showErrorMessage="1" sqref="H2:H172 H175:H253">
      <formula1>"UR,SSR,SR,R"</formula1>
    </dataValidation>
    <dataValidation type="list" allowBlank="1" sqref="M43:M45 O43:O45 M50 O50 M52 O52 M54 O54 M58:M61 O58:O61 O144:O172">
      <formula1>"blow,slash,throwing,beam"</formula1>
    </dataValidation>
    <dataValidation type="list" allowBlank="1" showErrorMessage="1" sqref="K2:K3 J4:K172 J175:K253">
      <formula1>"chara,enemy,無,赤,緑,黄,青,調整中"</formula1>
    </dataValidation>
    <dataValidation type="list" allowBlank="1" showErrorMessage="1" sqref="J2:J3">
      <formula1>"chara,enemy,無"</formula1>
    </dataValidation>
    <dataValidation type="list" allowBlank="1" showErrorMessage="1" sqref="I2:I65 I67:I172 I175:I253">
      <formula1>"FestivalUR,PremiumUR,PremiumSSR,PremiumSR,PremiumR,DropSSR,DropSR,DropR"</formula1>
    </dataValidation>
    <dataValidation type="list" allowBlank="1" sqref="M2:M42 O2:O42 M46:M49 O46:O49 M51 O51 M53 O53 M55:M57 O55:O57 O62:O143 M62:M172 M175:M253">
      <formula1>"dageki_1,dageki_2,zangeki_1,shageki_1,-"</formula1>
    </dataValidation>
    <dataValidation type="list" allowBlank="1" showErrorMessage="1" sqref="L2:L172 L175:L253">
      <formula1>"アタック,ディフェンス,サポート,テクニカル,スペシャル,調整中"</formula1>
    </dataValidation>
    <dataValidation type="list" allowBlank="1" showErrorMessage="1" sqref="AG2:AG64 AG66:AG171 AG175:AG243 AG245:AG252">
      <formula1>"202509010_リリース,202509010_怪獣8号,エネミー使用,202510010_SPY×FAMILY,202510020_ダンダダン,202511010_株式会社マジルミエ,202511015_Black Friday イベント,202511020_【クリスマス】2.5次元の誘惑,202512010_魔都精兵のスレイブ,202512020_推しの子＆年末＆正月,202601010_地獄楽,202602010_幼稚園WARS,999999999_リリースキー未定,オミット,プラン確認"</formula1>
    </dataValidation>
  </dataValidations>
  <hyperlinks>
    <hyperlink r:id="rId2" location="gid=2146475190&amp;range=H14" ref="AE2"/>
    <hyperlink r:id="rId3" location="gid=2146475190&amp;range=H14" ref="AE4"/>
    <hyperlink r:id="rId4" location="gid=2146475190&amp;range=H14" ref="AE5"/>
    <hyperlink r:id="rId5" location="gid=2146475190&amp;range=H14" ref="AE6"/>
    <hyperlink r:id="rId6" location="gid=2146475190&amp;range=H14" ref="AE7"/>
    <hyperlink r:id="rId7" location="gid=2146475190&amp;range=H14" ref="AE8"/>
    <hyperlink r:id="rId8" location="gid=2146475190&amp;range=H22" ref="AE9"/>
    <hyperlink r:id="rId9" location="gid=2146475190&amp;range=H22" ref="AE10"/>
    <hyperlink r:id="rId10" location="gid=2146475190&amp;range=H22" ref="AE11"/>
    <hyperlink r:id="rId11" location="gid=2146475190&amp;range=H22" ref="AE12"/>
    <hyperlink r:id="rId12" location="gid=2146475190&amp;range=H31" ref="AE13"/>
    <hyperlink r:id="rId13" location="gid=2146475190&amp;range=H31" ref="AE14"/>
    <hyperlink r:id="rId14" location="gid=2146475190&amp;range=H31" ref="AE15"/>
    <hyperlink r:id="rId15" location="gid=2146475190&amp;range=H31" ref="AE16"/>
    <hyperlink r:id="rId16" location="gid=2146475190&amp;range=H31" ref="AE17"/>
    <hyperlink r:id="rId17" location="gid=2146475190&amp;range=H31" ref="AE18"/>
    <hyperlink r:id="rId18" location="gid=2146475190&amp;range=H31" ref="AE19"/>
    <hyperlink r:id="rId19" location="gid=2146475190&amp;range=H31" ref="AE20"/>
    <hyperlink r:id="rId20" location="gid=2146475190&amp;range=H49" ref="AE23"/>
    <hyperlink r:id="rId21" location="gid=2146475190&amp;range=H49" ref="AE24"/>
    <hyperlink r:id="rId22" location="gid=2146475190&amp;range=H49" ref="AE25"/>
    <hyperlink r:id="rId23" location="gid=2146475190&amp;range=H58" ref="AE31"/>
    <hyperlink r:id="rId24" location="gid=2146475190&amp;range=H58" ref="AE32"/>
    <hyperlink r:id="rId25" location="gid=2146475190&amp;range=H58" ref="AE33"/>
    <hyperlink r:id="rId26" location="gid=2146475190&amp;range=H58" ref="AE34"/>
    <hyperlink r:id="rId27" location="gid=2146475190&amp;range=H67" ref="AE41"/>
    <hyperlink r:id="rId28" location="gid=2146475190&amp;range=H67" ref="AE42"/>
    <hyperlink r:id="rId29" location="gid=2146475190&amp;range=H76" ref="AE46"/>
    <hyperlink r:id="rId30" location="gid=2146475190&amp;range=H76" ref="AE47"/>
    <hyperlink r:id="rId31" location="gid=2146475190&amp;range=H76" ref="AE49"/>
    <hyperlink r:id="rId32" location="gid=2146475190&amp;range=H76" ref="AE51"/>
    <hyperlink r:id="rId33" location="gid=2146475190&amp;range=H76" ref="AE53"/>
    <hyperlink r:id="rId34" location="gid=2146475190&amp;range=H76" ref="AE55"/>
    <hyperlink r:id="rId35" location="gid=2146475190&amp;range=H76" ref="AE56"/>
    <hyperlink r:id="rId36" location="gid=2146475190&amp;range=H76" ref="AE57"/>
    <hyperlink r:id="rId37" location="gid=2146475190&amp;range=H85" ref="AE62"/>
    <hyperlink r:id="rId38" location="gid=2146475190&amp;range=H85" ref="AE64"/>
    <hyperlink r:id="rId39" location="gid=2146475190&amp;range=H85" ref="AE65"/>
    <hyperlink r:id="rId40" location="gid=2146475190&amp;range=H85" ref="AE66"/>
    <hyperlink r:id="rId41" location="gid=2146475190&amp;range=H85" ref="AE67"/>
    <hyperlink r:id="rId42" location="gid=2146475190&amp;range=H85" ref="AE68"/>
    <hyperlink r:id="rId43" location="gid=2146475190&amp;range=H85" ref="AE69"/>
    <hyperlink r:id="rId44" location="gid=2146475190&amp;range=H85" ref="AE70"/>
    <hyperlink r:id="rId45" location="gid=2146475190&amp;range=H85" ref="AE71"/>
    <hyperlink r:id="rId46" location="gid=2146475190&amp;range=H148" ref="AE72"/>
    <hyperlink r:id="rId47" location="gid=2146475190&amp;range=H148" ref="AE73"/>
    <hyperlink r:id="rId48" location="gid=2146475190&amp;range=H148" ref="AE74"/>
    <hyperlink r:id="rId49" location="gid=2146475190&amp;range=H148" ref="AE75"/>
    <hyperlink r:id="rId50" location="gid=2146475190&amp;range=H148" ref="AE76"/>
    <hyperlink r:id="rId51" location="gid=2146475190&amp;range=H94" ref="AE82"/>
    <hyperlink r:id="rId52" location="gid=2146475190&amp;range=H94" ref="AE83"/>
    <hyperlink r:id="rId53" location="gid=2146475190&amp;range=H121" ref="AE84"/>
    <hyperlink r:id="rId54" location="gid=2146475190&amp;range=H121" ref="AE85"/>
    <hyperlink r:id="rId55" location="gid=2146475190&amp;range=H103" ref="AE86"/>
    <hyperlink r:id="rId56" location="gid=2146475190&amp;range=H139" ref="AE89"/>
    <hyperlink r:id="rId57" location="gid=2146475190&amp;range=H139" ref="AE90"/>
    <hyperlink r:id="rId58" location="gid=2146475190&amp;range=H139" ref="AE91"/>
    <hyperlink r:id="rId59" location="gid=2146475190&amp;range=H139" ref="AE92"/>
    <hyperlink r:id="rId60" location="gid=2146475190&amp;range=H112" ref="AE97"/>
    <hyperlink r:id="rId61" location="gid=2146475190&amp;range=H112" ref="AE98"/>
    <hyperlink r:id="rId62" location="gid=2146475190&amp;range=H157" ref="AE103"/>
    <hyperlink r:id="rId63" location="gid=2146475190&amp;range=H157" ref="AE104"/>
    <hyperlink r:id="rId64" location="gid=2146475190&amp;range=H130" ref="AE105"/>
    <hyperlink r:id="rId65" location="gid=2146475190&amp;range=H130" ref="AE106"/>
    <hyperlink r:id="rId66" location="gid=2146475190&amp;range=H130" ref="AE107"/>
    <hyperlink r:id="rId67" location="gid=384572633&amp;range=D37" ref="AE175"/>
    <hyperlink r:id="rId68" location="gid=384572633&amp;range=D37" ref="AE176"/>
    <hyperlink r:id="rId69" location="gid=384572633&amp;range=D5" ref="AE179"/>
    <hyperlink r:id="rId70" location="gid=384572633&amp;range=D5" ref="AE180"/>
    <hyperlink r:id="rId71" location="gid=384572633&amp;range=D5" ref="AE181"/>
    <hyperlink r:id="rId72" location="gid=384572633&amp;range=D5" ref="AE182"/>
    <hyperlink r:id="rId73" location="gid=384572633&amp;range=D25" ref="AE183"/>
    <hyperlink r:id="rId74" location="gid=384572633&amp;range=D25" ref="AE184"/>
    <hyperlink r:id="rId75" location="gid=384572633&amp;range=D25" ref="AE185"/>
    <hyperlink r:id="rId76" location="gid=384572633&amp;range=D25" ref="AE186"/>
    <hyperlink r:id="rId77" location="gid=384572633&amp;range=D25" ref="AE187"/>
    <hyperlink r:id="rId78" location="gid=384572633&amp;range=D25" ref="AE188"/>
    <hyperlink r:id="rId79" location="gid=384572633&amp;range=D25" ref="AE189"/>
    <hyperlink r:id="rId80" location="gid=384572633&amp;range=D25" ref="AE190"/>
    <hyperlink r:id="rId81" location="gid=384572633&amp;range=D25" ref="AE195"/>
    <hyperlink r:id="rId82" location="gid=384572633&amp;range=D25" ref="AE196"/>
    <hyperlink r:id="rId83" location="gid=384572633&amp;range=D25" ref="AE197"/>
    <hyperlink r:id="rId84" location="gid=384572633&amp;range=D25" ref="AE198"/>
    <hyperlink r:id="rId85" location="gid=384572633&amp;range=D25" ref="AE199"/>
    <hyperlink r:id="rId86" location="gid=384572633&amp;range=D33" ref="AE201"/>
    <hyperlink r:id="rId87" location="gid=384572633&amp;range=D33" ref="AE202"/>
    <hyperlink r:id="rId88" location="gid=384572633&amp;range=D33" ref="AE203"/>
    <hyperlink r:id="rId89" location="gid=384572633&amp;range=D9" ref="AE204"/>
    <hyperlink r:id="rId90" location="gid=384572633&amp;range=D9" ref="AE205"/>
    <hyperlink r:id="rId91" location="gid=384572633&amp;range=D9" ref="AE206"/>
    <hyperlink r:id="rId92" location="gid=384572633&amp;range=D9" ref="AE207"/>
    <hyperlink r:id="rId93" location="gid=384572633&amp;range=D9" ref="AE208"/>
    <hyperlink r:id="rId94" location="gid=384572633&amp;range=D13" ref="AE209"/>
    <hyperlink r:id="rId95" location="gid=384572633&amp;range=D13" ref="AE210"/>
    <hyperlink r:id="rId96" location="gid=384572633&amp;range=D17" ref="AE211"/>
    <hyperlink r:id="rId97" location="gid=384572633&amp;range=D17" ref="AE212"/>
    <hyperlink r:id="rId98" location="gid=384572633&amp;range=D17" ref="AE213"/>
    <hyperlink r:id="rId99" location="gid=384572633&amp;range=D17" ref="AE214"/>
    <hyperlink r:id="rId100" location="gid=384572633&amp;range=D17" ref="AE215"/>
    <hyperlink r:id="rId101" location="gid=384572633&amp;range=D17" ref="AE216"/>
    <hyperlink r:id="rId102" location="gid=384572633&amp;range=D17" ref="AE217"/>
    <hyperlink r:id="rId103" location="gid=384572633&amp;range=D29" ref="AE219"/>
    <hyperlink r:id="rId104" location="gid=384572633&amp;range=D29" ref="AE220"/>
    <hyperlink r:id="rId105" location="gid=384572633&amp;range=D29" ref="AE221"/>
    <hyperlink r:id="rId106" location="gid=384572633&amp;range=D29" ref="AE222"/>
    <hyperlink r:id="rId107" location="gid=384572633&amp;range=D21" ref="AE224"/>
    <hyperlink r:id="rId108" location="gid=384572633&amp;range=D21" ref="AE225"/>
    <hyperlink r:id="rId109" location="gid=384572633&amp;range=D21" ref="AE226"/>
  </hyperlinks>
  <drawing r:id="rId110"/>
  <legacyDrawing r:id="rId1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0"/>
    <col customWidth="1" min="3" max="3" width="12.88"/>
    <col customWidth="1" min="4" max="4" width="24.88"/>
    <col customWidth="1" min="5" max="5" width="23.5"/>
    <col customWidth="1" min="6" max="6" width="21.88"/>
    <col customWidth="1" min="7" max="7" width="17.5"/>
    <col customWidth="1" min="11" max="11" width="16.13"/>
    <col customWidth="1" min="12" max="12" width="17.0"/>
  </cols>
  <sheetData>
    <row r="1" ht="15.0" customHeight="1">
      <c r="A1" s="37" t="s">
        <v>290</v>
      </c>
      <c r="B1" s="38" t="s">
        <v>43</v>
      </c>
      <c r="C1" s="39" t="s">
        <v>951</v>
      </c>
      <c r="D1" s="39" t="s">
        <v>966</v>
      </c>
      <c r="E1" s="39" t="s">
        <v>1886</v>
      </c>
      <c r="F1" s="40" t="s">
        <v>292</v>
      </c>
      <c r="G1" s="41" t="s">
        <v>293</v>
      </c>
      <c r="H1" s="300" t="s">
        <v>422</v>
      </c>
      <c r="I1" s="301" t="s">
        <v>956</v>
      </c>
      <c r="J1" s="38" t="s">
        <v>957</v>
      </c>
      <c r="K1" s="42" t="s">
        <v>294</v>
      </c>
      <c r="L1" s="43" t="s">
        <v>295</v>
      </c>
      <c r="M1" s="43" t="s">
        <v>58</v>
      </c>
      <c r="N1" s="38" t="s">
        <v>296</v>
      </c>
    </row>
    <row r="2">
      <c r="A2" s="44" t="s">
        <v>60</v>
      </c>
      <c r="B2" s="45" t="s">
        <v>62</v>
      </c>
      <c r="C2" s="46" t="s">
        <v>973</v>
      </c>
      <c r="D2" s="78" t="str">
        <f>"enemy_icon_chara"&amp;"_"&amp;#REF!&amp;"_"&amp;C2</f>
        <v>#REF!</v>
      </c>
      <c r="E2" s="57" t="s">
        <v>1887</v>
      </c>
      <c r="F2" s="47" t="s">
        <v>298</v>
      </c>
      <c r="G2" s="48"/>
      <c r="H2" s="45" t="s">
        <v>569</v>
      </c>
      <c r="I2" s="55" t="s">
        <v>1888</v>
      </c>
      <c r="J2" s="59" t="s">
        <v>1072</v>
      </c>
      <c r="K2" s="49">
        <v>45658.0</v>
      </c>
      <c r="L2" s="50">
        <v>390812.49998842593</v>
      </c>
      <c r="M2" s="51"/>
      <c r="N2" s="45"/>
    </row>
    <row r="3">
      <c r="A3" s="44" t="s">
        <v>60</v>
      </c>
      <c r="B3" s="45" t="s">
        <v>62</v>
      </c>
      <c r="C3" s="46" t="s">
        <v>990</v>
      </c>
      <c r="D3" s="57" t="s">
        <v>1889</v>
      </c>
      <c r="E3" s="57" t="s">
        <v>1890</v>
      </c>
      <c r="F3" s="47" t="s">
        <v>300</v>
      </c>
      <c r="G3" s="48"/>
      <c r="H3" s="45" t="s">
        <v>993</v>
      </c>
      <c r="I3" s="55" t="s">
        <v>1888</v>
      </c>
      <c r="J3" s="59" t="s">
        <v>1072</v>
      </c>
      <c r="K3" s="49">
        <v>45658.0</v>
      </c>
      <c r="L3" s="50">
        <v>390812.49998842593</v>
      </c>
      <c r="M3" s="51"/>
      <c r="N3" s="45"/>
    </row>
    <row r="4">
      <c r="A4" s="44" t="s">
        <v>60</v>
      </c>
      <c r="B4" s="45" t="s">
        <v>62</v>
      </c>
      <c r="C4" s="46" t="s">
        <v>1001</v>
      </c>
      <c r="D4" s="57" t="s">
        <v>1891</v>
      </c>
      <c r="E4" s="57" t="s">
        <v>1892</v>
      </c>
      <c r="F4" s="47" t="s">
        <v>302</v>
      </c>
      <c r="G4" s="52"/>
      <c r="H4" s="45" t="s">
        <v>1028</v>
      </c>
      <c r="I4" s="55" t="s">
        <v>1888</v>
      </c>
      <c r="J4" s="59" t="s">
        <v>1005</v>
      </c>
      <c r="K4" s="49">
        <v>45658.0</v>
      </c>
      <c r="L4" s="50">
        <v>390812.49998842593</v>
      </c>
      <c r="M4" s="51"/>
      <c r="N4" s="45"/>
    </row>
    <row r="5">
      <c r="A5" s="44" t="s">
        <v>60</v>
      </c>
      <c r="B5" s="45" t="s">
        <v>62</v>
      </c>
      <c r="C5" s="46" t="s">
        <v>1014</v>
      </c>
      <c r="D5" s="57" t="s">
        <v>1893</v>
      </c>
      <c r="E5" s="57" t="s">
        <v>1894</v>
      </c>
      <c r="F5" s="47" t="s">
        <v>304</v>
      </c>
      <c r="G5" s="52"/>
      <c r="H5" s="45" t="s">
        <v>1028</v>
      </c>
      <c r="I5" s="55" t="s">
        <v>1888</v>
      </c>
      <c r="J5" s="59" t="s">
        <v>1005</v>
      </c>
      <c r="K5" s="49">
        <v>45658.0</v>
      </c>
      <c r="L5" s="50">
        <v>390812.49998842593</v>
      </c>
      <c r="M5" s="51"/>
      <c r="N5" s="45"/>
    </row>
    <row r="6">
      <c r="A6" s="44" t="s">
        <v>60</v>
      </c>
      <c r="B6" s="45" t="s">
        <v>62</v>
      </c>
      <c r="C6" s="46" t="s">
        <v>1026</v>
      </c>
      <c r="D6" s="57" t="s">
        <v>1895</v>
      </c>
      <c r="E6" s="57" t="s">
        <v>1896</v>
      </c>
      <c r="F6" s="47" t="s">
        <v>306</v>
      </c>
      <c r="G6" s="52"/>
      <c r="H6" s="45" t="s">
        <v>1057</v>
      </c>
      <c r="I6" s="55" t="s">
        <v>1888</v>
      </c>
      <c r="J6" s="59" t="s">
        <v>1005</v>
      </c>
      <c r="K6" s="49">
        <v>45658.0</v>
      </c>
      <c r="L6" s="50">
        <v>390812.49998842593</v>
      </c>
      <c r="M6" s="51"/>
      <c r="N6" s="45"/>
    </row>
    <row r="7">
      <c r="A7" s="44" t="s">
        <v>60</v>
      </c>
      <c r="B7" s="45" t="s">
        <v>62</v>
      </c>
      <c r="C7" s="46" t="s">
        <v>1034</v>
      </c>
      <c r="D7" s="57" t="s">
        <v>1897</v>
      </c>
      <c r="E7" s="57" t="s">
        <v>1898</v>
      </c>
      <c r="F7" s="47" t="s">
        <v>308</v>
      </c>
      <c r="G7" s="52"/>
      <c r="H7" s="45" t="s">
        <v>569</v>
      </c>
      <c r="I7" s="55" t="s">
        <v>1888</v>
      </c>
      <c r="J7" s="59" t="s">
        <v>1037</v>
      </c>
      <c r="K7" s="49">
        <v>45658.0</v>
      </c>
      <c r="L7" s="50">
        <v>390812.49998842593</v>
      </c>
      <c r="M7" s="51"/>
      <c r="N7" s="45"/>
    </row>
    <row r="8">
      <c r="A8" s="44" t="s">
        <v>60</v>
      </c>
      <c r="B8" s="53" t="s">
        <v>62</v>
      </c>
      <c r="C8" s="46" t="s">
        <v>973</v>
      </c>
      <c r="D8" s="57" t="s">
        <v>1899</v>
      </c>
      <c r="E8" s="57" t="s">
        <v>1900</v>
      </c>
      <c r="F8" s="47" t="s">
        <v>1901</v>
      </c>
      <c r="G8" s="52"/>
      <c r="H8" s="52"/>
      <c r="I8" s="89" t="s">
        <v>1902</v>
      </c>
      <c r="J8" s="59" t="s">
        <v>1005</v>
      </c>
      <c r="K8" s="49">
        <v>45658.0</v>
      </c>
      <c r="L8" s="50">
        <v>390812.49998842593</v>
      </c>
      <c r="M8" s="54"/>
      <c r="N8" s="45"/>
    </row>
    <row r="9">
      <c r="A9" s="44" t="s">
        <v>60</v>
      </c>
      <c r="B9" s="53" t="s">
        <v>62</v>
      </c>
      <c r="C9" s="46" t="s">
        <v>990</v>
      </c>
      <c r="D9" s="57" t="s">
        <v>1903</v>
      </c>
      <c r="E9" s="57" t="s">
        <v>1904</v>
      </c>
      <c r="F9" s="47" t="s">
        <v>1905</v>
      </c>
      <c r="G9" s="52"/>
      <c r="H9" s="52"/>
      <c r="I9" s="89" t="s">
        <v>1902</v>
      </c>
      <c r="J9" s="59" t="s">
        <v>1037</v>
      </c>
      <c r="K9" s="49">
        <v>45658.0</v>
      </c>
      <c r="L9" s="50">
        <v>390812.49998842593</v>
      </c>
      <c r="M9" s="54"/>
      <c r="N9" s="45"/>
    </row>
    <row r="10">
      <c r="A10" s="44" t="s">
        <v>60</v>
      </c>
      <c r="B10" s="53" t="s">
        <v>62</v>
      </c>
      <c r="C10" s="46" t="s">
        <v>1267</v>
      </c>
      <c r="D10" s="57" t="s">
        <v>1906</v>
      </c>
      <c r="E10" s="57" t="s">
        <v>1907</v>
      </c>
      <c r="F10" s="47" t="s">
        <v>1908</v>
      </c>
      <c r="G10" s="52"/>
      <c r="H10" s="52"/>
      <c r="I10" s="89" t="s">
        <v>1902</v>
      </c>
      <c r="J10" s="59" t="s">
        <v>1005</v>
      </c>
      <c r="K10" s="49">
        <v>45658.0</v>
      </c>
      <c r="L10" s="50">
        <v>390812.49998842593</v>
      </c>
      <c r="M10" s="54"/>
      <c r="N10" s="45"/>
    </row>
    <row r="11">
      <c r="A11" s="44" t="s">
        <v>60</v>
      </c>
      <c r="B11" s="53" t="s">
        <v>62</v>
      </c>
      <c r="C11" s="46" t="s">
        <v>1878</v>
      </c>
      <c r="D11" s="57" t="s">
        <v>1909</v>
      </c>
      <c r="E11" s="57" t="s">
        <v>1910</v>
      </c>
      <c r="F11" s="47" t="s">
        <v>1911</v>
      </c>
      <c r="G11" s="52"/>
      <c r="H11" s="52"/>
      <c r="I11" s="89" t="s">
        <v>1902</v>
      </c>
      <c r="J11" s="59" t="s">
        <v>1005</v>
      </c>
      <c r="K11" s="49">
        <v>45658.0</v>
      </c>
      <c r="L11" s="50">
        <v>390812.49998842593</v>
      </c>
      <c r="M11" s="54"/>
      <c r="N11" s="45"/>
    </row>
    <row r="12">
      <c r="A12" s="44" t="s">
        <v>60</v>
      </c>
      <c r="B12" s="53" t="s">
        <v>62</v>
      </c>
      <c r="C12" s="46" t="s">
        <v>1880</v>
      </c>
      <c r="D12" s="57" t="s">
        <v>1912</v>
      </c>
      <c r="E12" s="57" t="s">
        <v>1913</v>
      </c>
      <c r="F12" s="47" t="s">
        <v>1914</v>
      </c>
      <c r="G12" s="52"/>
      <c r="H12" s="52"/>
      <c r="I12" s="89" t="s">
        <v>1902</v>
      </c>
      <c r="J12" s="59" t="s">
        <v>1005</v>
      </c>
      <c r="K12" s="49">
        <v>45658.0</v>
      </c>
      <c r="L12" s="50">
        <v>390812.49998842593</v>
      </c>
      <c r="M12" s="54"/>
      <c r="N12" s="45"/>
    </row>
    <row r="13">
      <c r="A13" s="44" t="s">
        <v>60</v>
      </c>
      <c r="B13" s="53" t="s">
        <v>62</v>
      </c>
      <c r="C13" s="46" t="s">
        <v>1882</v>
      </c>
      <c r="D13" s="57" t="s">
        <v>1915</v>
      </c>
      <c r="E13" s="57" t="s">
        <v>1916</v>
      </c>
      <c r="F13" s="47" t="s">
        <v>1917</v>
      </c>
      <c r="G13" s="52"/>
      <c r="H13" s="52"/>
      <c r="I13" s="89" t="s">
        <v>1902</v>
      </c>
      <c r="J13" s="59" t="s">
        <v>1005</v>
      </c>
      <c r="K13" s="49">
        <v>45658.0</v>
      </c>
      <c r="L13" s="50">
        <v>390812.49998842593</v>
      </c>
      <c r="M13" s="54"/>
      <c r="N13" s="45"/>
    </row>
    <row r="14">
      <c r="A14" s="44" t="s">
        <v>68</v>
      </c>
      <c r="B14" s="53" t="s">
        <v>70</v>
      </c>
      <c r="C14" s="46" t="s">
        <v>973</v>
      </c>
      <c r="D14" s="57" t="s">
        <v>1918</v>
      </c>
      <c r="E14" s="57" t="s">
        <v>1919</v>
      </c>
      <c r="F14" s="47" t="s">
        <v>310</v>
      </c>
      <c r="G14" s="52"/>
      <c r="H14" s="52"/>
      <c r="I14" s="54"/>
      <c r="J14" s="54"/>
      <c r="K14" s="49">
        <v>45658.0</v>
      </c>
      <c r="L14" s="50">
        <v>390812.49998842593</v>
      </c>
      <c r="M14" s="54"/>
      <c r="N14" s="45"/>
    </row>
    <row r="15">
      <c r="A15" s="44" t="s">
        <v>68</v>
      </c>
      <c r="B15" s="53" t="s">
        <v>70</v>
      </c>
      <c r="C15" s="46" t="s">
        <v>1001</v>
      </c>
      <c r="D15" s="57" t="s">
        <v>1920</v>
      </c>
      <c r="E15" s="57" t="s">
        <v>1921</v>
      </c>
      <c r="F15" s="47" t="s">
        <v>312</v>
      </c>
      <c r="G15" s="52"/>
      <c r="H15" s="52"/>
      <c r="I15" s="54"/>
      <c r="J15" s="54"/>
      <c r="K15" s="49">
        <v>45658.0</v>
      </c>
      <c r="L15" s="50">
        <v>390812.49998842593</v>
      </c>
      <c r="M15" s="54"/>
      <c r="N15" s="45"/>
    </row>
    <row r="16">
      <c r="A16" s="44" t="s">
        <v>75</v>
      </c>
      <c r="B16" s="53" t="s">
        <v>77</v>
      </c>
      <c r="C16" s="46" t="s">
        <v>973</v>
      </c>
      <c r="D16" s="57" t="s">
        <v>1922</v>
      </c>
      <c r="E16" s="57" t="s">
        <v>1923</v>
      </c>
      <c r="F16" s="47" t="s">
        <v>314</v>
      </c>
      <c r="G16" s="52"/>
      <c r="H16" s="52"/>
      <c r="I16" s="54"/>
      <c r="J16" s="54"/>
      <c r="K16" s="49">
        <v>45658.0</v>
      </c>
      <c r="L16" s="50">
        <v>390812.49998842593</v>
      </c>
      <c r="M16" s="54"/>
      <c r="N16" s="45"/>
    </row>
    <row r="17">
      <c r="A17" s="44" t="s">
        <v>75</v>
      </c>
      <c r="B17" s="53" t="s">
        <v>77</v>
      </c>
      <c r="C17" s="46" t="s">
        <v>1001</v>
      </c>
      <c r="D17" s="57" t="s">
        <v>1924</v>
      </c>
      <c r="E17" s="57" t="s">
        <v>1925</v>
      </c>
      <c r="F17" s="47" t="s">
        <v>316</v>
      </c>
      <c r="G17" s="52"/>
      <c r="H17" s="52"/>
      <c r="I17" s="54"/>
      <c r="J17" s="54"/>
      <c r="K17" s="49">
        <v>45658.0</v>
      </c>
      <c r="L17" s="50">
        <v>390812.49998842593</v>
      </c>
      <c r="M17" s="54"/>
      <c r="N17" s="45"/>
    </row>
    <row r="18">
      <c r="A18" s="44" t="s">
        <v>75</v>
      </c>
      <c r="B18" s="53" t="s">
        <v>77</v>
      </c>
      <c r="C18" s="46" t="s">
        <v>1014</v>
      </c>
      <c r="D18" s="57" t="s">
        <v>1926</v>
      </c>
      <c r="E18" s="57" t="s">
        <v>1927</v>
      </c>
      <c r="F18" s="47" t="s">
        <v>318</v>
      </c>
      <c r="G18" s="52"/>
      <c r="H18" s="52"/>
      <c r="I18" s="54"/>
      <c r="J18" s="54"/>
      <c r="K18" s="49">
        <v>45658.0</v>
      </c>
      <c r="L18" s="50">
        <v>390812.49998842593</v>
      </c>
      <c r="M18" s="54"/>
      <c r="N18" s="45"/>
    </row>
    <row r="19">
      <c r="A19" s="44" t="s">
        <v>80</v>
      </c>
      <c r="B19" s="53" t="s">
        <v>82</v>
      </c>
      <c r="C19" s="46" t="s">
        <v>973</v>
      </c>
      <c r="D19" s="57" t="s">
        <v>1928</v>
      </c>
      <c r="E19" s="57" t="s">
        <v>1929</v>
      </c>
      <c r="F19" s="47" t="s">
        <v>320</v>
      </c>
      <c r="G19" s="52"/>
      <c r="H19" s="52"/>
      <c r="I19" s="54"/>
      <c r="J19" s="54"/>
      <c r="K19" s="49">
        <v>45658.0</v>
      </c>
      <c r="L19" s="50">
        <v>390812.49998842593</v>
      </c>
      <c r="M19" s="54"/>
      <c r="N19" s="45"/>
    </row>
    <row r="20">
      <c r="A20" s="44" t="s">
        <v>80</v>
      </c>
      <c r="B20" s="53" t="s">
        <v>82</v>
      </c>
      <c r="C20" s="46" t="s">
        <v>990</v>
      </c>
      <c r="D20" s="57" t="s">
        <v>1930</v>
      </c>
      <c r="E20" s="57" t="s">
        <v>1931</v>
      </c>
      <c r="F20" s="47" t="s">
        <v>322</v>
      </c>
      <c r="G20" s="52"/>
      <c r="H20" s="52"/>
      <c r="I20" s="54"/>
      <c r="J20" s="54"/>
      <c r="K20" s="49">
        <v>45658.0</v>
      </c>
      <c r="L20" s="50">
        <v>390812.49998842593</v>
      </c>
      <c r="M20" s="54"/>
      <c r="N20" s="45"/>
    </row>
    <row r="21">
      <c r="A21" s="44" t="s">
        <v>80</v>
      </c>
      <c r="B21" s="53" t="s">
        <v>82</v>
      </c>
      <c r="C21" s="46" t="s">
        <v>1001</v>
      </c>
      <c r="D21" s="57" t="s">
        <v>1932</v>
      </c>
      <c r="E21" s="57" t="s">
        <v>1933</v>
      </c>
      <c r="F21" s="47" t="s">
        <v>324</v>
      </c>
      <c r="G21" s="52"/>
      <c r="H21" s="52"/>
      <c r="I21" s="54"/>
      <c r="J21" s="54"/>
      <c r="K21" s="49">
        <v>45658.0</v>
      </c>
      <c r="L21" s="50">
        <v>390812.49998842593</v>
      </c>
      <c r="M21" s="54"/>
      <c r="N21" s="45"/>
    </row>
    <row r="22">
      <c r="A22" s="44" t="s">
        <v>80</v>
      </c>
      <c r="B22" s="53" t="s">
        <v>82</v>
      </c>
      <c r="C22" s="46" t="s">
        <v>1014</v>
      </c>
      <c r="D22" s="57" t="s">
        <v>1934</v>
      </c>
      <c r="E22" s="57" t="s">
        <v>1935</v>
      </c>
      <c r="F22" s="47" t="s">
        <v>326</v>
      </c>
      <c r="G22" s="52"/>
      <c r="H22" s="52"/>
      <c r="I22" s="54"/>
      <c r="J22" s="54"/>
      <c r="K22" s="49">
        <v>45658.0</v>
      </c>
      <c r="L22" s="50">
        <v>390812.49998842593</v>
      </c>
      <c r="M22" s="54"/>
      <c r="N22" s="45"/>
    </row>
    <row r="23">
      <c r="A23" s="44" t="s">
        <v>80</v>
      </c>
      <c r="B23" s="53" t="s">
        <v>82</v>
      </c>
      <c r="C23" s="46" t="s">
        <v>973</v>
      </c>
      <c r="D23" s="57" t="s">
        <v>1936</v>
      </c>
      <c r="E23" s="57" t="s">
        <v>1937</v>
      </c>
      <c r="F23" s="47" t="s">
        <v>1938</v>
      </c>
      <c r="G23" s="52"/>
      <c r="H23" s="52"/>
      <c r="I23" s="54"/>
      <c r="J23" s="54"/>
      <c r="K23" s="49">
        <v>45658.0</v>
      </c>
      <c r="L23" s="50">
        <v>390812.49998842593</v>
      </c>
      <c r="M23" s="54"/>
      <c r="N23" s="45"/>
    </row>
    <row r="24">
      <c r="A24" s="44" t="s">
        <v>80</v>
      </c>
      <c r="B24" s="53" t="s">
        <v>82</v>
      </c>
      <c r="C24" s="46" t="s">
        <v>990</v>
      </c>
      <c r="D24" s="57" t="s">
        <v>1939</v>
      </c>
      <c r="E24" s="57" t="s">
        <v>1940</v>
      </c>
      <c r="F24" s="47" t="s">
        <v>1941</v>
      </c>
      <c r="G24" s="52"/>
      <c r="H24" s="52"/>
      <c r="I24" s="54"/>
      <c r="J24" s="54"/>
      <c r="K24" s="49">
        <v>45658.0</v>
      </c>
      <c r="L24" s="50">
        <v>390812.49998842593</v>
      </c>
      <c r="M24" s="54"/>
      <c r="N24" s="45"/>
    </row>
    <row r="25">
      <c r="A25" s="44" t="s">
        <v>87</v>
      </c>
      <c r="B25" s="53" t="s">
        <v>89</v>
      </c>
      <c r="C25" s="46" t="s">
        <v>973</v>
      </c>
      <c r="D25" s="57" t="s">
        <v>1942</v>
      </c>
      <c r="E25" s="57" t="s">
        <v>1943</v>
      </c>
      <c r="F25" s="47" t="s">
        <v>328</v>
      </c>
      <c r="G25" s="52"/>
      <c r="H25" s="52"/>
      <c r="I25" s="54"/>
      <c r="J25" s="54"/>
      <c r="K25" s="49">
        <v>45658.0</v>
      </c>
      <c r="L25" s="50">
        <v>390812.49998842593</v>
      </c>
      <c r="M25" s="54"/>
      <c r="N25" s="45"/>
    </row>
    <row r="26">
      <c r="A26" s="44" t="s">
        <v>87</v>
      </c>
      <c r="B26" s="53" t="s">
        <v>89</v>
      </c>
      <c r="C26" s="46" t="s">
        <v>1001</v>
      </c>
      <c r="D26" s="57" t="s">
        <v>1944</v>
      </c>
      <c r="E26" s="57" t="s">
        <v>1945</v>
      </c>
      <c r="F26" s="47" t="s">
        <v>330</v>
      </c>
      <c r="G26" s="52"/>
      <c r="H26" s="52"/>
      <c r="I26" s="54"/>
      <c r="J26" s="54"/>
      <c r="K26" s="49">
        <v>45658.0</v>
      </c>
      <c r="L26" s="50">
        <v>390812.49998842593</v>
      </c>
      <c r="M26" s="54"/>
      <c r="N26" s="45"/>
    </row>
    <row r="27">
      <c r="A27" s="44" t="s">
        <v>87</v>
      </c>
      <c r="B27" s="53" t="s">
        <v>89</v>
      </c>
      <c r="C27" s="46" t="s">
        <v>973</v>
      </c>
      <c r="D27" s="57" t="s">
        <v>1946</v>
      </c>
      <c r="E27" s="57" t="s">
        <v>1947</v>
      </c>
      <c r="F27" s="47" t="s">
        <v>1948</v>
      </c>
      <c r="G27" s="52"/>
      <c r="H27" s="52"/>
      <c r="I27" s="54"/>
      <c r="J27" s="54"/>
      <c r="K27" s="49">
        <v>45658.0</v>
      </c>
      <c r="L27" s="50">
        <v>390812.49998842593</v>
      </c>
      <c r="M27" s="54"/>
      <c r="N27" s="45"/>
    </row>
    <row r="28">
      <c r="A28" s="44" t="s">
        <v>87</v>
      </c>
      <c r="B28" s="53" t="s">
        <v>89</v>
      </c>
      <c r="C28" s="46" t="s">
        <v>990</v>
      </c>
      <c r="D28" s="57" t="s">
        <v>1949</v>
      </c>
      <c r="E28" s="57" t="s">
        <v>1950</v>
      </c>
      <c r="F28" s="47" t="s">
        <v>1778</v>
      </c>
      <c r="G28" s="52"/>
      <c r="H28" s="52"/>
      <c r="I28" s="54"/>
      <c r="J28" s="54"/>
      <c r="K28" s="49">
        <v>45658.0</v>
      </c>
      <c r="L28" s="50">
        <v>390812.49998842593</v>
      </c>
      <c r="M28" s="54"/>
      <c r="N28" s="45"/>
    </row>
    <row r="29">
      <c r="A29" s="44" t="s">
        <v>92</v>
      </c>
      <c r="B29" s="53" t="s">
        <v>331</v>
      </c>
      <c r="C29" s="46" t="s">
        <v>973</v>
      </c>
      <c r="D29" s="57" t="s">
        <v>1951</v>
      </c>
      <c r="E29" s="57" t="s">
        <v>1952</v>
      </c>
      <c r="F29" s="47" t="s">
        <v>333</v>
      </c>
      <c r="G29" s="52"/>
      <c r="H29" s="52"/>
      <c r="I29" s="54"/>
      <c r="J29" s="54"/>
      <c r="K29" s="49">
        <v>45658.0</v>
      </c>
      <c r="L29" s="50">
        <v>390812.49998842593</v>
      </c>
      <c r="M29" s="54"/>
      <c r="N29" s="45"/>
    </row>
    <row r="30">
      <c r="A30" s="44" t="s">
        <v>92</v>
      </c>
      <c r="B30" s="53" t="s">
        <v>331</v>
      </c>
      <c r="C30" s="46" t="s">
        <v>990</v>
      </c>
      <c r="D30" s="57" t="s">
        <v>1953</v>
      </c>
      <c r="E30" s="57" t="s">
        <v>1954</v>
      </c>
      <c r="F30" s="47" t="s">
        <v>335</v>
      </c>
      <c r="G30" s="52"/>
      <c r="H30" s="52"/>
      <c r="I30" s="54"/>
      <c r="J30" s="54"/>
      <c r="K30" s="49">
        <v>45658.0</v>
      </c>
      <c r="L30" s="50">
        <v>390812.49998842593</v>
      </c>
      <c r="M30" s="54"/>
      <c r="N30" s="45"/>
    </row>
    <row r="31">
      <c r="A31" s="44" t="s">
        <v>92</v>
      </c>
      <c r="B31" s="53" t="s">
        <v>331</v>
      </c>
      <c r="C31" s="46" t="s">
        <v>1001</v>
      </c>
      <c r="D31" s="57" t="s">
        <v>1955</v>
      </c>
      <c r="E31" s="57" t="s">
        <v>1956</v>
      </c>
      <c r="F31" s="47" t="s">
        <v>337</v>
      </c>
      <c r="G31" s="52"/>
      <c r="H31" s="52"/>
      <c r="I31" s="54"/>
      <c r="J31" s="54"/>
      <c r="K31" s="49">
        <v>45658.0</v>
      </c>
      <c r="L31" s="50">
        <v>390812.49998842593</v>
      </c>
      <c r="M31" s="54"/>
      <c r="N31" s="45"/>
    </row>
    <row r="32">
      <c r="A32" s="44" t="s">
        <v>92</v>
      </c>
      <c r="B32" s="53" t="s">
        <v>331</v>
      </c>
      <c r="C32" s="46" t="s">
        <v>973</v>
      </c>
      <c r="D32" s="57" t="s">
        <v>1957</v>
      </c>
      <c r="E32" s="57" t="s">
        <v>1958</v>
      </c>
      <c r="F32" s="47" t="s">
        <v>1779</v>
      </c>
      <c r="G32" s="52"/>
      <c r="H32" s="52"/>
      <c r="I32" s="54"/>
      <c r="J32" s="54"/>
      <c r="K32" s="49">
        <v>45658.0</v>
      </c>
      <c r="L32" s="50">
        <v>390812.49998842593</v>
      </c>
      <c r="M32" s="54"/>
      <c r="N32" s="45"/>
    </row>
    <row r="33">
      <c r="A33" s="44" t="s">
        <v>92</v>
      </c>
      <c r="B33" s="53" t="s">
        <v>331</v>
      </c>
      <c r="C33" s="46" t="s">
        <v>990</v>
      </c>
      <c r="D33" s="57" t="s">
        <v>1959</v>
      </c>
      <c r="E33" s="57" t="s">
        <v>1960</v>
      </c>
      <c r="F33" s="47" t="s">
        <v>1782</v>
      </c>
      <c r="G33" s="52"/>
      <c r="H33" s="52"/>
      <c r="I33" s="54"/>
      <c r="J33" s="54"/>
      <c r="K33" s="49">
        <v>45658.0</v>
      </c>
      <c r="L33" s="50">
        <v>390812.49998842593</v>
      </c>
      <c r="M33" s="54"/>
      <c r="N33" s="45"/>
    </row>
    <row r="34">
      <c r="A34" s="44" t="s">
        <v>109</v>
      </c>
      <c r="B34" s="53" t="s">
        <v>111</v>
      </c>
      <c r="C34" s="46" t="s">
        <v>973</v>
      </c>
      <c r="D34" s="57" t="s">
        <v>1961</v>
      </c>
      <c r="E34" s="57" t="s">
        <v>1962</v>
      </c>
      <c r="F34" s="47" t="s">
        <v>339</v>
      </c>
      <c r="G34" s="52"/>
      <c r="H34" s="52"/>
      <c r="I34" s="54"/>
      <c r="J34" s="54"/>
      <c r="K34" s="49">
        <v>45658.0</v>
      </c>
      <c r="L34" s="50">
        <v>390812.49998842593</v>
      </c>
      <c r="M34" s="54"/>
      <c r="N34" s="45"/>
    </row>
    <row r="35">
      <c r="A35" s="44" t="s">
        <v>109</v>
      </c>
      <c r="B35" s="53" t="s">
        <v>111</v>
      </c>
      <c r="C35" s="46" t="s">
        <v>1001</v>
      </c>
      <c r="D35" s="57" t="s">
        <v>1963</v>
      </c>
      <c r="E35" s="57" t="s">
        <v>1964</v>
      </c>
      <c r="F35" s="47" t="s">
        <v>341</v>
      </c>
      <c r="G35" s="52"/>
      <c r="H35" s="52"/>
      <c r="I35" s="54"/>
      <c r="J35" s="54"/>
      <c r="K35" s="49">
        <v>45658.0</v>
      </c>
      <c r="L35" s="50">
        <v>390812.49998842593</v>
      </c>
      <c r="M35" s="54"/>
      <c r="N35" s="45"/>
    </row>
    <row r="36">
      <c r="A36" s="44" t="s">
        <v>115</v>
      </c>
      <c r="B36" s="53" t="s">
        <v>117</v>
      </c>
      <c r="C36" s="46" t="s">
        <v>973</v>
      </c>
      <c r="D36" s="57" t="s">
        <v>1965</v>
      </c>
      <c r="E36" s="57" t="s">
        <v>1966</v>
      </c>
      <c r="F36" s="47" t="s">
        <v>343</v>
      </c>
      <c r="G36" s="52"/>
      <c r="H36" s="52"/>
      <c r="I36" s="54"/>
      <c r="J36" s="54"/>
      <c r="K36" s="49">
        <v>45658.0</v>
      </c>
      <c r="L36" s="50">
        <v>390812.49998842593</v>
      </c>
      <c r="M36" s="54"/>
      <c r="N36" s="45"/>
    </row>
    <row r="37">
      <c r="A37" s="44" t="s">
        <v>115</v>
      </c>
      <c r="B37" s="53" t="s">
        <v>117</v>
      </c>
      <c r="C37" s="46" t="s">
        <v>990</v>
      </c>
      <c r="D37" s="57" t="s">
        <v>1967</v>
      </c>
      <c r="E37" s="57" t="s">
        <v>1968</v>
      </c>
      <c r="F37" s="47" t="s">
        <v>345</v>
      </c>
      <c r="G37" s="52"/>
      <c r="H37" s="52"/>
      <c r="I37" s="54"/>
      <c r="J37" s="54"/>
      <c r="K37" s="49">
        <v>45658.0</v>
      </c>
      <c r="L37" s="50">
        <v>390812.49998842593</v>
      </c>
      <c r="M37" s="54"/>
      <c r="N37" s="45"/>
    </row>
    <row r="38">
      <c r="A38" s="44" t="s">
        <v>115</v>
      </c>
      <c r="B38" s="53" t="s">
        <v>117</v>
      </c>
      <c r="C38" s="46" t="s">
        <v>1001</v>
      </c>
      <c r="D38" s="78" t="s">
        <v>1969</v>
      </c>
      <c r="E38" s="78" t="s">
        <v>1970</v>
      </c>
      <c r="F38" s="47" t="s">
        <v>347</v>
      </c>
      <c r="G38" s="52"/>
      <c r="H38" s="52"/>
      <c r="I38" s="54"/>
      <c r="J38" s="54"/>
      <c r="K38" s="49">
        <v>45658.0</v>
      </c>
      <c r="L38" s="50">
        <v>390812.49998842593</v>
      </c>
      <c r="M38" s="54"/>
      <c r="N38" s="45"/>
    </row>
    <row r="39">
      <c r="A39" s="44" t="s">
        <v>115</v>
      </c>
      <c r="B39" s="53" t="s">
        <v>117</v>
      </c>
      <c r="C39" s="46" t="s">
        <v>1014</v>
      </c>
      <c r="D39" s="78" t="s">
        <v>1971</v>
      </c>
      <c r="E39" s="78" t="s">
        <v>1972</v>
      </c>
      <c r="F39" s="47" t="s">
        <v>349</v>
      </c>
      <c r="G39" s="52"/>
      <c r="H39" s="52"/>
      <c r="I39" s="54"/>
      <c r="J39" s="54"/>
      <c r="K39" s="49">
        <v>45658.0</v>
      </c>
      <c r="L39" s="50">
        <v>390812.49998842593</v>
      </c>
      <c r="M39" s="54"/>
      <c r="N39" s="45"/>
    </row>
    <row r="40">
      <c r="A40" s="44" t="s">
        <v>115</v>
      </c>
      <c r="B40" s="53" t="s">
        <v>117</v>
      </c>
      <c r="C40" s="46" t="s">
        <v>1026</v>
      </c>
      <c r="D40" s="78" t="s">
        <v>1973</v>
      </c>
      <c r="E40" s="78" t="s">
        <v>1974</v>
      </c>
      <c r="F40" s="47" t="s">
        <v>351</v>
      </c>
      <c r="G40" s="52"/>
      <c r="H40" s="52"/>
      <c r="I40" s="54"/>
      <c r="J40" s="54"/>
      <c r="K40" s="49">
        <v>45658.0</v>
      </c>
      <c r="L40" s="50">
        <v>390812.49998842593</v>
      </c>
      <c r="M40" s="54"/>
      <c r="N40" s="45"/>
    </row>
    <row r="41">
      <c r="A41" s="44" t="s">
        <v>115</v>
      </c>
      <c r="B41" s="53" t="s">
        <v>117</v>
      </c>
      <c r="C41" s="46" t="s">
        <v>973</v>
      </c>
      <c r="D41" s="57" t="s">
        <v>1975</v>
      </c>
      <c r="E41" s="57" t="s">
        <v>1976</v>
      </c>
      <c r="F41" s="47" t="s">
        <v>1977</v>
      </c>
      <c r="G41" s="52"/>
      <c r="H41" s="52"/>
      <c r="I41" s="54"/>
      <c r="J41" s="54"/>
      <c r="K41" s="49">
        <v>45658.0</v>
      </c>
      <c r="L41" s="50">
        <v>390812.49998842593</v>
      </c>
      <c r="M41" s="54"/>
      <c r="N41" s="45"/>
    </row>
    <row r="42">
      <c r="A42" s="44" t="s">
        <v>115</v>
      </c>
      <c r="B42" s="53" t="s">
        <v>117</v>
      </c>
      <c r="C42" s="46" t="s">
        <v>990</v>
      </c>
      <c r="D42" s="57" t="s">
        <v>1978</v>
      </c>
      <c r="E42" s="57" t="s">
        <v>1979</v>
      </c>
      <c r="F42" s="47" t="s">
        <v>1980</v>
      </c>
      <c r="G42" s="52"/>
      <c r="H42" s="52"/>
      <c r="I42" s="54"/>
      <c r="J42" s="54"/>
      <c r="K42" s="49">
        <v>45658.0</v>
      </c>
      <c r="L42" s="50">
        <v>390812.49998842593</v>
      </c>
      <c r="M42" s="54"/>
      <c r="N42" s="45"/>
    </row>
    <row r="43">
      <c r="A43" s="44" t="s">
        <v>115</v>
      </c>
      <c r="B43" s="53" t="s">
        <v>117</v>
      </c>
      <c r="C43" s="46" t="s">
        <v>1267</v>
      </c>
      <c r="D43" s="57" t="s">
        <v>1981</v>
      </c>
      <c r="E43" s="57" t="s">
        <v>1982</v>
      </c>
      <c r="F43" s="47" t="s">
        <v>353</v>
      </c>
      <c r="G43" s="52"/>
      <c r="H43" s="52"/>
      <c r="I43" s="54"/>
      <c r="J43" s="54"/>
      <c r="K43" s="49">
        <v>45658.0</v>
      </c>
      <c r="L43" s="50">
        <v>390812.49998842593</v>
      </c>
      <c r="M43" s="54"/>
      <c r="N43" s="45"/>
    </row>
    <row r="44">
      <c r="A44" s="44" t="s">
        <v>121</v>
      </c>
      <c r="B44" s="53" t="s">
        <v>123</v>
      </c>
      <c r="C44" s="46" t="s">
        <v>973</v>
      </c>
      <c r="D44" s="78" t="s">
        <v>1983</v>
      </c>
      <c r="E44" s="78" t="s">
        <v>1984</v>
      </c>
      <c r="F44" s="47" t="s">
        <v>355</v>
      </c>
      <c r="G44" s="52"/>
      <c r="H44" s="52"/>
      <c r="I44" s="54"/>
      <c r="J44" s="54"/>
      <c r="K44" s="49">
        <v>45658.0</v>
      </c>
      <c r="L44" s="50">
        <v>390812.49998842593</v>
      </c>
      <c r="M44" s="54"/>
      <c r="N44" s="45"/>
    </row>
    <row r="45">
      <c r="A45" s="44" t="s">
        <v>121</v>
      </c>
      <c r="B45" s="53" t="s">
        <v>123</v>
      </c>
      <c r="C45" s="46" t="s">
        <v>1001</v>
      </c>
      <c r="D45" s="78" t="s">
        <v>1985</v>
      </c>
      <c r="E45" s="78" t="s">
        <v>1986</v>
      </c>
      <c r="F45" s="47" t="s">
        <v>357</v>
      </c>
      <c r="G45" s="52"/>
      <c r="H45" s="52"/>
      <c r="I45" s="54"/>
      <c r="J45" s="54"/>
      <c r="K45" s="49">
        <v>45658.0</v>
      </c>
      <c r="L45" s="50">
        <v>390812.49998842593</v>
      </c>
      <c r="M45" s="54"/>
      <c r="N45" s="45"/>
    </row>
    <row r="46">
      <c r="A46" s="44" t="s">
        <v>121</v>
      </c>
      <c r="B46" s="53" t="s">
        <v>123</v>
      </c>
      <c r="C46" s="46" t="s">
        <v>1014</v>
      </c>
      <c r="D46" s="78" t="s">
        <v>1987</v>
      </c>
      <c r="E46" s="78" t="s">
        <v>1988</v>
      </c>
      <c r="F46" s="47" t="s">
        <v>359</v>
      </c>
      <c r="G46" s="52"/>
      <c r="H46" s="52"/>
      <c r="I46" s="54"/>
      <c r="J46" s="54"/>
      <c r="K46" s="49">
        <v>45658.0</v>
      </c>
      <c r="L46" s="50">
        <v>390812.49998842593</v>
      </c>
      <c r="M46" s="54"/>
      <c r="N46" s="45"/>
    </row>
    <row r="47">
      <c r="A47" s="44" t="s">
        <v>127</v>
      </c>
      <c r="B47" s="53" t="s">
        <v>129</v>
      </c>
      <c r="C47" s="46" t="s">
        <v>973</v>
      </c>
      <c r="D47" s="78" t="s">
        <v>1989</v>
      </c>
      <c r="E47" s="78" t="s">
        <v>1990</v>
      </c>
      <c r="F47" s="47" t="s">
        <v>361</v>
      </c>
      <c r="G47" s="52"/>
      <c r="H47" s="52"/>
      <c r="I47" s="54"/>
      <c r="J47" s="54"/>
      <c r="K47" s="49">
        <v>45658.0</v>
      </c>
      <c r="L47" s="50">
        <v>390812.49998842593</v>
      </c>
      <c r="M47" s="54"/>
      <c r="N47" s="45"/>
    </row>
    <row r="48">
      <c r="A48" s="44" t="s">
        <v>127</v>
      </c>
      <c r="B48" s="53" t="s">
        <v>129</v>
      </c>
      <c r="C48" s="46" t="s">
        <v>1001</v>
      </c>
      <c r="D48" s="78" t="s">
        <v>1991</v>
      </c>
      <c r="E48" s="78" t="s">
        <v>1992</v>
      </c>
      <c r="F48" s="47" t="s">
        <v>363</v>
      </c>
      <c r="G48" s="52"/>
      <c r="H48" s="52"/>
      <c r="I48" s="54"/>
      <c r="J48" s="54"/>
      <c r="K48" s="49">
        <v>45658.0</v>
      </c>
      <c r="L48" s="50">
        <v>390812.49998842593</v>
      </c>
      <c r="M48" s="54"/>
      <c r="N48" s="45"/>
    </row>
    <row r="49">
      <c r="A49" s="44" t="s">
        <v>127</v>
      </c>
      <c r="B49" s="53" t="s">
        <v>129</v>
      </c>
      <c r="C49" s="46" t="s">
        <v>1014</v>
      </c>
      <c r="D49" s="78" t="s">
        <v>1993</v>
      </c>
      <c r="E49" s="78" t="s">
        <v>1994</v>
      </c>
      <c r="F49" s="47" t="s">
        <v>365</v>
      </c>
      <c r="G49" s="52"/>
      <c r="H49" s="52"/>
      <c r="I49" s="54"/>
      <c r="J49" s="54"/>
      <c r="K49" s="49">
        <v>45658.0</v>
      </c>
      <c r="L49" s="50">
        <v>390812.49998842593</v>
      </c>
      <c r="M49" s="54"/>
      <c r="N49" s="45"/>
    </row>
    <row r="50">
      <c r="A50" s="44" t="s">
        <v>127</v>
      </c>
      <c r="B50" s="53" t="s">
        <v>129</v>
      </c>
      <c r="C50" s="46" t="s">
        <v>1026</v>
      </c>
      <c r="D50" s="78" t="s">
        <v>1995</v>
      </c>
      <c r="E50" s="78" t="s">
        <v>1996</v>
      </c>
      <c r="F50" s="47" t="s">
        <v>367</v>
      </c>
      <c r="G50" s="52"/>
      <c r="H50" s="52"/>
      <c r="I50" s="54"/>
      <c r="J50" s="54"/>
      <c r="K50" s="49">
        <v>45658.0</v>
      </c>
      <c r="L50" s="50">
        <v>390812.49998842593</v>
      </c>
      <c r="M50" s="54"/>
      <c r="N50" s="45"/>
    </row>
    <row r="51">
      <c r="A51" s="44" t="s">
        <v>127</v>
      </c>
      <c r="B51" s="53" t="s">
        <v>129</v>
      </c>
      <c r="C51" s="46" t="s">
        <v>1034</v>
      </c>
      <c r="D51" s="78" t="s">
        <v>1997</v>
      </c>
      <c r="E51" s="78" t="s">
        <v>1998</v>
      </c>
      <c r="F51" s="47" t="s">
        <v>369</v>
      </c>
      <c r="G51" s="52"/>
      <c r="H51" s="52"/>
      <c r="I51" s="54"/>
      <c r="J51" s="54"/>
      <c r="K51" s="49">
        <v>45658.0</v>
      </c>
      <c r="L51" s="50">
        <v>390812.49998842593</v>
      </c>
      <c r="M51" s="54"/>
      <c r="N51" s="52"/>
    </row>
    <row r="52">
      <c r="A52" s="44" t="s">
        <v>127</v>
      </c>
      <c r="B52" s="53" t="s">
        <v>129</v>
      </c>
      <c r="C52" s="46" t="s">
        <v>973</v>
      </c>
      <c r="D52" s="78" t="s">
        <v>1999</v>
      </c>
      <c r="E52" s="78" t="s">
        <v>2000</v>
      </c>
      <c r="F52" s="47" t="s">
        <v>1407</v>
      </c>
      <c r="G52" s="52"/>
      <c r="H52" s="52"/>
      <c r="I52" s="54"/>
      <c r="J52" s="54"/>
      <c r="K52" s="49">
        <v>45658.0</v>
      </c>
      <c r="L52" s="50">
        <v>390812.49998842593</v>
      </c>
      <c r="M52" s="54"/>
      <c r="N52" s="52"/>
    </row>
    <row r="53">
      <c r="A53" s="44" t="s">
        <v>127</v>
      </c>
      <c r="B53" s="53" t="s">
        <v>129</v>
      </c>
      <c r="C53" s="46" t="s">
        <v>990</v>
      </c>
      <c r="D53" s="78" t="s">
        <v>2001</v>
      </c>
      <c r="E53" s="78" t="s">
        <v>2002</v>
      </c>
      <c r="F53" s="47" t="s">
        <v>1795</v>
      </c>
      <c r="G53" s="52"/>
      <c r="H53" s="52"/>
      <c r="I53" s="54"/>
      <c r="J53" s="54"/>
      <c r="K53" s="49">
        <v>45658.0</v>
      </c>
      <c r="L53" s="50">
        <v>390812.49998842593</v>
      </c>
      <c r="M53" s="54"/>
      <c r="N53" s="52"/>
    </row>
    <row r="54">
      <c r="A54" s="44" t="s">
        <v>132</v>
      </c>
      <c r="B54" s="53" t="s">
        <v>134</v>
      </c>
      <c r="C54" s="46" t="s">
        <v>973</v>
      </c>
      <c r="D54" s="78" t="s">
        <v>2003</v>
      </c>
      <c r="E54" s="78" t="s">
        <v>2004</v>
      </c>
      <c r="F54" s="47" t="s">
        <v>371</v>
      </c>
      <c r="G54" s="52"/>
      <c r="H54" s="52"/>
      <c r="I54" s="54"/>
      <c r="J54" s="54"/>
      <c r="K54" s="49">
        <v>45658.0</v>
      </c>
      <c r="L54" s="50">
        <v>390812.49998842593</v>
      </c>
      <c r="M54" s="54"/>
      <c r="N54" s="52"/>
    </row>
    <row r="55">
      <c r="A55" s="44" t="s">
        <v>132</v>
      </c>
      <c r="B55" s="53" t="s">
        <v>134</v>
      </c>
      <c r="C55" s="46" t="s">
        <v>1001</v>
      </c>
      <c r="D55" s="78" t="s">
        <v>2005</v>
      </c>
      <c r="E55" s="78" t="s">
        <v>2006</v>
      </c>
      <c r="F55" s="47" t="s">
        <v>373</v>
      </c>
      <c r="G55" s="52"/>
      <c r="H55" s="52"/>
      <c r="I55" s="54"/>
      <c r="J55" s="54"/>
      <c r="K55" s="49">
        <v>45658.0</v>
      </c>
      <c r="L55" s="50">
        <v>390812.49998842593</v>
      </c>
      <c r="M55" s="54"/>
      <c r="N55" s="52"/>
    </row>
    <row r="56">
      <c r="A56" s="44" t="s">
        <v>138</v>
      </c>
      <c r="B56" s="53" t="s">
        <v>140</v>
      </c>
      <c r="C56" s="46" t="s">
        <v>973</v>
      </c>
      <c r="D56" s="78" t="s">
        <v>2007</v>
      </c>
      <c r="E56" s="78" t="s">
        <v>2008</v>
      </c>
      <c r="F56" s="47" t="s">
        <v>375</v>
      </c>
      <c r="G56" s="52"/>
      <c r="H56" s="52"/>
      <c r="I56" s="54"/>
      <c r="J56" s="54"/>
      <c r="K56" s="49">
        <v>45658.0</v>
      </c>
      <c r="L56" s="50">
        <v>390812.49998842593</v>
      </c>
      <c r="M56" s="54"/>
      <c r="N56" s="52"/>
    </row>
    <row r="57">
      <c r="A57" s="44" t="s">
        <v>138</v>
      </c>
      <c r="B57" s="53" t="s">
        <v>140</v>
      </c>
      <c r="C57" s="46" t="s">
        <v>1001</v>
      </c>
      <c r="D57" s="78" t="s">
        <v>2009</v>
      </c>
      <c r="E57" s="78" t="s">
        <v>2010</v>
      </c>
      <c r="F57" s="47" t="s">
        <v>377</v>
      </c>
      <c r="G57" s="52"/>
      <c r="H57" s="52"/>
      <c r="I57" s="54"/>
      <c r="J57" s="54"/>
      <c r="K57" s="49">
        <v>45658.0</v>
      </c>
      <c r="L57" s="50">
        <v>390812.49998842593</v>
      </c>
      <c r="M57" s="54"/>
      <c r="N57" s="52"/>
    </row>
    <row r="58">
      <c r="A58" s="44" t="s">
        <v>153</v>
      </c>
      <c r="B58" s="53" t="s">
        <v>155</v>
      </c>
      <c r="C58" s="46" t="s">
        <v>973</v>
      </c>
      <c r="D58" s="78" t="s">
        <v>2011</v>
      </c>
      <c r="E58" s="78" t="s">
        <v>2012</v>
      </c>
      <c r="F58" s="47" t="s">
        <v>379</v>
      </c>
      <c r="G58" s="52"/>
      <c r="H58" s="52"/>
      <c r="I58" s="54"/>
      <c r="J58" s="54"/>
      <c r="K58" s="49">
        <v>45658.0</v>
      </c>
      <c r="L58" s="50">
        <v>390812.49998842593</v>
      </c>
      <c r="M58" s="54"/>
      <c r="N58" s="52"/>
    </row>
    <row r="59">
      <c r="A59" s="44" t="s">
        <v>148</v>
      </c>
      <c r="B59" s="53" t="s">
        <v>150</v>
      </c>
      <c r="C59" s="46" t="s">
        <v>973</v>
      </c>
      <c r="D59" s="78" t="s">
        <v>2013</v>
      </c>
      <c r="E59" s="78" t="s">
        <v>2014</v>
      </c>
      <c r="F59" s="47" t="s">
        <v>381</v>
      </c>
      <c r="G59" s="52"/>
      <c r="H59" s="52"/>
      <c r="I59" s="54"/>
      <c r="J59" s="54"/>
      <c r="K59" s="49">
        <v>45658.0</v>
      </c>
      <c r="L59" s="50">
        <v>390812.49998842593</v>
      </c>
      <c r="M59" s="54"/>
      <c r="N59" s="52"/>
    </row>
    <row r="60">
      <c r="A60" s="44" t="s">
        <v>148</v>
      </c>
      <c r="B60" s="53" t="s">
        <v>150</v>
      </c>
      <c r="C60" s="46" t="s">
        <v>1001</v>
      </c>
      <c r="D60" s="78" t="s">
        <v>2015</v>
      </c>
      <c r="E60" s="78" t="s">
        <v>2016</v>
      </c>
      <c r="F60" s="47" t="s">
        <v>383</v>
      </c>
      <c r="G60" s="52"/>
      <c r="H60" s="52"/>
      <c r="I60" s="54"/>
      <c r="J60" s="54"/>
      <c r="K60" s="49">
        <v>45658.0</v>
      </c>
      <c r="L60" s="50">
        <v>390812.49998842593</v>
      </c>
      <c r="M60" s="54"/>
      <c r="N60" s="52"/>
    </row>
    <row r="61">
      <c r="A61" s="44" t="s">
        <v>148</v>
      </c>
      <c r="B61" s="53" t="s">
        <v>150</v>
      </c>
      <c r="C61" s="46" t="s">
        <v>973</v>
      </c>
      <c r="D61" s="78" t="s">
        <v>2017</v>
      </c>
      <c r="E61" s="78" t="s">
        <v>2018</v>
      </c>
      <c r="F61" s="47" t="s">
        <v>1797</v>
      </c>
      <c r="G61" s="52"/>
      <c r="H61" s="52"/>
      <c r="I61" s="54"/>
      <c r="J61" s="54"/>
      <c r="K61" s="49">
        <v>45658.0</v>
      </c>
      <c r="L61" s="50">
        <v>390812.49998842593</v>
      </c>
      <c r="M61" s="54"/>
      <c r="N61" s="52"/>
    </row>
    <row r="62">
      <c r="A62" s="44" t="s">
        <v>148</v>
      </c>
      <c r="B62" s="53" t="s">
        <v>150</v>
      </c>
      <c r="C62" s="46" t="s">
        <v>990</v>
      </c>
      <c r="D62" s="78" t="s">
        <v>2019</v>
      </c>
      <c r="E62" s="78" t="s">
        <v>2020</v>
      </c>
      <c r="F62" s="47" t="s">
        <v>2021</v>
      </c>
      <c r="G62" s="52"/>
      <c r="H62" s="52"/>
      <c r="I62" s="54"/>
      <c r="J62" s="54"/>
      <c r="K62" s="49">
        <v>45658.0</v>
      </c>
      <c r="L62" s="50">
        <v>390812.49998842593</v>
      </c>
      <c r="M62" s="54"/>
      <c r="N62" s="52"/>
    </row>
    <row r="63">
      <c r="A63" s="44" t="s">
        <v>148</v>
      </c>
      <c r="B63" s="53" t="s">
        <v>150</v>
      </c>
      <c r="C63" s="46" t="s">
        <v>1267</v>
      </c>
      <c r="D63" s="78" t="s">
        <v>2022</v>
      </c>
      <c r="E63" s="78" t="s">
        <v>2023</v>
      </c>
      <c r="F63" s="47" t="s">
        <v>2024</v>
      </c>
      <c r="G63" s="52"/>
      <c r="H63" s="52"/>
      <c r="I63" s="54"/>
      <c r="J63" s="54"/>
      <c r="K63" s="49">
        <v>45658.0</v>
      </c>
      <c r="L63" s="50">
        <v>390812.49998842593</v>
      </c>
      <c r="M63" s="54"/>
      <c r="N63" s="52"/>
    </row>
    <row r="64">
      <c r="A64" s="44" t="s">
        <v>148</v>
      </c>
      <c r="B64" s="53" t="s">
        <v>150</v>
      </c>
      <c r="C64" s="46" t="s">
        <v>1878</v>
      </c>
      <c r="D64" s="78" t="s">
        <v>2025</v>
      </c>
      <c r="E64" s="78" t="s">
        <v>2026</v>
      </c>
      <c r="F64" s="47" t="s">
        <v>2027</v>
      </c>
      <c r="G64" s="52"/>
      <c r="H64" s="52"/>
      <c r="I64" s="54"/>
      <c r="J64" s="54"/>
      <c r="K64" s="49">
        <v>45658.0</v>
      </c>
      <c r="L64" s="50">
        <v>390812.49998842593</v>
      </c>
      <c r="M64" s="54"/>
      <c r="N64" s="52"/>
    </row>
    <row r="65">
      <c r="A65" s="44" t="s">
        <v>2028</v>
      </c>
      <c r="B65" s="53" t="s">
        <v>100</v>
      </c>
      <c r="C65" s="46" t="s">
        <v>973</v>
      </c>
      <c r="D65" s="78" t="s">
        <v>2029</v>
      </c>
      <c r="E65" s="78" t="s">
        <v>2030</v>
      </c>
      <c r="F65" s="47" t="s">
        <v>385</v>
      </c>
      <c r="G65" s="52"/>
      <c r="H65" s="52"/>
      <c r="I65" s="54"/>
      <c r="J65" s="54"/>
      <c r="K65" s="49">
        <v>45658.0</v>
      </c>
      <c r="L65" s="50">
        <v>390812.49998842593</v>
      </c>
      <c r="M65" s="54"/>
      <c r="N65" s="52"/>
    </row>
    <row r="66">
      <c r="A66" s="44" t="s">
        <v>2028</v>
      </c>
      <c r="B66" s="53" t="s">
        <v>100</v>
      </c>
      <c r="C66" s="46" t="s">
        <v>1001</v>
      </c>
      <c r="D66" s="78" t="s">
        <v>2031</v>
      </c>
      <c r="E66" s="78" t="s">
        <v>2032</v>
      </c>
      <c r="F66" s="47" t="s">
        <v>387</v>
      </c>
      <c r="G66" s="52"/>
      <c r="H66" s="52"/>
      <c r="I66" s="54"/>
      <c r="J66" s="54"/>
      <c r="K66" s="49">
        <v>45658.0</v>
      </c>
      <c r="L66" s="50">
        <v>390812.49998842593</v>
      </c>
      <c r="M66" s="54"/>
      <c r="N66" s="52"/>
    </row>
    <row r="67">
      <c r="A67" s="44" t="s">
        <v>103</v>
      </c>
      <c r="B67" s="53" t="s">
        <v>105</v>
      </c>
      <c r="C67" s="46" t="s">
        <v>973</v>
      </c>
      <c r="D67" s="78" t="s">
        <v>2033</v>
      </c>
      <c r="E67" s="78" t="s">
        <v>2034</v>
      </c>
      <c r="F67" s="47" t="s">
        <v>389</v>
      </c>
      <c r="G67" s="52"/>
      <c r="H67" s="52"/>
      <c r="I67" s="54"/>
      <c r="J67" s="54"/>
      <c r="K67" s="49">
        <v>45658.0</v>
      </c>
      <c r="L67" s="50">
        <v>390812.49998842593</v>
      </c>
      <c r="M67" s="54"/>
      <c r="N67" s="52"/>
    </row>
    <row r="68">
      <c r="A68" s="44" t="s">
        <v>103</v>
      </c>
      <c r="B68" s="53" t="s">
        <v>105</v>
      </c>
      <c r="C68" s="46" t="s">
        <v>1001</v>
      </c>
      <c r="D68" s="78" t="s">
        <v>2035</v>
      </c>
      <c r="E68" s="78" t="s">
        <v>2036</v>
      </c>
      <c r="F68" s="47" t="s">
        <v>391</v>
      </c>
      <c r="G68" s="52"/>
      <c r="H68" s="52"/>
      <c r="I68" s="54"/>
      <c r="J68" s="54"/>
      <c r="K68" s="49">
        <v>45658.0</v>
      </c>
      <c r="L68" s="50">
        <v>390812.49998842593</v>
      </c>
      <c r="M68" s="54"/>
      <c r="N68" s="52"/>
    </row>
    <row r="69">
      <c r="A69" s="44" t="s">
        <v>143</v>
      </c>
      <c r="B69" s="53" t="s">
        <v>145</v>
      </c>
      <c r="C69" s="46" t="s">
        <v>973</v>
      </c>
      <c r="D69" s="78" t="s">
        <v>2037</v>
      </c>
      <c r="E69" s="78" t="s">
        <v>2038</v>
      </c>
      <c r="F69" s="47" t="s">
        <v>393</v>
      </c>
      <c r="G69" s="52"/>
      <c r="H69" s="52"/>
      <c r="I69" s="54"/>
      <c r="J69" s="54"/>
      <c r="K69" s="49">
        <v>45658.0</v>
      </c>
      <c r="L69" s="50">
        <v>390812.49998842593</v>
      </c>
      <c r="M69" s="54"/>
      <c r="N69" s="52"/>
    </row>
    <row r="70">
      <c r="A70" s="44" t="s">
        <v>143</v>
      </c>
      <c r="B70" s="53" t="s">
        <v>145</v>
      </c>
      <c r="C70" s="46" t="s">
        <v>1001</v>
      </c>
      <c r="D70" s="78" t="s">
        <v>2039</v>
      </c>
      <c r="E70" s="78" t="s">
        <v>2040</v>
      </c>
      <c r="F70" s="47" t="s">
        <v>395</v>
      </c>
      <c r="G70" s="52"/>
      <c r="H70" s="52"/>
      <c r="I70" s="54"/>
      <c r="J70" s="54"/>
      <c r="K70" s="49">
        <v>45658.0</v>
      </c>
      <c r="L70" s="50">
        <v>390812.49998842593</v>
      </c>
      <c r="M70" s="54"/>
      <c r="N70" s="52"/>
    </row>
    <row r="71">
      <c r="A71" s="44" t="s">
        <v>143</v>
      </c>
      <c r="B71" s="53" t="s">
        <v>145</v>
      </c>
      <c r="C71" s="46" t="s">
        <v>1014</v>
      </c>
      <c r="D71" s="78" t="s">
        <v>2041</v>
      </c>
      <c r="E71" s="78" t="s">
        <v>2042</v>
      </c>
      <c r="F71" s="47" t="s">
        <v>397</v>
      </c>
      <c r="G71" s="52"/>
      <c r="H71" s="52"/>
      <c r="I71" s="54"/>
      <c r="J71" s="54"/>
      <c r="K71" s="49">
        <v>45658.0</v>
      </c>
      <c r="L71" s="50">
        <v>390812.49998842593</v>
      </c>
      <c r="M71" s="54"/>
      <c r="N71" s="52"/>
    </row>
    <row r="72">
      <c r="A72" s="56"/>
      <c r="B72" s="56"/>
      <c r="C72" s="56"/>
      <c r="D72" s="56"/>
      <c r="E72" s="56"/>
      <c r="F72" s="56"/>
      <c r="G72" s="56"/>
      <c r="H72" s="56"/>
      <c r="I72" s="56"/>
      <c r="J72" s="56"/>
      <c r="K72" s="56"/>
      <c r="L72" s="56"/>
      <c r="M72" s="56"/>
      <c r="N72" s="56"/>
    </row>
    <row r="73">
      <c r="A73" s="56"/>
      <c r="B73" s="56"/>
      <c r="C73" s="56"/>
      <c r="D73" s="56"/>
      <c r="E73" s="56"/>
      <c r="F73" s="56"/>
      <c r="G73" s="56"/>
      <c r="H73" s="56"/>
      <c r="I73" s="56"/>
      <c r="J73" s="56"/>
      <c r="K73" s="56"/>
      <c r="L73" s="56"/>
      <c r="M73" s="56"/>
      <c r="N73" s="56"/>
    </row>
    <row r="74">
      <c r="A74" s="56"/>
      <c r="B74" s="56"/>
      <c r="C74" s="56"/>
      <c r="D74" s="56"/>
      <c r="E74" s="56"/>
      <c r="F74" s="56"/>
      <c r="G74" s="56"/>
      <c r="H74" s="56"/>
      <c r="I74" s="56"/>
      <c r="J74" s="56"/>
      <c r="K74" s="56"/>
      <c r="L74" s="56"/>
      <c r="M74" s="56"/>
      <c r="N74" s="56"/>
    </row>
    <row r="75">
      <c r="A75" s="56"/>
      <c r="B75" s="56"/>
      <c r="C75" s="56"/>
      <c r="D75" s="56"/>
      <c r="E75" s="56"/>
      <c r="F75" s="56"/>
      <c r="G75" s="56"/>
      <c r="H75" s="56"/>
      <c r="I75" s="56"/>
      <c r="J75" s="56"/>
      <c r="K75" s="56"/>
      <c r="L75" s="56"/>
      <c r="M75" s="56"/>
      <c r="N75" s="56"/>
    </row>
    <row r="76">
      <c r="A76" s="56"/>
      <c r="B76" s="56"/>
      <c r="C76" s="56"/>
      <c r="D76" s="56"/>
      <c r="E76" s="56"/>
      <c r="F76" s="56"/>
      <c r="G76" s="56"/>
      <c r="H76" s="56"/>
      <c r="I76" s="56"/>
      <c r="J76" s="56"/>
      <c r="K76" s="56"/>
      <c r="L76" s="56"/>
      <c r="M76" s="56"/>
      <c r="N76" s="56"/>
    </row>
    <row r="77">
      <c r="A77" s="56"/>
      <c r="B77" s="56"/>
      <c r="C77" s="56"/>
      <c r="D77" s="56"/>
      <c r="E77" s="56"/>
      <c r="F77" s="56"/>
      <c r="G77" s="56"/>
      <c r="H77" s="56"/>
      <c r="I77" s="56"/>
      <c r="J77" s="56"/>
      <c r="K77" s="56"/>
      <c r="L77" s="56"/>
      <c r="M77" s="56"/>
      <c r="N77" s="56"/>
    </row>
    <row r="78">
      <c r="A78" s="56"/>
      <c r="B78" s="56"/>
      <c r="C78" s="56"/>
      <c r="D78" s="56"/>
      <c r="E78" s="56"/>
      <c r="F78" s="56"/>
      <c r="G78" s="56"/>
      <c r="H78" s="56"/>
      <c r="I78" s="56"/>
      <c r="J78" s="56"/>
      <c r="K78" s="56"/>
      <c r="L78" s="56"/>
      <c r="M78" s="56"/>
      <c r="N78" s="56"/>
    </row>
    <row r="79">
      <c r="A79" s="56"/>
      <c r="B79" s="56"/>
      <c r="C79" s="56"/>
      <c r="D79" s="56"/>
      <c r="E79" s="56"/>
      <c r="F79" s="56"/>
      <c r="G79" s="56"/>
      <c r="H79" s="56"/>
      <c r="I79" s="56"/>
      <c r="J79" s="56"/>
      <c r="K79" s="56"/>
      <c r="L79" s="56"/>
      <c r="M79" s="56"/>
      <c r="N79" s="56"/>
    </row>
    <row r="80">
      <c r="A80" s="56"/>
      <c r="B80" s="56"/>
      <c r="C80" s="56"/>
      <c r="D80" s="56"/>
      <c r="E80" s="56"/>
      <c r="F80" s="56"/>
      <c r="G80" s="56"/>
      <c r="H80" s="56"/>
      <c r="I80" s="56"/>
      <c r="J80" s="56"/>
      <c r="K80" s="56"/>
      <c r="L80" s="56"/>
      <c r="M80" s="56"/>
      <c r="N80" s="56"/>
    </row>
    <row r="81">
      <c r="A81" s="56"/>
      <c r="B81" s="56"/>
      <c r="C81" s="56"/>
      <c r="D81" s="56"/>
      <c r="E81" s="56"/>
      <c r="F81" s="56"/>
      <c r="G81" s="56"/>
      <c r="H81" s="56"/>
      <c r="I81" s="56"/>
      <c r="J81" s="56"/>
      <c r="K81" s="56"/>
      <c r="L81" s="56"/>
      <c r="M81" s="56"/>
      <c r="N81" s="56"/>
    </row>
    <row r="82">
      <c r="A82" s="56"/>
      <c r="B82" s="56"/>
      <c r="C82" s="56"/>
      <c r="D82" s="56"/>
      <c r="E82" s="56"/>
      <c r="F82" s="56"/>
      <c r="G82" s="56"/>
      <c r="H82" s="56"/>
      <c r="I82" s="56"/>
      <c r="J82" s="56"/>
      <c r="K82" s="56"/>
      <c r="L82" s="56"/>
      <c r="M82" s="56"/>
      <c r="N82" s="56"/>
    </row>
    <row r="83">
      <c r="A83" s="56"/>
      <c r="B83" s="56"/>
      <c r="C83" s="56"/>
      <c r="D83" s="56"/>
      <c r="E83" s="56"/>
      <c r="F83" s="56"/>
      <c r="G83" s="56"/>
      <c r="H83" s="56"/>
      <c r="I83" s="56"/>
      <c r="J83" s="56"/>
      <c r="K83" s="56"/>
      <c r="L83" s="56"/>
      <c r="M83" s="56"/>
      <c r="N83" s="56"/>
    </row>
    <row r="84">
      <c r="A84" s="56"/>
      <c r="B84" s="56"/>
      <c r="C84" s="56"/>
      <c r="D84" s="56"/>
      <c r="E84" s="56"/>
      <c r="F84" s="56"/>
      <c r="G84" s="56"/>
      <c r="H84" s="56"/>
      <c r="I84" s="56"/>
      <c r="J84" s="56"/>
      <c r="K84" s="56"/>
      <c r="L84" s="56"/>
      <c r="M84" s="56"/>
      <c r="N84" s="56"/>
    </row>
    <row r="85">
      <c r="A85" s="56"/>
      <c r="B85" s="56"/>
      <c r="C85" s="56"/>
      <c r="D85" s="56"/>
      <c r="E85" s="56"/>
      <c r="F85" s="56"/>
      <c r="G85" s="56"/>
      <c r="H85" s="56"/>
      <c r="I85" s="56"/>
      <c r="J85" s="56"/>
      <c r="K85" s="56"/>
      <c r="L85" s="56"/>
      <c r="M85" s="56"/>
      <c r="N85" s="56"/>
    </row>
    <row r="86">
      <c r="A86" s="56"/>
      <c r="B86" s="56"/>
      <c r="C86" s="56"/>
      <c r="D86" s="56"/>
      <c r="E86" s="56"/>
      <c r="F86" s="56"/>
      <c r="G86" s="56"/>
      <c r="H86" s="56"/>
      <c r="I86" s="56"/>
      <c r="J86" s="56"/>
      <c r="K86" s="56"/>
      <c r="L86" s="56"/>
      <c r="M86" s="56"/>
      <c r="N86" s="56"/>
    </row>
    <row r="87">
      <c r="A87" s="56"/>
      <c r="B87" s="56"/>
      <c r="C87" s="56"/>
      <c r="D87" s="56"/>
      <c r="E87" s="56"/>
      <c r="F87" s="56"/>
      <c r="G87" s="56"/>
      <c r="H87" s="56"/>
      <c r="I87" s="56"/>
      <c r="J87" s="56"/>
      <c r="K87" s="56"/>
      <c r="L87" s="56"/>
      <c r="M87" s="56"/>
      <c r="N87" s="56"/>
    </row>
    <row r="88">
      <c r="A88" s="56"/>
      <c r="B88" s="56"/>
      <c r="C88" s="56"/>
      <c r="D88" s="56"/>
      <c r="E88" s="56"/>
      <c r="F88" s="56"/>
      <c r="G88" s="56"/>
      <c r="H88" s="56"/>
      <c r="I88" s="56"/>
      <c r="J88" s="56"/>
      <c r="K88" s="56"/>
      <c r="L88" s="56"/>
      <c r="M88" s="56"/>
      <c r="N88" s="56"/>
    </row>
    <row r="89">
      <c r="A89" s="56"/>
      <c r="B89" s="56"/>
      <c r="C89" s="56"/>
      <c r="D89" s="56"/>
      <c r="E89" s="56"/>
      <c r="F89" s="56"/>
      <c r="G89" s="56"/>
      <c r="H89" s="56"/>
      <c r="I89" s="56"/>
      <c r="J89" s="56"/>
      <c r="K89" s="56"/>
      <c r="L89" s="56"/>
      <c r="M89" s="56"/>
      <c r="N89" s="56"/>
    </row>
    <row r="90">
      <c r="A90" s="56"/>
      <c r="B90" s="56"/>
      <c r="C90" s="56"/>
      <c r="D90" s="56"/>
      <c r="E90" s="56"/>
      <c r="F90" s="56"/>
      <c r="G90" s="56"/>
      <c r="H90" s="56"/>
      <c r="I90" s="56"/>
      <c r="J90" s="56"/>
      <c r="K90" s="56"/>
      <c r="L90" s="56"/>
      <c r="M90" s="56"/>
      <c r="N90" s="56"/>
    </row>
    <row r="91">
      <c r="A91" s="56"/>
      <c r="B91" s="56"/>
      <c r="C91" s="56"/>
      <c r="D91" s="56"/>
      <c r="E91" s="56"/>
      <c r="F91" s="56"/>
      <c r="G91" s="56"/>
      <c r="H91" s="56"/>
      <c r="I91" s="56"/>
      <c r="J91" s="56"/>
      <c r="K91" s="56"/>
      <c r="L91" s="56"/>
      <c r="M91" s="56"/>
      <c r="N91" s="56"/>
    </row>
    <row r="92">
      <c r="A92" s="56"/>
      <c r="B92" s="56"/>
      <c r="C92" s="56"/>
      <c r="D92" s="56"/>
      <c r="E92" s="56"/>
      <c r="F92" s="56"/>
      <c r="G92" s="56"/>
      <c r="H92" s="56"/>
      <c r="I92" s="56"/>
      <c r="J92" s="56"/>
      <c r="K92" s="56"/>
      <c r="L92" s="56"/>
      <c r="M92" s="56"/>
      <c r="N92" s="56"/>
    </row>
    <row r="93">
      <c r="A93" s="56"/>
      <c r="B93" s="56"/>
      <c r="C93" s="56"/>
      <c r="D93" s="56"/>
      <c r="E93" s="56"/>
      <c r="F93" s="56"/>
      <c r="G93" s="56"/>
      <c r="H93" s="56"/>
      <c r="I93" s="56"/>
      <c r="J93" s="56"/>
      <c r="K93" s="56"/>
      <c r="L93" s="56"/>
      <c r="M93" s="56"/>
      <c r="N93" s="56"/>
    </row>
    <row r="94">
      <c r="A94" s="56"/>
      <c r="B94" s="56"/>
      <c r="C94" s="56"/>
      <c r="D94" s="56"/>
      <c r="E94" s="56"/>
      <c r="F94" s="56"/>
      <c r="G94" s="56"/>
      <c r="H94" s="56"/>
      <c r="I94" s="56"/>
      <c r="J94" s="56"/>
      <c r="K94" s="56"/>
      <c r="L94" s="56"/>
      <c r="M94" s="56"/>
      <c r="N94" s="56"/>
    </row>
    <row r="95">
      <c r="A95" s="56"/>
      <c r="B95" s="56"/>
      <c r="C95" s="56"/>
      <c r="D95" s="56"/>
      <c r="E95" s="56"/>
      <c r="F95" s="56"/>
      <c r="G95" s="56"/>
      <c r="H95" s="56"/>
      <c r="I95" s="56"/>
      <c r="J95" s="56"/>
      <c r="K95" s="56"/>
      <c r="L95" s="56"/>
      <c r="M95" s="56"/>
      <c r="N95" s="56"/>
    </row>
    <row r="96">
      <c r="A96" s="56"/>
      <c r="B96" s="56"/>
      <c r="C96" s="56"/>
      <c r="D96" s="56"/>
      <c r="E96" s="56"/>
      <c r="F96" s="56"/>
      <c r="G96" s="56"/>
      <c r="H96" s="56"/>
      <c r="I96" s="56"/>
      <c r="J96" s="56"/>
      <c r="K96" s="56"/>
      <c r="L96" s="56"/>
      <c r="M96" s="56"/>
      <c r="N96" s="56"/>
    </row>
    <row r="97">
      <c r="A97" s="56"/>
      <c r="B97" s="56"/>
      <c r="C97" s="56"/>
      <c r="D97" s="56"/>
      <c r="E97" s="56"/>
      <c r="F97" s="56"/>
      <c r="G97" s="56"/>
      <c r="H97" s="56"/>
      <c r="I97" s="56"/>
      <c r="J97" s="56"/>
      <c r="K97" s="56"/>
      <c r="L97" s="56"/>
      <c r="M97" s="56"/>
      <c r="N97" s="56"/>
    </row>
    <row r="98">
      <c r="A98" s="56"/>
      <c r="B98" s="56"/>
      <c r="C98" s="56"/>
      <c r="D98" s="56"/>
      <c r="E98" s="56"/>
      <c r="F98" s="56"/>
      <c r="G98" s="56"/>
      <c r="H98" s="56"/>
      <c r="I98" s="56"/>
      <c r="J98" s="56"/>
      <c r="K98" s="56"/>
      <c r="L98" s="56"/>
      <c r="M98" s="56"/>
      <c r="N98" s="56"/>
    </row>
    <row r="99">
      <c r="A99" s="56"/>
      <c r="B99" s="56"/>
      <c r="C99" s="56"/>
      <c r="D99" s="56"/>
      <c r="E99" s="56"/>
      <c r="F99" s="56"/>
      <c r="G99" s="56"/>
      <c r="H99" s="56"/>
      <c r="I99" s="56"/>
      <c r="J99" s="56"/>
      <c r="K99" s="56"/>
      <c r="L99" s="56"/>
      <c r="M99" s="56"/>
      <c r="N99" s="56"/>
    </row>
    <row r="100">
      <c r="A100" s="56"/>
      <c r="B100" s="56"/>
      <c r="C100" s="56"/>
      <c r="D100" s="56"/>
      <c r="E100" s="56"/>
      <c r="F100" s="56"/>
      <c r="G100" s="56"/>
      <c r="H100" s="56"/>
      <c r="I100" s="56"/>
      <c r="J100" s="56"/>
      <c r="K100" s="56"/>
      <c r="L100" s="56"/>
      <c r="M100" s="56"/>
      <c r="N100" s="56"/>
    </row>
  </sheetData>
  <conditionalFormatting sqref="D2">
    <cfRule type="expression" dxfId="0" priority="1">
      <formula>COUNTIF(D:D,D:D)&gt;1</formula>
    </cfRule>
  </conditionalFormatting>
  <dataValidations>
    <dataValidation type="list" allowBlank="1" showErrorMessage="1" sqref="I2:I13">
      <formula1>"プレイアブル＆敵キャラでも登場可,敵キャラonly "</formula1>
    </dataValidation>
    <dataValidation type="list" allowBlank="1" showErrorMessage="1" sqref="H2:H71">
      <formula1>"SSR,SR,R,N"</formula1>
    </dataValidation>
    <dataValidation type="list" allowBlank="1" showErrorMessage="1" sqref="J2:J13">
      <formula1>"アタック,ディフェンス,サポート"</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19.63"/>
    <col customWidth="1" min="3" max="3" width="16.0"/>
    <col customWidth="1" min="4" max="4" width="10.63"/>
    <col customWidth="1" min="5" max="5" width="19.5"/>
    <col customWidth="1" min="6" max="6" width="20.5"/>
    <col customWidth="1" min="7" max="7" width="31.13"/>
    <col customWidth="1" min="8" max="8" width="31.25"/>
    <col customWidth="1" min="9" max="9" width="7.63"/>
    <col customWidth="1" min="10" max="11" width="10.38"/>
    <col customWidth="1" min="12" max="12" width="44.0"/>
    <col customWidth="1" min="13" max="13" width="40.38"/>
    <col customWidth="1" min="14" max="14" width="25.25"/>
    <col customWidth="1" min="17" max="21" width="3.5"/>
  </cols>
  <sheetData>
    <row r="1">
      <c r="A1" s="80" t="s">
        <v>40</v>
      </c>
      <c r="B1" s="81" t="s">
        <v>43</v>
      </c>
      <c r="C1" s="82" t="s">
        <v>417</v>
      </c>
      <c r="D1" s="302" t="s">
        <v>951</v>
      </c>
      <c r="E1" s="82" t="s">
        <v>418</v>
      </c>
      <c r="F1" s="82" t="s">
        <v>419</v>
      </c>
      <c r="G1" s="82" t="s">
        <v>2043</v>
      </c>
      <c r="H1" s="83" t="s">
        <v>421</v>
      </c>
      <c r="I1" s="83" t="s">
        <v>422</v>
      </c>
      <c r="J1" s="83" t="s">
        <v>423</v>
      </c>
      <c r="K1" s="84" t="s">
        <v>2044</v>
      </c>
      <c r="L1" s="84" t="s">
        <v>424</v>
      </c>
      <c r="M1" s="84" t="s">
        <v>425</v>
      </c>
      <c r="N1" s="303" t="s">
        <v>426</v>
      </c>
      <c r="O1" s="84" t="s">
        <v>427</v>
      </c>
      <c r="P1" s="304" t="s">
        <v>2045</v>
      </c>
      <c r="Q1" s="85"/>
      <c r="R1" s="85"/>
      <c r="S1" s="85"/>
      <c r="T1" s="85"/>
      <c r="U1" s="85"/>
    </row>
    <row r="2">
      <c r="A2" s="99" t="s">
        <v>283</v>
      </c>
      <c r="B2" s="305" t="str">
        <f t="array" ref="B2">iferror(INDEX('作品'!D:D,MATCH(A2,'作品'!A:A,0),0),"error")</f>
        <v>GLOW</v>
      </c>
      <c r="C2" s="306" t="s">
        <v>2046</v>
      </c>
      <c r="D2" s="307" t="s">
        <v>973</v>
      </c>
      <c r="E2" s="78" t="str">
        <f>C2&amp;"_"&amp;A2&amp;"_"&amp;D2</f>
        <v>prism_glo_00001</v>
      </c>
      <c r="F2" s="78" t="str">
        <f>E2</f>
        <v>prism_glo_00001</v>
      </c>
      <c r="G2" s="308" t="str">
        <f t="shared" ref="G2:G3" si="1">"item_icon_"&amp;F2</f>
        <v>item_icon_prism_glo_00001</v>
      </c>
      <c r="H2" s="89" t="s">
        <v>2047</v>
      </c>
      <c r="I2" s="89" t="s">
        <v>976</v>
      </c>
      <c r="J2" s="309">
        <v>9.99999999E8</v>
      </c>
      <c r="K2" s="309">
        <v>9.99999999E8</v>
      </c>
      <c r="L2" s="310" t="s">
        <v>2048</v>
      </c>
      <c r="M2" s="310"/>
      <c r="N2" s="307" t="s">
        <v>2049</v>
      </c>
      <c r="O2" s="311">
        <v>2.0250901E8</v>
      </c>
      <c r="P2" s="312">
        <v>2.0</v>
      </c>
      <c r="Q2" s="85"/>
      <c r="R2" s="85"/>
      <c r="S2" s="85"/>
      <c r="T2" s="85"/>
      <c r="U2" s="85"/>
    </row>
    <row r="3">
      <c r="A3" s="99" t="s">
        <v>283</v>
      </c>
      <c r="B3" s="305" t="str">
        <f t="array" ref="B3">iferror(INDEX('作品'!D:D,MATCH(A3,'作品'!A:A,0),0),"error")</f>
        <v>GLOW</v>
      </c>
      <c r="C3" s="53" t="s">
        <v>2050</v>
      </c>
      <c r="D3" s="307" t="s">
        <v>973</v>
      </c>
      <c r="E3" s="78" t="s">
        <v>2051</v>
      </c>
      <c r="F3" s="78" t="s">
        <v>2052</v>
      </c>
      <c r="G3" s="308" t="str">
        <f t="shared" si="1"/>
        <v>item_icon_coin_glo_00001</v>
      </c>
      <c r="H3" s="89" t="s">
        <v>2053</v>
      </c>
      <c r="I3" s="89" t="s">
        <v>1028</v>
      </c>
      <c r="J3" s="309">
        <v>9.99999999E8</v>
      </c>
      <c r="K3" s="309">
        <v>9.99999999E8</v>
      </c>
      <c r="L3" s="310" t="s">
        <v>2048</v>
      </c>
      <c r="M3" s="313"/>
      <c r="N3" s="307" t="s">
        <v>2049</v>
      </c>
      <c r="O3" s="311">
        <v>2.0250901E8</v>
      </c>
      <c r="P3" s="312">
        <v>0.13</v>
      </c>
      <c r="Q3" s="85"/>
      <c r="R3" s="85"/>
      <c r="S3" s="85"/>
      <c r="T3" s="85"/>
      <c r="U3" s="85"/>
    </row>
    <row r="4" ht="9.0" customHeight="1">
      <c r="A4" s="118"/>
      <c r="B4" s="87"/>
      <c r="C4" s="87"/>
      <c r="D4" s="87"/>
      <c r="E4" s="87"/>
      <c r="F4" s="87"/>
      <c r="G4" s="87"/>
      <c r="H4" s="87"/>
      <c r="I4" s="87"/>
      <c r="J4" s="87"/>
      <c r="K4" s="87"/>
      <c r="L4" s="87"/>
      <c r="M4" s="87"/>
      <c r="N4" s="87"/>
      <c r="O4" s="87"/>
      <c r="P4" s="88"/>
      <c r="Q4" s="85"/>
      <c r="R4" s="85"/>
      <c r="S4" s="85"/>
      <c r="T4" s="85"/>
      <c r="U4" s="85"/>
    </row>
    <row r="5">
      <c r="A5" s="99" t="s">
        <v>283</v>
      </c>
      <c r="B5" s="305" t="str">
        <f t="array" ref="B5">iferror(INDEX('作品'!D:D,MATCH(A5,'作品'!A:A,0),0),"error")</f>
        <v>GLOW</v>
      </c>
      <c r="C5" s="91" t="s">
        <v>2054</v>
      </c>
      <c r="D5" s="307" t="s">
        <v>973</v>
      </c>
      <c r="E5" s="78" t="str">
        <f t="shared" ref="E5:E8" si="2">C5&amp;"_"&amp;A5&amp;"_"&amp;D5</f>
        <v>stamina_glo_00001</v>
      </c>
      <c r="F5" s="78" t="str">
        <f t="shared" ref="F5:F8" si="3">E5</f>
        <v>stamina_glo_00001</v>
      </c>
      <c r="G5" s="308" t="str">
        <f t="shared" ref="G5:G8" si="4">"item_icon_"&amp;F5</f>
        <v>item_icon_stamina_glo_00001</v>
      </c>
      <c r="H5" s="89" t="s">
        <v>2055</v>
      </c>
      <c r="I5" s="89" t="s">
        <v>1057</v>
      </c>
      <c r="J5" s="314">
        <v>999.0</v>
      </c>
      <c r="K5" s="314">
        <v>999.0</v>
      </c>
      <c r="L5" s="313"/>
      <c r="M5" s="313"/>
      <c r="N5" s="307" t="s">
        <v>2049</v>
      </c>
      <c r="O5" s="311">
        <v>2.0250901E8</v>
      </c>
      <c r="P5" s="315">
        <v>7.56</v>
      </c>
      <c r="Q5" s="85"/>
      <c r="R5" s="85"/>
      <c r="S5" s="85"/>
      <c r="T5" s="85"/>
      <c r="U5" s="85"/>
    </row>
    <row r="6">
      <c r="A6" s="99" t="s">
        <v>283</v>
      </c>
      <c r="B6" s="305" t="str">
        <f t="array" ref="B6">iferror(INDEX('作品'!D:D,MATCH(A6,'作品'!A:A,0),0),"error")</f>
        <v>GLOW</v>
      </c>
      <c r="C6" s="91" t="s">
        <v>2056</v>
      </c>
      <c r="D6" s="307" t="s">
        <v>973</v>
      </c>
      <c r="E6" s="78" t="str">
        <f t="shared" si="2"/>
        <v>stamina_item_glo_00001</v>
      </c>
      <c r="F6" s="78" t="str">
        <f t="shared" si="3"/>
        <v>stamina_item_glo_00001</v>
      </c>
      <c r="G6" s="308" t="str">
        <f t="shared" si="4"/>
        <v>item_icon_stamina_item_glo_00001</v>
      </c>
      <c r="H6" s="89" t="s">
        <v>2057</v>
      </c>
      <c r="I6" s="89" t="s">
        <v>1057</v>
      </c>
      <c r="J6" s="94">
        <v>9.99999999E8</v>
      </c>
      <c r="K6" s="94">
        <v>9.99999999E8</v>
      </c>
      <c r="L6" s="310" t="s">
        <v>2058</v>
      </c>
      <c r="M6" s="313"/>
      <c r="N6" s="307" t="s">
        <v>2049</v>
      </c>
      <c r="O6" s="311">
        <v>2.0250901E8</v>
      </c>
      <c r="P6" s="316">
        <f>P5*10</f>
        <v>75.6</v>
      </c>
      <c r="Q6" s="85"/>
      <c r="R6" s="85"/>
      <c r="S6" s="85"/>
      <c r="T6" s="85"/>
      <c r="U6" s="85"/>
    </row>
    <row r="7">
      <c r="A7" s="99" t="s">
        <v>283</v>
      </c>
      <c r="B7" s="305" t="str">
        <f t="array" ref="B7">iferror(INDEX('作品'!D:D,MATCH(A7,'作品'!A:A,0),0),"error")</f>
        <v>GLOW</v>
      </c>
      <c r="C7" s="91" t="s">
        <v>2056</v>
      </c>
      <c r="D7" s="307" t="s">
        <v>990</v>
      </c>
      <c r="E7" s="78" t="str">
        <f t="shared" si="2"/>
        <v>stamina_item_glo_00002</v>
      </c>
      <c r="F7" s="78" t="str">
        <f t="shared" si="3"/>
        <v>stamina_item_glo_00002</v>
      </c>
      <c r="G7" s="308" t="str">
        <f t="shared" si="4"/>
        <v>item_icon_stamina_item_glo_00002</v>
      </c>
      <c r="H7" s="89" t="s">
        <v>2059</v>
      </c>
      <c r="I7" s="89" t="s">
        <v>1028</v>
      </c>
      <c r="J7" s="94">
        <v>9.99999999E8</v>
      </c>
      <c r="K7" s="94">
        <v>9.99999999E8</v>
      </c>
      <c r="L7" s="310" t="s">
        <v>2060</v>
      </c>
      <c r="M7" s="313"/>
      <c r="N7" s="307" t="s">
        <v>2049</v>
      </c>
      <c r="O7" s="311">
        <v>2.0250901E8</v>
      </c>
      <c r="P7" s="316">
        <f>P5*50</f>
        <v>378</v>
      </c>
      <c r="Q7" s="85"/>
      <c r="R7" s="85"/>
      <c r="S7" s="85"/>
      <c r="T7" s="85"/>
      <c r="U7" s="85"/>
    </row>
    <row r="8">
      <c r="A8" s="99" t="s">
        <v>283</v>
      </c>
      <c r="B8" s="305" t="str">
        <f t="array" ref="B8">iferror(INDEX('作品'!D:D,MATCH(A8,'作品'!A:A,0),0),"error")</f>
        <v>GLOW</v>
      </c>
      <c r="C8" s="91" t="s">
        <v>2061</v>
      </c>
      <c r="D8" s="307" t="s">
        <v>973</v>
      </c>
      <c r="E8" s="78" t="str">
        <f t="shared" si="2"/>
        <v>exp_glo_00001</v>
      </c>
      <c r="F8" s="78" t="str">
        <f t="shared" si="3"/>
        <v>exp_glo_00001</v>
      </c>
      <c r="G8" s="308" t="str">
        <f t="shared" si="4"/>
        <v>item_icon_exp_glo_00001</v>
      </c>
      <c r="H8" s="89" t="s">
        <v>2062</v>
      </c>
      <c r="I8" s="89" t="s">
        <v>1057</v>
      </c>
      <c r="J8" s="314" t="s">
        <v>64</v>
      </c>
      <c r="K8" s="314" t="s">
        <v>64</v>
      </c>
      <c r="L8" s="313"/>
      <c r="M8" s="313"/>
      <c r="N8" s="307" t="s">
        <v>2049</v>
      </c>
      <c r="O8" s="311">
        <v>2.0250901E8</v>
      </c>
      <c r="P8" s="312" t="s">
        <v>64</v>
      </c>
      <c r="Q8" s="85"/>
      <c r="R8" s="85"/>
      <c r="S8" s="85"/>
      <c r="T8" s="85"/>
      <c r="U8" s="85"/>
    </row>
    <row r="9" ht="9.0" customHeight="1">
      <c r="A9" s="118"/>
      <c r="B9" s="87"/>
      <c r="C9" s="87"/>
      <c r="D9" s="87"/>
      <c r="E9" s="87"/>
      <c r="F9" s="87"/>
      <c r="G9" s="87"/>
      <c r="H9" s="87"/>
      <c r="I9" s="87"/>
      <c r="J9" s="87"/>
      <c r="K9" s="87"/>
      <c r="L9" s="87"/>
      <c r="M9" s="87"/>
      <c r="N9" s="87"/>
      <c r="O9" s="87"/>
      <c r="P9" s="88"/>
      <c r="Q9" s="85"/>
      <c r="R9" s="85"/>
      <c r="S9" s="85"/>
      <c r="T9" s="85"/>
      <c r="U9" s="85"/>
    </row>
    <row r="10">
      <c r="A10" s="317" t="s">
        <v>283</v>
      </c>
      <c r="B10" s="318" t="str">
        <f t="array" ref="B10">iferror(INDEX('作品'!D:D,MATCH(A10,'作品'!A:A,0),0),"error")</f>
        <v>GLOW</v>
      </c>
      <c r="C10" s="255" t="s">
        <v>2063</v>
      </c>
      <c r="D10" s="319" t="s">
        <v>973</v>
      </c>
      <c r="E10" s="255" t="str">
        <f t="shared" ref="E10:E27" si="5">C10&amp;"_"&amp;A10&amp;"_"&amp;D10</f>
        <v>ticket_glo_00001</v>
      </c>
      <c r="F10" s="255" t="str">
        <f t="shared" ref="F10:F27" si="6">E10</f>
        <v>ticket_glo_00001</v>
      </c>
      <c r="G10" s="320" t="str">
        <f t="shared" ref="G10:G27" si="7">"item_icon_"&amp;F10</f>
        <v>item_icon_ticket_glo_00001</v>
      </c>
      <c r="H10" s="321" t="s">
        <v>2064</v>
      </c>
      <c r="I10" s="320" t="s">
        <v>1057</v>
      </c>
      <c r="J10" s="322">
        <v>9.99999999E8</v>
      </c>
      <c r="K10" s="322">
        <v>9.99999999E8</v>
      </c>
      <c r="L10" s="323" t="s">
        <v>2065</v>
      </c>
      <c r="M10" s="324" t="s">
        <v>2066</v>
      </c>
      <c r="N10" s="325" t="s">
        <v>2067</v>
      </c>
      <c r="O10" s="326"/>
      <c r="P10" s="327">
        <f>O10*1.3</f>
        <v>0</v>
      </c>
      <c r="Q10" s="328"/>
      <c r="R10" s="328"/>
      <c r="S10" s="328"/>
      <c r="T10" s="328"/>
      <c r="U10" s="328"/>
    </row>
    <row r="11">
      <c r="A11" s="99" t="s">
        <v>283</v>
      </c>
      <c r="B11" s="305" t="str">
        <f t="array" ref="B11">iferror(INDEX('作品'!D:D,MATCH(A11,'作品'!A:A,0),0),"error")</f>
        <v>GLOW</v>
      </c>
      <c r="C11" s="53" t="s">
        <v>2063</v>
      </c>
      <c r="D11" s="307" t="s">
        <v>990</v>
      </c>
      <c r="E11" s="78" t="str">
        <f t="shared" si="5"/>
        <v>ticket_glo_00002</v>
      </c>
      <c r="F11" s="78" t="str">
        <f t="shared" si="6"/>
        <v>ticket_glo_00002</v>
      </c>
      <c r="G11" s="308" t="str">
        <f t="shared" si="7"/>
        <v>item_icon_ticket_glo_00002</v>
      </c>
      <c r="H11" s="58" t="s">
        <v>2068</v>
      </c>
      <c r="I11" s="89" t="s">
        <v>976</v>
      </c>
      <c r="J11" s="94">
        <v>9.99999999E8</v>
      </c>
      <c r="K11" s="94">
        <v>9.99999999E8</v>
      </c>
      <c r="L11" s="329" t="s">
        <v>2069</v>
      </c>
      <c r="M11" s="329" t="s">
        <v>2070</v>
      </c>
      <c r="N11" s="307" t="s">
        <v>2049</v>
      </c>
      <c r="O11" s="311">
        <v>2.0250901E8</v>
      </c>
      <c r="P11" s="312">
        <v>300.0</v>
      </c>
      <c r="Q11" s="85"/>
      <c r="R11" s="85"/>
      <c r="S11" s="85"/>
      <c r="T11" s="85"/>
      <c r="U11" s="85"/>
    </row>
    <row r="12">
      <c r="A12" s="99" t="s">
        <v>283</v>
      </c>
      <c r="B12" s="305" t="str">
        <f t="array" ref="B12">iferror(INDEX('作品'!D:D,MATCH(A12,'作品'!A:A,0),0),"error")</f>
        <v>GLOW</v>
      </c>
      <c r="C12" s="53" t="s">
        <v>2063</v>
      </c>
      <c r="D12" s="307" t="s">
        <v>1267</v>
      </c>
      <c r="E12" s="78" t="str">
        <f t="shared" si="5"/>
        <v>ticket_glo_00003</v>
      </c>
      <c r="F12" s="78" t="str">
        <f t="shared" si="6"/>
        <v>ticket_glo_00003</v>
      </c>
      <c r="G12" s="308" t="str">
        <f t="shared" si="7"/>
        <v>item_icon_ticket_glo_00003</v>
      </c>
      <c r="H12" s="58" t="s">
        <v>2071</v>
      </c>
      <c r="I12" s="89" t="s">
        <v>976</v>
      </c>
      <c r="J12" s="94">
        <v>9.99999999E8</v>
      </c>
      <c r="K12" s="94">
        <v>9.99999999E8</v>
      </c>
      <c r="L12" s="329" t="s">
        <v>2072</v>
      </c>
      <c r="M12" s="329" t="s">
        <v>2073</v>
      </c>
      <c r="N12" s="307" t="s">
        <v>2049</v>
      </c>
      <c r="O12" s="311">
        <v>2.0250901E8</v>
      </c>
      <c r="P12" s="312">
        <v>300.0</v>
      </c>
      <c r="Q12" s="85"/>
      <c r="R12" s="85"/>
      <c r="S12" s="85"/>
      <c r="T12" s="85"/>
      <c r="U12" s="85"/>
    </row>
    <row r="13">
      <c r="A13" s="99" t="s">
        <v>283</v>
      </c>
      <c r="B13" s="305" t="str">
        <f t="array" ref="B13">iferror(INDEX('作品'!D:D,MATCH(A13,'作品'!A:A,0),0),"error")</f>
        <v>GLOW</v>
      </c>
      <c r="C13" s="53" t="s">
        <v>2063</v>
      </c>
      <c r="D13" s="307" t="s">
        <v>1878</v>
      </c>
      <c r="E13" s="78" t="str">
        <f t="shared" si="5"/>
        <v>ticket_glo_00004</v>
      </c>
      <c r="F13" s="78" t="str">
        <f t="shared" si="6"/>
        <v>ticket_glo_00004</v>
      </c>
      <c r="G13" s="308" t="str">
        <f t="shared" si="7"/>
        <v>item_icon_ticket_glo_00004</v>
      </c>
      <c r="H13" s="58" t="s">
        <v>2074</v>
      </c>
      <c r="I13" s="89" t="s">
        <v>976</v>
      </c>
      <c r="J13" s="94">
        <v>9.99999999E8</v>
      </c>
      <c r="K13" s="94">
        <v>9.99999999E8</v>
      </c>
      <c r="L13" s="329" t="s">
        <v>2075</v>
      </c>
      <c r="M13" s="329" t="s">
        <v>2076</v>
      </c>
      <c r="N13" s="307" t="s">
        <v>2049</v>
      </c>
      <c r="O13" s="311">
        <v>2.0250901E8</v>
      </c>
      <c r="P13" s="312">
        <v>300.0</v>
      </c>
      <c r="Q13" s="85"/>
      <c r="R13" s="85"/>
      <c r="S13" s="85"/>
      <c r="T13" s="85"/>
      <c r="U13" s="85"/>
    </row>
    <row r="14">
      <c r="A14" s="99" t="s">
        <v>283</v>
      </c>
      <c r="B14" s="305" t="str">
        <f t="array" ref="B14">iferror(INDEX('作品'!D:D,MATCH(A14,'作品'!A:A,0),0),"error")</f>
        <v>GLOW</v>
      </c>
      <c r="C14" s="53" t="s">
        <v>2063</v>
      </c>
      <c r="D14" s="307" t="s">
        <v>1255</v>
      </c>
      <c r="E14" s="78" t="str">
        <f t="shared" si="5"/>
        <v>ticket_glo_00102</v>
      </c>
      <c r="F14" s="78" t="str">
        <f t="shared" si="6"/>
        <v>ticket_glo_00102</v>
      </c>
      <c r="G14" s="308" t="str">
        <f t="shared" si="7"/>
        <v>item_icon_ticket_glo_00102</v>
      </c>
      <c r="H14" s="58" t="s">
        <v>2077</v>
      </c>
      <c r="I14" s="89" t="s">
        <v>1057</v>
      </c>
      <c r="J14" s="94">
        <v>9.99999999E8</v>
      </c>
      <c r="K14" s="94">
        <v>9.99999999E8</v>
      </c>
      <c r="L14" s="329" t="s">
        <v>2078</v>
      </c>
      <c r="M14" s="329" t="s">
        <v>2079</v>
      </c>
      <c r="N14" s="307" t="s">
        <v>2049</v>
      </c>
      <c r="O14" s="311">
        <v>2.0250901E8</v>
      </c>
      <c r="P14" s="312">
        <v>588.0</v>
      </c>
      <c r="Q14" s="85"/>
      <c r="R14" s="85"/>
      <c r="S14" s="85"/>
      <c r="T14" s="85"/>
      <c r="U14" s="85"/>
    </row>
    <row r="15">
      <c r="A15" s="99" t="s">
        <v>283</v>
      </c>
      <c r="B15" s="305" t="str">
        <f t="array" ref="B15">iferror(INDEX('作品'!D:D,MATCH(A15,'作品'!A:A,0),0),"error")</f>
        <v>GLOW</v>
      </c>
      <c r="C15" s="53" t="s">
        <v>2063</v>
      </c>
      <c r="D15" s="307" t="s">
        <v>2080</v>
      </c>
      <c r="E15" s="78" t="str">
        <f t="shared" si="5"/>
        <v>ticket_glo_00104</v>
      </c>
      <c r="F15" s="78" t="str">
        <f t="shared" si="6"/>
        <v>ticket_glo_00104</v>
      </c>
      <c r="G15" s="308" t="str">
        <f t="shared" si="7"/>
        <v>item_icon_ticket_glo_00104</v>
      </c>
      <c r="H15" s="330" t="s">
        <v>2081</v>
      </c>
      <c r="I15" s="89" t="s">
        <v>1028</v>
      </c>
      <c r="J15" s="94">
        <v>9.99999999E8</v>
      </c>
      <c r="K15" s="94">
        <v>9.99999999E8</v>
      </c>
      <c r="L15" s="329" t="s">
        <v>2082</v>
      </c>
      <c r="M15" s="329" t="s">
        <v>2083</v>
      </c>
      <c r="N15" s="307" t="s">
        <v>2049</v>
      </c>
      <c r="O15" s="311">
        <v>2.0250901E8</v>
      </c>
      <c r="P15" s="312">
        <v>1000.0</v>
      </c>
      <c r="Q15" s="85"/>
      <c r="R15" s="85"/>
      <c r="S15" s="85"/>
      <c r="T15" s="85"/>
      <c r="U15" s="85"/>
    </row>
    <row r="16">
      <c r="A16" s="99" t="s">
        <v>283</v>
      </c>
      <c r="B16" s="305" t="str">
        <f t="array" ref="B16">iferror(INDEX('作品'!D:D,MATCH(A16,'作品'!A:A,0),0),"error")</f>
        <v>GLOW</v>
      </c>
      <c r="C16" s="53" t="s">
        <v>2063</v>
      </c>
      <c r="D16" s="307" t="s">
        <v>2084</v>
      </c>
      <c r="E16" s="78" t="str">
        <f t="shared" si="5"/>
        <v>ticket_glo_00105</v>
      </c>
      <c r="F16" s="78" t="str">
        <f t="shared" si="6"/>
        <v>ticket_glo_00105</v>
      </c>
      <c r="G16" s="308" t="str">
        <f t="shared" si="7"/>
        <v>item_icon_ticket_glo_00105</v>
      </c>
      <c r="H16" s="58" t="s">
        <v>2085</v>
      </c>
      <c r="I16" s="89" t="s">
        <v>993</v>
      </c>
      <c r="J16" s="94">
        <v>9.99999999E8</v>
      </c>
      <c r="K16" s="94">
        <v>9.99999999E8</v>
      </c>
      <c r="L16" s="329" t="s">
        <v>2086</v>
      </c>
      <c r="M16" s="329" t="s">
        <v>2087</v>
      </c>
      <c r="N16" s="307" t="s">
        <v>2049</v>
      </c>
      <c r="O16" s="311">
        <v>2.0250901E8</v>
      </c>
      <c r="P16" s="312">
        <v>2000.0</v>
      </c>
      <c r="Q16" s="85"/>
      <c r="R16" s="85"/>
      <c r="S16" s="85"/>
      <c r="T16" s="85"/>
      <c r="U16" s="85"/>
    </row>
    <row r="17">
      <c r="A17" s="99" t="s">
        <v>283</v>
      </c>
      <c r="B17" s="305" t="str">
        <f t="array" ref="B17">iferror(INDEX('作品'!D:D,MATCH(A17,'作品'!A:A,0),0),"error")</f>
        <v>GLOW</v>
      </c>
      <c r="C17" s="53" t="s">
        <v>2063</v>
      </c>
      <c r="D17" s="307" t="s">
        <v>1130</v>
      </c>
      <c r="E17" s="78" t="str">
        <f t="shared" si="5"/>
        <v>ticket_glo_00202</v>
      </c>
      <c r="F17" s="78" t="str">
        <f t="shared" si="6"/>
        <v>ticket_glo_00202</v>
      </c>
      <c r="G17" s="308" t="str">
        <f t="shared" si="7"/>
        <v>item_icon_ticket_glo_00202</v>
      </c>
      <c r="H17" s="58" t="s">
        <v>2088</v>
      </c>
      <c r="I17" s="89" t="s">
        <v>976</v>
      </c>
      <c r="J17" s="94">
        <v>9.99999999E8</v>
      </c>
      <c r="K17" s="94">
        <v>9.99999999E8</v>
      </c>
      <c r="L17" s="329" t="s">
        <v>2089</v>
      </c>
      <c r="M17" s="329" t="s">
        <v>2090</v>
      </c>
      <c r="N17" s="307" t="s">
        <v>2049</v>
      </c>
      <c r="O17" s="311">
        <v>2.0250901E8</v>
      </c>
      <c r="P17" s="312">
        <v>7500.0</v>
      </c>
      <c r="Q17" s="85"/>
      <c r="R17" s="85"/>
      <c r="S17" s="85"/>
      <c r="T17" s="85"/>
      <c r="U17" s="85"/>
    </row>
    <row r="18">
      <c r="A18" s="99" t="s">
        <v>283</v>
      </c>
      <c r="B18" s="305" t="str">
        <f t="array" ref="B18">iferror(INDEX('作品'!D:D,MATCH(A18,'作品'!A:A,0),0),"error")</f>
        <v>GLOW</v>
      </c>
      <c r="C18" s="53" t="s">
        <v>2063</v>
      </c>
      <c r="D18" s="307" t="s">
        <v>2091</v>
      </c>
      <c r="E18" s="78" t="str">
        <f t="shared" si="5"/>
        <v>ticket_glo_00203</v>
      </c>
      <c r="F18" s="78" t="str">
        <f t="shared" si="6"/>
        <v>ticket_glo_00203</v>
      </c>
      <c r="G18" s="308" t="str">
        <f t="shared" si="7"/>
        <v>item_icon_ticket_glo_00203</v>
      </c>
      <c r="H18" s="58" t="s">
        <v>2092</v>
      </c>
      <c r="I18" s="89" t="s">
        <v>976</v>
      </c>
      <c r="J18" s="94">
        <v>9.99999999E8</v>
      </c>
      <c r="K18" s="94">
        <v>9.99999999E8</v>
      </c>
      <c r="L18" s="329" t="s">
        <v>2093</v>
      </c>
      <c r="M18" s="329" t="s">
        <v>2094</v>
      </c>
      <c r="N18" s="307" t="s">
        <v>2049</v>
      </c>
      <c r="O18" s="311">
        <v>2.0250901E8</v>
      </c>
      <c r="P18" s="312">
        <v>7500.0</v>
      </c>
      <c r="Q18" s="85"/>
      <c r="R18" s="85"/>
      <c r="S18" s="85"/>
      <c r="T18" s="85"/>
      <c r="U18" s="85"/>
    </row>
    <row r="19">
      <c r="A19" s="99" t="s">
        <v>283</v>
      </c>
      <c r="B19" s="305" t="str">
        <f t="array" ref="B19">iferror(INDEX('作品'!D:D,MATCH(A19,'作品'!A:A,0),0),"error")</f>
        <v>GLOW</v>
      </c>
      <c r="C19" s="53" t="s">
        <v>2063</v>
      </c>
      <c r="D19" s="307" t="s">
        <v>2095</v>
      </c>
      <c r="E19" s="78" t="str">
        <f t="shared" si="5"/>
        <v>ticket_glo_00204</v>
      </c>
      <c r="F19" s="78" t="str">
        <f t="shared" si="6"/>
        <v>ticket_glo_00204</v>
      </c>
      <c r="G19" s="308" t="str">
        <f t="shared" si="7"/>
        <v>item_icon_ticket_glo_00204</v>
      </c>
      <c r="H19" s="58" t="s">
        <v>2096</v>
      </c>
      <c r="I19" s="89" t="s">
        <v>976</v>
      </c>
      <c r="J19" s="94">
        <v>9.99999999E8</v>
      </c>
      <c r="K19" s="94">
        <v>9.99999999E8</v>
      </c>
      <c r="L19" s="329" t="s">
        <v>2097</v>
      </c>
      <c r="M19" s="329" t="s">
        <v>2098</v>
      </c>
      <c r="N19" s="307" t="s">
        <v>2049</v>
      </c>
      <c r="O19" s="311">
        <v>2.0250901E8</v>
      </c>
      <c r="P19" s="312">
        <v>7500.0</v>
      </c>
      <c r="Q19" s="85"/>
      <c r="R19" s="85"/>
      <c r="S19" s="85"/>
      <c r="T19" s="85"/>
      <c r="U19" s="85"/>
    </row>
    <row r="20">
      <c r="A20" s="99" t="s">
        <v>283</v>
      </c>
      <c r="B20" s="305" t="str">
        <f t="array" ref="B20">iferror(INDEX('作品'!D:D,MATCH(A20,'作品'!A:A,0),0),"error")</f>
        <v>GLOW</v>
      </c>
      <c r="C20" s="53" t="s">
        <v>2063</v>
      </c>
      <c r="D20" s="307" t="s">
        <v>2099</v>
      </c>
      <c r="E20" s="78" t="str">
        <f t="shared" si="5"/>
        <v>ticket_glo_00205</v>
      </c>
      <c r="F20" s="78" t="str">
        <f t="shared" si="6"/>
        <v>ticket_glo_00205</v>
      </c>
      <c r="G20" s="308" t="str">
        <f t="shared" si="7"/>
        <v>item_icon_ticket_glo_00205</v>
      </c>
      <c r="H20" s="58" t="s">
        <v>2100</v>
      </c>
      <c r="I20" s="89" t="s">
        <v>976</v>
      </c>
      <c r="J20" s="94">
        <v>9.99999999E8</v>
      </c>
      <c r="K20" s="94">
        <v>9.99999999E8</v>
      </c>
      <c r="L20" s="329" t="s">
        <v>2101</v>
      </c>
      <c r="M20" s="329" t="s">
        <v>2102</v>
      </c>
      <c r="N20" s="307" t="s">
        <v>2049</v>
      </c>
      <c r="O20" s="311">
        <v>2.0250901E8</v>
      </c>
      <c r="P20" s="312">
        <v>7500.0</v>
      </c>
      <c r="Q20" s="85"/>
      <c r="R20" s="85"/>
      <c r="S20" s="85"/>
      <c r="T20" s="85"/>
      <c r="U20" s="85"/>
    </row>
    <row r="21">
      <c r="A21" s="99" t="s">
        <v>283</v>
      </c>
      <c r="B21" s="305" t="str">
        <f t="array" ref="B21">iferror(INDEX('作品'!D:D,MATCH(A21,'作品'!A:A,0),0),"error")</f>
        <v>GLOW</v>
      </c>
      <c r="C21" s="53" t="s">
        <v>2063</v>
      </c>
      <c r="D21" s="307" t="s">
        <v>2103</v>
      </c>
      <c r="E21" s="78" t="str">
        <f t="shared" si="5"/>
        <v>ticket_glo_00206</v>
      </c>
      <c r="F21" s="78" t="str">
        <f t="shared" si="6"/>
        <v>ticket_glo_00206</v>
      </c>
      <c r="G21" s="308" t="str">
        <f t="shared" si="7"/>
        <v>item_icon_ticket_glo_00206</v>
      </c>
      <c r="H21" s="89" t="s">
        <v>2104</v>
      </c>
      <c r="I21" s="89" t="s">
        <v>976</v>
      </c>
      <c r="J21" s="94">
        <v>9.99999999E8</v>
      </c>
      <c r="K21" s="94">
        <v>9.99999999E8</v>
      </c>
      <c r="L21" s="310" t="s">
        <v>2105</v>
      </c>
      <c r="M21" s="313"/>
      <c r="N21" s="307" t="s">
        <v>2049</v>
      </c>
      <c r="O21" s="311">
        <v>2.0250901E8</v>
      </c>
      <c r="P21" s="316"/>
      <c r="Q21" s="85"/>
      <c r="R21" s="85"/>
      <c r="S21" s="85"/>
      <c r="T21" s="85"/>
      <c r="U21" s="85"/>
    </row>
    <row r="22">
      <c r="A22" s="331" t="s">
        <v>283</v>
      </c>
      <c r="B22" s="332" t="str">
        <f t="array" ref="B22">iferror(INDEX('作品'!D:D,MATCH(A22,'作品'!A:A,0),0),"error")</f>
        <v>GLOW</v>
      </c>
      <c r="C22" s="192" t="s">
        <v>2063</v>
      </c>
      <c r="D22" s="195" t="s">
        <v>2106</v>
      </c>
      <c r="E22" s="178" t="str">
        <f t="shared" si="5"/>
        <v>ticket_glo_00207</v>
      </c>
      <c r="F22" s="178" t="str">
        <f t="shared" si="6"/>
        <v>ticket_glo_00207</v>
      </c>
      <c r="G22" s="333" t="str">
        <f t="shared" si="7"/>
        <v>item_icon_ticket_glo_00207</v>
      </c>
      <c r="H22" s="334" t="s">
        <v>2107</v>
      </c>
      <c r="I22" s="335" t="s">
        <v>976</v>
      </c>
      <c r="J22" s="336">
        <v>9.99999999E8</v>
      </c>
      <c r="K22" s="336">
        <v>9.99999999E8</v>
      </c>
      <c r="L22" s="337" t="s">
        <v>2108</v>
      </c>
      <c r="M22" s="204"/>
      <c r="N22" s="307" t="s">
        <v>2109</v>
      </c>
      <c r="O22" s="338">
        <v>2.0251202E8</v>
      </c>
      <c r="P22" s="316"/>
      <c r="Q22" s="339"/>
      <c r="R22" s="339"/>
      <c r="S22" s="339"/>
      <c r="T22" s="339"/>
      <c r="U22" s="339"/>
    </row>
    <row r="23">
      <c r="A23" s="99" t="s">
        <v>283</v>
      </c>
      <c r="B23" s="305" t="str">
        <f t="array" ref="B23">iferror(INDEX('作品'!D:D,MATCH(A23,'作品'!A:A,0),0),"error")</f>
        <v>GLOW</v>
      </c>
      <c r="C23" s="53" t="s">
        <v>2063</v>
      </c>
      <c r="D23" s="307" t="s">
        <v>2110</v>
      </c>
      <c r="E23" s="78" t="str">
        <f t="shared" si="5"/>
        <v>ticket_glo_90000</v>
      </c>
      <c r="F23" s="78" t="str">
        <f t="shared" si="6"/>
        <v>ticket_glo_90000</v>
      </c>
      <c r="G23" s="308" t="str">
        <f t="shared" si="7"/>
        <v>item_icon_ticket_glo_90000</v>
      </c>
      <c r="H23" s="89" t="s">
        <v>2111</v>
      </c>
      <c r="I23" s="89" t="s">
        <v>976</v>
      </c>
      <c r="J23" s="94">
        <v>9.99999999E8</v>
      </c>
      <c r="K23" s="94">
        <v>9.99999999E8</v>
      </c>
      <c r="L23" s="310" t="s">
        <v>2112</v>
      </c>
      <c r="M23" s="313"/>
      <c r="N23" s="307" t="s">
        <v>2049</v>
      </c>
      <c r="O23" s="311">
        <v>2.0250901E8</v>
      </c>
      <c r="P23" s="316"/>
      <c r="Q23" s="85"/>
      <c r="R23" s="85"/>
      <c r="S23" s="85"/>
      <c r="T23" s="85"/>
      <c r="U23" s="85"/>
    </row>
    <row r="24">
      <c r="A24" s="89" t="s">
        <v>158</v>
      </c>
      <c r="B24" s="305" t="str">
        <f t="array" ref="B24">iferror(INDEX('作品'!D:D,MATCH(A24,'作品'!A:A,0),0),"error")</f>
        <v>【推しの子】</v>
      </c>
      <c r="C24" s="53" t="s">
        <v>2063</v>
      </c>
      <c r="D24" s="307" t="s">
        <v>2113</v>
      </c>
      <c r="E24" s="78" t="str">
        <f t="shared" si="5"/>
        <v>ticket_osh_10000</v>
      </c>
      <c r="F24" s="78" t="str">
        <f t="shared" si="6"/>
        <v>ticket_osh_10000</v>
      </c>
      <c r="G24" s="308" t="str">
        <f t="shared" si="7"/>
        <v>item_icon_ticket_osh_10000</v>
      </c>
      <c r="H24" s="89" t="s">
        <v>2114</v>
      </c>
      <c r="I24" s="89" t="s">
        <v>993</v>
      </c>
      <c r="J24" s="94">
        <v>9.99999999E8</v>
      </c>
      <c r="K24" s="94">
        <v>9.99999999E8</v>
      </c>
      <c r="L24" s="310" t="s">
        <v>2115</v>
      </c>
      <c r="M24" s="310" t="s">
        <v>2116</v>
      </c>
      <c r="N24" s="307" t="s">
        <v>2109</v>
      </c>
      <c r="O24" s="338">
        <v>2.0251202E8</v>
      </c>
      <c r="P24" s="316"/>
      <c r="Q24" s="85"/>
      <c r="R24" s="85"/>
      <c r="S24" s="85"/>
      <c r="T24" s="85"/>
      <c r="U24" s="85"/>
    </row>
    <row r="25">
      <c r="A25" s="99" t="s">
        <v>283</v>
      </c>
      <c r="B25" s="305" t="str">
        <f t="array" ref="B25">iferror(INDEX('作品'!D:D,MATCH(A25,'作品'!A:A,0),0),"error")</f>
        <v>GLOW</v>
      </c>
      <c r="C25" s="53" t="s">
        <v>2063</v>
      </c>
      <c r="D25" s="307" t="s">
        <v>2117</v>
      </c>
      <c r="E25" s="78" t="str">
        <f t="shared" si="5"/>
        <v>ticket_glo_10001</v>
      </c>
      <c r="F25" s="78" t="str">
        <f t="shared" si="6"/>
        <v>ticket_glo_10001</v>
      </c>
      <c r="G25" s="308" t="str">
        <f t="shared" si="7"/>
        <v>item_icon_ticket_glo_10001</v>
      </c>
      <c r="H25" s="89" t="s">
        <v>2118</v>
      </c>
      <c r="I25" s="89" t="s">
        <v>993</v>
      </c>
      <c r="J25" s="94">
        <v>9.99999999E8</v>
      </c>
      <c r="K25" s="94">
        <v>9.99999999E8</v>
      </c>
      <c r="L25" s="310" t="s">
        <v>2119</v>
      </c>
      <c r="M25" s="310" t="s">
        <v>2120</v>
      </c>
      <c r="N25" s="307" t="s">
        <v>2109</v>
      </c>
      <c r="O25" s="338">
        <v>2.0251202E8</v>
      </c>
      <c r="P25" s="316"/>
      <c r="Q25" s="85"/>
      <c r="R25" s="85"/>
      <c r="S25" s="85"/>
      <c r="T25" s="85"/>
      <c r="U25" s="85"/>
    </row>
    <row r="26">
      <c r="A26" s="89" t="s">
        <v>166</v>
      </c>
      <c r="B26" s="305" t="str">
        <f t="array" ref="B26">iferror(INDEX('作品'!D:D,MATCH(A26,'作品'!A:A,0),0),"error")</f>
        <v>君のことが大大大大大好きな100人の彼女</v>
      </c>
      <c r="C26" s="53" t="s">
        <v>2063</v>
      </c>
      <c r="D26" s="307" t="s">
        <v>973</v>
      </c>
      <c r="E26" s="78" t="str">
        <f t="shared" si="5"/>
        <v>ticket_kim_00001</v>
      </c>
      <c r="F26" s="78" t="str">
        <f t="shared" si="6"/>
        <v>ticket_kim_00001</v>
      </c>
      <c r="G26" s="308" t="str">
        <f t="shared" si="7"/>
        <v>item_icon_ticket_kim_00001</v>
      </c>
      <c r="H26" s="89" t="s">
        <v>2121</v>
      </c>
      <c r="I26" s="89" t="s">
        <v>993</v>
      </c>
      <c r="J26" s="94">
        <v>9.99999999E8</v>
      </c>
      <c r="K26" s="94">
        <v>9.99999999E8</v>
      </c>
      <c r="L26" s="310" t="s">
        <v>2122</v>
      </c>
      <c r="M26" s="310" t="s">
        <v>2123</v>
      </c>
      <c r="N26" s="307"/>
      <c r="O26" s="311"/>
      <c r="P26" s="316"/>
      <c r="Q26" s="85"/>
      <c r="R26" s="85"/>
      <c r="S26" s="85"/>
      <c r="T26" s="85"/>
      <c r="U26" s="85"/>
    </row>
    <row r="27">
      <c r="A27" s="99" t="s">
        <v>283</v>
      </c>
      <c r="B27" s="305" t="str">
        <f t="array" ref="B27">iferror(INDEX('作品'!D:D,MATCH(A27,'作品'!A:A,0),0),"error")</f>
        <v>GLOW</v>
      </c>
      <c r="C27" s="53" t="s">
        <v>2063</v>
      </c>
      <c r="D27" s="307" t="s">
        <v>2124</v>
      </c>
      <c r="E27" s="78" t="str">
        <f t="shared" si="5"/>
        <v>ticket_glo_10002</v>
      </c>
      <c r="F27" s="78" t="str">
        <f t="shared" si="6"/>
        <v>ticket_glo_10002</v>
      </c>
      <c r="G27" s="308" t="str">
        <f t="shared" si="7"/>
        <v>item_icon_ticket_glo_10002</v>
      </c>
      <c r="H27" s="89" t="s">
        <v>2125</v>
      </c>
      <c r="I27" s="89" t="s">
        <v>993</v>
      </c>
      <c r="J27" s="94">
        <v>9.99999999E8</v>
      </c>
      <c r="K27" s="94">
        <v>9.99999999E8</v>
      </c>
      <c r="L27" s="310" t="s">
        <v>2126</v>
      </c>
      <c r="M27" s="310" t="s">
        <v>2127</v>
      </c>
      <c r="N27" s="307" t="s">
        <v>2109</v>
      </c>
      <c r="O27" s="338">
        <v>2.0251202E8</v>
      </c>
      <c r="P27" s="316"/>
      <c r="Q27" s="85"/>
      <c r="R27" s="85"/>
      <c r="S27" s="85"/>
      <c r="T27" s="85"/>
      <c r="U27" s="85"/>
    </row>
    <row r="28">
      <c r="A28" s="99"/>
      <c r="B28" s="305"/>
      <c r="C28" s="53"/>
      <c r="D28" s="307"/>
      <c r="E28" s="78"/>
      <c r="F28" s="78"/>
      <c r="G28" s="308"/>
      <c r="H28" s="89"/>
      <c r="I28" s="89"/>
      <c r="J28" s="94"/>
      <c r="K28" s="94"/>
      <c r="L28" s="310"/>
      <c r="M28" s="313"/>
      <c r="N28" s="307"/>
      <c r="O28" s="311"/>
      <c r="P28" s="316"/>
      <c r="Q28" s="85"/>
      <c r="R28" s="85"/>
      <c r="S28" s="85"/>
      <c r="T28" s="85"/>
      <c r="U28" s="85"/>
    </row>
    <row r="29" ht="9.0" customHeight="1">
      <c r="A29" s="118"/>
      <c r="B29" s="87"/>
      <c r="C29" s="87"/>
      <c r="D29" s="87"/>
      <c r="E29" s="87"/>
      <c r="F29" s="87"/>
      <c r="G29" s="87"/>
      <c r="H29" s="87"/>
      <c r="I29" s="87"/>
      <c r="J29" s="87"/>
      <c r="K29" s="87"/>
      <c r="L29" s="87"/>
      <c r="M29" s="87"/>
      <c r="N29" s="87"/>
      <c r="O29" s="87"/>
      <c r="P29" s="88"/>
      <c r="Q29" s="85"/>
      <c r="R29" s="85"/>
      <c r="S29" s="85"/>
      <c r="T29" s="85"/>
      <c r="U29" s="85"/>
    </row>
    <row r="30">
      <c r="A30" s="99" t="s">
        <v>283</v>
      </c>
      <c r="B30" s="305" t="str">
        <f t="array" ref="B30">iferror(INDEX('作品'!D:D,MATCH(A30,'作品'!A:A,0),0),"error")</f>
        <v>GLOW</v>
      </c>
      <c r="C30" s="53" t="s">
        <v>2128</v>
      </c>
      <c r="D30" s="307" t="s">
        <v>973</v>
      </c>
      <c r="E30" s="78" t="str">
        <f t="shared" ref="E30:E37" si="8">C30&amp;"_"&amp;A30&amp;"_"&amp;D30</f>
        <v>memory_glo_00001</v>
      </c>
      <c r="F30" s="78" t="str">
        <f t="shared" ref="F30:F37" si="9">E30</f>
        <v>memory_glo_00001</v>
      </c>
      <c r="G30" s="308" t="str">
        <f t="shared" ref="G30:G37" si="10">"item_icon_"&amp;F30</f>
        <v>item_icon_memory_glo_00001</v>
      </c>
      <c r="H30" s="89" t="s">
        <v>2129</v>
      </c>
      <c r="I30" s="89" t="s">
        <v>976</v>
      </c>
      <c r="J30" s="94">
        <v>9.99999999E8</v>
      </c>
      <c r="K30" s="94">
        <v>9.99999999E8</v>
      </c>
      <c r="L30" s="310" t="s">
        <v>2130</v>
      </c>
      <c r="M30" s="313"/>
      <c r="N30" s="307" t="s">
        <v>2049</v>
      </c>
      <c r="O30" s="311">
        <v>2.0250901E8</v>
      </c>
      <c r="P30" s="312">
        <v>14.4</v>
      </c>
      <c r="Q30" s="85"/>
      <c r="R30" s="85"/>
      <c r="S30" s="85"/>
      <c r="T30" s="85"/>
      <c r="U30" s="85"/>
    </row>
    <row r="31">
      <c r="A31" s="99" t="s">
        <v>283</v>
      </c>
      <c r="B31" s="305" t="str">
        <f t="array" ref="B31">iferror(INDEX('作品'!D:D,MATCH(A31,'作品'!A:A,0),0),"error")</f>
        <v>GLOW</v>
      </c>
      <c r="C31" s="53" t="s">
        <v>2128</v>
      </c>
      <c r="D31" s="307" t="s">
        <v>990</v>
      </c>
      <c r="E31" s="78" t="str">
        <f t="shared" si="8"/>
        <v>memory_glo_00002</v>
      </c>
      <c r="F31" s="78" t="str">
        <f t="shared" si="9"/>
        <v>memory_glo_00002</v>
      </c>
      <c r="G31" s="308" t="str">
        <f t="shared" si="10"/>
        <v>item_icon_memory_glo_00002</v>
      </c>
      <c r="H31" s="89" t="s">
        <v>2131</v>
      </c>
      <c r="I31" s="89" t="s">
        <v>976</v>
      </c>
      <c r="J31" s="94">
        <v>9.99999999E8</v>
      </c>
      <c r="K31" s="94">
        <v>9.99999999E8</v>
      </c>
      <c r="L31" s="310" t="s">
        <v>2132</v>
      </c>
      <c r="M31" s="313"/>
      <c r="N31" s="307" t="s">
        <v>2049</v>
      </c>
      <c r="O31" s="311">
        <v>2.0250901E8</v>
      </c>
      <c r="P31" s="312">
        <v>14.4</v>
      </c>
      <c r="Q31" s="85"/>
      <c r="R31" s="85"/>
      <c r="S31" s="85"/>
      <c r="T31" s="85"/>
      <c r="U31" s="85"/>
    </row>
    <row r="32">
      <c r="A32" s="331" t="s">
        <v>283</v>
      </c>
      <c r="B32" s="332" t="str">
        <f t="array" ref="B32">iferror(INDEX('作品'!D:D,MATCH(A32,'作品'!A:A,0),0),"error")</f>
        <v>GLOW</v>
      </c>
      <c r="C32" s="192" t="s">
        <v>2128</v>
      </c>
      <c r="D32" s="195" t="s">
        <v>1267</v>
      </c>
      <c r="E32" s="178" t="str">
        <f t="shared" si="8"/>
        <v>memory_glo_00003</v>
      </c>
      <c r="F32" s="178" t="str">
        <f t="shared" si="9"/>
        <v>memory_glo_00003</v>
      </c>
      <c r="G32" s="308" t="str">
        <f t="shared" si="10"/>
        <v>item_icon_memory_glo_00003</v>
      </c>
      <c r="H32" s="89" t="s">
        <v>2133</v>
      </c>
      <c r="I32" s="334" t="s">
        <v>976</v>
      </c>
      <c r="J32" s="340">
        <v>9.99999999E8</v>
      </c>
      <c r="K32" s="340">
        <v>9.99999999E8</v>
      </c>
      <c r="L32" s="341" t="s">
        <v>2134</v>
      </c>
      <c r="M32" s="204"/>
      <c r="N32" s="307" t="s">
        <v>2049</v>
      </c>
      <c r="O32" s="311">
        <v>2.0250901E8</v>
      </c>
      <c r="P32" s="312">
        <v>14.4</v>
      </c>
      <c r="Q32" s="339"/>
      <c r="R32" s="339"/>
      <c r="S32" s="339"/>
      <c r="T32" s="339"/>
      <c r="U32" s="339"/>
    </row>
    <row r="33">
      <c r="A33" s="331" t="s">
        <v>283</v>
      </c>
      <c r="B33" s="332" t="str">
        <f t="array" ref="B33">iferror(INDEX('作品'!D:D,MATCH(A33,'作品'!A:A,0),0),"error")</f>
        <v>GLOW</v>
      </c>
      <c r="C33" s="192" t="s">
        <v>2128</v>
      </c>
      <c r="D33" s="195" t="s">
        <v>1878</v>
      </c>
      <c r="E33" s="178" t="str">
        <f t="shared" si="8"/>
        <v>memory_glo_00004</v>
      </c>
      <c r="F33" s="178" t="str">
        <f t="shared" si="9"/>
        <v>memory_glo_00004</v>
      </c>
      <c r="G33" s="308" t="str">
        <f t="shared" si="10"/>
        <v>item_icon_memory_glo_00004</v>
      </c>
      <c r="H33" s="89" t="s">
        <v>2135</v>
      </c>
      <c r="I33" s="334" t="s">
        <v>976</v>
      </c>
      <c r="J33" s="340">
        <v>9.99999999E8</v>
      </c>
      <c r="K33" s="340">
        <v>9.99999999E8</v>
      </c>
      <c r="L33" s="341" t="s">
        <v>2136</v>
      </c>
      <c r="M33" s="204"/>
      <c r="N33" s="307" t="s">
        <v>2049</v>
      </c>
      <c r="O33" s="311">
        <v>2.0250901E8</v>
      </c>
      <c r="P33" s="312">
        <v>14.4</v>
      </c>
      <c r="Q33" s="339"/>
      <c r="R33" s="339"/>
      <c r="S33" s="339"/>
      <c r="T33" s="339"/>
      <c r="U33" s="339"/>
    </row>
    <row r="34">
      <c r="A34" s="331" t="s">
        <v>283</v>
      </c>
      <c r="B34" s="332" t="str">
        <f t="array" ref="B34">iferror(INDEX('作品'!D:D,MATCH(A34,'作品'!A:A,0),0),"error")</f>
        <v>GLOW</v>
      </c>
      <c r="C34" s="192" t="s">
        <v>2128</v>
      </c>
      <c r="D34" s="195" t="s">
        <v>1880</v>
      </c>
      <c r="E34" s="178" t="str">
        <f t="shared" si="8"/>
        <v>memory_glo_00005</v>
      </c>
      <c r="F34" s="178" t="str">
        <f t="shared" si="9"/>
        <v>memory_glo_00005</v>
      </c>
      <c r="G34" s="308" t="str">
        <f t="shared" si="10"/>
        <v>item_icon_memory_glo_00005</v>
      </c>
      <c r="H34" s="89" t="s">
        <v>2137</v>
      </c>
      <c r="I34" s="334" t="s">
        <v>976</v>
      </c>
      <c r="J34" s="340">
        <v>9.99999999E8</v>
      </c>
      <c r="K34" s="340">
        <v>9.99999999E8</v>
      </c>
      <c r="L34" s="341" t="s">
        <v>2138</v>
      </c>
      <c r="M34" s="204"/>
      <c r="N34" s="307" t="s">
        <v>2049</v>
      </c>
      <c r="O34" s="311">
        <v>2.0250901E8</v>
      </c>
      <c r="P34" s="312">
        <v>14.4</v>
      </c>
      <c r="Q34" s="339"/>
      <c r="R34" s="339"/>
      <c r="S34" s="339"/>
      <c r="T34" s="339"/>
      <c r="U34" s="339"/>
    </row>
    <row r="35">
      <c r="A35" s="331" t="s">
        <v>283</v>
      </c>
      <c r="B35" s="332" t="str">
        <f t="array" ref="B35">iferror(INDEX('作品'!D:D,MATCH(A35,'作品'!A:A,0),0),"error")</f>
        <v>GLOW</v>
      </c>
      <c r="C35" s="106" t="s">
        <v>2139</v>
      </c>
      <c r="D35" s="195" t="s">
        <v>973</v>
      </c>
      <c r="E35" s="178" t="str">
        <f t="shared" si="8"/>
        <v>memoryfragment_glo_00001</v>
      </c>
      <c r="F35" s="178" t="str">
        <f t="shared" si="9"/>
        <v>memoryfragment_glo_00001</v>
      </c>
      <c r="G35" s="308" t="str">
        <f t="shared" si="10"/>
        <v>item_icon_memoryfragment_glo_00001</v>
      </c>
      <c r="H35" s="334" t="s">
        <v>2140</v>
      </c>
      <c r="I35" s="334" t="s">
        <v>1028</v>
      </c>
      <c r="J35" s="340">
        <v>9.99999999E8</v>
      </c>
      <c r="K35" s="340">
        <v>9.99999999E8</v>
      </c>
      <c r="L35" s="341" t="s">
        <v>2141</v>
      </c>
      <c r="M35" s="204"/>
      <c r="N35" s="307" t="s">
        <v>2049</v>
      </c>
      <c r="O35" s="311">
        <v>2.0250901E8</v>
      </c>
      <c r="P35" s="342">
        <v>33.0</v>
      </c>
      <c r="Q35" s="339"/>
      <c r="R35" s="339"/>
      <c r="S35" s="339"/>
      <c r="T35" s="339"/>
      <c r="U35" s="339"/>
    </row>
    <row r="36">
      <c r="A36" s="331" t="s">
        <v>283</v>
      </c>
      <c r="B36" s="332" t="str">
        <f t="array" ref="B36">iferror(INDEX('作品'!D:D,MATCH(A36,'作品'!A:A,0),0),"error")</f>
        <v>GLOW</v>
      </c>
      <c r="C36" s="106" t="s">
        <v>2139</v>
      </c>
      <c r="D36" s="195" t="s">
        <v>990</v>
      </c>
      <c r="E36" s="178" t="str">
        <f t="shared" si="8"/>
        <v>memoryfragment_glo_00002</v>
      </c>
      <c r="F36" s="178" t="str">
        <f t="shared" si="9"/>
        <v>memoryfragment_glo_00002</v>
      </c>
      <c r="G36" s="308" t="str">
        <f t="shared" si="10"/>
        <v>item_icon_memoryfragment_glo_00002</v>
      </c>
      <c r="H36" s="334" t="s">
        <v>2142</v>
      </c>
      <c r="I36" s="334" t="s">
        <v>993</v>
      </c>
      <c r="J36" s="340">
        <v>9.99999999E8</v>
      </c>
      <c r="K36" s="340">
        <v>9.99999999E8</v>
      </c>
      <c r="L36" s="341" t="s">
        <v>2141</v>
      </c>
      <c r="M36" s="204"/>
      <c r="N36" s="307" t="s">
        <v>2049</v>
      </c>
      <c r="O36" s="311">
        <v>2.0250901E8</v>
      </c>
      <c r="P36" s="342">
        <v>66.0</v>
      </c>
      <c r="Q36" s="339"/>
      <c r="R36" s="339"/>
      <c r="S36" s="339"/>
      <c r="T36" s="339"/>
      <c r="U36" s="339"/>
    </row>
    <row r="37">
      <c r="A37" s="331" t="s">
        <v>283</v>
      </c>
      <c r="B37" s="332" t="str">
        <f t="array" ref="B37">iferror(INDEX('作品'!D:D,MATCH(A37,'作品'!A:A,0),0),"error")</f>
        <v>GLOW</v>
      </c>
      <c r="C37" s="106" t="s">
        <v>2139</v>
      </c>
      <c r="D37" s="195" t="s">
        <v>1267</v>
      </c>
      <c r="E37" s="178" t="str">
        <f t="shared" si="8"/>
        <v>memoryfragment_glo_00003</v>
      </c>
      <c r="F37" s="178" t="str">
        <f t="shared" si="9"/>
        <v>memoryfragment_glo_00003</v>
      </c>
      <c r="G37" s="308" t="str">
        <f t="shared" si="10"/>
        <v>item_icon_memoryfragment_glo_00003</v>
      </c>
      <c r="H37" s="334" t="s">
        <v>2143</v>
      </c>
      <c r="I37" s="334" t="s">
        <v>976</v>
      </c>
      <c r="J37" s="340">
        <v>9.99999999E8</v>
      </c>
      <c r="K37" s="340">
        <v>9.99999999E8</v>
      </c>
      <c r="L37" s="341" t="s">
        <v>2141</v>
      </c>
      <c r="M37" s="204"/>
      <c r="N37" s="307" t="s">
        <v>2049</v>
      </c>
      <c r="O37" s="311">
        <v>2.0250901E8</v>
      </c>
      <c r="P37" s="342">
        <v>99.0</v>
      </c>
      <c r="Q37" s="339"/>
      <c r="R37" s="339"/>
      <c r="S37" s="339"/>
      <c r="T37" s="339"/>
      <c r="U37" s="339"/>
    </row>
    <row r="38">
      <c r="A38" s="99"/>
      <c r="B38" s="53"/>
      <c r="C38" s="53"/>
      <c r="D38" s="307"/>
      <c r="E38" s="78"/>
      <c r="F38" s="343"/>
      <c r="G38" s="89"/>
      <c r="H38" s="89"/>
      <c r="I38" s="89"/>
      <c r="J38" s="94"/>
      <c r="K38" s="313"/>
      <c r="L38" s="313"/>
      <c r="M38" s="313"/>
      <c r="N38" s="344"/>
      <c r="O38" s="344"/>
      <c r="P38" s="316"/>
      <c r="Q38" s="85"/>
      <c r="R38" s="85"/>
      <c r="S38" s="85"/>
      <c r="T38" s="85"/>
      <c r="U38" s="85"/>
    </row>
    <row r="39" ht="9.0" customHeight="1">
      <c r="A39" s="118"/>
      <c r="B39" s="87"/>
      <c r="C39" s="87"/>
      <c r="D39" s="87"/>
      <c r="E39" s="87"/>
      <c r="F39" s="87"/>
      <c r="G39" s="87"/>
      <c r="H39" s="87"/>
      <c r="I39" s="87"/>
      <c r="J39" s="87"/>
      <c r="K39" s="87"/>
      <c r="L39" s="87"/>
      <c r="M39" s="87"/>
      <c r="N39" s="87"/>
      <c r="O39" s="87"/>
      <c r="P39" s="88"/>
      <c r="Q39" s="85"/>
      <c r="R39" s="85"/>
      <c r="S39" s="85"/>
      <c r="T39" s="85"/>
      <c r="U39" s="85"/>
    </row>
    <row r="40">
      <c r="A40" s="99" t="s">
        <v>283</v>
      </c>
      <c r="B40" s="305" t="str">
        <f t="array" ref="B40">iferror(INDEX('作品'!D:D,MATCH(A40,'作品'!A:A,0),0),"error")</f>
        <v>GLOW</v>
      </c>
      <c r="C40" s="91" t="s">
        <v>2144</v>
      </c>
      <c r="D40" s="307" t="s">
        <v>973</v>
      </c>
      <c r="E40" s="78" t="str">
        <f t="shared" ref="E40:E47" si="11">C40&amp;"_"&amp;A40&amp;"_"&amp;D40</f>
        <v>box_glo_00001</v>
      </c>
      <c r="F40" s="78" t="str">
        <f t="shared" ref="F40:F47" si="12">E40</f>
        <v>box_glo_00001</v>
      </c>
      <c r="G40" s="308" t="str">
        <f t="shared" ref="G40:G47" si="13">"item_icon_"&amp;F40</f>
        <v>item_icon_box_glo_00001</v>
      </c>
      <c r="H40" s="58" t="s">
        <v>2145</v>
      </c>
      <c r="I40" s="53" t="s">
        <v>1057</v>
      </c>
      <c r="J40" s="94">
        <v>9.99999999E8</v>
      </c>
      <c r="K40" s="94">
        <v>9.99999999E8</v>
      </c>
      <c r="L40" s="96" t="s">
        <v>2146</v>
      </c>
      <c r="M40" s="96"/>
      <c r="N40" s="307" t="s">
        <v>2049</v>
      </c>
      <c r="O40" s="311">
        <v>2.0250901E8</v>
      </c>
      <c r="P40" s="316"/>
      <c r="Q40" s="85"/>
      <c r="R40" s="85"/>
      <c r="S40" s="85"/>
      <c r="T40" s="85"/>
      <c r="U40" s="85"/>
    </row>
    <row r="41">
      <c r="A41" s="99" t="s">
        <v>283</v>
      </c>
      <c r="B41" s="305" t="str">
        <f t="array" ref="B41">iferror(INDEX('作品'!D:D,MATCH(A41,'作品'!A:A,0),0),"error")</f>
        <v>GLOW</v>
      </c>
      <c r="C41" s="91" t="s">
        <v>2144</v>
      </c>
      <c r="D41" s="307" t="s">
        <v>990</v>
      </c>
      <c r="E41" s="78" t="str">
        <f t="shared" si="11"/>
        <v>box_glo_00002</v>
      </c>
      <c r="F41" s="78" t="str">
        <f t="shared" si="12"/>
        <v>box_glo_00002</v>
      </c>
      <c r="G41" s="308" t="str">
        <f t="shared" si="13"/>
        <v>item_icon_box_glo_00002</v>
      </c>
      <c r="H41" s="58" t="s">
        <v>2147</v>
      </c>
      <c r="I41" s="53" t="s">
        <v>1028</v>
      </c>
      <c r="J41" s="94">
        <v>9.99999999E8</v>
      </c>
      <c r="K41" s="94">
        <v>9.99999999E8</v>
      </c>
      <c r="L41" s="96" t="s">
        <v>2148</v>
      </c>
      <c r="M41" s="96"/>
      <c r="N41" s="307" t="s">
        <v>2049</v>
      </c>
      <c r="O41" s="311">
        <v>2.0250901E8</v>
      </c>
      <c r="P41" s="316"/>
      <c r="Q41" s="85"/>
      <c r="R41" s="85"/>
      <c r="S41" s="85"/>
      <c r="T41" s="85"/>
      <c r="U41" s="85"/>
    </row>
    <row r="42">
      <c r="A42" s="99" t="s">
        <v>283</v>
      </c>
      <c r="B42" s="305" t="str">
        <f t="array" ref="B42">iferror(INDEX('作品'!D:D,MATCH(A42,'作品'!A:A,0),0),"error")</f>
        <v>GLOW</v>
      </c>
      <c r="C42" s="91" t="s">
        <v>2144</v>
      </c>
      <c r="D42" s="307" t="s">
        <v>1267</v>
      </c>
      <c r="E42" s="78" t="str">
        <f t="shared" si="11"/>
        <v>box_glo_00003</v>
      </c>
      <c r="F42" s="78" t="str">
        <f t="shared" si="12"/>
        <v>box_glo_00003</v>
      </c>
      <c r="G42" s="308" t="str">
        <f t="shared" si="13"/>
        <v>item_icon_box_glo_00003</v>
      </c>
      <c r="H42" s="58" t="s">
        <v>2149</v>
      </c>
      <c r="I42" s="53" t="s">
        <v>993</v>
      </c>
      <c r="J42" s="94">
        <v>9.99999999E8</v>
      </c>
      <c r="K42" s="94">
        <v>9.99999999E8</v>
      </c>
      <c r="L42" s="96" t="s">
        <v>2150</v>
      </c>
      <c r="M42" s="96"/>
      <c r="N42" s="307" t="s">
        <v>2049</v>
      </c>
      <c r="O42" s="311">
        <v>2.0250901E8</v>
      </c>
      <c r="P42" s="316"/>
      <c r="Q42" s="85"/>
      <c r="R42" s="85"/>
      <c r="S42" s="85"/>
      <c r="T42" s="85"/>
      <c r="U42" s="85"/>
    </row>
    <row r="43">
      <c r="A43" s="99" t="s">
        <v>283</v>
      </c>
      <c r="B43" s="305" t="str">
        <f t="array" ref="B43">iferror(INDEX('作品'!D:D,MATCH(A43,'作品'!A:A,0),0),"error")</f>
        <v>GLOW</v>
      </c>
      <c r="C43" s="91" t="s">
        <v>2144</v>
      </c>
      <c r="D43" s="307" t="s">
        <v>1878</v>
      </c>
      <c r="E43" s="78" t="str">
        <f t="shared" si="11"/>
        <v>box_glo_00004</v>
      </c>
      <c r="F43" s="78" t="str">
        <f t="shared" si="12"/>
        <v>box_glo_00004</v>
      </c>
      <c r="G43" s="308" t="str">
        <f t="shared" si="13"/>
        <v>item_icon_box_glo_00004</v>
      </c>
      <c r="H43" s="58" t="s">
        <v>2151</v>
      </c>
      <c r="I43" s="53" t="s">
        <v>976</v>
      </c>
      <c r="J43" s="94">
        <v>9.99999999E8</v>
      </c>
      <c r="K43" s="94">
        <v>9.99999999E8</v>
      </c>
      <c r="L43" s="96" t="s">
        <v>2152</v>
      </c>
      <c r="M43" s="96"/>
      <c r="N43" s="307" t="s">
        <v>2049</v>
      </c>
      <c r="O43" s="311">
        <v>2.0250901E8</v>
      </c>
      <c r="P43" s="316"/>
      <c r="Q43" s="85"/>
      <c r="R43" s="85"/>
      <c r="S43" s="85"/>
      <c r="T43" s="85"/>
      <c r="U43" s="85"/>
    </row>
    <row r="44">
      <c r="A44" s="99" t="s">
        <v>283</v>
      </c>
      <c r="B44" s="305" t="str">
        <f t="array" ref="B44">iferror(INDEX('作品'!D:D,MATCH(A44,'作品'!A:A,0),0),"error")</f>
        <v>GLOW</v>
      </c>
      <c r="C44" s="91" t="s">
        <v>2144</v>
      </c>
      <c r="D44" s="307" t="s">
        <v>1880</v>
      </c>
      <c r="E44" s="78" t="str">
        <f t="shared" si="11"/>
        <v>box_glo_00005</v>
      </c>
      <c r="F44" s="78" t="str">
        <f t="shared" si="12"/>
        <v>box_glo_00005</v>
      </c>
      <c r="G44" s="308" t="str">
        <f t="shared" si="13"/>
        <v>item_icon_box_glo_00005</v>
      </c>
      <c r="H44" s="58" t="s">
        <v>2153</v>
      </c>
      <c r="I44" s="53" t="s">
        <v>1057</v>
      </c>
      <c r="J44" s="94">
        <v>9.99999999E8</v>
      </c>
      <c r="K44" s="94">
        <v>9.99999999E8</v>
      </c>
      <c r="L44" s="96" t="s">
        <v>2154</v>
      </c>
      <c r="M44" s="96"/>
      <c r="N44" s="307" t="s">
        <v>2049</v>
      </c>
      <c r="O44" s="311">
        <v>2.0250901E8</v>
      </c>
      <c r="P44" s="316"/>
      <c r="Q44" s="85"/>
      <c r="R44" s="85"/>
      <c r="S44" s="85"/>
      <c r="T44" s="85"/>
      <c r="U44" s="85"/>
    </row>
    <row r="45">
      <c r="A45" s="99" t="s">
        <v>283</v>
      </c>
      <c r="B45" s="305" t="str">
        <f t="array" ref="B45">iferror(INDEX('作品'!D:D,MATCH(A45,'作品'!A:A,0),0),"error")</f>
        <v>GLOW</v>
      </c>
      <c r="C45" s="91" t="s">
        <v>2144</v>
      </c>
      <c r="D45" s="307" t="s">
        <v>1882</v>
      </c>
      <c r="E45" s="78" t="str">
        <f t="shared" si="11"/>
        <v>box_glo_00006</v>
      </c>
      <c r="F45" s="78" t="str">
        <f t="shared" si="12"/>
        <v>box_glo_00006</v>
      </c>
      <c r="G45" s="308" t="str">
        <f t="shared" si="13"/>
        <v>item_icon_box_glo_00006</v>
      </c>
      <c r="H45" s="58" t="s">
        <v>2155</v>
      </c>
      <c r="I45" s="53" t="s">
        <v>1028</v>
      </c>
      <c r="J45" s="94">
        <v>9.99999999E8</v>
      </c>
      <c r="K45" s="94">
        <v>9.99999999E8</v>
      </c>
      <c r="L45" s="96" t="s">
        <v>2156</v>
      </c>
      <c r="M45" s="96"/>
      <c r="N45" s="307" t="s">
        <v>2049</v>
      </c>
      <c r="O45" s="311">
        <v>2.0250901E8</v>
      </c>
      <c r="P45" s="316"/>
      <c r="Q45" s="85"/>
      <c r="R45" s="85"/>
      <c r="S45" s="85"/>
      <c r="T45" s="85"/>
      <c r="U45" s="85"/>
    </row>
    <row r="46">
      <c r="A46" s="99" t="s">
        <v>283</v>
      </c>
      <c r="B46" s="305" t="str">
        <f t="array" ref="B46">iferror(INDEX('作品'!D:D,MATCH(A46,'作品'!A:A,0),0),"error")</f>
        <v>GLOW</v>
      </c>
      <c r="C46" s="91" t="s">
        <v>2144</v>
      </c>
      <c r="D46" s="307" t="s">
        <v>2157</v>
      </c>
      <c r="E46" s="78" t="str">
        <f t="shared" si="11"/>
        <v>box_glo_00007</v>
      </c>
      <c r="F46" s="78" t="str">
        <f t="shared" si="12"/>
        <v>box_glo_00007</v>
      </c>
      <c r="G46" s="308" t="str">
        <f t="shared" si="13"/>
        <v>item_icon_box_glo_00007</v>
      </c>
      <c r="H46" s="58" t="s">
        <v>2158</v>
      </c>
      <c r="I46" s="53" t="s">
        <v>993</v>
      </c>
      <c r="J46" s="94">
        <v>9.99999999E8</v>
      </c>
      <c r="K46" s="94">
        <v>9.99999999E8</v>
      </c>
      <c r="L46" s="96" t="s">
        <v>2159</v>
      </c>
      <c r="M46" s="96"/>
      <c r="N46" s="307" t="s">
        <v>2049</v>
      </c>
      <c r="O46" s="311">
        <v>2.0250901E8</v>
      </c>
      <c r="P46" s="316"/>
      <c r="Q46" s="85"/>
      <c r="R46" s="85"/>
      <c r="S46" s="85"/>
      <c r="T46" s="85"/>
      <c r="U46" s="85"/>
    </row>
    <row r="47">
      <c r="A47" s="99" t="s">
        <v>283</v>
      </c>
      <c r="B47" s="305" t="str">
        <f t="array" ref="B47">iferror(INDEX('作品'!D:D,MATCH(A47,'作品'!A:A,0),0),"error")</f>
        <v>GLOW</v>
      </c>
      <c r="C47" s="91" t="s">
        <v>2144</v>
      </c>
      <c r="D47" s="307" t="s">
        <v>2160</v>
      </c>
      <c r="E47" s="78" t="str">
        <f t="shared" si="11"/>
        <v>box_glo_00008</v>
      </c>
      <c r="F47" s="78" t="str">
        <f t="shared" si="12"/>
        <v>box_glo_00008</v>
      </c>
      <c r="G47" s="308" t="str">
        <f t="shared" si="13"/>
        <v>item_icon_box_glo_00008</v>
      </c>
      <c r="H47" s="58" t="s">
        <v>2161</v>
      </c>
      <c r="I47" s="53" t="s">
        <v>976</v>
      </c>
      <c r="J47" s="94">
        <v>9.99999999E8</v>
      </c>
      <c r="K47" s="94">
        <v>9.99999999E8</v>
      </c>
      <c r="L47" s="96" t="s">
        <v>2162</v>
      </c>
      <c r="M47" s="96"/>
      <c r="N47" s="307" t="s">
        <v>2049</v>
      </c>
      <c r="O47" s="311">
        <v>2.0250901E8</v>
      </c>
      <c r="P47" s="316"/>
      <c r="Q47" s="85"/>
      <c r="R47" s="85"/>
      <c r="S47" s="85"/>
      <c r="T47" s="85"/>
      <c r="U47" s="85"/>
    </row>
    <row r="48">
      <c r="A48" s="99"/>
      <c r="B48" s="305"/>
      <c r="C48" s="91"/>
      <c r="D48" s="307"/>
      <c r="E48" s="78"/>
      <c r="F48" s="78"/>
      <c r="G48" s="58"/>
      <c r="H48" s="58"/>
      <c r="I48" s="53"/>
      <c r="J48" s="94"/>
      <c r="K48" s="94"/>
      <c r="L48" s="96"/>
      <c r="M48" s="96"/>
      <c r="N48" s="98"/>
      <c r="O48" s="98"/>
      <c r="P48" s="316"/>
      <c r="Q48" s="85"/>
      <c r="R48" s="85"/>
      <c r="S48" s="85"/>
      <c r="T48" s="85"/>
      <c r="U48" s="85"/>
    </row>
    <row r="49">
      <c r="A49" s="99"/>
      <c r="B49" s="305"/>
      <c r="C49" s="91"/>
      <c r="D49" s="307"/>
      <c r="E49" s="78"/>
      <c r="F49" s="78"/>
      <c r="G49" s="58"/>
      <c r="H49" s="58"/>
      <c r="I49" s="53"/>
      <c r="J49" s="94"/>
      <c r="K49" s="94"/>
      <c r="L49" s="96"/>
      <c r="M49" s="96"/>
      <c r="N49" s="98"/>
      <c r="O49" s="98"/>
      <c r="P49" s="316"/>
      <c r="Q49" s="85"/>
      <c r="R49" s="85"/>
      <c r="S49" s="85"/>
      <c r="T49" s="85"/>
      <c r="U49" s="85"/>
    </row>
    <row r="50">
      <c r="A50" s="99"/>
      <c r="B50" s="305"/>
      <c r="C50" s="91"/>
      <c r="D50" s="307"/>
      <c r="E50" s="78"/>
      <c r="F50" s="78"/>
      <c r="G50" s="58"/>
      <c r="H50" s="58"/>
      <c r="I50" s="53"/>
      <c r="J50" s="94"/>
      <c r="K50" s="94"/>
      <c r="L50" s="96"/>
      <c r="M50" s="96"/>
      <c r="N50" s="98"/>
      <c r="O50" s="98"/>
      <c r="P50" s="316"/>
      <c r="Q50" s="85"/>
      <c r="R50" s="85"/>
      <c r="S50" s="85"/>
      <c r="T50" s="85"/>
      <c r="U50" s="85"/>
    </row>
    <row r="51">
      <c r="A51" s="99"/>
      <c r="B51" s="305"/>
      <c r="C51" s="91"/>
      <c r="D51" s="307"/>
      <c r="E51" s="78"/>
      <c r="F51" s="78"/>
      <c r="G51" s="58"/>
      <c r="H51" s="58"/>
      <c r="I51" s="53"/>
      <c r="J51" s="94"/>
      <c r="K51" s="94"/>
      <c r="L51" s="96"/>
      <c r="M51" s="96"/>
      <c r="N51" s="98"/>
      <c r="O51" s="98"/>
      <c r="P51" s="316"/>
      <c r="Q51" s="85"/>
      <c r="R51" s="85"/>
      <c r="S51" s="85"/>
      <c r="T51" s="85"/>
      <c r="U51" s="85"/>
    </row>
    <row r="52">
      <c r="A52" s="99"/>
      <c r="B52" s="305"/>
      <c r="C52" s="91"/>
      <c r="D52" s="307"/>
      <c r="E52" s="78"/>
      <c r="F52" s="78"/>
      <c r="G52" s="58"/>
      <c r="H52" s="58"/>
      <c r="I52" s="53"/>
      <c r="J52" s="94"/>
      <c r="K52" s="94"/>
      <c r="L52" s="96"/>
      <c r="M52" s="96"/>
      <c r="N52" s="98"/>
      <c r="O52" s="98"/>
      <c r="P52" s="316"/>
      <c r="Q52" s="85"/>
      <c r="R52" s="85"/>
      <c r="S52" s="85"/>
      <c r="T52" s="85"/>
      <c r="U52" s="85"/>
    </row>
    <row r="53">
      <c r="A53" s="99"/>
      <c r="B53" s="305"/>
      <c r="C53" s="91"/>
      <c r="D53" s="307"/>
      <c r="E53" s="78"/>
      <c r="F53" s="78"/>
      <c r="G53" s="58"/>
      <c r="H53" s="58"/>
      <c r="I53" s="53"/>
      <c r="J53" s="94"/>
      <c r="K53" s="94"/>
      <c r="L53" s="96"/>
      <c r="M53" s="96"/>
      <c r="N53" s="98"/>
      <c r="O53" s="98"/>
      <c r="P53" s="316"/>
      <c r="Q53" s="85"/>
      <c r="R53" s="85"/>
      <c r="S53" s="85"/>
      <c r="T53" s="85"/>
      <c r="U53" s="85"/>
    </row>
    <row r="54" ht="9.0" customHeight="1">
      <c r="A54" s="118"/>
      <c r="B54" s="87"/>
      <c r="C54" s="87"/>
      <c r="D54" s="87"/>
      <c r="E54" s="87"/>
      <c r="F54" s="87"/>
      <c r="G54" s="87"/>
      <c r="H54" s="87"/>
      <c r="I54" s="87"/>
      <c r="J54" s="87"/>
      <c r="K54" s="87"/>
      <c r="L54" s="87"/>
      <c r="M54" s="87"/>
      <c r="N54" s="87"/>
      <c r="O54" s="87"/>
      <c r="P54" s="88"/>
      <c r="Q54" s="85"/>
      <c r="R54" s="85"/>
      <c r="S54" s="85"/>
      <c r="T54" s="85"/>
      <c r="U54" s="85"/>
    </row>
    <row r="55">
      <c r="A55" s="317" t="s">
        <v>283</v>
      </c>
      <c r="B55" s="318" t="str">
        <f t="array" ref="B55">iferror(INDEX('作品'!D:D,MATCH(A55,'作品'!A:A,0),0),"error")</f>
        <v>GLOW</v>
      </c>
      <c r="C55" s="345" t="s">
        <v>2163</v>
      </c>
      <c r="D55" s="319" t="s">
        <v>973</v>
      </c>
      <c r="E55" s="255" t="str">
        <f t="shared" ref="E55:E56" si="14">C55&amp;"_"&amp;A55&amp;"_"&amp;D55</f>
        <v>tool_glo_00001</v>
      </c>
      <c r="F55" s="255" t="str">
        <f t="shared" ref="F55:F56" si="15">E55</f>
        <v>tool_glo_00001</v>
      </c>
      <c r="G55" s="320" t="str">
        <f t="shared" ref="G55:G56" si="16">"item_icon_"&amp;F55</f>
        <v>item_icon_tool_glo_00001</v>
      </c>
      <c r="H55" s="346" t="s">
        <v>2164</v>
      </c>
      <c r="I55" s="255" t="s">
        <v>1028</v>
      </c>
      <c r="J55" s="322" t="s">
        <v>64</v>
      </c>
      <c r="K55" s="322" t="s">
        <v>64</v>
      </c>
      <c r="L55" s="347"/>
      <c r="M55" s="347" t="s">
        <v>2165</v>
      </c>
      <c r="N55" s="325" t="s">
        <v>2067</v>
      </c>
      <c r="O55" s="348"/>
      <c r="P55" s="327"/>
      <c r="Q55" s="328"/>
      <c r="R55" s="328"/>
      <c r="S55" s="328"/>
      <c r="T55" s="328"/>
      <c r="U55" s="328"/>
    </row>
    <row r="56">
      <c r="A56" s="317" t="s">
        <v>283</v>
      </c>
      <c r="B56" s="318" t="str">
        <f t="array" ref="B56">iferror(INDEX('作品'!D:D,MATCH(A56,'作品'!A:A,0),0),"error")</f>
        <v>GLOW</v>
      </c>
      <c r="C56" s="345" t="s">
        <v>2163</v>
      </c>
      <c r="D56" s="319" t="s">
        <v>990</v>
      </c>
      <c r="E56" s="255" t="str">
        <f t="shared" si="14"/>
        <v>tool_glo_00002</v>
      </c>
      <c r="F56" s="255" t="str">
        <f t="shared" si="15"/>
        <v>tool_glo_00002</v>
      </c>
      <c r="G56" s="320" t="str">
        <f t="shared" si="16"/>
        <v>item_icon_tool_glo_00002</v>
      </c>
      <c r="H56" s="346" t="s">
        <v>2166</v>
      </c>
      <c r="I56" s="255" t="s">
        <v>1028</v>
      </c>
      <c r="J56" s="322" t="s">
        <v>64</v>
      </c>
      <c r="K56" s="322" t="s">
        <v>64</v>
      </c>
      <c r="L56" s="347"/>
      <c r="M56" s="347" t="s">
        <v>2167</v>
      </c>
      <c r="N56" s="325" t="s">
        <v>2067</v>
      </c>
      <c r="O56" s="348"/>
      <c r="P56" s="327"/>
      <c r="Q56" s="328"/>
      <c r="R56" s="328"/>
      <c r="S56" s="328"/>
      <c r="T56" s="328"/>
      <c r="U56" s="328"/>
    </row>
    <row r="57" ht="9.0" customHeight="1">
      <c r="A57" s="118"/>
      <c r="B57" s="87"/>
      <c r="C57" s="87"/>
      <c r="D57" s="87"/>
      <c r="E57" s="87"/>
      <c r="F57" s="87"/>
      <c r="G57" s="87"/>
      <c r="H57" s="87"/>
      <c r="I57" s="87"/>
      <c r="J57" s="87"/>
      <c r="K57" s="87"/>
      <c r="L57" s="87"/>
      <c r="M57" s="87"/>
      <c r="N57" s="87"/>
      <c r="O57" s="87"/>
      <c r="P57" s="88"/>
      <c r="Q57" s="85"/>
      <c r="R57" s="85"/>
      <c r="S57" s="85"/>
      <c r="T57" s="85"/>
      <c r="U57" s="85"/>
    </row>
    <row r="58" ht="9.0" customHeight="1">
      <c r="A58" s="170"/>
      <c r="B58" s="170"/>
      <c r="C58" s="170"/>
      <c r="D58" s="349"/>
      <c r="E58" s="170"/>
      <c r="F58" s="170"/>
      <c r="G58" s="170"/>
      <c r="H58" s="170"/>
      <c r="I58" s="170"/>
      <c r="J58" s="170"/>
      <c r="K58" s="170"/>
      <c r="L58" s="170"/>
      <c r="M58" s="170"/>
      <c r="N58" s="170"/>
      <c r="O58" s="170"/>
      <c r="P58" s="350"/>
      <c r="Q58" s="85"/>
      <c r="R58" s="85"/>
      <c r="S58" s="85"/>
      <c r="T58" s="85"/>
      <c r="U58" s="85"/>
    </row>
    <row r="59">
      <c r="A59" s="351" t="s">
        <v>283</v>
      </c>
      <c r="B59" s="352" t="s">
        <v>285</v>
      </c>
      <c r="C59" s="352" t="s">
        <v>2168</v>
      </c>
      <c r="D59" s="46" t="s">
        <v>2169</v>
      </c>
      <c r="E59" s="78" t="str">
        <f t="shared" ref="E59:E157" si="17">C59&amp;"_"&amp;A59&amp;"_"&amp;D59</f>
        <v>piece_glo_000001</v>
      </c>
      <c r="F59" s="57" t="str">
        <f t="shared" ref="F59:F157" si="18">E59</f>
        <v>piece_glo_000001</v>
      </c>
      <c r="G59" s="308" t="str">
        <f t="shared" ref="G59:G157" si="19">"item_icon_"&amp;F59</f>
        <v>item_icon_piece_glo_000001</v>
      </c>
      <c r="H59" s="353" t="s">
        <v>2170</v>
      </c>
      <c r="I59" s="352" t="s">
        <v>976</v>
      </c>
      <c r="J59" s="354">
        <v>9.99999999E8</v>
      </c>
      <c r="K59" s="354">
        <v>9.99999999E8</v>
      </c>
      <c r="L59" s="355"/>
      <c r="M59" s="356" t="s">
        <v>2171</v>
      </c>
      <c r="N59" s="352" t="s">
        <v>2172</v>
      </c>
      <c r="O59" s="352" t="s">
        <v>2172</v>
      </c>
      <c r="P59" s="357"/>
      <c r="Q59" s="85"/>
      <c r="R59" s="85"/>
      <c r="S59" s="85"/>
      <c r="T59" s="85"/>
      <c r="U59" s="85"/>
    </row>
    <row r="60">
      <c r="A60" s="99" t="s">
        <v>60</v>
      </c>
      <c r="B60" s="305" t="str">
        <f t="array" ref="B60">iferror(INDEX('作品'!D:D,MATCH(A60,'作品'!A:A,0),0),"error")</f>
        <v>SPY×FAMILY</v>
      </c>
      <c r="C60" s="91" t="s">
        <v>2168</v>
      </c>
      <c r="D60" s="46" t="s">
        <v>973</v>
      </c>
      <c r="E60" s="78" t="str">
        <f t="shared" si="17"/>
        <v>piece_spy_00001</v>
      </c>
      <c r="F60" s="57" t="str">
        <f t="shared" si="18"/>
        <v>piece_spy_00001</v>
      </c>
      <c r="G60" s="308" t="str">
        <f t="shared" si="19"/>
        <v>item_icon_piece_spy_00001</v>
      </c>
      <c r="H60" s="58" t="s">
        <v>2173</v>
      </c>
      <c r="I60" s="53" t="s">
        <v>976</v>
      </c>
      <c r="J60" s="94">
        <v>9.99999999E8</v>
      </c>
      <c r="K60" s="94">
        <v>9.99999999E8</v>
      </c>
      <c r="L60" s="96" t="s">
        <v>2174</v>
      </c>
      <c r="M60" s="114"/>
      <c r="N60" s="307" t="s">
        <v>2049</v>
      </c>
      <c r="O60" s="311">
        <v>2.0250901E8</v>
      </c>
      <c r="P60" s="316"/>
      <c r="Q60" s="85"/>
      <c r="R60" s="85"/>
      <c r="S60" s="85"/>
      <c r="T60" s="85"/>
      <c r="U60" s="85"/>
    </row>
    <row r="61">
      <c r="A61" s="99" t="s">
        <v>60</v>
      </c>
      <c r="B61" s="305" t="str">
        <f t="array" ref="B61">iferror(INDEX('作品'!D:D,MATCH(A61,'作品'!A:A,0),0),"error")</f>
        <v>SPY×FAMILY</v>
      </c>
      <c r="C61" s="91" t="s">
        <v>2168</v>
      </c>
      <c r="D61" s="46" t="s">
        <v>1001</v>
      </c>
      <c r="E61" s="78" t="str">
        <f t="shared" si="17"/>
        <v>piece_spy_00101</v>
      </c>
      <c r="F61" s="57" t="str">
        <f t="shared" si="18"/>
        <v>piece_spy_00101</v>
      </c>
      <c r="G61" s="308" t="str">
        <f t="shared" si="19"/>
        <v>item_icon_piece_spy_00101</v>
      </c>
      <c r="H61" s="58" t="s">
        <v>2175</v>
      </c>
      <c r="I61" s="53" t="s">
        <v>976</v>
      </c>
      <c r="J61" s="94">
        <v>9.99999999E8</v>
      </c>
      <c r="K61" s="94">
        <v>9.99999999E8</v>
      </c>
      <c r="L61" s="96" t="s">
        <v>2176</v>
      </c>
      <c r="M61" s="114"/>
      <c r="N61" s="307" t="s">
        <v>2049</v>
      </c>
      <c r="O61" s="311">
        <v>2.0250901E8</v>
      </c>
      <c r="P61" s="316"/>
      <c r="Q61" s="85"/>
      <c r="R61" s="85"/>
      <c r="S61" s="85"/>
      <c r="T61" s="85"/>
      <c r="U61" s="85"/>
    </row>
    <row r="62">
      <c r="A62" s="99" t="s">
        <v>60</v>
      </c>
      <c r="B62" s="305" t="str">
        <f t="array" ref="B62">iferror(INDEX('作品'!D:D,MATCH(A62,'作品'!A:A,0),0),"error")</f>
        <v>SPY×FAMILY</v>
      </c>
      <c r="C62" s="91" t="s">
        <v>2168</v>
      </c>
      <c r="D62" s="46" t="s">
        <v>1014</v>
      </c>
      <c r="E62" s="78" t="str">
        <f t="shared" si="17"/>
        <v>piece_spy_00201</v>
      </c>
      <c r="F62" s="57" t="str">
        <f t="shared" si="18"/>
        <v>piece_spy_00201</v>
      </c>
      <c r="G62" s="308" t="str">
        <f t="shared" si="19"/>
        <v>item_icon_piece_spy_00201</v>
      </c>
      <c r="H62" s="58" t="s">
        <v>2177</v>
      </c>
      <c r="I62" s="53" t="s">
        <v>976</v>
      </c>
      <c r="J62" s="94">
        <v>9.99999999E8</v>
      </c>
      <c r="K62" s="94">
        <v>9.99999999E8</v>
      </c>
      <c r="L62" s="96" t="s">
        <v>2178</v>
      </c>
      <c r="M62" s="114"/>
      <c r="N62" s="307" t="s">
        <v>2049</v>
      </c>
      <c r="O62" s="311">
        <v>2.0250901E8</v>
      </c>
      <c r="P62" s="316"/>
      <c r="Q62" s="85"/>
      <c r="R62" s="85"/>
      <c r="S62" s="85"/>
      <c r="T62" s="85"/>
      <c r="U62" s="85"/>
    </row>
    <row r="63">
      <c r="A63" s="99" t="s">
        <v>60</v>
      </c>
      <c r="B63" s="305" t="str">
        <f t="array" ref="B63">iferror(INDEX('作品'!D:D,MATCH(A63,'作品'!A:A,0),0),"error")</f>
        <v>SPY×FAMILY</v>
      </c>
      <c r="C63" s="91" t="s">
        <v>2168</v>
      </c>
      <c r="D63" s="46" t="s">
        <v>1026</v>
      </c>
      <c r="E63" s="78" t="str">
        <f t="shared" si="17"/>
        <v>piece_spy_00301</v>
      </c>
      <c r="F63" s="57" t="str">
        <f t="shared" si="18"/>
        <v>piece_spy_00301</v>
      </c>
      <c r="G63" s="308" t="str">
        <f t="shared" si="19"/>
        <v>item_icon_piece_spy_00301</v>
      </c>
      <c r="H63" s="53" t="s">
        <v>2179</v>
      </c>
      <c r="I63" s="53" t="s">
        <v>1028</v>
      </c>
      <c r="J63" s="94">
        <v>9.99999999E8</v>
      </c>
      <c r="K63" s="94">
        <v>9.99999999E8</v>
      </c>
      <c r="L63" s="96" t="s">
        <v>2180</v>
      </c>
      <c r="M63" s="114"/>
      <c r="N63" s="358">
        <v>45936.625</v>
      </c>
      <c r="O63" s="53">
        <v>2.0251001E8</v>
      </c>
      <c r="P63" s="316"/>
      <c r="Q63" s="85"/>
      <c r="R63" s="85"/>
      <c r="S63" s="85"/>
      <c r="T63" s="85"/>
      <c r="U63" s="85"/>
    </row>
    <row r="64">
      <c r="A64" s="99" t="s">
        <v>60</v>
      </c>
      <c r="B64" s="305" t="str">
        <f t="array" ref="B64">iferror(INDEX('作品'!D:D,MATCH(A64,'作品'!A:A,0),0),"error")</f>
        <v>SPY×FAMILY</v>
      </c>
      <c r="C64" s="91" t="s">
        <v>2168</v>
      </c>
      <c r="D64" s="46" t="s">
        <v>1034</v>
      </c>
      <c r="E64" s="78" t="str">
        <f t="shared" si="17"/>
        <v>piece_spy_00401</v>
      </c>
      <c r="F64" s="57" t="str">
        <f t="shared" si="18"/>
        <v>piece_spy_00401</v>
      </c>
      <c r="G64" s="308" t="str">
        <f t="shared" si="19"/>
        <v>item_icon_piece_spy_00401</v>
      </c>
      <c r="H64" s="53" t="s">
        <v>2181</v>
      </c>
      <c r="I64" s="53" t="s">
        <v>1028</v>
      </c>
      <c r="J64" s="94">
        <v>9.99999999E8</v>
      </c>
      <c r="K64" s="94">
        <v>9.99999999E8</v>
      </c>
      <c r="L64" s="96" t="s">
        <v>2182</v>
      </c>
      <c r="M64" s="114"/>
      <c r="N64" s="358">
        <v>45936.625</v>
      </c>
      <c r="O64" s="53">
        <v>2.0251001E8</v>
      </c>
      <c r="P64" s="316"/>
      <c r="Q64" s="85"/>
      <c r="R64" s="85"/>
      <c r="S64" s="85"/>
      <c r="T64" s="85"/>
      <c r="U64" s="85"/>
    </row>
    <row r="65">
      <c r="A65" s="99" t="s">
        <v>60</v>
      </c>
      <c r="B65" s="305" t="str">
        <f t="array" ref="B65">iferror(INDEX('作品'!D:D,MATCH(A65,'作品'!A:A,0),0),"error")</f>
        <v>SPY×FAMILY</v>
      </c>
      <c r="C65" s="91" t="s">
        <v>2168</v>
      </c>
      <c r="D65" s="46" t="s">
        <v>1046</v>
      </c>
      <c r="E65" s="78" t="str">
        <f t="shared" si="17"/>
        <v>piece_spy_00501</v>
      </c>
      <c r="F65" s="57" t="str">
        <f t="shared" si="18"/>
        <v>piece_spy_00501</v>
      </c>
      <c r="G65" s="308" t="str">
        <f t="shared" si="19"/>
        <v>item_icon_piece_spy_00501</v>
      </c>
      <c r="H65" s="103" t="s">
        <v>2183</v>
      </c>
      <c r="I65" s="53" t="s">
        <v>976</v>
      </c>
      <c r="J65" s="94">
        <v>9.99999999E8</v>
      </c>
      <c r="K65" s="94">
        <v>9.99999999E8</v>
      </c>
      <c r="L65" s="96" t="s">
        <v>2184</v>
      </c>
      <c r="M65" s="114"/>
      <c r="N65" s="358">
        <v>45936.625</v>
      </c>
      <c r="O65" s="53">
        <v>2.0251001E8</v>
      </c>
      <c r="P65" s="316"/>
      <c r="Q65" s="85"/>
      <c r="R65" s="85"/>
      <c r="S65" s="85"/>
      <c r="T65" s="85"/>
      <c r="U65" s="85"/>
    </row>
    <row r="66">
      <c r="A66" s="99" t="s">
        <v>68</v>
      </c>
      <c r="B66" s="305" t="str">
        <f t="array" ref="B66">iferror(INDEX('作品'!D:D,MATCH(A66,'作品'!A:A,0),0),"error")</f>
        <v>ラーメン赤猫</v>
      </c>
      <c r="C66" s="91" t="s">
        <v>2168</v>
      </c>
      <c r="D66" s="46" t="s">
        <v>973</v>
      </c>
      <c r="E66" s="78" t="str">
        <f t="shared" si="17"/>
        <v>piece_aka_00001</v>
      </c>
      <c r="F66" s="57" t="str">
        <f t="shared" si="18"/>
        <v>piece_aka_00001</v>
      </c>
      <c r="G66" s="308" t="str">
        <f t="shared" si="19"/>
        <v>item_icon_piece_aka_00001</v>
      </c>
      <c r="H66" s="53" t="s">
        <v>2185</v>
      </c>
      <c r="I66" s="53" t="s">
        <v>1057</v>
      </c>
      <c r="J66" s="94">
        <v>9.99999999E8</v>
      </c>
      <c r="K66" s="94">
        <v>9.99999999E8</v>
      </c>
      <c r="L66" s="96" t="s">
        <v>2186</v>
      </c>
      <c r="M66" s="114"/>
      <c r="N66" s="307" t="s">
        <v>2049</v>
      </c>
      <c r="O66" s="311">
        <v>2.0250901E8</v>
      </c>
      <c r="P66" s="316"/>
      <c r="Q66" s="85"/>
      <c r="R66" s="85"/>
      <c r="S66" s="85"/>
      <c r="T66" s="85"/>
      <c r="U66" s="85"/>
    </row>
    <row r="67">
      <c r="A67" s="99" t="s">
        <v>68</v>
      </c>
      <c r="B67" s="305" t="str">
        <f t="array" ref="B67">iferror(INDEX('作品'!D:D,MATCH(A67,'作品'!A:A,0),0),"error")</f>
        <v>ラーメン赤猫</v>
      </c>
      <c r="C67" s="91" t="s">
        <v>2168</v>
      </c>
      <c r="D67" s="46" t="s">
        <v>1001</v>
      </c>
      <c r="E67" s="78" t="str">
        <f t="shared" si="17"/>
        <v>piece_aka_00101</v>
      </c>
      <c r="F67" s="57" t="str">
        <f t="shared" si="18"/>
        <v>piece_aka_00101</v>
      </c>
      <c r="G67" s="308" t="str">
        <f t="shared" si="19"/>
        <v>item_icon_piece_aka_00101</v>
      </c>
      <c r="H67" s="53" t="s">
        <v>2187</v>
      </c>
      <c r="I67" s="53" t="s">
        <v>1057</v>
      </c>
      <c r="J67" s="94">
        <v>9.99999999E8</v>
      </c>
      <c r="K67" s="94">
        <v>9.99999999E8</v>
      </c>
      <c r="L67" s="96" t="s">
        <v>2188</v>
      </c>
      <c r="M67" s="114"/>
      <c r="N67" s="307" t="s">
        <v>2049</v>
      </c>
      <c r="O67" s="311">
        <v>2.0250901E8</v>
      </c>
      <c r="P67" s="316"/>
      <c r="Q67" s="85"/>
      <c r="R67" s="85"/>
      <c r="S67" s="85"/>
      <c r="T67" s="85"/>
      <c r="U67" s="85"/>
    </row>
    <row r="68">
      <c r="A68" s="99" t="s">
        <v>75</v>
      </c>
      <c r="B68" s="305" t="str">
        <f t="array" ref="B68">iferror(INDEX('作品'!D:D,MATCH(A68,'作品'!A:A,0),0),"error")</f>
        <v>トマトイプーのリコピン</v>
      </c>
      <c r="C68" s="91" t="s">
        <v>2168</v>
      </c>
      <c r="D68" s="46" t="s">
        <v>973</v>
      </c>
      <c r="E68" s="78" t="str">
        <f t="shared" si="17"/>
        <v>piece_rik_00001</v>
      </c>
      <c r="F68" s="57" t="str">
        <f t="shared" si="18"/>
        <v>piece_rik_00001</v>
      </c>
      <c r="G68" s="308" t="str">
        <f t="shared" si="19"/>
        <v>item_icon_piece_rik_00001</v>
      </c>
      <c r="H68" s="53" t="s">
        <v>2189</v>
      </c>
      <c r="I68" s="53" t="s">
        <v>1057</v>
      </c>
      <c r="J68" s="94">
        <v>9.99999999E8</v>
      </c>
      <c r="K68" s="94">
        <v>9.99999999E8</v>
      </c>
      <c r="L68" s="96" t="s">
        <v>2190</v>
      </c>
      <c r="M68" s="114"/>
      <c r="N68" s="307" t="s">
        <v>2049</v>
      </c>
      <c r="O68" s="311">
        <v>2.0250901E8</v>
      </c>
      <c r="P68" s="316"/>
      <c r="Q68" s="85"/>
      <c r="R68" s="85"/>
      <c r="S68" s="85"/>
      <c r="T68" s="85"/>
      <c r="U68" s="85"/>
    </row>
    <row r="69">
      <c r="A69" s="99" t="s">
        <v>75</v>
      </c>
      <c r="B69" s="305" t="str">
        <f t="array" ref="B69">iferror(INDEX('作品'!D:D,MATCH(A69,'作品'!A:A,0),0),"error")</f>
        <v>トマトイプーのリコピン</v>
      </c>
      <c r="C69" s="91" t="s">
        <v>2168</v>
      </c>
      <c r="D69" s="46" t="s">
        <v>1001</v>
      </c>
      <c r="E69" s="78" t="str">
        <f t="shared" si="17"/>
        <v>piece_rik_00101</v>
      </c>
      <c r="F69" s="57" t="str">
        <f t="shared" si="18"/>
        <v>piece_rik_00101</v>
      </c>
      <c r="G69" s="308" t="str">
        <f t="shared" si="19"/>
        <v>item_icon_piece_rik_00101</v>
      </c>
      <c r="H69" s="53" t="s">
        <v>2191</v>
      </c>
      <c r="I69" s="53" t="s">
        <v>1057</v>
      </c>
      <c r="J69" s="94">
        <v>9.99999999E8</v>
      </c>
      <c r="K69" s="94">
        <v>9.99999999E8</v>
      </c>
      <c r="L69" s="96" t="s">
        <v>2192</v>
      </c>
      <c r="M69" s="114"/>
      <c r="N69" s="307" t="s">
        <v>2049</v>
      </c>
      <c r="O69" s="311">
        <v>2.0250901E8</v>
      </c>
      <c r="P69" s="316"/>
      <c r="Q69" s="85"/>
      <c r="R69" s="85"/>
      <c r="S69" s="85"/>
      <c r="T69" s="85"/>
      <c r="U69" s="85"/>
    </row>
    <row r="70">
      <c r="A70" s="99" t="s">
        <v>80</v>
      </c>
      <c r="B70" s="305" t="str">
        <f t="array" ref="B70">iferror(INDEX('作品'!D:D,MATCH(A70,'作品'!A:A,0),0),"error")</f>
        <v>ダンダダン</v>
      </c>
      <c r="C70" s="91" t="s">
        <v>2168</v>
      </c>
      <c r="D70" s="46" t="s">
        <v>973</v>
      </c>
      <c r="E70" s="78" t="str">
        <f t="shared" si="17"/>
        <v>piece_dan_00001</v>
      </c>
      <c r="F70" s="57" t="str">
        <f t="shared" si="18"/>
        <v>piece_dan_00001</v>
      </c>
      <c r="G70" s="308" t="str">
        <f t="shared" si="19"/>
        <v>item_icon_piece_dan_00001</v>
      </c>
      <c r="H70" s="53" t="s">
        <v>2193</v>
      </c>
      <c r="I70" s="53" t="s">
        <v>1057</v>
      </c>
      <c r="J70" s="94">
        <v>9.99999999E8</v>
      </c>
      <c r="K70" s="94">
        <v>9.99999999E8</v>
      </c>
      <c r="L70" s="96" t="s">
        <v>2194</v>
      </c>
      <c r="M70" s="114"/>
      <c r="N70" s="307" t="s">
        <v>2049</v>
      </c>
      <c r="O70" s="311">
        <v>2.0250901E8</v>
      </c>
      <c r="P70" s="316"/>
      <c r="Q70" s="85"/>
      <c r="R70" s="85"/>
      <c r="S70" s="85"/>
      <c r="T70" s="85"/>
      <c r="U70" s="85"/>
    </row>
    <row r="71">
      <c r="A71" s="99" t="s">
        <v>80</v>
      </c>
      <c r="B71" s="305" t="str">
        <f t="array" ref="B71">iferror(INDEX('作品'!D:D,MATCH(A71,'作品'!A:A,0),0),"error")</f>
        <v>ダンダダン</v>
      </c>
      <c r="C71" s="91" t="s">
        <v>2168</v>
      </c>
      <c r="D71" s="46" t="s">
        <v>990</v>
      </c>
      <c r="E71" s="78" t="str">
        <f t="shared" si="17"/>
        <v>piece_dan_00002</v>
      </c>
      <c r="F71" s="57" t="str">
        <f t="shared" si="18"/>
        <v>piece_dan_00002</v>
      </c>
      <c r="G71" s="308" t="str">
        <f t="shared" si="19"/>
        <v>item_icon_piece_dan_00002</v>
      </c>
      <c r="H71" s="53" t="s">
        <v>2195</v>
      </c>
      <c r="I71" s="53" t="s">
        <v>976</v>
      </c>
      <c r="J71" s="94">
        <v>9.99999999E8</v>
      </c>
      <c r="K71" s="94">
        <v>9.99999999E8</v>
      </c>
      <c r="L71" s="96" t="s">
        <v>2196</v>
      </c>
      <c r="M71" s="114"/>
      <c r="N71" s="307" t="s">
        <v>2049</v>
      </c>
      <c r="O71" s="311">
        <v>2.0250901E8</v>
      </c>
      <c r="P71" s="316"/>
      <c r="Q71" s="85"/>
      <c r="R71" s="85"/>
      <c r="S71" s="85"/>
      <c r="T71" s="85"/>
      <c r="U71" s="85"/>
    </row>
    <row r="72">
      <c r="A72" s="99" t="s">
        <v>80</v>
      </c>
      <c r="B72" s="305" t="str">
        <f t="array" ref="B72">iferror(INDEX('作品'!D:D,MATCH(A72,'作品'!A:A,0),0),"error")</f>
        <v>ダンダダン</v>
      </c>
      <c r="C72" s="91" t="s">
        <v>2168</v>
      </c>
      <c r="D72" s="46" t="s">
        <v>1001</v>
      </c>
      <c r="E72" s="78" t="str">
        <f t="shared" si="17"/>
        <v>piece_dan_00101</v>
      </c>
      <c r="F72" s="57" t="str">
        <f t="shared" si="18"/>
        <v>piece_dan_00101</v>
      </c>
      <c r="G72" s="308" t="str">
        <f t="shared" si="19"/>
        <v>item_icon_piece_dan_00101</v>
      </c>
      <c r="H72" s="359" t="s">
        <v>2197</v>
      </c>
      <c r="I72" s="53" t="s">
        <v>993</v>
      </c>
      <c r="J72" s="94">
        <v>9.99999999E8</v>
      </c>
      <c r="K72" s="94">
        <v>9.99999999E8</v>
      </c>
      <c r="L72" s="96" t="s">
        <v>2198</v>
      </c>
      <c r="M72" s="114"/>
      <c r="N72" s="307" t="s">
        <v>2049</v>
      </c>
      <c r="O72" s="311">
        <v>2.0250901E8</v>
      </c>
      <c r="P72" s="316"/>
      <c r="Q72" s="85"/>
      <c r="R72" s="85"/>
      <c r="S72" s="85"/>
      <c r="T72" s="85"/>
      <c r="U72" s="85"/>
    </row>
    <row r="73">
      <c r="A73" s="99" t="s">
        <v>80</v>
      </c>
      <c r="B73" s="305" t="str">
        <f t="array" ref="B73">iferror(INDEX('作品'!D:D,MATCH(A73,'作品'!A:A,0),0),"error")</f>
        <v>ダンダダン</v>
      </c>
      <c r="C73" s="91" t="s">
        <v>2168</v>
      </c>
      <c r="D73" s="46" t="s">
        <v>1014</v>
      </c>
      <c r="E73" s="78" t="str">
        <f t="shared" si="17"/>
        <v>piece_dan_00201</v>
      </c>
      <c r="F73" s="57" t="str">
        <f t="shared" si="18"/>
        <v>piece_dan_00201</v>
      </c>
      <c r="G73" s="308" t="str">
        <f t="shared" si="19"/>
        <v>item_icon_piece_dan_00201</v>
      </c>
      <c r="H73" s="53" t="s">
        <v>2199</v>
      </c>
      <c r="I73" s="53" t="s">
        <v>1028</v>
      </c>
      <c r="J73" s="94">
        <v>9.99999999E8</v>
      </c>
      <c r="K73" s="94">
        <v>9.99999999E8</v>
      </c>
      <c r="L73" s="360" t="s">
        <v>2200</v>
      </c>
      <c r="M73" s="114"/>
      <c r="N73" s="358">
        <v>45952.625</v>
      </c>
      <c r="O73" s="53">
        <v>2.0251002E8</v>
      </c>
      <c r="P73" s="316"/>
      <c r="Q73" s="85"/>
      <c r="R73" s="85"/>
      <c r="S73" s="85"/>
      <c r="T73" s="85"/>
      <c r="U73" s="85"/>
    </row>
    <row r="74">
      <c r="A74" s="99" t="s">
        <v>80</v>
      </c>
      <c r="B74" s="305" t="str">
        <f t="array" ref="B74">iferror(INDEX('作品'!D:D,MATCH(A74,'作品'!A:A,0),0),"error")</f>
        <v>ダンダダン</v>
      </c>
      <c r="C74" s="91" t="s">
        <v>2168</v>
      </c>
      <c r="D74" s="46" t="s">
        <v>1130</v>
      </c>
      <c r="E74" s="78" t="str">
        <f t="shared" si="17"/>
        <v>piece_dan_00202</v>
      </c>
      <c r="F74" s="57" t="str">
        <f t="shared" si="18"/>
        <v>piece_dan_00202</v>
      </c>
      <c r="G74" s="308" t="str">
        <f t="shared" si="19"/>
        <v>item_icon_piece_dan_00202</v>
      </c>
      <c r="H74" s="53" t="s">
        <v>2201</v>
      </c>
      <c r="I74" s="53" t="s">
        <v>976</v>
      </c>
      <c r="J74" s="94">
        <v>9.99999999E8</v>
      </c>
      <c r="K74" s="94">
        <v>9.99999999E8</v>
      </c>
      <c r="L74" s="360" t="s">
        <v>2202</v>
      </c>
      <c r="M74" s="114"/>
      <c r="N74" s="358">
        <v>45952.625</v>
      </c>
      <c r="O74" s="53">
        <v>2.0251002E8</v>
      </c>
      <c r="P74" s="316"/>
      <c r="Q74" s="85"/>
      <c r="R74" s="85"/>
      <c r="S74" s="85"/>
      <c r="T74" s="85"/>
      <c r="U74" s="85"/>
    </row>
    <row r="75">
      <c r="A75" s="99" t="s">
        <v>80</v>
      </c>
      <c r="B75" s="305" t="str">
        <f t="array" ref="B75">iferror(INDEX('作品'!D:D,MATCH(A75,'作品'!A:A,0),0),"error")</f>
        <v>ダンダダン</v>
      </c>
      <c r="C75" s="91" t="s">
        <v>2168</v>
      </c>
      <c r="D75" s="46" t="s">
        <v>1026</v>
      </c>
      <c r="E75" s="78" t="str">
        <f t="shared" si="17"/>
        <v>piece_dan_00301</v>
      </c>
      <c r="F75" s="57" t="str">
        <f t="shared" si="18"/>
        <v>piece_dan_00301</v>
      </c>
      <c r="G75" s="308" t="str">
        <f t="shared" si="19"/>
        <v>item_icon_piece_dan_00301</v>
      </c>
      <c r="H75" s="53" t="s">
        <v>2203</v>
      </c>
      <c r="I75" s="53" t="s">
        <v>1028</v>
      </c>
      <c r="J75" s="94">
        <v>9.99999999E8</v>
      </c>
      <c r="K75" s="94">
        <v>9.99999999E8</v>
      </c>
      <c r="L75" s="96" t="s">
        <v>2204</v>
      </c>
      <c r="M75" s="114"/>
      <c r="N75" s="358">
        <v>45952.625</v>
      </c>
      <c r="O75" s="53">
        <v>2.0251002E8</v>
      </c>
      <c r="P75" s="316"/>
      <c r="Q75" s="85"/>
      <c r="R75" s="85"/>
      <c r="S75" s="85"/>
      <c r="T75" s="85"/>
      <c r="U75" s="85"/>
    </row>
    <row r="76">
      <c r="A76" s="99" t="s">
        <v>87</v>
      </c>
      <c r="B76" s="305" t="str">
        <f t="array" ref="B76">iferror(INDEX('作品'!D:D,MATCH(A76,'作品'!A:A,0),0),"error")</f>
        <v>姫様“拷問”の時間です</v>
      </c>
      <c r="C76" s="91" t="s">
        <v>2168</v>
      </c>
      <c r="D76" s="46" t="s">
        <v>973</v>
      </c>
      <c r="E76" s="78" t="str">
        <f t="shared" si="17"/>
        <v>piece_gom_00001</v>
      </c>
      <c r="F76" s="57" t="str">
        <f t="shared" si="18"/>
        <v>piece_gom_00001</v>
      </c>
      <c r="G76" s="308" t="str">
        <f t="shared" si="19"/>
        <v>item_icon_piece_gom_00001</v>
      </c>
      <c r="H76" s="53" t="s">
        <v>2205</v>
      </c>
      <c r="I76" s="53" t="s">
        <v>976</v>
      </c>
      <c r="J76" s="94">
        <v>9.99999999E8</v>
      </c>
      <c r="K76" s="94">
        <v>9.99999999E8</v>
      </c>
      <c r="L76" s="112" t="s">
        <v>2206</v>
      </c>
      <c r="M76" s="114"/>
      <c r="N76" s="307" t="s">
        <v>2049</v>
      </c>
      <c r="O76" s="311">
        <v>2.0250901E8</v>
      </c>
      <c r="P76" s="316"/>
      <c r="Q76" s="85"/>
      <c r="R76" s="85"/>
      <c r="S76" s="85"/>
      <c r="T76" s="85"/>
      <c r="U76" s="85"/>
    </row>
    <row r="77">
      <c r="A77" s="99" t="s">
        <v>87</v>
      </c>
      <c r="B77" s="305" t="str">
        <f t="array" ref="B77">iferror(INDEX('作品'!D:D,MATCH(A77,'作品'!A:A,0),0),"error")</f>
        <v>姫様“拷問”の時間です</v>
      </c>
      <c r="C77" s="91" t="s">
        <v>2168</v>
      </c>
      <c r="D77" s="46" t="s">
        <v>1001</v>
      </c>
      <c r="E77" s="78" t="str">
        <f t="shared" si="17"/>
        <v>piece_gom_00101</v>
      </c>
      <c r="F77" s="57" t="str">
        <f t="shared" si="18"/>
        <v>piece_gom_00101</v>
      </c>
      <c r="G77" s="308" t="str">
        <f t="shared" si="19"/>
        <v>item_icon_piece_gom_00101</v>
      </c>
      <c r="H77" s="53" t="s">
        <v>2207</v>
      </c>
      <c r="I77" s="53" t="s">
        <v>1028</v>
      </c>
      <c r="J77" s="94">
        <v>9.99999999E8</v>
      </c>
      <c r="K77" s="94">
        <v>9.99999999E8</v>
      </c>
      <c r="L77" s="112" t="s">
        <v>2208</v>
      </c>
      <c r="M77" s="114"/>
      <c r="N77" s="307" t="s">
        <v>2049</v>
      </c>
      <c r="O77" s="311">
        <v>2.0250901E8</v>
      </c>
      <c r="P77" s="316"/>
      <c r="Q77" s="85"/>
      <c r="R77" s="85"/>
      <c r="S77" s="85"/>
      <c r="T77" s="85"/>
      <c r="U77" s="85"/>
    </row>
    <row r="78">
      <c r="A78" s="99" t="s">
        <v>87</v>
      </c>
      <c r="B78" s="305" t="str">
        <f t="array" ref="B78">iferror(INDEX('作品'!D:D,MATCH(A78,'作品'!A:A,0),0),"error")</f>
        <v>姫様“拷問”の時間です</v>
      </c>
      <c r="C78" s="91" t="s">
        <v>2168</v>
      </c>
      <c r="D78" s="46" t="s">
        <v>1014</v>
      </c>
      <c r="E78" s="78" t="str">
        <f t="shared" si="17"/>
        <v>piece_gom_00201</v>
      </c>
      <c r="F78" s="57" t="str">
        <f t="shared" si="18"/>
        <v>piece_gom_00201</v>
      </c>
      <c r="G78" s="308" t="str">
        <f t="shared" si="19"/>
        <v>item_icon_piece_gom_00201</v>
      </c>
      <c r="H78" s="53" t="s">
        <v>2209</v>
      </c>
      <c r="I78" s="53" t="s">
        <v>1057</v>
      </c>
      <c r="J78" s="94">
        <v>9.99999999E8</v>
      </c>
      <c r="K78" s="94">
        <v>9.99999999E8</v>
      </c>
      <c r="L78" s="112" t="s">
        <v>2210</v>
      </c>
      <c r="M78" s="114"/>
      <c r="N78" s="307" t="s">
        <v>2049</v>
      </c>
      <c r="O78" s="311">
        <v>2.0250901E8</v>
      </c>
      <c r="P78" s="316"/>
      <c r="Q78" s="85"/>
      <c r="R78" s="85"/>
      <c r="S78" s="85"/>
      <c r="T78" s="85"/>
      <c r="U78" s="85"/>
    </row>
    <row r="79">
      <c r="A79" s="99" t="s">
        <v>92</v>
      </c>
      <c r="B79" s="305" t="str">
        <f t="array" ref="B79">iferror(INDEX('作品'!D:D,MATCH(A79,'作品'!A:A,0),0),"error")</f>
        <v>チェンソーマン</v>
      </c>
      <c r="C79" s="91" t="s">
        <v>2168</v>
      </c>
      <c r="D79" s="46" t="s">
        <v>973</v>
      </c>
      <c r="E79" s="78" t="str">
        <f t="shared" si="17"/>
        <v>piece_chi_00001</v>
      </c>
      <c r="F79" s="57" t="str">
        <f t="shared" si="18"/>
        <v>piece_chi_00001</v>
      </c>
      <c r="G79" s="308" t="str">
        <f t="shared" si="19"/>
        <v>item_icon_piece_chi_00001</v>
      </c>
      <c r="H79" s="53" t="s">
        <v>2211</v>
      </c>
      <c r="I79" s="53" t="s">
        <v>1057</v>
      </c>
      <c r="J79" s="94">
        <v>9.99999999E8</v>
      </c>
      <c r="K79" s="94">
        <v>9.99999999E8</v>
      </c>
      <c r="L79" s="112" t="s">
        <v>2212</v>
      </c>
      <c r="M79" s="114"/>
      <c r="N79" s="307" t="s">
        <v>2049</v>
      </c>
      <c r="O79" s="311">
        <v>2.0250901E8</v>
      </c>
      <c r="P79" s="316"/>
      <c r="Q79" s="85"/>
      <c r="R79" s="85"/>
      <c r="S79" s="85"/>
      <c r="T79" s="85"/>
      <c r="U79" s="85"/>
    </row>
    <row r="80">
      <c r="A80" s="99" t="s">
        <v>92</v>
      </c>
      <c r="B80" s="305" t="str">
        <f t="array" ref="B80">iferror(INDEX('作品'!D:D,MATCH(A80,'作品'!A:A,0),0),"error")</f>
        <v>チェンソーマン</v>
      </c>
      <c r="C80" s="91" t="s">
        <v>2168</v>
      </c>
      <c r="D80" s="46" t="s">
        <v>990</v>
      </c>
      <c r="E80" s="78" t="str">
        <f t="shared" si="17"/>
        <v>piece_chi_00002</v>
      </c>
      <c r="F80" s="57" t="str">
        <f t="shared" si="18"/>
        <v>piece_chi_00002</v>
      </c>
      <c r="G80" s="308" t="str">
        <f t="shared" si="19"/>
        <v>item_icon_piece_chi_00002</v>
      </c>
      <c r="H80" s="53" t="s">
        <v>2213</v>
      </c>
      <c r="I80" s="53" t="s">
        <v>976</v>
      </c>
      <c r="J80" s="94">
        <v>9.99999999E8</v>
      </c>
      <c r="K80" s="94">
        <v>9.99999999E8</v>
      </c>
      <c r="L80" s="112" t="s">
        <v>2214</v>
      </c>
      <c r="M80" s="114"/>
      <c r="N80" s="307" t="s">
        <v>2049</v>
      </c>
      <c r="O80" s="311">
        <v>2.0250901E8</v>
      </c>
      <c r="P80" s="316"/>
      <c r="Q80" s="85"/>
      <c r="R80" s="85"/>
      <c r="S80" s="85"/>
      <c r="T80" s="85"/>
      <c r="U80" s="85"/>
    </row>
    <row r="81">
      <c r="A81" s="99" t="s">
        <v>92</v>
      </c>
      <c r="B81" s="305" t="str">
        <f t="array" ref="B81">iferror(INDEX('作品'!D:D,MATCH(A81,'作品'!A:A,0),0),"error")</f>
        <v>チェンソーマン</v>
      </c>
      <c r="C81" s="91" t="s">
        <v>2168</v>
      </c>
      <c r="D81" s="46" t="s">
        <v>1014</v>
      </c>
      <c r="E81" s="78" t="str">
        <f t="shared" si="17"/>
        <v>piece_chi_00201</v>
      </c>
      <c r="F81" s="57" t="str">
        <f t="shared" si="18"/>
        <v>piece_chi_00201</v>
      </c>
      <c r="G81" s="308" t="str">
        <f t="shared" si="19"/>
        <v>item_icon_piece_chi_00201</v>
      </c>
      <c r="H81" s="53" t="s">
        <v>2215</v>
      </c>
      <c r="I81" s="53" t="s">
        <v>993</v>
      </c>
      <c r="J81" s="94">
        <v>9.99999999E8</v>
      </c>
      <c r="K81" s="94">
        <v>9.99999999E8</v>
      </c>
      <c r="L81" s="112" t="s">
        <v>2216</v>
      </c>
      <c r="M81" s="114"/>
      <c r="N81" s="307" t="s">
        <v>2049</v>
      </c>
      <c r="O81" s="311">
        <v>2.0250901E8</v>
      </c>
      <c r="P81" s="316"/>
      <c r="Q81" s="85"/>
      <c r="R81" s="85"/>
      <c r="S81" s="85"/>
      <c r="T81" s="85"/>
      <c r="U81" s="85"/>
    </row>
    <row r="82">
      <c r="A82" s="99" t="s">
        <v>92</v>
      </c>
      <c r="B82" s="305" t="str">
        <f t="array" ref="B82">iferror(INDEX('作品'!D:D,MATCH(A82,'作品'!A:A,0),0),"error")</f>
        <v>チェンソーマン</v>
      </c>
      <c r="C82" s="91" t="s">
        <v>2168</v>
      </c>
      <c r="D82" s="46" t="s">
        <v>1026</v>
      </c>
      <c r="E82" s="78" t="str">
        <f t="shared" si="17"/>
        <v>piece_chi_00301</v>
      </c>
      <c r="F82" s="57" t="str">
        <f t="shared" si="18"/>
        <v>piece_chi_00301</v>
      </c>
      <c r="G82" s="308" t="str">
        <f t="shared" si="19"/>
        <v>item_icon_piece_chi_00301</v>
      </c>
      <c r="H82" s="53" t="s">
        <v>2217</v>
      </c>
      <c r="I82" s="53" t="s">
        <v>993</v>
      </c>
      <c r="J82" s="94">
        <v>9.99999999E8</v>
      </c>
      <c r="K82" s="94">
        <v>9.99999999E8</v>
      </c>
      <c r="L82" s="112" t="s">
        <v>2218</v>
      </c>
      <c r="M82" s="114"/>
      <c r="N82" s="307" t="s">
        <v>2049</v>
      </c>
      <c r="O82" s="311">
        <v>2.0250901E8</v>
      </c>
      <c r="P82" s="316"/>
      <c r="Q82" s="85"/>
      <c r="R82" s="85"/>
      <c r="S82" s="85"/>
      <c r="T82" s="85"/>
      <c r="U82" s="85"/>
    </row>
    <row r="83">
      <c r="A83" s="99" t="s">
        <v>109</v>
      </c>
      <c r="B83" s="305" t="str">
        <f t="array" ref="B83">iferror(INDEX('作品'!D:D,MATCH(A83,'作品'!A:A,0),0),"error")</f>
        <v>忘却バッテリー</v>
      </c>
      <c r="C83" s="91" t="s">
        <v>2168</v>
      </c>
      <c r="D83" s="46" t="s">
        <v>973</v>
      </c>
      <c r="E83" s="78" t="str">
        <f t="shared" si="17"/>
        <v>piece_bat_00001</v>
      </c>
      <c r="F83" s="57" t="str">
        <f t="shared" si="18"/>
        <v>piece_bat_00001</v>
      </c>
      <c r="G83" s="308" t="str">
        <f t="shared" si="19"/>
        <v>item_icon_piece_bat_00001</v>
      </c>
      <c r="H83" s="53" t="s">
        <v>2219</v>
      </c>
      <c r="I83" s="53" t="s">
        <v>1028</v>
      </c>
      <c r="J83" s="94">
        <v>9.99999999E8</v>
      </c>
      <c r="K83" s="94">
        <v>9.99999999E8</v>
      </c>
      <c r="L83" s="112" t="s">
        <v>2220</v>
      </c>
      <c r="M83" s="114"/>
      <c r="N83" s="307" t="s">
        <v>2049</v>
      </c>
      <c r="O83" s="311">
        <v>2.0250901E8</v>
      </c>
      <c r="P83" s="316"/>
      <c r="Q83" s="85"/>
      <c r="R83" s="85"/>
      <c r="S83" s="85"/>
      <c r="T83" s="85"/>
      <c r="U83" s="85"/>
    </row>
    <row r="84">
      <c r="A84" s="99" t="s">
        <v>109</v>
      </c>
      <c r="B84" s="305" t="str">
        <f t="array" ref="B84">iferror(INDEX('作品'!D:D,MATCH(A84,'作品'!A:A,0),0),"error")</f>
        <v>忘却バッテリー</v>
      </c>
      <c r="C84" s="91" t="s">
        <v>2168</v>
      </c>
      <c r="D84" s="46" t="s">
        <v>1001</v>
      </c>
      <c r="E84" s="78" t="str">
        <f t="shared" si="17"/>
        <v>piece_bat_00101</v>
      </c>
      <c r="F84" s="57" t="str">
        <f t="shared" si="18"/>
        <v>piece_bat_00101</v>
      </c>
      <c r="G84" s="308" t="str">
        <f t="shared" si="19"/>
        <v>item_icon_piece_bat_00101</v>
      </c>
      <c r="H84" s="53" t="s">
        <v>2221</v>
      </c>
      <c r="I84" s="53" t="s">
        <v>1028</v>
      </c>
      <c r="J84" s="94">
        <v>9.99999999E8</v>
      </c>
      <c r="K84" s="94">
        <v>9.99999999E8</v>
      </c>
      <c r="L84" s="112" t="s">
        <v>2222</v>
      </c>
      <c r="M84" s="114"/>
      <c r="N84" s="307" t="s">
        <v>2049</v>
      </c>
      <c r="O84" s="311">
        <v>2.0250901E8</v>
      </c>
      <c r="P84" s="316"/>
      <c r="Q84" s="85"/>
      <c r="R84" s="85"/>
      <c r="S84" s="85"/>
      <c r="T84" s="85"/>
      <c r="U84" s="85"/>
    </row>
    <row r="85">
      <c r="A85" s="99" t="s">
        <v>115</v>
      </c>
      <c r="B85" s="305" t="str">
        <f t="array" ref="B85">iferror(INDEX('作品'!D:D,MATCH(A85,'作品'!A:A,0),0),"error")</f>
        <v>怪獣８号</v>
      </c>
      <c r="C85" s="91" t="s">
        <v>2168</v>
      </c>
      <c r="D85" s="46" t="s">
        <v>973</v>
      </c>
      <c r="E85" s="78" t="str">
        <f t="shared" si="17"/>
        <v>piece_kai_00001</v>
      </c>
      <c r="F85" s="57" t="str">
        <f t="shared" si="18"/>
        <v>piece_kai_00001</v>
      </c>
      <c r="G85" s="308" t="str">
        <f t="shared" si="19"/>
        <v>item_icon_piece_kai_00001</v>
      </c>
      <c r="H85" s="53" t="s">
        <v>2223</v>
      </c>
      <c r="I85" s="53" t="s">
        <v>1057</v>
      </c>
      <c r="J85" s="94">
        <v>9.99999999E8</v>
      </c>
      <c r="K85" s="94">
        <v>9.99999999E8</v>
      </c>
      <c r="L85" s="112" t="s">
        <v>2224</v>
      </c>
      <c r="M85" s="114"/>
      <c r="N85" s="307" t="s">
        <v>2049</v>
      </c>
      <c r="O85" s="311">
        <v>2.0250901E8</v>
      </c>
      <c r="P85" s="316"/>
      <c r="Q85" s="85"/>
      <c r="R85" s="85"/>
      <c r="S85" s="85"/>
      <c r="T85" s="85"/>
      <c r="U85" s="85"/>
    </row>
    <row r="86">
      <c r="A86" s="99" t="s">
        <v>115</v>
      </c>
      <c r="B86" s="305" t="str">
        <f t="array" ref="B86">iferror(INDEX('作品'!D:D,MATCH(A86,'作品'!A:A,0),0),"error")</f>
        <v>怪獣８号</v>
      </c>
      <c r="C86" s="91" t="s">
        <v>2168</v>
      </c>
      <c r="D86" s="46" t="s">
        <v>990</v>
      </c>
      <c r="E86" s="78" t="str">
        <f t="shared" si="17"/>
        <v>piece_kai_00002</v>
      </c>
      <c r="F86" s="57" t="str">
        <f t="shared" si="18"/>
        <v>piece_kai_00002</v>
      </c>
      <c r="G86" s="308" t="str">
        <f t="shared" si="19"/>
        <v>item_icon_piece_kai_00002</v>
      </c>
      <c r="H86" s="53" t="s">
        <v>2225</v>
      </c>
      <c r="I86" s="53" t="s">
        <v>976</v>
      </c>
      <c r="J86" s="94">
        <v>9.99999999E8</v>
      </c>
      <c r="K86" s="94">
        <v>9.99999999E8</v>
      </c>
      <c r="L86" s="112" t="s">
        <v>2226</v>
      </c>
      <c r="M86" s="114"/>
      <c r="N86" s="307" t="s">
        <v>2049</v>
      </c>
      <c r="O86" s="311">
        <v>2.0250901E8</v>
      </c>
      <c r="P86" s="316"/>
      <c r="Q86" s="85"/>
      <c r="R86" s="85"/>
      <c r="S86" s="85"/>
      <c r="T86" s="85"/>
      <c r="U86" s="85"/>
    </row>
    <row r="87">
      <c r="A87" s="99" t="s">
        <v>115</v>
      </c>
      <c r="B87" s="305" t="str">
        <f t="array" ref="B87">iferror(INDEX('作品'!D:D,MATCH(A87,'作品'!A:A,0),0),"error")</f>
        <v>怪獣８号</v>
      </c>
      <c r="C87" s="91" t="s">
        <v>2168</v>
      </c>
      <c r="D87" s="307" t="s">
        <v>1001</v>
      </c>
      <c r="E87" s="78" t="str">
        <f t="shared" si="17"/>
        <v>piece_kai_00101</v>
      </c>
      <c r="F87" s="57" t="str">
        <f t="shared" si="18"/>
        <v>piece_kai_00101</v>
      </c>
      <c r="G87" s="308" t="str">
        <f t="shared" si="19"/>
        <v>item_icon_piece_kai_00101</v>
      </c>
      <c r="H87" s="53" t="s">
        <v>2227</v>
      </c>
      <c r="I87" s="53" t="s">
        <v>1028</v>
      </c>
      <c r="J87" s="94">
        <v>9.99999999E8</v>
      </c>
      <c r="K87" s="94">
        <v>9.99999999E8</v>
      </c>
      <c r="L87" s="112" t="s">
        <v>2228</v>
      </c>
      <c r="M87" s="114"/>
      <c r="N87" s="307" t="s">
        <v>2049</v>
      </c>
      <c r="O87" s="311">
        <v>2.0250901E8</v>
      </c>
      <c r="P87" s="316"/>
      <c r="Q87" s="85"/>
      <c r="R87" s="85"/>
      <c r="S87" s="85"/>
      <c r="T87" s="85"/>
      <c r="U87" s="85"/>
    </row>
    <row r="88">
      <c r="A88" s="99" t="s">
        <v>115</v>
      </c>
      <c r="B88" s="305" t="str">
        <f t="array" ref="B88">iferror(INDEX('作品'!D:D,MATCH(A88,'作品'!A:A,0),0),"error")</f>
        <v>怪獣８号</v>
      </c>
      <c r="C88" s="91" t="s">
        <v>2168</v>
      </c>
      <c r="D88" s="307" t="s">
        <v>1014</v>
      </c>
      <c r="E88" s="78" t="str">
        <f t="shared" si="17"/>
        <v>piece_kai_00201</v>
      </c>
      <c r="F88" s="57" t="str">
        <f t="shared" si="18"/>
        <v>piece_kai_00201</v>
      </c>
      <c r="G88" s="308" t="str">
        <f t="shared" si="19"/>
        <v>item_icon_piece_kai_00201</v>
      </c>
      <c r="H88" s="53" t="s">
        <v>2229</v>
      </c>
      <c r="I88" s="53" t="s">
        <v>976</v>
      </c>
      <c r="J88" s="94">
        <v>9.99999999E8</v>
      </c>
      <c r="K88" s="94">
        <v>9.99999999E8</v>
      </c>
      <c r="L88" s="112" t="s">
        <v>2230</v>
      </c>
      <c r="M88" s="114"/>
      <c r="N88" s="307" t="s">
        <v>2049</v>
      </c>
      <c r="O88" s="311">
        <v>2.0250901E8</v>
      </c>
      <c r="P88" s="316"/>
      <c r="Q88" s="85"/>
      <c r="R88" s="85"/>
      <c r="S88" s="85"/>
      <c r="T88" s="85"/>
      <c r="U88" s="85"/>
    </row>
    <row r="89">
      <c r="A89" s="99" t="s">
        <v>115</v>
      </c>
      <c r="B89" s="305" t="str">
        <f t="array" ref="B89">iferror(INDEX('作品'!D:D,MATCH(A89,'作品'!A:A,0),0),"error")</f>
        <v>怪獣８号</v>
      </c>
      <c r="C89" s="91" t="s">
        <v>2168</v>
      </c>
      <c r="D89" s="307" t="s">
        <v>1026</v>
      </c>
      <c r="E89" s="78" t="str">
        <f t="shared" si="17"/>
        <v>piece_kai_00301</v>
      </c>
      <c r="F89" s="57" t="str">
        <f t="shared" si="18"/>
        <v>piece_kai_00301</v>
      </c>
      <c r="G89" s="308" t="str">
        <f t="shared" si="19"/>
        <v>item_icon_piece_kai_00301</v>
      </c>
      <c r="H89" s="53" t="s">
        <v>2231</v>
      </c>
      <c r="I89" s="53" t="s">
        <v>993</v>
      </c>
      <c r="J89" s="94">
        <v>9.99999999E8</v>
      </c>
      <c r="K89" s="94">
        <v>9.99999999E8</v>
      </c>
      <c r="L89" s="112" t="s">
        <v>2232</v>
      </c>
      <c r="M89" s="114"/>
      <c r="N89" s="307" t="s">
        <v>2049</v>
      </c>
      <c r="O89" s="311">
        <v>2.0250901E8</v>
      </c>
      <c r="P89" s="316"/>
      <c r="Q89" s="85"/>
      <c r="R89" s="85"/>
      <c r="S89" s="85"/>
      <c r="T89" s="85"/>
      <c r="U89" s="85"/>
    </row>
    <row r="90">
      <c r="A90" s="99" t="s">
        <v>115</v>
      </c>
      <c r="B90" s="305" t="str">
        <f t="array" ref="B90">iferror(INDEX('作品'!D:D,MATCH(A90,'作品'!A:A,0),0),"error")</f>
        <v>怪獣８号</v>
      </c>
      <c r="C90" s="91" t="s">
        <v>2168</v>
      </c>
      <c r="D90" s="307" t="s">
        <v>1034</v>
      </c>
      <c r="E90" s="78" t="str">
        <f t="shared" si="17"/>
        <v>piece_kai_00401</v>
      </c>
      <c r="F90" s="57" t="str">
        <f t="shared" si="18"/>
        <v>piece_kai_00401</v>
      </c>
      <c r="G90" s="308" t="str">
        <f t="shared" si="19"/>
        <v>item_icon_piece_kai_00401</v>
      </c>
      <c r="H90" s="53" t="s">
        <v>2233</v>
      </c>
      <c r="I90" s="53" t="s">
        <v>993</v>
      </c>
      <c r="J90" s="94">
        <v>9.99999999E8</v>
      </c>
      <c r="K90" s="94">
        <v>9.99999999E8</v>
      </c>
      <c r="L90" s="112" t="s">
        <v>2234</v>
      </c>
      <c r="M90" s="114"/>
      <c r="N90" s="307" t="s">
        <v>2049</v>
      </c>
      <c r="O90" s="311">
        <v>2.0250901E8</v>
      </c>
      <c r="P90" s="316"/>
      <c r="Q90" s="85"/>
      <c r="R90" s="85"/>
      <c r="S90" s="85"/>
      <c r="T90" s="85"/>
      <c r="U90" s="85"/>
    </row>
    <row r="91">
      <c r="A91" s="99" t="s">
        <v>115</v>
      </c>
      <c r="B91" s="305" t="str">
        <f t="array" ref="B91">iferror(INDEX('作品'!D:D,MATCH(A91,'作品'!A:A,0),0),"error")</f>
        <v>怪獣８号</v>
      </c>
      <c r="C91" s="91" t="s">
        <v>2168</v>
      </c>
      <c r="D91" s="307" t="s">
        <v>1046</v>
      </c>
      <c r="E91" s="78" t="str">
        <f t="shared" si="17"/>
        <v>piece_kai_00501</v>
      </c>
      <c r="F91" s="57" t="str">
        <f t="shared" si="18"/>
        <v>piece_kai_00501</v>
      </c>
      <c r="G91" s="308" t="str">
        <f t="shared" si="19"/>
        <v>item_icon_piece_kai_00501</v>
      </c>
      <c r="H91" s="53" t="s">
        <v>2235</v>
      </c>
      <c r="I91" s="53" t="s">
        <v>1028</v>
      </c>
      <c r="J91" s="94">
        <v>9.99999999E8</v>
      </c>
      <c r="K91" s="94">
        <v>9.99999999E8</v>
      </c>
      <c r="L91" s="112" t="s">
        <v>2236</v>
      </c>
      <c r="M91" s="114"/>
      <c r="N91" s="307" t="s">
        <v>2049</v>
      </c>
      <c r="O91" s="311">
        <v>2.0250901E8</v>
      </c>
      <c r="P91" s="316"/>
      <c r="Q91" s="85"/>
      <c r="R91" s="85"/>
      <c r="S91" s="85"/>
      <c r="T91" s="85"/>
      <c r="U91" s="85"/>
    </row>
    <row r="92">
      <c r="A92" s="99" t="s">
        <v>115</v>
      </c>
      <c r="B92" s="305" t="str">
        <f t="array" ref="B92">iferror(INDEX('作品'!D:D,MATCH(A92,'作品'!A:A,0),0),"error")</f>
        <v>怪獣８号</v>
      </c>
      <c r="C92" s="91" t="s">
        <v>2168</v>
      </c>
      <c r="D92" s="307" t="s">
        <v>1151</v>
      </c>
      <c r="E92" s="78" t="str">
        <f t="shared" si="17"/>
        <v>piece_kai_00601</v>
      </c>
      <c r="F92" s="57" t="str">
        <f t="shared" si="18"/>
        <v>piece_kai_00601</v>
      </c>
      <c r="G92" s="308" t="str">
        <f t="shared" si="19"/>
        <v>item_icon_piece_kai_00601</v>
      </c>
      <c r="H92" s="53" t="s">
        <v>2237</v>
      </c>
      <c r="I92" s="53" t="s">
        <v>1028</v>
      </c>
      <c r="J92" s="94">
        <v>9.99999999E8</v>
      </c>
      <c r="K92" s="94">
        <v>9.99999999E8</v>
      </c>
      <c r="L92" s="112" t="s">
        <v>2238</v>
      </c>
      <c r="M92" s="114"/>
      <c r="N92" s="307" t="s">
        <v>2049</v>
      </c>
      <c r="O92" s="311">
        <v>2.0250901E8</v>
      </c>
      <c r="P92" s="316"/>
      <c r="Q92" s="85"/>
      <c r="R92" s="85"/>
      <c r="S92" s="85"/>
      <c r="T92" s="85"/>
      <c r="U92" s="85"/>
    </row>
    <row r="93">
      <c r="A93" s="99" t="s">
        <v>121</v>
      </c>
      <c r="B93" s="305" t="str">
        <f t="array" ref="B93">iferror(INDEX('作品'!D:D,MATCH(A93,'作品'!A:A,0),0),"error")</f>
        <v>2.5次元の誘惑</v>
      </c>
      <c r="C93" s="91" t="s">
        <v>2168</v>
      </c>
      <c r="D93" s="307" t="s">
        <v>973</v>
      </c>
      <c r="E93" s="78" t="str">
        <f t="shared" si="17"/>
        <v>piece_yuw_00001</v>
      </c>
      <c r="F93" s="57" t="str">
        <f t="shared" si="18"/>
        <v>piece_yuw_00001</v>
      </c>
      <c r="G93" s="308" t="str">
        <f t="shared" si="19"/>
        <v>item_icon_piece_yuw_00001</v>
      </c>
      <c r="H93" s="53" t="s">
        <v>2239</v>
      </c>
      <c r="I93" s="53" t="s">
        <v>976</v>
      </c>
      <c r="J93" s="94">
        <v>9.99999999E8</v>
      </c>
      <c r="K93" s="94">
        <v>9.99999999E8</v>
      </c>
      <c r="L93" s="112" t="s">
        <v>2240</v>
      </c>
      <c r="M93" s="112"/>
      <c r="N93" s="307" t="s">
        <v>2049</v>
      </c>
      <c r="O93" s="311">
        <v>2.0250901E8</v>
      </c>
      <c r="P93" s="316"/>
      <c r="Q93" s="85"/>
      <c r="R93" s="85"/>
      <c r="S93" s="85"/>
      <c r="T93" s="85"/>
      <c r="U93" s="85"/>
    </row>
    <row r="94">
      <c r="A94" s="99" t="s">
        <v>121</v>
      </c>
      <c r="B94" s="305" t="str">
        <f t="array" ref="B94">iferror(INDEX('作品'!D:D,MATCH(A94,'作品'!A:A,0),0),"error")</f>
        <v>2.5次元の誘惑</v>
      </c>
      <c r="C94" s="91" t="s">
        <v>2168</v>
      </c>
      <c r="D94" s="307" t="s">
        <v>1001</v>
      </c>
      <c r="E94" s="78" t="str">
        <f t="shared" si="17"/>
        <v>piece_yuw_00101</v>
      </c>
      <c r="F94" s="57" t="str">
        <f t="shared" si="18"/>
        <v>piece_yuw_00101</v>
      </c>
      <c r="G94" s="308" t="str">
        <f t="shared" si="19"/>
        <v>item_icon_piece_yuw_00101</v>
      </c>
      <c r="H94" s="53" t="s">
        <v>2241</v>
      </c>
      <c r="I94" s="53" t="s">
        <v>976</v>
      </c>
      <c r="J94" s="94">
        <v>9.99999999E8</v>
      </c>
      <c r="K94" s="94">
        <v>9.99999999E8</v>
      </c>
      <c r="L94" s="112" t="s">
        <v>2242</v>
      </c>
      <c r="M94" s="114"/>
      <c r="N94" s="307" t="s">
        <v>2049</v>
      </c>
      <c r="O94" s="311">
        <v>2.0250901E8</v>
      </c>
      <c r="P94" s="316"/>
      <c r="Q94" s="85"/>
      <c r="R94" s="85"/>
      <c r="S94" s="85"/>
      <c r="T94" s="85"/>
      <c r="U94" s="85"/>
    </row>
    <row r="95">
      <c r="A95" s="99" t="s">
        <v>121</v>
      </c>
      <c r="B95" s="305" t="str">
        <f t="array" ref="B95">iferror(INDEX('作品'!D:D,MATCH(A95,'作品'!A:A,0),0),"error")</f>
        <v>2.5次元の誘惑</v>
      </c>
      <c r="C95" s="91" t="s">
        <v>2168</v>
      </c>
      <c r="D95" s="307" t="s">
        <v>1255</v>
      </c>
      <c r="E95" s="78" t="str">
        <f t="shared" si="17"/>
        <v>piece_yuw_00102</v>
      </c>
      <c r="F95" s="57" t="str">
        <f t="shared" si="18"/>
        <v>piece_yuw_00102</v>
      </c>
      <c r="G95" s="308" t="str">
        <f t="shared" si="19"/>
        <v>item_icon_piece_yuw_00102</v>
      </c>
      <c r="H95" s="53" t="s">
        <v>2243</v>
      </c>
      <c r="I95" s="53" t="s">
        <v>976</v>
      </c>
      <c r="J95" s="94">
        <v>9.99999999E8</v>
      </c>
      <c r="K95" s="94">
        <v>9.99999999E8</v>
      </c>
      <c r="L95" s="96" t="s">
        <v>2244</v>
      </c>
      <c r="M95" s="114"/>
      <c r="N95" s="307" t="s">
        <v>2245</v>
      </c>
      <c r="O95" s="311">
        <v>2.02512015E8</v>
      </c>
      <c r="P95" s="316"/>
      <c r="Q95" s="85"/>
      <c r="R95" s="85"/>
      <c r="S95" s="85"/>
      <c r="T95" s="85"/>
      <c r="U95" s="85"/>
    </row>
    <row r="96">
      <c r="A96" s="99" t="s">
        <v>121</v>
      </c>
      <c r="B96" s="305" t="str">
        <f t="array" ref="B96">iferror(INDEX('作品'!D:D,MATCH(A96,'作品'!A:A,0),0),"error")</f>
        <v>2.5次元の誘惑</v>
      </c>
      <c r="C96" s="91" t="s">
        <v>2168</v>
      </c>
      <c r="D96" s="307" t="s">
        <v>1014</v>
      </c>
      <c r="E96" s="78" t="str">
        <f t="shared" si="17"/>
        <v>piece_yuw_00201</v>
      </c>
      <c r="F96" s="57" t="str">
        <f t="shared" si="18"/>
        <v>piece_yuw_00201</v>
      </c>
      <c r="G96" s="308" t="str">
        <f t="shared" si="19"/>
        <v>item_icon_piece_yuw_00201</v>
      </c>
      <c r="H96" s="53" t="s">
        <v>2246</v>
      </c>
      <c r="I96" s="53" t="s">
        <v>993</v>
      </c>
      <c r="J96" s="94">
        <v>9.99999999E8</v>
      </c>
      <c r="K96" s="94">
        <v>9.99999999E8</v>
      </c>
      <c r="L96" s="96" t="s">
        <v>2247</v>
      </c>
      <c r="M96" s="114"/>
      <c r="N96" s="361" t="s">
        <v>2248</v>
      </c>
      <c r="O96" s="53">
        <v>2.0251102E8</v>
      </c>
      <c r="P96" s="316"/>
      <c r="Q96" s="85"/>
      <c r="R96" s="85"/>
      <c r="S96" s="85"/>
      <c r="T96" s="85"/>
      <c r="U96" s="85"/>
    </row>
    <row r="97">
      <c r="A97" s="99" t="s">
        <v>121</v>
      </c>
      <c r="B97" s="305" t="str">
        <f t="array" ref="B97">iferror(INDEX('作品'!D:D,MATCH(A97,'作品'!A:A,0),0),"error")</f>
        <v>2.5次元の誘惑</v>
      </c>
      <c r="C97" s="91" t="s">
        <v>2168</v>
      </c>
      <c r="D97" s="307" t="s">
        <v>1026</v>
      </c>
      <c r="E97" s="78" t="str">
        <f t="shared" si="17"/>
        <v>piece_yuw_00301</v>
      </c>
      <c r="F97" s="57" t="str">
        <f t="shared" si="18"/>
        <v>piece_yuw_00301</v>
      </c>
      <c r="G97" s="308" t="str">
        <f t="shared" si="19"/>
        <v>item_icon_piece_yuw_00301</v>
      </c>
      <c r="H97" s="53" t="s">
        <v>2249</v>
      </c>
      <c r="I97" s="53" t="s">
        <v>976</v>
      </c>
      <c r="J97" s="94">
        <v>9.99999999E8</v>
      </c>
      <c r="K97" s="94">
        <v>9.99999999E8</v>
      </c>
      <c r="L97" s="96" t="s">
        <v>2250</v>
      </c>
      <c r="M97" s="114"/>
      <c r="N97" s="361" t="s">
        <v>2248</v>
      </c>
      <c r="O97" s="53">
        <v>2.0251102E8</v>
      </c>
      <c r="P97" s="316"/>
      <c r="Q97" s="85"/>
      <c r="R97" s="85"/>
      <c r="S97" s="85"/>
      <c r="T97" s="85"/>
      <c r="U97" s="85"/>
    </row>
    <row r="98">
      <c r="A98" s="99" t="s">
        <v>121</v>
      </c>
      <c r="B98" s="305" t="str">
        <f t="array" ref="B98">iferror(INDEX('作品'!D:D,MATCH(A98,'作品'!A:A,0),0),"error")</f>
        <v>2.5次元の誘惑</v>
      </c>
      <c r="C98" s="91" t="s">
        <v>2168</v>
      </c>
      <c r="D98" s="307" t="s">
        <v>1034</v>
      </c>
      <c r="E98" s="78" t="str">
        <f t="shared" si="17"/>
        <v>piece_yuw_00401</v>
      </c>
      <c r="F98" s="57" t="str">
        <f t="shared" si="18"/>
        <v>piece_yuw_00401</v>
      </c>
      <c r="G98" s="308" t="str">
        <f t="shared" si="19"/>
        <v>item_icon_piece_yuw_00401</v>
      </c>
      <c r="H98" s="53" t="s">
        <v>2251</v>
      </c>
      <c r="I98" s="53" t="s">
        <v>976</v>
      </c>
      <c r="J98" s="94">
        <v>9.99999999E8</v>
      </c>
      <c r="K98" s="94">
        <v>9.99999999E8</v>
      </c>
      <c r="L98" s="96" t="s">
        <v>2252</v>
      </c>
      <c r="M98" s="114"/>
      <c r="N98" s="361" t="s">
        <v>2248</v>
      </c>
      <c r="O98" s="53">
        <v>2.0251102E8</v>
      </c>
      <c r="P98" s="316"/>
      <c r="Q98" s="85"/>
      <c r="R98" s="85"/>
      <c r="S98" s="85"/>
      <c r="T98" s="85"/>
      <c r="U98" s="85"/>
    </row>
    <row r="99">
      <c r="A99" s="99" t="s">
        <v>121</v>
      </c>
      <c r="B99" s="305" t="str">
        <f t="array" ref="B99">iferror(INDEX('作品'!D:D,MATCH(A99,'作品'!A:A,0),0),"error")</f>
        <v>2.5次元の誘惑</v>
      </c>
      <c r="C99" s="91" t="s">
        <v>2168</v>
      </c>
      <c r="D99" s="307" t="s">
        <v>1046</v>
      </c>
      <c r="E99" s="78" t="str">
        <f t="shared" si="17"/>
        <v>piece_yuw_00501</v>
      </c>
      <c r="F99" s="57" t="str">
        <f t="shared" si="18"/>
        <v>piece_yuw_00501</v>
      </c>
      <c r="G99" s="308" t="str">
        <f t="shared" si="19"/>
        <v>item_icon_piece_yuw_00501</v>
      </c>
      <c r="H99" s="53" t="s">
        <v>2253</v>
      </c>
      <c r="I99" s="53" t="s">
        <v>1028</v>
      </c>
      <c r="J99" s="94">
        <v>9.99999999E8</v>
      </c>
      <c r="K99" s="94">
        <v>9.99999999E8</v>
      </c>
      <c r="L99" s="96" t="s">
        <v>2254</v>
      </c>
      <c r="M99" s="114"/>
      <c r="N99" s="361" t="s">
        <v>2248</v>
      </c>
      <c r="O99" s="53">
        <v>2.0251102E8</v>
      </c>
      <c r="P99" s="316"/>
      <c r="Q99" s="85"/>
      <c r="R99" s="85"/>
      <c r="S99" s="85"/>
      <c r="T99" s="85"/>
      <c r="U99" s="85"/>
    </row>
    <row r="100">
      <c r="A100" s="99" t="s">
        <v>121</v>
      </c>
      <c r="B100" s="305" t="str">
        <f t="array" ref="B100">iferror(INDEX('作品'!D:D,MATCH(A100,'作品'!A:A,0),0),"error")</f>
        <v>2.5次元の誘惑</v>
      </c>
      <c r="C100" s="91" t="s">
        <v>2168</v>
      </c>
      <c r="D100" s="307" t="s">
        <v>1151</v>
      </c>
      <c r="E100" s="78" t="str">
        <f t="shared" si="17"/>
        <v>piece_yuw_00601</v>
      </c>
      <c r="F100" s="57" t="str">
        <f t="shared" si="18"/>
        <v>piece_yuw_00601</v>
      </c>
      <c r="G100" s="308" t="str">
        <f t="shared" si="19"/>
        <v>item_icon_piece_yuw_00601</v>
      </c>
      <c r="H100" s="53" t="s">
        <v>2255</v>
      </c>
      <c r="I100" s="53" t="s">
        <v>1028</v>
      </c>
      <c r="J100" s="94">
        <v>9.99999999E8</v>
      </c>
      <c r="K100" s="94">
        <v>9.99999999E8</v>
      </c>
      <c r="L100" s="96" t="s">
        <v>2256</v>
      </c>
      <c r="M100" s="114"/>
      <c r="N100" s="361" t="s">
        <v>2248</v>
      </c>
      <c r="O100" s="53">
        <v>2.0251102E8</v>
      </c>
      <c r="P100" s="316"/>
      <c r="Q100" s="85"/>
      <c r="R100" s="85"/>
      <c r="S100" s="85"/>
      <c r="T100" s="85"/>
      <c r="U100" s="85"/>
    </row>
    <row r="101">
      <c r="A101" s="99" t="s">
        <v>127</v>
      </c>
      <c r="B101" s="305" t="str">
        <f t="array" ref="B101">iferror(INDEX('作品'!D:D,MATCH(A101,'作品'!A:A,0),0),"error")</f>
        <v>魔都精兵のスレイブ</v>
      </c>
      <c r="C101" s="91" t="s">
        <v>2168</v>
      </c>
      <c r="D101" s="307" t="s">
        <v>973</v>
      </c>
      <c r="E101" s="78" t="str">
        <f t="shared" si="17"/>
        <v>piece_sur_00001</v>
      </c>
      <c r="F101" s="57" t="str">
        <f t="shared" si="18"/>
        <v>piece_sur_00001</v>
      </c>
      <c r="G101" s="308" t="str">
        <f t="shared" si="19"/>
        <v>item_icon_piece_sur_00001</v>
      </c>
      <c r="H101" s="53" t="s">
        <v>2257</v>
      </c>
      <c r="I101" s="53" t="s">
        <v>1057</v>
      </c>
      <c r="J101" s="94">
        <v>9.99999999E8</v>
      </c>
      <c r="K101" s="94">
        <v>9.99999999E8</v>
      </c>
      <c r="L101" s="112" t="s">
        <v>2258</v>
      </c>
      <c r="M101" s="114"/>
      <c r="N101" s="307" t="s">
        <v>2049</v>
      </c>
      <c r="O101" s="311">
        <v>2.0250901E8</v>
      </c>
      <c r="P101" s="316"/>
      <c r="Q101" s="85"/>
      <c r="R101" s="85"/>
      <c r="S101" s="85"/>
      <c r="T101" s="85"/>
      <c r="U101" s="85"/>
    </row>
    <row r="102">
      <c r="A102" s="99" t="s">
        <v>127</v>
      </c>
      <c r="B102" s="305" t="str">
        <f t="array" ref="B102">iferror(INDEX('作品'!D:D,MATCH(A102,'作品'!A:A,0),0),"error")</f>
        <v>魔都精兵のスレイブ</v>
      </c>
      <c r="C102" s="91" t="s">
        <v>2168</v>
      </c>
      <c r="D102" s="307" t="s">
        <v>1001</v>
      </c>
      <c r="E102" s="78" t="str">
        <f t="shared" si="17"/>
        <v>piece_sur_00101</v>
      </c>
      <c r="F102" s="57" t="str">
        <f t="shared" si="18"/>
        <v>piece_sur_00101</v>
      </c>
      <c r="G102" s="308" t="str">
        <f t="shared" si="19"/>
        <v>item_icon_piece_sur_00101</v>
      </c>
      <c r="H102" s="53" t="s">
        <v>2259</v>
      </c>
      <c r="I102" s="53" t="s">
        <v>976</v>
      </c>
      <c r="J102" s="94">
        <v>9.99999999E8</v>
      </c>
      <c r="K102" s="94">
        <v>9.99999999E8</v>
      </c>
      <c r="L102" s="112" t="s">
        <v>2260</v>
      </c>
      <c r="M102" s="114"/>
      <c r="N102" s="307" t="s">
        <v>2049</v>
      </c>
      <c r="O102" s="311">
        <v>2.0250901E8</v>
      </c>
      <c r="P102" s="316"/>
      <c r="Q102" s="85"/>
      <c r="R102" s="85"/>
      <c r="S102" s="85"/>
      <c r="T102" s="85"/>
      <c r="U102" s="85"/>
    </row>
    <row r="103">
      <c r="A103" s="99" t="s">
        <v>127</v>
      </c>
      <c r="B103" s="305" t="str">
        <f t="array" ref="B103">iferror(INDEX('作品'!D:D,MATCH(A103,'作品'!A:A,0),0),"error")</f>
        <v>魔都精兵のスレイブ</v>
      </c>
      <c r="C103" s="91" t="s">
        <v>2168</v>
      </c>
      <c r="D103" s="307" t="s">
        <v>1014</v>
      </c>
      <c r="E103" s="78" t="str">
        <f t="shared" si="17"/>
        <v>piece_sur_00201</v>
      </c>
      <c r="F103" s="57" t="str">
        <f t="shared" si="18"/>
        <v>piece_sur_00201</v>
      </c>
      <c r="G103" s="308" t="str">
        <f t="shared" si="19"/>
        <v>item_icon_piece_sur_00201</v>
      </c>
      <c r="H103" s="53" t="s">
        <v>2261</v>
      </c>
      <c r="I103" s="53" t="s">
        <v>1028</v>
      </c>
      <c r="J103" s="94">
        <v>9.99999999E8</v>
      </c>
      <c r="K103" s="94">
        <v>9.99999999E8</v>
      </c>
      <c r="L103" s="112" t="s">
        <v>2262</v>
      </c>
      <c r="M103" s="114"/>
      <c r="N103" s="307" t="s">
        <v>2049</v>
      </c>
      <c r="O103" s="311">
        <v>2.0250901E8</v>
      </c>
      <c r="P103" s="316"/>
      <c r="Q103" s="85"/>
      <c r="R103" s="85"/>
      <c r="S103" s="85"/>
      <c r="T103" s="85"/>
      <c r="U103" s="85"/>
    </row>
    <row r="104">
      <c r="A104" s="99" t="s">
        <v>127</v>
      </c>
      <c r="B104" s="305" t="str">
        <f t="array" ref="B104">iferror(INDEX('作品'!D:D,MATCH(A104,'作品'!A:A,0),0),"error")</f>
        <v>魔都精兵のスレイブ</v>
      </c>
      <c r="C104" s="91" t="s">
        <v>2168</v>
      </c>
      <c r="D104" s="307" t="s">
        <v>1026</v>
      </c>
      <c r="E104" s="78" t="str">
        <f t="shared" si="17"/>
        <v>piece_sur_00301</v>
      </c>
      <c r="F104" s="57" t="str">
        <f t="shared" si="18"/>
        <v>piece_sur_00301</v>
      </c>
      <c r="G104" s="308" t="str">
        <f t="shared" si="19"/>
        <v>item_icon_piece_sur_00301</v>
      </c>
      <c r="H104" s="53" t="s">
        <v>2263</v>
      </c>
      <c r="I104" s="53" t="s">
        <v>1028</v>
      </c>
      <c r="J104" s="94">
        <v>9.99999999E8</v>
      </c>
      <c r="K104" s="94">
        <v>9.99999999E8</v>
      </c>
      <c r="L104" s="112" t="s">
        <v>2264</v>
      </c>
      <c r="M104" s="114"/>
      <c r="N104" s="307" t="s">
        <v>2049</v>
      </c>
      <c r="O104" s="311">
        <v>2.0250901E8</v>
      </c>
      <c r="P104" s="316"/>
      <c r="Q104" s="85"/>
      <c r="R104" s="85"/>
      <c r="S104" s="85"/>
      <c r="T104" s="85"/>
      <c r="U104" s="85"/>
    </row>
    <row r="105">
      <c r="A105" s="99" t="s">
        <v>127</v>
      </c>
      <c r="B105" s="305" t="str">
        <f t="array" ref="B105">iferror(INDEX('作品'!D:D,MATCH(A105,'作品'!A:A,0),0),"error")</f>
        <v>魔都精兵のスレイブ</v>
      </c>
      <c r="C105" s="91" t="s">
        <v>2168</v>
      </c>
      <c r="D105" s="307" t="s">
        <v>1034</v>
      </c>
      <c r="E105" s="78" t="str">
        <f t="shared" si="17"/>
        <v>piece_sur_00401</v>
      </c>
      <c r="F105" s="57" t="str">
        <f t="shared" si="18"/>
        <v>piece_sur_00401</v>
      </c>
      <c r="G105" s="308" t="str">
        <f t="shared" si="19"/>
        <v>item_icon_piece_sur_00401</v>
      </c>
      <c r="H105" s="53" t="s">
        <v>2265</v>
      </c>
      <c r="I105" s="53" t="s">
        <v>1028</v>
      </c>
      <c r="J105" s="94">
        <v>9.99999999E8</v>
      </c>
      <c r="K105" s="94">
        <v>9.99999999E8</v>
      </c>
      <c r="L105" s="112" t="s">
        <v>2266</v>
      </c>
      <c r="M105" s="114"/>
      <c r="N105" s="307" t="s">
        <v>2049</v>
      </c>
      <c r="O105" s="311">
        <v>2.0250901E8</v>
      </c>
      <c r="P105" s="316"/>
      <c r="Q105" s="85"/>
      <c r="R105" s="85"/>
      <c r="S105" s="85"/>
      <c r="T105" s="85"/>
      <c r="U105" s="85"/>
    </row>
    <row r="106">
      <c r="A106" s="89" t="s">
        <v>127</v>
      </c>
      <c r="B106" s="305" t="str">
        <f t="array" ref="B106">iferror(INDEX('作品'!D:D,MATCH(A106,'作品'!A:A,0),0),"error")</f>
        <v>魔都精兵のスレイブ</v>
      </c>
      <c r="C106" s="91" t="s">
        <v>2168</v>
      </c>
      <c r="D106" s="307" t="s">
        <v>1046</v>
      </c>
      <c r="E106" s="78" t="str">
        <f t="shared" si="17"/>
        <v>piece_sur_00501</v>
      </c>
      <c r="F106" s="57" t="str">
        <f t="shared" si="18"/>
        <v>piece_sur_00501</v>
      </c>
      <c r="G106" s="308" t="str">
        <f t="shared" si="19"/>
        <v>item_icon_piece_sur_00501</v>
      </c>
      <c r="H106" s="53" t="s">
        <v>2267</v>
      </c>
      <c r="I106" s="53" t="s">
        <v>976</v>
      </c>
      <c r="J106" s="94">
        <v>9.99999999E8</v>
      </c>
      <c r="K106" s="94">
        <v>9.99999999E8</v>
      </c>
      <c r="L106" s="96" t="s">
        <v>2268</v>
      </c>
      <c r="M106" s="114"/>
      <c r="N106" s="307" t="s">
        <v>2269</v>
      </c>
      <c r="O106" s="311">
        <v>2.0251201E8</v>
      </c>
      <c r="P106" s="316"/>
      <c r="Q106" s="85"/>
      <c r="R106" s="85"/>
      <c r="S106" s="85"/>
      <c r="T106" s="85"/>
      <c r="U106" s="85"/>
    </row>
    <row r="107">
      <c r="A107" s="89" t="s">
        <v>127</v>
      </c>
      <c r="B107" s="305" t="str">
        <f t="array" ref="B107">iferror(INDEX('作品'!D:D,MATCH(A107,'作品'!A:A,0),0),"error")</f>
        <v>魔都精兵のスレイブ</v>
      </c>
      <c r="C107" s="91" t="s">
        <v>2168</v>
      </c>
      <c r="D107" s="307" t="s">
        <v>1151</v>
      </c>
      <c r="E107" s="78" t="str">
        <f t="shared" si="17"/>
        <v>piece_sur_00601</v>
      </c>
      <c r="F107" s="57" t="str">
        <f t="shared" si="18"/>
        <v>piece_sur_00601</v>
      </c>
      <c r="G107" s="308" t="str">
        <f t="shared" si="19"/>
        <v>item_icon_piece_sur_00601</v>
      </c>
      <c r="H107" s="53" t="s">
        <v>2270</v>
      </c>
      <c r="I107" s="53" t="s">
        <v>993</v>
      </c>
      <c r="J107" s="94">
        <v>9.99999999E8</v>
      </c>
      <c r="K107" s="94">
        <v>9.99999999E8</v>
      </c>
      <c r="L107" s="96" t="s">
        <v>2271</v>
      </c>
      <c r="M107" s="114"/>
      <c r="N107" s="307" t="s">
        <v>2269</v>
      </c>
      <c r="O107" s="311">
        <v>2.0251201E8</v>
      </c>
      <c r="P107" s="316"/>
      <c r="Q107" s="85"/>
      <c r="R107" s="85"/>
      <c r="S107" s="85"/>
      <c r="T107" s="85"/>
      <c r="U107" s="85"/>
    </row>
    <row r="108">
      <c r="A108" s="89" t="s">
        <v>127</v>
      </c>
      <c r="B108" s="305" t="str">
        <f t="array" ref="B108">iferror(INDEX('作品'!D:D,MATCH(A108,'作品'!A:A,0),0),"error")</f>
        <v>魔都精兵のスレイブ</v>
      </c>
      <c r="C108" s="91" t="s">
        <v>2168</v>
      </c>
      <c r="D108" s="307" t="s">
        <v>1191</v>
      </c>
      <c r="E108" s="78" t="str">
        <f t="shared" si="17"/>
        <v>piece_sur_00701</v>
      </c>
      <c r="F108" s="57" t="str">
        <f t="shared" si="18"/>
        <v>piece_sur_00701</v>
      </c>
      <c r="G108" s="308" t="str">
        <f t="shared" si="19"/>
        <v>item_icon_piece_sur_00701</v>
      </c>
      <c r="H108" s="53" t="s">
        <v>2272</v>
      </c>
      <c r="I108" s="53" t="s">
        <v>1028</v>
      </c>
      <c r="J108" s="94">
        <v>9.99999999E8</v>
      </c>
      <c r="K108" s="94">
        <v>9.99999999E8</v>
      </c>
      <c r="L108" s="360" t="s">
        <v>2273</v>
      </c>
      <c r="M108" s="114"/>
      <c r="N108" s="307" t="s">
        <v>2274</v>
      </c>
      <c r="O108" s="311">
        <v>2.0251201E8</v>
      </c>
      <c r="P108" s="316"/>
      <c r="Q108" s="85"/>
      <c r="R108" s="85"/>
      <c r="S108" s="85"/>
      <c r="T108" s="85"/>
      <c r="U108" s="85"/>
    </row>
    <row r="109">
      <c r="A109" s="89" t="s">
        <v>127</v>
      </c>
      <c r="B109" s="305" t="str">
        <f t="array" ref="B109">iferror(INDEX('作品'!D:D,MATCH(A109,'作品'!A:A,0),0),"error")</f>
        <v>魔都精兵のスレイブ</v>
      </c>
      <c r="C109" s="91" t="s">
        <v>2168</v>
      </c>
      <c r="D109" s="307" t="s">
        <v>1238</v>
      </c>
      <c r="E109" s="78" t="str">
        <f t="shared" si="17"/>
        <v>piece_sur_00801</v>
      </c>
      <c r="F109" s="57" t="str">
        <f t="shared" si="18"/>
        <v>piece_sur_00801</v>
      </c>
      <c r="G109" s="308" t="str">
        <f t="shared" si="19"/>
        <v>item_icon_piece_sur_00801</v>
      </c>
      <c r="H109" s="53" t="s">
        <v>2275</v>
      </c>
      <c r="I109" s="53" t="s">
        <v>1028</v>
      </c>
      <c r="J109" s="94">
        <v>9.99999999E8</v>
      </c>
      <c r="K109" s="94">
        <v>9.99999999E8</v>
      </c>
      <c r="L109" s="360" t="s">
        <v>2276</v>
      </c>
      <c r="M109" s="114"/>
      <c r="N109" s="307" t="s">
        <v>2274</v>
      </c>
      <c r="O109" s="311">
        <v>2.0251201E8</v>
      </c>
      <c r="P109" s="316"/>
      <c r="Q109" s="85"/>
      <c r="R109" s="85"/>
      <c r="S109" s="85"/>
      <c r="T109" s="85"/>
      <c r="U109" s="85"/>
    </row>
    <row r="110">
      <c r="A110" s="99" t="s">
        <v>132</v>
      </c>
      <c r="B110" s="305" t="str">
        <f t="array" ref="B110">iferror(INDEX('作品'!D:D,MATCH(A110,'作品'!A:A,0),0),"error")</f>
        <v>鴨乃橋ロンの禁断推理</v>
      </c>
      <c r="C110" s="91" t="s">
        <v>2168</v>
      </c>
      <c r="D110" s="307" t="s">
        <v>973</v>
      </c>
      <c r="E110" s="78" t="str">
        <f t="shared" si="17"/>
        <v>piece_ron_00001</v>
      </c>
      <c r="F110" s="57" t="str">
        <f t="shared" si="18"/>
        <v>piece_ron_00001</v>
      </c>
      <c r="G110" s="308" t="str">
        <f t="shared" si="19"/>
        <v>item_icon_piece_ron_00001</v>
      </c>
      <c r="H110" s="53" t="s">
        <v>2277</v>
      </c>
      <c r="I110" s="53" t="s">
        <v>993</v>
      </c>
      <c r="J110" s="94">
        <v>9.99999999E8</v>
      </c>
      <c r="K110" s="94">
        <v>9.99999999E8</v>
      </c>
      <c r="L110" s="112" t="s">
        <v>2278</v>
      </c>
      <c r="M110" s="114"/>
      <c r="N110" s="307" t="s">
        <v>2049</v>
      </c>
      <c r="O110" s="311">
        <v>2.0250901E8</v>
      </c>
      <c r="P110" s="316"/>
      <c r="Q110" s="85"/>
      <c r="R110" s="85"/>
      <c r="S110" s="85"/>
      <c r="T110" s="85"/>
      <c r="U110" s="85"/>
    </row>
    <row r="111">
      <c r="A111" s="99" t="s">
        <v>132</v>
      </c>
      <c r="B111" s="305" t="str">
        <f t="array" ref="B111">iferror(INDEX('作品'!D:D,MATCH(A111,'作品'!A:A,0),0),"error")</f>
        <v>鴨乃橋ロンの禁断推理</v>
      </c>
      <c r="C111" s="91" t="s">
        <v>2168</v>
      </c>
      <c r="D111" s="307" t="s">
        <v>1001</v>
      </c>
      <c r="E111" s="78" t="str">
        <f t="shared" si="17"/>
        <v>piece_ron_00101</v>
      </c>
      <c r="F111" s="57" t="str">
        <f t="shared" si="18"/>
        <v>piece_ron_00101</v>
      </c>
      <c r="G111" s="308" t="str">
        <f t="shared" si="19"/>
        <v>item_icon_piece_ron_00101</v>
      </c>
      <c r="H111" s="53" t="s">
        <v>2279</v>
      </c>
      <c r="I111" s="53" t="s">
        <v>1057</v>
      </c>
      <c r="J111" s="94">
        <v>9.99999999E8</v>
      </c>
      <c r="K111" s="94">
        <v>9.99999999E8</v>
      </c>
      <c r="L111" s="112" t="s">
        <v>2280</v>
      </c>
      <c r="M111" s="114"/>
      <c r="N111" s="307" t="s">
        <v>2049</v>
      </c>
      <c r="O111" s="311">
        <v>2.0250901E8</v>
      </c>
      <c r="P111" s="316"/>
      <c r="Q111" s="85"/>
      <c r="R111" s="85"/>
      <c r="S111" s="85"/>
      <c r="T111" s="85"/>
      <c r="U111" s="85"/>
    </row>
    <row r="112">
      <c r="A112" s="99" t="s">
        <v>138</v>
      </c>
      <c r="B112" s="305" t="str">
        <f t="array" ref="B112">iferror(INDEX('作品'!D:D,MATCH(A112,'作品'!A:A,0),0),"error")</f>
        <v>阿波連さんははかれない</v>
      </c>
      <c r="C112" s="91" t="s">
        <v>2168</v>
      </c>
      <c r="D112" s="307" t="s">
        <v>973</v>
      </c>
      <c r="E112" s="78" t="str">
        <f t="shared" si="17"/>
        <v>piece_aha_00001</v>
      </c>
      <c r="F112" s="57" t="str">
        <f t="shared" si="18"/>
        <v>piece_aha_00001</v>
      </c>
      <c r="G112" s="308" t="str">
        <f t="shared" si="19"/>
        <v>item_icon_piece_aha_00001</v>
      </c>
      <c r="H112" s="53" t="s">
        <v>2281</v>
      </c>
      <c r="I112" s="53" t="s">
        <v>1028</v>
      </c>
      <c r="J112" s="94">
        <v>9.99999999E8</v>
      </c>
      <c r="K112" s="94">
        <v>9.99999999E8</v>
      </c>
      <c r="L112" s="112" t="s">
        <v>2282</v>
      </c>
      <c r="M112" s="112"/>
      <c r="N112" s="307" t="s">
        <v>2049</v>
      </c>
      <c r="O112" s="311">
        <v>2.0250901E8</v>
      </c>
      <c r="P112" s="316"/>
      <c r="Q112" s="85"/>
      <c r="R112" s="85"/>
      <c r="S112" s="85"/>
      <c r="T112" s="85"/>
      <c r="U112" s="85"/>
    </row>
    <row r="113">
      <c r="A113" s="99" t="s">
        <v>138</v>
      </c>
      <c r="B113" s="305" t="str">
        <f t="array" ref="B113">iferror(INDEX('作品'!D:D,MATCH(A113,'作品'!A:A,0),0),"error")</f>
        <v>阿波連さんははかれない</v>
      </c>
      <c r="C113" s="91" t="s">
        <v>2168</v>
      </c>
      <c r="D113" s="307" t="s">
        <v>1001</v>
      </c>
      <c r="E113" s="78" t="str">
        <f t="shared" si="17"/>
        <v>piece_aha_00101</v>
      </c>
      <c r="F113" s="57" t="str">
        <f t="shared" si="18"/>
        <v>piece_aha_00101</v>
      </c>
      <c r="G113" s="308" t="str">
        <f t="shared" si="19"/>
        <v>item_icon_piece_aha_00101</v>
      </c>
      <c r="H113" s="53" t="s">
        <v>2283</v>
      </c>
      <c r="I113" s="53" t="s">
        <v>993</v>
      </c>
      <c r="J113" s="94">
        <v>9.99999999E8</v>
      </c>
      <c r="K113" s="94">
        <v>9.99999999E8</v>
      </c>
      <c r="L113" s="112" t="s">
        <v>2284</v>
      </c>
      <c r="M113" s="114"/>
      <c r="N113" s="307" t="s">
        <v>2049</v>
      </c>
      <c r="O113" s="311">
        <v>2.0250901E8</v>
      </c>
      <c r="P113" s="316"/>
      <c r="Q113" s="85"/>
      <c r="R113" s="85"/>
      <c r="S113" s="85"/>
      <c r="T113" s="85"/>
      <c r="U113" s="85"/>
    </row>
    <row r="114">
      <c r="A114" s="99" t="s">
        <v>153</v>
      </c>
      <c r="B114" s="305" t="str">
        <f t="array" ref="B114">iferror(INDEX('作品'!D:D,MATCH(A114,'作品'!A:A,0),0),"error")</f>
        <v>タコピーの原罪</v>
      </c>
      <c r="C114" s="91" t="s">
        <v>2168</v>
      </c>
      <c r="D114" s="307" t="s">
        <v>973</v>
      </c>
      <c r="E114" s="78" t="str">
        <f t="shared" si="17"/>
        <v>piece_tak_00001</v>
      </c>
      <c r="F114" s="57" t="str">
        <f t="shared" si="18"/>
        <v>piece_tak_00001</v>
      </c>
      <c r="G114" s="308" t="str">
        <f t="shared" si="19"/>
        <v>item_icon_piece_tak_00001</v>
      </c>
      <c r="H114" s="53" t="s">
        <v>2285</v>
      </c>
      <c r="I114" s="53" t="s">
        <v>976</v>
      </c>
      <c r="J114" s="94">
        <v>9.99999999E8</v>
      </c>
      <c r="K114" s="94">
        <v>9.99999999E8</v>
      </c>
      <c r="L114" s="112" t="s">
        <v>2286</v>
      </c>
      <c r="M114" s="114"/>
      <c r="N114" s="307" t="s">
        <v>2049</v>
      </c>
      <c r="O114" s="311">
        <v>2.0250901E8</v>
      </c>
      <c r="P114" s="316"/>
      <c r="Q114" s="85"/>
      <c r="R114" s="85"/>
      <c r="S114" s="85"/>
      <c r="T114" s="85"/>
      <c r="U114" s="85"/>
    </row>
    <row r="115">
      <c r="A115" s="99" t="s">
        <v>148</v>
      </c>
      <c r="B115" s="305" t="str">
        <f t="array" ref="B115">iferror(INDEX('作品'!D:D,MATCH(A115,'作品'!A:A,0),0),"error")</f>
        <v>地獄楽</v>
      </c>
      <c r="C115" s="91" t="s">
        <v>2168</v>
      </c>
      <c r="D115" s="307" t="s">
        <v>973</v>
      </c>
      <c r="E115" s="78" t="str">
        <f t="shared" si="17"/>
        <v>piece_jig_00001</v>
      </c>
      <c r="F115" s="57" t="str">
        <f t="shared" si="18"/>
        <v>piece_jig_00001</v>
      </c>
      <c r="G115" s="308" t="str">
        <f t="shared" si="19"/>
        <v>item_icon_piece_jig_00001</v>
      </c>
      <c r="H115" s="53" t="s">
        <v>2287</v>
      </c>
      <c r="I115" s="53" t="s">
        <v>976</v>
      </c>
      <c r="J115" s="94">
        <v>9.99999999E8</v>
      </c>
      <c r="K115" s="94">
        <v>9.99999999E8</v>
      </c>
      <c r="L115" s="112" t="s">
        <v>2288</v>
      </c>
      <c r="M115" s="114"/>
      <c r="N115" s="307" t="s">
        <v>2049</v>
      </c>
      <c r="O115" s="311">
        <v>2.0250901E8</v>
      </c>
      <c r="P115" s="316"/>
      <c r="Q115" s="85"/>
      <c r="R115" s="85"/>
      <c r="S115" s="85"/>
      <c r="T115" s="85"/>
      <c r="U115" s="85"/>
    </row>
    <row r="116">
      <c r="A116" s="99" t="s">
        <v>148</v>
      </c>
      <c r="B116" s="305" t="str">
        <f t="array" ref="B116">iferror(INDEX('作品'!D:D,MATCH(A116,'作品'!A:A,0),0),"error")</f>
        <v>地獄楽</v>
      </c>
      <c r="C116" s="91" t="s">
        <v>2168</v>
      </c>
      <c r="D116" s="307" t="s">
        <v>1001</v>
      </c>
      <c r="E116" s="78" t="str">
        <f t="shared" si="17"/>
        <v>piece_jig_00101</v>
      </c>
      <c r="F116" s="57" t="str">
        <f t="shared" si="18"/>
        <v>piece_jig_00101</v>
      </c>
      <c r="G116" s="308" t="str">
        <f t="shared" si="19"/>
        <v>item_icon_piece_jig_00101</v>
      </c>
      <c r="H116" s="53" t="s">
        <v>2289</v>
      </c>
      <c r="I116" s="53" t="s">
        <v>993</v>
      </c>
      <c r="J116" s="94">
        <v>9.99999999E8</v>
      </c>
      <c r="K116" s="94">
        <v>9.99999999E8</v>
      </c>
      <c r="L116" s="112" t="s">
        <v>2290</v>
      </c>
      <c r="M116" s="114"/>
      <c r="N116" s="307" t="s">
        <v>2049</v>
      </c>
      <c r="O116" s="311">
        <v>2.0250901E8</v>
      </c>
      <c r="P116" s="316"/>
      <c r="Q116" s="85"/>
      <c r="R116" s="85"/>
      <c r="S116" s="85"/>
      <c r="T116" s="85"/>
      <c r="U116" s="85"/>
    </row>
    <row r="117">
      <c r="A117" s="99" t="s">
        <v>148</v>
      </c>
      <c r="B117" s="305" t="str">
        <f t="array" ref="B117">iferror(INDEX('作品'!D:D,MATCH(A117,'作品'!A:A,0),0),"error")</f>
        <v>地獄楽</v>
      </c>
      <c r="C117" s="91" t="s">
        <v>2168</v>
      </c>
      <c r="D117" s="46" t="s">
        <v>1014</v>
      </c>
      <c r="E117" s="78" t="str">
        <f t="shared" si="17"/>
        <v>piece_jig_00201</v>
      </c>
      <c r="F117" s="57" t="str">
        <f t="shared" si="18"/>
        <v>piece_jig_00201</v>
      </c>
      <c r="G117" s="308" t="str">
        <f t="shared" si="19"/>
        <v>item_icon_piece_jig_00201</v>
      </c>
      <c r="H117" s="53" t="s">
        <v>2291</v>
      </c>
      <c r="I117" s="53" t="s">
        <v>993</v>
      </c>
      <c r="J117" s="94">
        <v>9.99999999E8</v>
      </c>
      <c r="K117" s="94">
        <v>9.99999999E8</v>
      </c>
      <c r="L117" s="112" t="s">
        <v>2292</v>
      </c>
      <c r="M117" s="114"/>
      <c r="N117" s="307" t="s">
        <v>2049</v>
      </c>
      <c r="O117" s="311">
        <v>2.0250901E8</v>
      </c>
      <c r="P117" s="316"/>
      <c r="Q117" s="85"/>
      <c r="R117" s="85"/>
      <c r="S117" s="85"/>
      <c r="T117" s="85"/>
      <c r="U117" s="85"/>
    </row>
    <row r="118">
      <c r="A118" s="331" t="s">
        <v>148</v>
      </c>
      <c r="B118" s="362" t="str">
        <f t="array" ref="B118">iferror(INDEX('作品'!D:D,MATCH(A118,'作品'!A:A,0),0),"error")</f>
        <v>地獄楽</v>
      </c>
      <c r="C118" s="363" t="s">
        <v>2168</v>
      </c>
      <c r="D118" s="46" t="s">
        <v>1026</v>
      </c>
      <c r="E118" s="364" t="str">
        <f t="shared" si="17"/>
        <v>piece_jig_00301</v>
      </c>
      <c r="F118" s="365" t="str">
        <f t="shared" si="18"/>
        <v>piece_jig_00301</v>
      </c>
      <c r="G118" s="308" t="str">
        <f t="shared" si="19"/>
        <v>item_icon_piece_jig_00301</v>
      </c>
      <c r="H118" s="53" t="s">
        <v>2293</v>
      </c>
      <c r="I118" s="264" t="s">
        <v>1028</v>
      </c>
      <c r="J118" s="366">
        <v>9.99999999E8</v>
      </c>
      <c r="K118" s="366">
        <v>9.99999999E8</v>
      </c>
      <c r="L118" s="112" t="s">
        <v>2294</v>
      </c>
      <c r="M118" s="202"/>
      <c r="N118" s="307" t="s">
        <v>2049</v>
      </c>
      <c r="O118" s="311">
        <v>2.0250901E8</v>
      </c>
      <c r="P118" s="367"/>
      <c r="Q118" s="85"/>
      <c r="R118" s="85"/>
      <c r="S118" s="85"/>
      <c r="T118" s="85"/>
      <c r="U118" s="85"/>
    </row>
    <row r="119">
      <c r="A119" s="89" t="s">
        <v>98</v>
      </c>
      <c r="B119" s="305" t="str">
        <f t="array" ref="B119">iferror(INDEX('作品'!D:D,MATCH(A119,'作品'!A:A,0),0),"error")</f>
        <v>株式会社マジルミエ</v>
      </c>
      <c r="C119" s="91" t="s">
        <v>2168</v>
      </c>
      <c r="D119" s="307" t="s">
        <v>973</v>
      </c>
      <c r="E119" s="78" t="str">
        <f t="shared" si="17"/>
        <v>piece_mag_00001</v>
      </c>
      <c r="F119" s="57" t="str">
        <f t="shared" si="18"/>
        <v>piece_mag_00001</v>
      </c>
      <c r="G119" s="308" t="str">
        <f t="shared" si="19"/>
        <v>item_icon_piece_mag_00001</v>
      </c>
      <c r="H119" s="53" t="s">
        <v>2295</v>
      </c>
      <c r="I119" s="53" t="s">
        <v>976</v>
      </c>
      <c r="J119" s="94">
        <v>9.99999999E8</v>
      </c>
      <c r="K119" s="94">
        <v>9.99999999E8</v>
      </c>
      <c r="L119" s="112" t="s">
        <v>2296</v>
      </c>
      <c r="M119" s="114"/>
      <c r="N119" s="307" t="s">
        <v>2049</v>
      </c>
      <c r="O119" s="311">
        <v>2.0250901E8</v>
      </c>
      <c r="P119" s="316"/>
      <c r="Q119" s="85"/>
      <c r="R119" s="85"/>
      <c r="S119" s="85"/>
      <c r="T119" s="85"/>
      <c r="U119" s="85"/>
    </row>
    <row r="120">
      <c r="A120" s="89" t="s">
        <v>98</v>
      </c>
      <c r="B120" s="305" t="str">
        <f t="array" ref="B120">iferror(INDEX('作品'!D:D,MATCH(A120,'作品'!A:A,0),0),"error")</f>
        <v>株式会社マジルミエ</v>
      </c>
      <c r="C120" s="91" t="s">
        <v>2168</v>
      </c>
      <c r="D120" s="307" t="s">
        <v>1001</v>
      </c>
      <c r="E120" s="78" t="str">
        <f t="shared" si="17"/>
        <v>piece_mag_00101</v>
      </c>
      <c r="F120" s="57" t="str">
        <f t="shared" si="18"/>
        <v>piece_mag_00101</v>
      </c>
      <c r="G120" s="308" t="str">
        <f t="shared" si="19"/>
        <v>item_icon_piece_mag_00101</v>
      </c>
      <c r="H120" s="53" t="s">
        <v>2297</v>
      </c>
      <c r="I120" s="53" t="s">
        <v>1028</v>
      </c>
      <c r="J120" s="94">
        <v>9.99999999E8</v>
      </c>
      <c r="K120" s="94">
        <v>9.99999999E8</v>
      </c>
      <c r="L120" s="112" t="s">
        <v>2298</v>
      </c>
      <c r="M120" s="114"/>
      <c r="N120" s="307" t="s">
        <v>2049</v>
      </c>
      <c r="O120" s="311">
        <v>2.0250901E8</v>
      </c>
      <c r="P120" s="316"/>
      <c r="Q120" s="85"/>
      <c r="R120" s="85"/>
      <c r="S120" s="85"/>
      <c r="T120" s="85"/>
      <c r="U120" s="85"/>
    </row>
    <row r="121">
      <c r="A121" s="89" t="s">
        <v>98</v>
      </c>
      <c r="B121" s="305" t="str">
        <f t="array" ref="B121">iferror(INDEX('作品'!D:D,MATCH(A121,'作品'!A:A,0),0),"error")</f>
        <v>株式会社マジルミエ</v>
      </c>
      <c r="C121" s="91" t="s">
        <v>2168</v>
      </c>
      <c r="D121" s="307" t="s">
        <v>1014</v>
      </c>
      <c r="E121" s="78" t="str">
        <f t="shared" si="17"/>
        <v>piece_mag_00201</v>
      </c>
      <c r="F121" s="57" t="str">
        <f t="shared" si="18"/>
        <v>piece_mag_00201</v>
      </c>
      <c r="G121" s="308" t="str">
        <f t="shared" si="19"/>
        <v>item_icon_piece_mag_00201</v>
      </c>
      <c r="H121" s="53" t="s">
        <v>2299</v>
      </c>
      <c r="I121" s="53" t="s">
        <v>976</v>
      </c>
      <c r="J121" s="94">
        <v>9.99999999E8</v>
      </c>
      <c r="K121" s="94">
        <v>9.99999999E8</v>
      </c>
      <c r="L121" s="96" t="s">
        <v>2300</v>
      </c>
      <c r="M121" s="114"/>
      <c r="N121" s="358">
        <v>45967.625</v>
      </c>
      <c r="O121" s="53">
        <v>2.0251101E8</v>
      </c>
      <c r="P121" s="316"/>
      <c r="Q121" s="85"/>
      <c r="R121" s="85"/>
      <c r="S121" s="85"/>
      <c r="T121" s="85"/>
      <c r="U121" s="85"/>
    </row>
    <row r="122">
      <c r="A122" s="89" t="s">
        <v>98</v>
      </c>
      <c r="B122" s="305" t="str">
        <f t="array" ref="B122">iferror(INDEX('作品'!D:D,MATCH(A122,'作品'!A:A,0),0),"error")</f>
        <v>株式会社マジルミエ</v>
      </c>
      <c r="C122" s="91" t="s">
        <v>2168</v>
      </c>
      <c r="D122" s="307" t="s">
        <v>1026</v>
      </c>
      <c r="E122" s="78" t="str">
        <f t="shared" si="17"/>
        <v>piece_mag_00301</v>
      </c>
      <c r="F122" s="57" t="str">
        <f t="shared" si="18"/>
        <v>piece_mag_00301</v>
      </c>
      <c r="G122" s="308" t="str">
        <f t="shared" si="19"/>
        <v>item_icon_piece_mag_00301</v>
      </c>
      <c r="H122" s="53" t="s">
        <v>2301</v>
      </c>
      <c r="I122" s="53" t="s">
        <v>993</v>
      </c>
      <c r="J122" s="94">
        <v>9.99999999E8</v>
      </c>
      <c r="K122" s="94">
        <v>9.99999999E8</v>
      </c>
      <c r="L122" s="96" t="s">
        <v>2302</v>
      </c>
      <c r="M122" s="114"/>
      <c r="N122" s="358">
        <v>45967.625</v>
      </c>
      <c r="O122" s="53">
        <v>2.0251101E8</v>
      </c>
      <c r="P122" s="316"/>
      <c r="Q122" s="85"/>
      <c r="R122" s="85"/>
      <c r="S122" s="85"/>
      <c r="T122" s="85"/>
      <c r="U122" s="85"/>
    </row>
    <row r="123">
      <c r="A123" s="89" t="s">
        <v>98</v>
      </c>
      <c r="B123" s="305" t="str">
        <f t="array" ref="B123">iferror(INDEX('作品'!D:D,MATCH(A123,'作品'!A:A,0),0),"error")</f>
        <v>株式会社マジルミエ</v>
      </c>
      <c r="C123" s="91" t="s">
        <v>2168</v>
      </c>
      <c r="D123" s="307" t="s">
        <v>1034</v>
      </c>
      <c r="E123" s="78" t="str">
        <f t="shared" si="17"/>
        <v>piece_mag_00401</v>
      </c>
      <c r="F123" s="57" t="str">
        <f t="shared" si="18"/>
        <v>piece_mag_00401</v>
      </c>
      <c r="G123" s="308" t="str">
        <f t="shared" si="19"/>
        <v>item_icon_piece_mag_00401</v>
      </c>
      <c r="H123" s="53" t="s">
        <v>2303</v>
      </c>
      <c r="I123" s="53" t="s">
        <v>1028</v>
      </c>
      <c r="J123" s="94">
        <v>9.99999999E8</v>
      </c>
      <c r="K123" s="94">
        <v>9.99999999E8</v>
      </c>
      <c r="L123" s="96" t="s">
        <v>2304</v>
      </c>
      <c r="M123" s="114"/>
      <c r="N123" s="358">
        <v>45967.625</v>
      </c>
      <c r="O123" s="53">
        <v>2.0251101E8</v>
      </c>
      <c r="P123" s="316"/>
      <c r="Q123" s="85"/>
      <c r="R123" s="85"/>
      <c r="S123" s="85"/>
      <c r="T123" s="85"/>
      <c r="U123" s="85"/>
    </row>
    <row r="124">
      <c r="A124" s="89" t="s">
        <v>98</v>
      </c>
      <c r="B124" s="305" t="str">
        <f t="array" ref="B124">iferror(INDEX('作品'!D:D,MATCH(A124,'作品'!A:A,0),0),"error")</f>
        <v>株式会社マジルミエ</v>
      </c>
      <c r="C124" s="91" t="s">
        <v>2168</v>
      </c>
      <c r="D124" s="307" t="s">
        <v>1046</v>
      </c>
      <c r="E124" s="78" t="str">
        <f t="shared" si="17"/>
        <v>piece_mag_00501</v>
      </c>
      <c r="F124" s="57" t="str">
        <f t="shared" si="18"/>
        <v>piece_mag_00501</v>
      </c>
      <c r="G124" s="308" t="str">
        <f t="shared" si="19"/>
        <v>item_icon_piece_mag_00501</v>
      </c>
      <c r="H124" s="53" t="s">
        <v>2305</v>
      </c>
      <c r="I124" s="53" t="s">
        <v>1028</v>
      </c>
      <c r="J124" s="94">
        <v>9.99999999E8</v>
      </c>
      <c r="K124" s="94">
        <v>9.99999999E8</v>
      </c>
      <c r="L124" s="96" t="s">
        <v>2306</v>
      </c>
      <c r="M124" s="114"/>
      <c r="N124" s="358">
        <v>45967.625</v>
      </c>
      <c r="O124" s="53">
        <v>2.0251101E8</v>
      </c>
      <c r="P124" s="316"/>
      <c r="Q124" s="85"/>
      <c r="R124" s="85"/>
      <c r="S124" s="85"/>
      <c r="T124" s="85"/>
      <c r="U124" s="85"/>
    </row>
    <row r="125">
      <c r="A125" s="99" t="s">
        <v>103</v>
      </c>
      <c r="B125" s="305" t="str">
        <f t="array" ref="B125">iferror(INDEX('作品'!D:D,MATCH(A125,'作品'!A:A,0),0),"error")</f>
        <v>道産子ギャルはなまらめんこい</v>
      </c>
      <c r="C125" s="91" t="s">
        <v>2168</v>
      </c>
      <c r="D125" s="307" t="s">
        <v>973</v>
      </c>
      <c r="E125" s="78" t="str">
        <f t="shared" si="17"/>
        <v>piece_dos_00001</v>
      </c>
      <c r="F125" s="57" t="str">
        <f t="shared" si="18"/>
        <v>piece_dos_00001</v>
      </c>
      <c r="G125" s="308" t="str">
        <f t="shared" si="19"/>
        <v>item_icon_piece_dos_00001</v>
      </c>
      <c r="H125" s="53" t="s">
        <v>2307</v>
      </c>
      <c r="I125" s="53" t="s">
        <v>993</v>
      </c>
      <c r="J125" s="94">
        <v>9.99999999E8</v>
      </c>
      <c r="K125" s="94">
        <v>9.99999999E8</v>
      </c>
      <c r="L125" s="112" t="s">
        <v>2308</v>
      </c>
      <c r="M125" s="114"/>
      <c r="N125" s="307" t="s">
        <v>2049</v>
      </c>
      <c r="O125" s="311">
        <v>2.0250901E8</v>
      </c>
      <c r="P125" s="316"/>
      <c r="Q125" s="85"/>
      <c r="R125" s="85"/>
      <c r="S125" s="85"/>
      <c r="T125" s="85"/>
      <c r="U125" s="85"/>
    </row>
    <row r="126">
      <c r="A126" s="99" t="s">
        <v>103</v>
      </c>
      <c r="B126" s="305" t="str">
        <f t="array" ref="B126">iferror(INDEX('作品'!D:D,MATCH(A126,'作品'!A:A,0),0),"error")</f>
        <v>道産子ギャルはなまらめんこい</v>
      </c>
      <c r="C126" s="91" t="s">
        <v>2168</v>
      </c>
      <c r="D126" s="307" t="s">
        <v>1001</v>
      </c>
      <c r="E126" s="78" t="str">
        <f t="shared" si="17"/>
        <v>piece_dos_00101</v>
      </c>
      <c r="F126" s="57" t="str">
        <f t="shared" si="18"/>
        <v>piece_dos_00101</v>
      </c>
      <c r="G126" s="308" t="str">
        <f t="shared" si="19"/>
        <v>item_icon_piece_dos_00101</v>
      </c>
      <c r="H126" s="53" t="s">
        <v>2309</v>
      </c>
      <c r="I126" s="53" t="s">
        <v>993</v>
      </c>
      <c r="J126" s="94">
        <v>9.99999999E8</v>
      </c>
      <c r="K126" s="94">
        <v>9.99999999E8</v>
      </c>
      <c r="L126" s="112" t="s">
        <v>2310</v>
      </c>
      <c r="M126" s="114"/>
      <c r="N126" s="307" t="s">
        <v>2049</v>
      </c>
      <c r="O126" s="311">
        <v>2.0250901E8</v>
      </c>
      <c r="P126" s="316"/>
      <c r="Q126" s="85"/>
      <c r="R126" s="85"/>
      <c r="S126" s="85"/>
      <c r="T126" s="85"/>
      <c r="U126" s="85"/>
    </row>
    <row r="127">
      <c r="A127" s="99" t="s">
        <v>143</v>
      </c>
      <c r="B127" s="305" t="str">
        <f t="array" ref="B127">iferror(INDEX('作品'!D:D,MATCH(A127,'作品'!A:A,0),0),"error")</f>
        <v>サマータイムレンダ</v>
      </c>
      <c r="C127" s="91" t="s">
        <v>2168</v>
      </c>
      <c r="D127" s="307" t="s">
        <v>973</v>
      </c>
      <c r="E127" s="78" t="str">
        <f t="shared" si="17"/>
        <v>piece_sum_00001</v>
      </c>
      <c r="F127" s="57" t="str">
        <f t="shared" si="18"/>
        <v>piece_sum_00001</v>
      </c>
      <c r="G127" s="308" t="str">
        <f t="shared" si="19"/>
        <v>item_icon_piece_sum_00001</v>
      </c>
      <c r="H127" s="53" t="s">
        <v>2311</v>
      </c>
      <c r="I127" s="53" t="s">
        <v>1057</v>
      </c>
      <c r="J127" s="94">
        <v>9.99999999E8</v>
      </c>
      <c r="K127" s="94">
        <v>9.99999999E8</v>
      </c>
      <c r="L127" s="112" t="s">
        <v>2312</v>
      </c>
      <c r="M127" s="114"/>
      <c r="N127" s="307" t="s">
        <v>2049</v>
      </c>
      <c r="O127" s="311">
        <v>2.0250901E8</v>
      </c>
      <c r="P127" s="316"/>
      <c r="Q127" s="85"/>
      <c r="R127" s="85"/>
      <c r="S127" s="85"/>
      <c r="T127" s="85"/>
      <c r="U127" s="85"/>
    </row>
    <row r="128">
      <c r="A128" s="99" t="s">
        <v>143</v>
      </c>
      <c r="B128" s="305" t="str">
        <f t="array" ref="B128">iferror(INDEX('作品'!D:D,MATCH(A128,'作品'!A:A,0),0),"error")</f>
        <v>サマータイムレンダ</v>
      </c>
      <c r="C128" s="91" t="s">
        <v>2168</v>
      </c>
      <c r="D128" s="307" t="s">
        <v>1001</v>
      </c>
      <c r="E128" s="78" t="str">
        <f t="shared" si="17"/>
        <v>piece_sum_00101</v>
      </c>
      <c r="F128" s="57" t="str">
        <f t="shared" si="18"/>
        <v>piece_sum_00101</v>
      </c>
      <c r="G128" s="308" t="str">
        <f t="shared" si="19"/>
        <v>item_icon_piece_sum_00101</v>
      </c>
      <c r="H128" s="53" t="s">
        <v>2313</v>
      </c>
      <c r="I128" s="53" t="s">
        <v>976</v>
      </c>
      <c r="J128" s="94">
        <v>9.99999999E8</v>
      </c>
      <c r="K128" s="94">
        <v>9.99999999E8</v>
      </c>
      <c r="L128" s="112" t="s">
        <v>2314</v>
      </c>
      <c r="M128" s="114"/>
      <c r="N128" s="307" t="s">
        <v>2049</v>
      </c>
      <c r="O128" s="311">
        <v>2.0250901E8</v>
      </c>
      <c r="P128" s="316"/>
      <c r="Q128" s="85"/>
      <c r="R128" s="85"/>
      <c r="S128" s="85"/>
      <c r="T128" s="85"/>
      <c r="U128" s="85"/>
    </row>
    <row r="129">
      <c r="A129" s="99" t="s">
        <v>143</v>
      </c>
      <c r="B129" s="305" t="str">
        <f t="array" ref="B129">iferror(INDEX('作品'!D:D,MATCH(A129,'作品'!A:A,0),0),"error")</f>
        <v>サマータイムレンダ</v>
      </c>
      <c r="C129" s="91" t="s">
        <v>2168</v>
      </c>
      <c r="D129" s="307" t="s">
        <v>1014</v>
      </c>
      <c r="E129" s="78" t="str">
        <f t="shared" si="17"/>
        <v>piece_sum_00201</v>
      </c>
      <c r="F129" s="57" t="str">
        <f t="shared" si="18"/>
        <v>piece_sum_00201</v>
      </c>
      <c r="G129" s="308" t="str">
        <f t="shared" si="19"/>
        <v>item_icon_piece_sum_00201</v>
      </c>
      <c r="H129" s="53" t="s">
        <v>2315</v>
      </c>
      <c r="I129" s="53" t="s">
        <v>1028</v>
      </c>
      <c r="J129" s="94">
        <v>9.99999999E8</v>
      </c>
      <c r="K129" s="94">
        <v>9.99999999E8</v>
      </c>
      <c r="L129" s="96" t="s">
        <v>2316</v>
      </c>
      <c r="M129" s="114"/>
      <c r="N129" s="307" t="s">
        <v>2049</v>
      </c>
      <c r="O129" s="311">
        <v>2.0250901E8</v>
      </c>
      <c r="P129" s="316"/>
      <c r="Q129" s="85"/>
      <c r="R129" s="85"/>
      <c r="S129" s="85"/>
      <c r="T129" s="85"/>
      <c r="U129" s="85"/>
    </row>
    <row r="130">
      <c r="A130" s="99" t="s">
        <v>143</v>
      </c>
      <c r="B130" s="305" t="str">
        <f t="array" ref="B130">iferror(INDEX('作品'!D:D,MATCH(A130,'作品'!A:A,0),0),"error")</f>
        <v>サマータイムレンダ</v>
      </c>
      <c r="C130" s="91" t="s">
        <v>2168</v>
      </c>
      <c r="D130" s="307" t="s">
        <v>1026</v>
      </c>
      <c r="E130" s="78" t="str">
        <f t="shared" si="17"/>
        <v>piece_sum_00301</v>
      </c>
      <c r="F130" s="57" t="str">
        <f t="shared" si="18"/>
        <v>piece_sum_00301</v>
      </c>
      <c r="G130" s="308" t="str">
        <f t="shared" si="19"/>
        <v>item_icon_piece_sum_00301</v>
      </c>
      <c r="H130" s="53" t="s">
        <v>2317</v>
      </c>
      <c r="I130" s="53" t="s">
        <v>993</v>
      </c>
      <c r="J130" s="94">
        <v>9.99999999E8</v>
      </c>
      <c r="K130" s="94">
        <v>9.99999999E8</v>
      </c>
      <c r="L130" s="96"/>
      <c r="M130" s="114"/>
      <c r="N130" s="53" t="s">
        <v>2172</v>
      </c>
      <c r="O130" s="98"/>
      <c r="P130" s="316"/>
      <c r="Q130" s="85"/>
      <c r="R130" s="85"/>
      <c r="S130" s="85"/>
      <c r="T130" s="85"/>
      <c r="U130" s="85"/>
    </row>
    <row r="131">
      <c r="A131" s="89" t="s">
        <v>158</v>
      </c>
      <c r="B131" s="305" t="str">
        <f t="array" ref="B131">iferror(INDEX('作品'!D:D,MATCH(A131,'作品'!A:A,0),0),"error")</f>
        <v>【推しの子】</v>
      </c>
      <c r="C131" s="91" t="s">
        <v>2168</v>
      </c>
      <c r="D131" s="307" t="s">
        <v>973</v>
      </c>
      <c r="E131" s="78" t="str">
        <f t="shared" si="17"/>
        <v>piece_osh_00001</v>
      </c>
      <c r="F131" s="57" t="str">
        <f t="shared" si="18"/>
        <v>piece_osh_00001</v>
      </c>
      <c r="G131" s="308" t="str">
        <f t="shared" si="19"/>
        <v>item_icon_piece_osh_00001</v>
      </c>
      <c r="H131" s="53" t="s">
        <v>2318</v>
      </c>
      <c r="I131" s="53" t="s">
        <v>976</v>
      </c>
      <c r="J131" s="94">
        <v>9.99999999E8</v>
      </c>
      <c r="K131" s="94">
        <v>9.99999999E8</v>
      </c>
      <c r="L131" s="96" t="s">
        <v>2319</v>
      </c>
      <c r="M131" s="114"/>
      <c r="N131" s="307" t="s">
        <v>2109</v>
      </c>
      <c r="O131" s="311">
        <v>2.0251202E8</v>
      </c>
      <c r="P131" s="316"/>
      <c r="Q131" s="85"/>
      <c r="R131" s="85"/>
      <c r="S131" s="85"/>
      <c r="T131" s="85"/>
      <c r="U131" s="85"/>
    </row>
    <row r="132">
      <c r="A132" s="89" t="s">
        <v>158</v>
      </c>
      <c r="B132" s="305" t="str">
        <f t="array" ref="B132">iferror(INDEX('作品'!D:D,MATCH(A132,'作品'!A:A,0),0),"error")</f>
        <v>【推しの子】</v>
      </c>
      <c r="C132" s="91" t="s">
        <v>2168</v>
      </c>
      <c r="D132" s="307" t="s">
        <v>1001</v>
      </c>
      <c r="E132" s="78" t="str">
        <f t="shared" si="17"/>
        <v>piece_osh_00101</v>
      </c>
      <c r="F132" s="57" t="str">
        <f t="shared" si="18"/>
        <v>piece_osh_00101</v>
      </c>
      <c r="G132" s="308" t="str">
        <f t="shared" si="19"/>
        <v>item_icon_piece_osh_00101</v>
      </c>
      <c r="H132" s="53" t="s">
        <v>2320</v>
      </c>
      <c r="I132" s="53" t="s">
        <v>976</v>
      </c>
      <c r="J132" s="94">
        <v>9.99999999E8</v>
      </c>
      <c r="K132" s="94">
        <v>9.99999999E8</v>
      </c>
      <c r="L132" s="96" t="s">
        <v>2321</v>
      </c>
      <c r="M132" s="114"/>
      <c r="N132" s="307" t="s">
        <v>2109</v>
      </c>
      <c r="O132" s="311">
        <v>2.0251202E8</v>
      </c>
      <c r="P132" s="316"/>
      <c r="Q132" s="85"/>
      <c r="R132" s="85"/>
      <c r="S132" s="85"/>
      <c r="T132" s="85"/>
      <c r="U132" s="85"/>
    </row>
    <row r="133">
      <c r="A133" s="89" t="s">
        <v>158</v>
      </c>
      <c r="B133" s="305" t="str">
        <f t="array" ref="B133">iferror(INDEX('作品'!D:D,MATCH(A133,'作品'!A:A,0),0),"error")</f>
        <v>【推しの子】</v>
      </c>
      <c r="C133" s="91" t="s">
        <v>2168</v>
      </c>
      <c r="D133" s="307" t="s">
        <v>1014</v>
      </c>
      <c r="E133" s="78" t="str">
        <f t="shared" si="17"/>
        <v>piece_osh_00201</v>
      </c>
      <c r="F133" s="57" t="str">
        <f t="shared" si="18"/>
        <v>piece_osh_00201</v>
      </c>
      <c r="G133" s="308" t="str">
        <f t="shared" si="19"/>
        <v>item_icon_piece_osh_00201</v>
      </c>
      <c r="H133" s="53" t="s">
        <v>2322</v>
      </c>
      <c r="I133" s="53" t="s">
        <v>993</v>
      </c>
      <c r="J133" s="94">
        <v>9.99999999E8</v>
      </c>
      <c r="K133" s="94">
        <v>9.99999999E8</v>
      </c>
      <c r="L133" s="96" t="s">
        <v>2323</v>
      </c>
      <c r="M133" s="114"/>
      <c r="N133" s="307" t="s">
        <v>2109</v>
      </c>
      <c r="O133" s="311">
        <v>2.0251202E8</v>
      </c>
      <c r="P133" s="316"/>
      <c r="Q133" s="85"/>
      <c r="R133" s="85"/>
      <c r="S133" s="85"/>
      <c r="T133" s="85"/>
      <c r="U133" s="85"/>
    </row>
    <row r="134">
      <c r="A134" s="89" t="s">
        <v>158</v>
      </c>
      <c r="B134" s="305" t="str">
        <f t="array" ref="B134">iferror(INDEX('作品'!D:D,MATCH(A134,'作品'!A:A,0),0),"error")</f>
        <v>【推しの子】</v>
      </c>
      <c r="C134" s="91" t="s">
        <v>2168</v>
      </c>
      <c r="D134" s="307" t="s">
        <v>1026</v>
      </c>
      <c r="E134" s="78" t="str">
        <f t="shared" si="17"/>
        <v>piece_osh_00301</v>
      </c>
      <c r="F134" s="57" t="str">
        <f t="shared" si="18"/>
        <v>piece_osh_00301</v>
      </c>
      <c r="G134" s="308" t="str">
        <f t="shared" si="19"/>
        <v>item_icon_piece_osh_00301</v>
      </c>
      <c r="H134" s="53" t="s">
        <v>2324</v>
      </c>
      <c r="I134" s="53" t="s">
        <v>993</v>
      </c>
      <c r="J134" s="94">
        <v>9.99999999E8</v>
      </c>
      <c r="K134" s="94">
        <v>9.99999999E8</v>
      </c>
      <c r="L134" s="96" t="s">
        <v>2325</v>
      </c>
      <c r="M134" s="114"/>
      <c r="N134" s="307" t="s">
        <v>2109</v>
      </c>
      <c r="O134" s="311">
        <v>2.0251202E8</v>
      </c>
      <c r="P134" s="316"/>
      <c r="Q134" s="85"/>
      <c r="R134" s="85"/>
      <c r="S134" s="85"/>
      <c r="T134" s="85"/>
      <c r="U134" s="85"/>
    </row>
    <row r="135">
      <c r="A135" s="89" t="s">
        <v>158</v>
      </c>
      <c r="B135" s="305" t="str">
        <f t="array" ref="B135">iferror(INDEX('作品'!D:D,MATCH(A135,'作品'!A:A,0),0),"error")</f>
        <v>【推しの子】</v>
      </c>
      <c r="C135" s="91" t="s">
        <v>2168</v>
      </c>
      <c r="D135" s="307" t="s">
        <v>1034</v>
      </c>
      <c r="E135" s="78" t="str">
        <f t="shared" si="17"/>
        <v>piece_osh_00401</v>
      </c>
      <c r="F135" s="57" t="str">
        <f t="shared" si="18"/>
        <v>piece_osh_00401</v>
      </c>
      <c r="G135" s="308" t="str">
        <f t="shared" si="19"/>
        <v>item_icon_piece_osh_00401</v>
      </c>
      <c r="H135" s="53" t="s">
        <v>2326</v>
      </c>
      <c r="I135" s="53" t="s">
        <v>993</v>
      </c>
      <c r="J135" s="94">
        <v>9.99999999E8</v>
      </c>
      <c r="K135" s="94">
        <v>9.99999999E8</v>
      </c>
      <c r="L135" s="96" t="s">
        <v>2327</v>
      </c>
      <c r="M135" s="114"/>
      <c r="N135" s="307" t="s">
        <v>2109</v>
      </c>
      <c r="O135" s="311">
        <v>2.0251202E8</v>
      </c>
      <c r="P135" s="316"/>
      <c r="Q135" s="85"/>
      <c r="R135" s="85"/>
      <c r="S135" s="85"/>
      <c r="T135" s="85"/>
      <c r="U135" s="85"/>
    </row>
    <row r="136">
      <c r="A136" s="368" t="s">
        <v>158</v>
      </c>
      <c r="B136" s="305" t="str">
        <f t="array" ref="B136">iferror(INDEX('作品'!D:D,MATCH(A136,'作品'!A:A,0),0),"error")</f>
        <v>【推しの子】</v>
      </c>
      <c r="C136" s="91" t="s">
        <v>2168</v>
      </c>
      <c r="D136" s="307" t="s">
        <v>1046</v>
      </c>
      <c r="E136" s="78" t="str">
        <f t="shared" si="17"/>
        <v>piece_osh_00501</v>
      </c>
      <c r="F136" s="57" t="str">
        <f t="shared" si="18"/>
        <v>piece_osh_00501</v>
      </c>
      <c r="G136" s="308" t="str">
        <f t="shared" si="19"/>
        <v>item_icon_piece_osh_00501</v>
      </c>
      <c r="H136" s="53" t="s">
        <v>2328</v>
      </c>
      <c r="I136" s="53" t="s">
        <v>993</v>
      </c>
      <c r="J136" s="94">
        <v>9.99999999E8</v>
      </c>
      <c r="K136" s="94">
        <v>9.99999999E8</v>
      </c>
      <c r="L136" s="96" t="s">
        <v>2329</v>
      </c>
      <c r="M136" s="114"/>
      <c r="N136" s="307" t="s">
        <v>2109</v>
      </c>
      <c r="O136" s="311">
        <v>2.0251202E8</v>
      </c>
      <c r="P136" s="316"/>
      <c r="Q136" s="85"/>
      <c r="R136" s="85"/>
      <c r="S136" s="85"/>
      <c r="T136" s="85"/>
      <c r="U136" s="85"/>
    </row>
    <row r="137">
      <c r="A137" s="368" t="s">
        <v>158</v>
      </c>
      <c r="B137" s="305" t="str">
        <f t="array" ref="B137">iferror(INDEX('作品'!D:D,MATCH(A137,'作品'!A:A,0),0),"error")</f>
        <v>【推しの子】</v>
      </c>
      <c r="C137" s="91" t="s">
        <v>2168</v>
      </c>
      <c r="D137" s="307" t="s">
        <v>1151</v>
      </c>
      <c r="E137" s="78" t="str">
        <f t="shared" si="17"/>
        <v>piece_osh_00601</v>
      </c>
      <c r="F137" s="57" t="str">
        <f t="shared" si="18"/>
        <v>piece_osh_00601</v>
      </c>
      <c r="G137" s="308" t="str">
        <f t="shared" si="19"/>
        <v>item_icon_piece_osh_00601</v>
      </c>
      <c r="H137" s="53" t="s">
        <v>2330</v>
      </c>
      <c r="I137" s="53" t="s">
        <v>1028</v>
      </c>
      <c r="J137" s="94">
        <v>9.99999999E8</v>
      </c>
      <c r="K137" s="94">
        <v>9.99999999E8</v>
      </c>
      <c r="L137" s="96" t="s">
        <v>2331</v>
      </c>
      <c r="M137" s="114"/>
      <c r="N137" s="307" t="s">
        <v>2109</v>
      </c>
      <c r="O137" s="311">
        <v>2.0251202E8</v>
      </c>
      <c r="P137" s="316"/>
      <c r="Q137" s="85"/>
      <c r="R137" s="85"/>
      <c r="S137" s="85"/>
      <c r="T137" s="85"/>
      <c r="U137" s="85"/>
    </row>
    <row r="138">
      <c r="A138" s="89" t="s">
        <v>148</v>
      </c>
      <c r="B138" s="305" t="str">
        <f t="array" ref="B138">iferror(INDEX('作品'!D:D,MATCH(A138,'作品'!A:A,0),0),"error")</f>
        <v>地獄楽</v>
      </c>
      <c r="C138" s="91" t="s">
        <v>2168</v>
      </c>
      <c r="D138" s="307" t="s">
        <v>1034</v>
      </c>
      <c r="E138" s="78" t="str">
        <f t="shared" si="17"/>
        <v>piece_jig_00401</v>
      </c>
      <c r="F138" s="57" t="str">
        <f t="shared" si="18"/>
        <v>piece_jig_00401</v>
      </c>
      <c r="G138" s="308" t="str">
        <f t="shared" si="19"/>
        <v>item_icon_piece_jig_00401</v>
      </c>
      <c r="H138" s="53" t="s">
        <v>2332</v>
      </c>
      <c r="I138" s="53" t="s">
        <v>976</v>
      </c>
      <c r="J138" s="94">
        <v>9.99999999E8</v>
      </c>
      <c r="K138" s="94">
        <v>9.99999999E8</v>
      </c>
      <c r="L138" s="360" t="s">
        <v>2333</v>
      </c>
      <c r="M138" s="114"/>
      <c r="N138" s="307" t="s">
        <v>2334</v>
      </c>
      <c r="O138" s="311">
        <v>2.0260101E8</v>
      </c>
      <c r="P138" s="316"/>
      <c r="Q138" s="85"/>
      <c r="R138" s="85"/>
      <c r="S138" s="85"/>
      <c r="T138" s="85"/>
      <c r="U138" s="85"/>
    </row>
    <row r="139">
      <c r="A139" s="89" t="s">
        <v>148</v>
      </c>
      <c r="B139" s="305" t="str">
        <f t="array" ref="B139">iferror(INDEX('作品'!D:D,MATCH(A139,'作品'!A:A,0),0),"error")</f>
        <v>地獄楽</v>
      </c>
      <c r="C139" s="91" t="s">
        <v>2168</v>
      </c>
      <c r="D139" s="307" t="s">
        <v>1046</v>
      </c>
      <c r="E139" s="78" t="str">
        <f t="shared" si="17"/>
        <v>piece_jig_00501</v>
      </c>
      <c r="F139" s="57" t="str">
        <f t="shared" si="18"/>
        <v>piece_jig_00501</v>
      </c>
      <c r="G139" s="308" t="str">
        <f t="shared" si="19"/>
        <v>item_icon_piece_jig_00501</v>
      </c>
      <c r="H139" s="53" t="s">
        <v>2335</v>
      </c>
      <c r="I139" s="53" t="s">
        <v>993</v>
      </c>
      <c r="J139" s="94">
        <v>9.99999999E8</v>
      </c>
      <c r="K139" s="94">
        <v>9.99999999E8</v>
      </c>
      <c r="L139" s="360" t="s">
        <v>2336</v>
      </c>
      <c r="M139" s="114"/>
      <c r="N139" s="307" t="s">
        <v>2334</v>
      </c>
      <c r="O139" s="311">
        <v>2.0260101E8</v>
      </c>
      <c r="P139" s="316"/>
      <c r="Q139" s="85"/>
      <c r="R139" s="85"/>
      <c r="S139" s="85"/>
      <c r="T139" s="85"/>
      <c r="U139" s="85"/>
    </row>
    <row r="140">
      <c r="A140" s="89" t="s">
        <v>148</v>
      </c>
      <c r="B140" s="305" t="str">
        <f t="array" ref="B140">iferror(INDEX('作品'!D:D,MATCH(A140,'作品'!A:A,0),0),"error")</f>
        <v>地獄楽</v>
      </c>
      <c r="C140" s="91" t="s">
        <v>2168</v>
      </c>
      <c r="D140" s="307" t="s">
        <v>1151</v>
      </c>
      <c r="E140" s="78" t="str">
        <f t="shared" si="17"/>
        <v>piece_jig_00601</v>
      </c>
      <c r="F140" s="57" t="str">
        <f t="shared" si="18"/>
        <v>piece_jig_00601</v>
      </c>
      <c r="G140" s="308" t="str">
        <f t="shared" si="19"/>
        <v>item_icon_piece_jig_00601</v>
      </c>
      <c r="H140" s="53" t="s">
        <v>2337</v>
      </c>
      <c r="I140" s="53" t="s">
        <v>1028</v>
      </c>
      <c r="J140" s="94">
        <v>9.99999999E8</v>
      </c>
      <c r="K140" s="94">
        <v>9.99999999E8</v>
      </c>
      <c r="L140" s="360" t="s">
        <v>2338</v>
      </c>
      <c r="M140" s="114"/>
      <c r="N140" s="307" t="s">
        <v>2334</v>
      </c>
      <c r="O140" s="311">
        <v>2.0260101E8</v>
      </c>
      <c r="P140" s="316"/>
      <c r="Q140" s="85"/>
      <c r="R140" s="85"/>
      <c r="S140" s="85"/>
      <c r="T140" s="85"/>
      <c r="U140" s="85"/>
    </row>
    <row r="141">
      <c r="A141" s="89" t="s">
        <v>148</v>
      </c>
      <c r="B141" s="305" t="str">
        <f t="array" ref="B141">iferror(INDEX('作品'!D:D,MATCH(A141,'作品'!A:A,0),0),"error")</f>
        <v>地獄楽</v>
      </c>
      <c r="C141" s="91" t="s">
        <v>2168</v>
      </c>
      <c r="D141" s="307" t="s">
        <v>1191</v>
      </c>
      <c r="E141" s="78" t="str">
        <f t="shared" si="17"/>
        <v>piece_jig_00701</v>
      </c>
      <c r="F141" s="57" t="str">
        <f t="shared" si="18"/>
        <v>piece_jig_00701</v>
      </c>
      <c r="G141" s="308" t="str">
        <f t="shared" si="19"/>
        <v>item_icon_piece_jig_00701</v>
      </c>
      <c r="H141" s="53" t="s">
        <v>2339</v>
      </c>
      <c r="I141" s="53" t="s">
        <v>1028</v>
      </c>
      <c r="J141" s="94">
        <v>9.99999999E8</v>
      </c>
      <c r="K141" s="94">
        <v>9.99999999E8</v>
      </c>
      <c r="L141" s="360" t="s">
        <v>2340</v>
      </c>
      <c r="M141" s="114"/>
      <c r="N141" s="307" t="s">
        <v>2334</v>
      </c>
      <c r="O141" s="311">
        <v>2.0260101E8</v>
      </c>
      <c r="P141" s="316"/>
      <c r="Q141" s="85"/>
      <c r="R141" s="85"/>
      <c r="S141" s="85"/>
      <c r="T141" s="85"/>
      <c r="U141" s="85"/>
    </row>
    <row r="142">
      <c r="A142" s="89" t="s">
        <v>162</v>
      </c>
      <c r="B142" s="305" t="str">
        <f t="array" ref="B142">iferror(INDEX('作品'!D:D,MATCH(A142,'作品'!A:A,0),0),"error")</f>
        <v>幼稚園WARS</v>
      </c>
      <c r="C142" s="91" t="s">
        <v>2168</v>
      </c>
      <c r="D142" s="307" t="s">
        <v>973</v>
      </c>
      <c r="E142" s="78" t="str">
        <f t="shared" si="17"/>
        <v>piece_you_00001</v>
      </c>
      <c r="F142" s="57" t="str">
        <f t="shared" si="18"/>
        <v>piece_you_00001</v>
      </c>
      <c r="G142" s="308" t="str">
        <f t="shared" si="19"/>
        <v>item_icon_piece_you_00001</v>
      </c>
      <c r="H142" s="53" t="s">
        <v>2341</v>
      </c>
      <c r="I142" s="53" t="s">
        <v>976</v>
      </c>
      <c r="J142" s="94">
        <v>9.99999999E8</v>
      </c>
      <c r="K142" s="94">
        <v>9.99999999E8</v>
      </c>
      <c r="L142" s="360" t="s">
        <v>2342</v>
      </c>
      <c r="M142" s="114"/>
      <c r="N142" s="307" t="s">
        <v>2343</v>
      </c>
      <c r="O142" s="311">
        <v>2.0260201E8</v>
      </c>
      <c r="P142" s="316"/>
      <c r="Q142" s="85"/>
      <c r="R142" s="85"/>
      <c r="S142" s="85"/>
      <c r="T142" s="85"/>
      <c r="U142" s="85"/>
    </row>
    <row r="143">
      <c r="A143" s="89" t="s">
        <v>162</v>
      </c>
      <c r="B143" s="305" t="str">
        <f t="array" ref="B143">iferror(INDEX('作品'!D:D,MATCH(A143,'作品'!A:A,0),0),"error")</f>
        <v>幼稚園WARS</v>
      </c>
      <c r="C143" s="91" t="s">
        <v>2168</v>
      </c>
      <c r="D143" s="307" t="s">
        <v>1001</v>
      </c>
      <c r="E143" s="78" t="str">
        <f t="shared" si="17"/>
        <v>piece_you_00101</v>
      </c>
      <c r="F143" s="57" t="str">
        <f t="shared" si="18"/>
        <v>piece_you_00101</v>
      </c>
      <c r="G143" s="308" t="str">
        <f t="shared" si="19"/>
        <v>item_icon_piece_you_00101</v>
      </c>
      <c r="H143" s="53" t="s">
        <v>2344</v>
      </c>
      <c r="I143" s="53" t="s">
        <v>993</v>
      </c>
      <c r="J143" s="94">
        <v>9.99999999E8</v>
      </c>
      <c r="K143" s="94">
        <v>9.99999999E8</v>
      </c>
      <c r="L143" s="360" t="s">
        <v>2345</v>
      </c>
      <c r="M143" s="114"/>
      <c r="N143" s="307" t="s">
        <v>2343</v>
      </c>
      <c r="O143" s="311">
        <v>2.0260201E8</v>
      </c>
      <c r="P143" s="316"/>
      <c r="Q143" s="85"/>
      <c r="R143" s="85"/>
      <c r="S143" s="85"/>
      <c r="T143" s="85"/>
      <c r="U143" s="85"/>
    </row>
    <row r="144">
      <c r="A144" s="89" t="s">
        <v>162</v>
      </c>
      <c r="B144" s="305" t="str">
        <f t="array" ref="B144">iferror(INDEX('作品'!D:D,MATCH(A144,'作品'!A:A,0),0),"error")</f>
        <v>幼稚園WARS</v>
      </c>
      <c r="C144" s="91" t="s">
        <v>2168</v>
      </c>
      <c r="D144" s="307" t="s">
        <v>1014</v>
      </c>
      <c r="E144" s="78" t="str">
        <f t="shared" si="17"/>
        <v>piece_you_00201</v>
      </c>
      <c r="F144" s="57" t="str">
        <f t="shared" si="18"/>
        <v>piece_you_00201</v>
      </c>
      <c r="G144" s="308" t="str">
        <f t="shared" si="19"/>
        <v>item_icon_piece_you_00201</v>
      </c>
      <c r="H144" s="53" t="s">
        <v>2346</v>
      </c>
      <c r="I144" s="53" t="s">
        <v>1028</v>
      </c>
      <c r="J144" s="94">
        <v>9.99999999E8</v>
      </c>
      <c r="K144" s="94">
        <v>9.99999999E8</v>
      </c>
      <c r="L144" s="360" t="s">
        <v>2347</v>
      </c>
      <c r="M144" s="114"/>
      <c r="N144" s="307" t="s">
        <v>2343</v>
      </c>
      <c r="O144" s="311">
        <v>2.0260201E8</v>
      </c>
      <c r="P144" s="316"/>
      <c r="Q144" s="85"/>
      <c r="R144" s="85"/>
      <c r="S144" s="85"/>
      <c r="T144" s="85"/>
      <c r="U144" s="85"/>
    </row>
    <row r="145">
      <c r="A145" s="89" t="s">
        <v>162</v>
      </c>
      <c r="B145" s="305" t="str">
        <f t="array" ref="B145">iferror(INDEX('作品'!D:D,MATCH(A145,'作品'!A:A,0),0),"error")</f>
        <v>幼稚園WARS</v>
      </c>
      <c r="C145" s="91" t="s">
        <v>2168</v>
      </c>
      <c r="D145" s="307" t="s">
        <v>1026</v>
      </c>
      <c r="E145" s="78" t="str">
        <f t="shared" si="17"/>
        <v>piece_you_00301</v>
      </c>
      <c r="F145" s="57" t="str">
        <f t="shared" si="18"/>
        <v>piece_you_00301</v>
      </c>
      <c r="G145" s="308" t="str">
        <f t="shared" si="19"/>
        <v>item_icon_piece_you_00301</v>
      </c>
      <c r="H145" s="53" t="s">
        <v>2348</v>
      </c>
      <c r="I145" s="53" t="s">
        <v>1028</v>
      </c>
      <c r="J145" s="94">
        <v>9.99999999E8</v>
      </c>
      <c r="K145" s="94">
        <v>9.99999999E8</v>
      </c>
      <c r="L145" s="360" t="s">
        <v>2349</v>
      </c>
      <c r="M145" s="114"/>
      <c r="N145" s="307" t="s">
        <v>2343</v>
      </c>
      <c r="O145" s="311">
        <v>2.0260201E8</v>
      </c>
      <c r="P145" s="316"/>
      <c r="Q145" s="85"/>
      <c r="R145" s="85"/>
      <c r="S145" s="85"/>
      <c r="T145" s="85"/>
      <c r="U145" s="85"/>
    </row>
    <row r="146">
      <c r="A146" s="89" t="s">
        <v>166</v>
      </c>
      <c r="B146" s="305" t="str">
        <f t="array" ref="B146">iferror(INDEX('作品'!D:D,MATCH(A146,'作品'!A:A,0),0),"error")</f>
        <v>君のことが大大大大大好きな100人の彼女</v>
      </c>
      <c r="C146" s="91" t="s">
        <v>2168</v>
      </c>
      <c r="D146" s="307" t="s">
        <v>973</v>
      </c>
      <c r="E146" s="78" t="str">
        <f t="shared" si="17"/>
        <v>piece_kim_00001</v>
      </c>
      <c r="F146" s="57" t="str">
        <f t="shared" si="18"/>
        <v>piece_kim_00001</v>
      </c>
      <c r="G146" s="308" t="str">
        <f t="shared" si="19"/>
        <v>item_icon_piece_kim_00001</v>
      </c>
      <c r="H146" s="53" t="s">
        <v>2350</v>
      </c>
      <c r="I146" s="53" t="s">
        <v>976</v>
      </c>
      <c r="J146" s="94">
        <v>9.99999999E8</v>
      </c>
      <c r="K146" s="94">
        <v>9.99999999E8</v>
      </c>
      <c r="L146" s="360" t="s">
        <v>2351</v>
      </c>
      <c r="M146" s="114"/>
      <c r="N146" s="307" t="s">
        <v>2352</v>
      </c>
      <c r="O146" s="311"/>
      <c r="P146" s="316"/>
      <c r="Q146" s="85"/>
      <c r="R146" s="85"/>
      <c r="S146" s="85"/>
      <c r="T146" s="85"/>
      <c r="U146" s="85"/>
    </row>
    <row r="147">
      <c r="A147" s="89" t="s">
        <v>166</v>
      </c>
      <c r="B147" s="305" t="str">
        <f t="array" ref="B147">iferror(INDEX('作品'!D:D,MATCH(A147,'作品'!A:A,0),0),"error")</f>
        <v>君のことが大大大大大好きな100人の彼女</v>
      </c>
      <c r="C147" s="91" t="s">
        <v>2168</v>
      </c>
      <c r="D147" s="307" t="s">
        <v>1001</v>
      </c>
      <c r="E147" s="78" t="str">
        <f t="shared" si="17"/>
        <v>piece_kim_00101</v>
      </c>
      <c r="F147" s="57" t="str">
        <f t="shared" si="18"/>
        <v>piece_kim_00101</v>
      </c>
      <c r="G147" s="308" t="str">
        <f t="shared" si="19"/>
        <v>item_icon_piece_kim_00101</v>
      </c>
      <c r="H147" s="53" t="s">
        <v>2353</v>
      </c>
      <c r="I147" s="53" t="s">
        <v>993</v>
      </c>
      <c r="J147" s="94">
        <v>9.99999999E8</v>
      </c>
      <c r="K147" s="94">
        <v>9.99999999E8</v>
      </c>
      <c r="L147" s="360" t="s">
        <v>2354</v>
      </c>
      <c r="M147" s="114"/>
      <c r="N147" s="307" t="s">
        <v>2352</v>
      </c>
      <c r="O147" s="311"/>
      <c r="P147" s="316"/>
      <c r="Q147" s="85"/>
      <c r="R147" s="85"/>
      <c r="S147" s="85"/>
      <c r="T147" s="85"/>
      <c r="U147" s="85"/>
    </row>
    <row r="148">
      <c r="A148" s="89" t="s">
        <v>166</v>
      </c>
      <c r="B148" s="305" t="str">
        <f t="array" ref="B148">iferror(INDEX('作品'!D:D,MATCH(A148,'作品'!A:A,0),0),"error")</f>
        <v>君のことが大大大大大好きな100人の彼女</v>
      </c>
      <c r="C148" s="91" t="s">
        <v>2168</v>
      </c>
      <c r="D148" s="307" t="s">
        <v>1014</v>
      </c>
      <c r="E148" s="78" t="str">
        <f t="shared" si="17"/>
        <v>piece_kim_00201</v>
      </c>
      <c r="F148" s="57" t="str">
        <f t="shared" si="18"/>
        <v>piece_kim_00201</v>
      </c>
      <c r="G148" s="308" t="str">
        <f t="shared" si="19"/>
        <v>item_icon_piece_kim_00201</v>
      </c>
      <c r="H148" s="53" t="s">
        <v>2355</v>
      </c>
      <c r="I148" s="53" t="s">
        <v>993</v>
      </c>
      <c r="J148" s="94">
        <v>9.99999999E8</v>
      </c>
      <c r="K148" s="94">
        <v>9.99999999E8</v>
      </c>
      <c r="L148" s="360" t="s">
        <v>2356</v>
      </c>
      <c r="M148" s="114"/>
      <c r="N148" s="307" t="s">
        <v>2352</v>
      </c>
      <c r="O148" s="311"/>
      <c r="P148" s="316"/>
      <c r="Q148" s="85"/>
      <c r="R148" s="85"/>
      <c r="S148" s="85"/>
      <c r="T148" s="85"/>
      <c r="U148" s="85"/>
    </row>
    <row r="149">
      <c r="A149" s="89" t="s">
        <v>166</v>
      </c>
      <c r="B149" s="305" t="str">
        <f t="array" ref="B149">iferror(INDEX('作品'!D:D,MATCH(A149,'作品'!A:A,0),0),"error")</f>
        <v>君のことが大大大大大好きな100人の彼女</v>
      </c>
      <c r="C149" s="91" t="s">
        <v>2168</v>
      </c>
      <c r="D149" s="307" t="s">
        <v>1026</v>
      </c>
      <c r="E149" s="78" t="str">
        <f t="shared" si="17"/>
        <v>piece_kim_00301</v>
      </c>
      <c r="F149" s="57" t="str">
        <f t="shared" si="18"/>
        <v>piece_kim_00301</v>
      </c>
      <c r="G149" s="308" t="str">
        <f t="shared" si="19"/>
        <v>item_icon_piece_kim_00301</v>
      </c>
      <c r="H149" s="53" t="s">
        <v>2357</v>
      </c>
      <c r="I149" s="53" t="s">
        <v>993</v>
      </c>
      <c r="J149" s="94">
        <v>9.99999999E8</v>
      </c>
      <c r="K149" s="94">
        <v>9.99999999E8</v>
      </c>
      <c r="L149" s="360" t="s">
        <v>2358</v>
      </c>
      <c r="M149" s="114"/>
      <c r="N149" s="307" t="s">
        <v>2352</v>
      </c>
      <c r="O149" s="311"/>
      <c r="P149" s="316"/>
      <c r="Q149" s="85"/>
      <c r="R149" s="85"/>
      <c r="S149" s="85"/>
      <c r="T149" s="85"/>
      <c r="U149" s="85"/>
    </row>
    <row r="150">
      <c r="A150" s="89" t="s">
        <v>172</v>
      </c>
      <c r="B150" s="305" t="str">
        <f t="array" ref="B150">iferror(INDEX('作品'!D:D,MATCH(A150,'作品'!A:A,0),0),"error")</f>
        <v>ふつうの軽音部</v>
      </c>
      <c r="C150" s="91" t="s">
        <v>2168</v>
      </c>
      <c r="D150" s="307" t="s">
        <v>973</v>
      </c>
      <c r="E150" s="78" t="str">
        <f t="shared" si="17"/>
        <v>piece_hut_00001</v>
      </c>
      <c r="F150" s="57" t="str">
        <f t="shared" si="18"/>
        <v>piece_hut_00001</v>
      </c>
      <c r="G150" s="308" t="str">
        <f t="shared" si="19"/>
        <v>item_icon_piece_hut_00001</v>
      </c>
      <c r="H150" s="53" t="s">
        <v>2359</v>
      </c>
      <c r="I150" s="53" t="s">
        <v>976</v>
      </c>
      <c r="J150" s="94">
        <v>9.99999999E8</v>
      </c>
      <c r="K150" s="94">
        <v>9.99999999E8</v>
      </c>
      <c r="L150" s="360" t="s">
        <v>2360</v>
      </c>
      <c r="M150" s="114"/>
      <c r="N150" s="307" t="s">
        <v>2361</v>
      </c>
      <c r="O150" s="311"/>
      <c r="P150" s="316"/>
      <c r="Q150" s="85"/>
      <c r="R150" s="85"/>
      <c r="S150" s="85"/>
      <c r="T150" s="85"/>
      <c r="U150" s="85"/>
    </row>
    <row r="151">
      <c r="A151" s="89" t="s">
        <v>172</v>
      </c>
      <c r="B151" s="305" t="str">
        <f t="array" ref="B151">iferror(INDEX('作品'!D:D,MATCH(A151,'作品'!A:A,0),0),"error")</f>
        <v>ふつうの軽音部</v>
      </c>
      <c r="C151" s="91" t="s">
        <v>2168</v>
      </c>
      <c r="D151" s="307" t="s">
        <v>1001</v>
      </c>
      <c r="E151" s="78" t="str">
        <f t="shared" si="17"/>
        <v>piece_hut_00101</v>
      </c>
      <c r="F151" s="57" t="str">
        <f t="shared" si="18"/>
        <v>piece_hut_00101</v>
      </c>
      <c r="G151" s="308" t="str">
        <f t="shared" si="19"/>
        <v>item_icon_piece_hut_00101</v>
      </c>
      <c r="H151" s="53" t="s">
        <v>2362</v>
      </c>
      <c r="I151" s="53" t="s">
        <v>993</v>
      </c>
      <c r="J151" s="94">
        <v>9.99999999E8</v>
      </c>
      <c r="K151" s="94">
        <v>9.99999999E8</v>
      </c>
      <c r="L151" s="360" t="s">
        <v>2363</v>
      </c>
      <c r="M151" s="114"/>
      <c r="N151" s="307" t="s">
        <v>2361</v>
      </c>
      <c r="O151" s="311"/>
      <c r="P151" s="316"/>
      <c r="Q151" s="85"/>
      <c r="R151" s="85"/>
      <c r="S151" s="85"/>
      <c r="T151" s="85"/>
      <c r="U151" s="85"/>
    </row>
    <row r="152">
      <c r="A152" s="89" t="s">
        <v>172</v>
      </c>
      <c r="B152" s="305" t="str">
        <f t="array" ref="B152">iferror(INDEX('作品'!D:D,MATCH(A152,'作品'!A:A,0),0),"error")</f>
        <v>ふつうの軽音部</v>
      </c>
      <c r="C152" s="91" t="s">
        <v>2168</v>
      </c>
      <c r="D152" s="307" t="s">
        <v>1014</v>
      </c>
      <c r="E152" s="78" t="str">
        <f t="shared" si="17"/>
        <v>piece_hut_00201</v>
      </c>
      <c r="F152" s="57" t="str">
        <f t="shared" si="18"/>
        <v>piece_hut_00201</v>
      </c>
      <c r="G152" s="308" t="str">
        <f t="shared" si="19"/>
        <v>item_icon_piece_hut_00201</v>
      </c>
      <c r="H152" s="53" t="s">
        <v>2364</v>
      </c>
      <c r="I152" s="53" t="s">
        <v>1028</v>
      </c>
      <c r="J152" s="94">
        <v>9.99999999E8</v>
      </c>
      <c r="K152" s="94">
        <v>9.99999999E8</v>
      </c>
      <c r="L152" s="360" t="s">
        <v>2365</v>
      </c>
      <c r="M152" s="114"/>
      <c r="N152" s="307" t="s">
        <v>2361</v>
      </c>
      <c r="O152" s="311"/>
      <c r="P152" s="316"/>
      <c r="Q152" s="85"/>
      <c r="R152" s="85"/>
      <c r="S152" s="85"/>
      <c r="T152" s="85"/>
      <c r="U152" s="85"/>
    </row>
    <row r="153">
      <c r="A153" s="89" t="s">
        <v>172</v>
      </c>
      <c r="B153" s="305" t="str">
        <f t="array" ref="B153">iferror(INDEX('作品'!D:D,MATCH(A153,'作品'!A:A,0),0),"error")</f>
        <v>ふつうの軽音部</v>
      </c>
      <c r="C153" s="91" t="s">
        <v>2168</v>
      </c>
      <c r="D153" s="307" t="s">
        <v>1026</v>
      </c>
      <c r="E153" s="78" t="str">
        <f t="shared" si="17"/>
        <v>piece_hut_00301</v>
      </c>
      <c r="F153" s="57" t="str">
        <f t="shared" si="18"/>
        <v>piece_hut_00301</v>
      </c>
      <c r="G153" s="308" t="str">
        <f t="shared" si="19"/>
        <v>item_icon_piece_hut_00301</v>
      </c>
      <c r="H153" s="53" t="s">
        <v>2366</v>
      </c>
      <c r="I153" s="53" t="s">
        <v>1028</v>
      </c>
      <c r="J153" s="94">
        <v>9.99999999E8</v>
      </c>
      <c r="K153" s="94">
        <v>9.99999999E8</v>
      </c>
      <c r="L153" s="360" t="s">
        <v>2367</v>
      </c>
      <c r="M153" s="114"/>
      <c r="N153" s="307" t="s">
        <v>2361</v>
      </c>
      <c r="O153" s="311"/>
      <c r="P153" s="316"/>
      <c r="Q153" s="85"/>
      <c r="R153" s="85"/>
      <c r="S153" s="85"/>
      <c r="T153" s="85"/>
      <c r="U153" s="85"/>
    </row>
    <row r="154">
      <c r="A154" s="89" t="s">
        <v>206</v>
      </c>
      <c r="B154" s="305" t="str">
        <f t="array" ref="B154">iferror(INDEX('作品'!D:D,MATCH(A154,'作品'!A:A,0),0),"error")</f>
        <v>あやかしトライアングル</v>
      </c>
      <c r="C154" s="91" t="s">
        <v>2168</v>
      </c>
      <c r="D154" s="307" t="s">
        <v>973</v>
      </c>
      <c r="E154" s="78" t="str">
        <f t="shared" si="17"/>
        <v>piece_aya_00001</v>
      </c>
      <c r="F154" s="57" t="str">
        <f t="shared" si="18"/>
        <v>piece_aya_00001</v>
      </c>
      <c r="G154" s="308" t="str">
        <f t="shared" si="19"/>
        <v>item_icon_piece_aya_00001</v>
      </c>
      <c r="H154" s="53" t="s">
        <v>2368</v>
      </c>
      <c r="I154" s="53" t="s">
        <v>976</v>
      </c>
      <c r="J154" s="94">
        <v>9.99999999E8</v>
      </c>
      <c r="K154" s="94">
        <v>9.99999999E8</v>
      </c>
      <c r="L154" s="360" t="s">
        <v>2369</v>
      </c>
      <c r="M154" s="114"/>
      <c r="N154" s="307" t="s">
        <v>2370</v>
      </c>
      <c r="O154" s="311"/>
      <c r="P154" s="316"/>
      <c r="Q154" s="85"/>
      <c r="R154" s="85"/>
      <c r="S154" s="85"/>
      <c r="T154" s="85"/>
      <c r="U154" s="85"/>
    </row>
    <row r="155">
      <c r="A155" s="89" t="s">
        <v>206</v>
      </c>
      <c r="B155" s="305" t="str">
        <f t="array" ref="B155">iferror(INDEX('作品'!D:D,MATCH(A155,'作品'!A:A,0),0),"error")</f>
        <v>あやかしトライアングル</v>
      </c>
      <c r="C155" s="91" t="s">
        <v>2168</v>
      </c>
      <c r="D155" s="307" t="s">
        <v>1001</v>
      </c>
      <c r="E155" s="78" t="str">
        <f t="shared" si="17"/>
        <v>piece_aya_00101</v>
      </c>
      <c r="F155" s="57" t="str">
        <f t="shared" si="18"/>
        <v>piece_aya_00101</v>
      </c>
      <c r="G155" s="308" t="str">
        <f t="shared" si="19"/>
        <v>item_icon_piece_aya_00101</v>
      </c>
      <c r="H155" s="53" t="s">
        <v>2371</v>
      </c>
      <c r="I155" s="53" t="s">
        <v>993</v>
      </c>
      <c r="J155" s="94">
        <v>9.99999999E8</v>
      </c>
      <c r="K155" s="94">
        <v>9.99999999E8</v>
      </c>
      <c r="L155" s="360" t="s">
        <v>2372</v>
      </c>
      <c r="M155" s="114"/>
      <c r="N155" s="307" t="s">
        <v>2370</v>
      </c>
      <c r="O155" s="311"/>
      <c r="P155" s="316"/>
      <c r="Q155" s="85"/>
      <c r="R155" s="85"/>
      <c r="S155" s="85"/>
      <c r="T155" s="85"/>
      <c r="U155" s="85"/>
    </row>
    <row r="156">
      <c r="A156" s="89" t="s">
        <v>206</v>
      </c>
      <c r="B156" s="305" t="str">
        <f t="array" ref="B156">iferror(INDEX('作品'!D:D,MATCH(A156,'作品'!A:A,0),0),"error")</f>
        <v>あやかしトライアングル</v>
      </c>
      <c r="C156" s="91" t="s">
        <v>2168</v>
      </c>
      <c r="D156" s="307" t="s">
        <v>1014</v>
      </c>
      <c r="E156" s="78" t="str">
        <f t="shared" si="17"/>
        <v>piece_aya_00201</v>
      </c>
      <c r="F156" s="57" t="str">
        <f t="shared" si="18"/>
        <v>piece_aya_00201</v>
      </c>
      <c r="G156" s="308" t="str">
        <f t="shared" si="19"/>
        <v>item_icon_piece_aya_00201</v>
      </c>
      <c r="H156" s="53" t="s">
        <v>2373</v>
      </c>
      <c r="I156" s="53" t="s">
        <v>1028</v>
      </c>
      <c r="J156" s="94">
        <v>9.99999999E8</v>
      </c>
      <c r="K156" s="94">
        <v>9.99999999E8</v>
      </c>
      <c r="L156" s="360" t="s">
        <v>2374</v>
      </c>
      <c r="M156" s="114"/>
      <c r="N156" s="307" t="s">
        <v>2370</v>
      </c>
      <c r="O156" s="311"/>
      <c r="P156" s="316"/>
      <c r="Q156" s="85"/>
      <c r="R156" s="85"/>
      <c r="S156" s="85"/>
      <c r="T156" s="85"/>
      <c r="U156" s="85"/>
    </row>
    <row r="157">
      <c r="A157" s="89" t="s">
        <v>206</v>
      </c>
      <c r="B157" s="305" t="str">
        <f t="array" ref="B157">iferror(INDEX('作品'!D:D,MATCH(A157,'作品'!A:A,0),0),"error")</f>
        <v>あやかしトライアングル</v>
      </c>
      <c r="C157" s="91" t="s">
        <v>2168</v>
      </c>
      <c r="D157" s="307" t="s">
        <v>1026</v>
      </c>
      <c r="E157" s="78" t="str">
        <f t="shared" si="17"/>
        <v>piece_aya_00301</v>
      </c>
      <c r="F157" s="57" t="str">
        <f t="shared" si="18"/>
        <v>piece_aya_00301</v>
      </c>
      <c r="G157" s="308" t="str">
        <f t="shared" si="19"/>
        <v>item_icon_piece_aya_00301</v>
      </c>
      <c r="H157" s="53" t="s">
        <v>2375</v>
      </c>
      <c r="I157" s="53" t="s">
        <v>1028</v>
      </c>
      <c r="J157" s="94">
        <v>9.99999999E8</v>
      </c>
      <c r="K157" s="94">
        <v>9.99999999E8</v>
      </c>
      <c r="L157" s="360" t="s">
        <v>2376</v>
      </c>
      <c r="M157" s="114"/>
      <c r="N157" s="307" t="s">
        <v>2370</v>
      </c>
      <c r="O157" s="311"/>
      <c r="P157" s="316"/>
      <c r="Q157" s="85"/>
      <c r="R157" s="85"/>
      <c r="S157" s="85"/>
      <c r="T157" s="85"/>
      <c r="U157" s="85"/>
    </row>
    <row r="158" ht="9.0" customHeight="1">
      <c r="A158" s="118"/>
      <c r="B158" s="87"/>
      <c r="C158" s="87"/>
      <c r="D158" s="87"/>
      <c r="E158" s="87"/>
      <c r="F158" s="87"/>
      <c r="G158" s="87"/>
      <c r="H158" s="87"/>
      <c r="I158" s="87"/>
      <c r="J158" s="87"/>
      <c r="K158" s="87"/>
      <c r="L158" s="87"/>
      <c r="M158" s="87"/>
      <c r="N158" s="87"/>
      <c r="O158" s="87"/>
      <c r="P158" s="88"/>
      <c r="Q158" s="85"/>
      <c r="R158" s="85"/>
      <c r="S158" s="85"/>
      <c r="T158" s="85"/>
      <c r="U158" s="85"/>
    </row>
    <row r="159">
      <c r="A159" s="89" t="s">
        <v>115</v>
      </c>
      <c r="B159" s="305" t="str">
        <f t="array" ref="B159">iferror(INDEX('作品'!D:D,MATCH(A159,'作品'!A:A,0),0),"error")</f>
        <v>怪獣８号</v>
      </c>
      <c r="C159" s="53" t="s">
        <v>2377</v>
      </c>
      <c r="D159" s="307" t="s">
        <v>1046</v>
      </c>
      <c r="E159" s="78" t="str">
        <f t="shared" ref="E159:E179" si="20">C159&amp;"_"&amp;A159&amp;"_"&amp;D159</f>
        <v>memory_chara_kai_00501</v>
      </c>
      <c r="F159" s="78" t="str">
        <f t="shared" ref="F159:F179" si="21">E159</f>
        <v>memory_chara_kai_00501</v>
      </c>
      <c r="G159" s="308" t="str">
        <f t="shared" ref="G159:G179" si="22">"item_icon_"&amp;F159</f>
        <v>item_icon_memory_chara_kai_00501</v>
      </c>
      <c r="H159" s="89" t="s">
        <v>2378</v>
      </c>
      <c r="I159" s="89" t="s">
        <v>1028</v>
      </c>
      <c r="J159" s="94">
        <v>9.99999999E8</v>
      </c>
      <c r="K159" s="94">
        <v>9.99999999E8</v>
      </c>
      <c r="L159" s="341" t="s">
        <v>2379</v>
      </c>
      <c r="M159" s="313"/>
      <c r="N159" s="307" t="s">
        <v>2049</v>
      </c>
      <c r="O159" s="311">
        <v>2.0250901E8</v>
      </c>
      <c r="P159" s="312">
        <v>14.4</v>
      </c>
      <c r="Q159" s="85"/>
      <c r="R159" s="85"/>
      <c r="S159" s="85"/>
      <c r="T159" s="85"/>
      <c r="U159" s="85"/>
    </row>
    <row r="160">
      <c r="A160" s="89" t="s">
        <v>115</v>
      </c>
      <c r="B160" s="305" t="str">
        <f t="array" ref="B160">iferror(INDEX('作品'!D:D,MATCH(A160,'作品'!A:A,0),0),"error")</f>
        <v>怪獣８号</v>
      </c>
      <c r="C160" s="53" t="s">
        <v>2377</v>
      </c>
      <c r="D160" s="307" t="s">
        <v>1151</v>
      </c>
      <c r="E160" s="78" t="str">
        <f t="shared" si="20"/>
        <v>memory_chara_kai_00601</v>
      </c>
      <c r="F160" s="78" t="str">
        <f t="shared" si="21"/>
        <v>memory_chara_kai_00601</v>
      </c>
      <c r="G160" s="308" t="str">
        <f t="shared" si="22"/>
        <v>item_icon_memory_chara_kai_00601</v>
      </c>
      <c r="H160" s="89" t="s">
        <v>2380</v>
      </c>
      <c r="I160" s="89" t="s">
        <v>1028</v>
      </c>
      <c r="J160" s="94">
        <v>9.99999999E8</v>
      </c>
      <c r="K160" s="94">
        <v>9.99999999E8</v>
      </c>
      <c r="L160" s="341" t="s">
        <v>2381</v>
      </c>
      <c r="M160" s="313"/>
      <c r="N160" s="307" t="s">
        <v>2049</v>
      </c>
      <c r="O160" s="311">
        <v>2.0250901E8</v>
      </c>
      <c r="P160" s="312">
        <v>14.4</v>
      </c>
      <c r="Q160" s="85"/>
      <c r="R160" s="85"/>
      <c r="S160" s="85"/>
      <c r="T160" s="85"/>
      <c r="U160" s="85"/>
    </row>
    <row r="161">
      <c r="A161" s="89" t="s">
        <v>60</v>
      </c>
      <c r="B161" s="305" t="str">
        <f t="array" ref="B161">iferror(INDEX('作品'!D:D,MATCH(A161,'作品'!A:A,0),0),"error")</f>
        <v>SPY×FAMILY</v>
      </c>
      <c r="C161" s="53" t="s">
        <v>2377</v>
      </c>
      <c r="D161" s="307" t="s">
        <v>1026</v>
      </c>
      <c r="E161" s="78" t="str">
        <f t="shared" si="20"/>
        <v>memory_chara_spy_00301</v>
      </c>
      <c r="F161" s="78" t="str">
        <f t="shared" si="21"/>
        <v>memory_chara_spy_00301</v>
      </c>
      <c r="G161" s="308" t="str">
        <f t="shared" si="22"/>
        <v>item_icon_memory_chara_spy_00301</v>
      </c>
      <c r="H161" s="89" t="s">
        <v>2382</v>
      </c>
      <c r="I161" s="89" t="s">
        <v>1028</v>
      </c>
      <c r="J161" s="94">
        <v>9.99999999E8</v>
      </c>
      <c r="K161" s="94">
        <v>9.99999999E8</v>
      </c>
      <c r="L161" s="341" t="s">
        <v>2383</v>
      </c>
      <c r="M161" s="313"/>
      <c r="N161" s="358">
        <v>45936.625</v>
      </c>
      <c r="O161" s="311">
        <v>2.0251001E8</v>
      </c>
      <c r="P161" s="312">
        <v>14.4</v>
      </c>
      <c r="Q161" s="85"/>
      <c r="R161" s="85"/>
      <c r="S161" s="85"/>
      <c r="T161" s="85"/>
      <c r="U161" s="85"/>
    </row>
    <row r="162">
      <c r="A162" s="89" t="s">
        <v>60</v>
      </c>
      <c r="B162" s="305" t="str">
        <f t="array" ref="B162">iferror(INDEX('作品'!D:D,MATCH(A162,'作品'!A:A,0),0),"error")</f>
        <v>SPY×FAMILY</v>
      </c>
      <c r="C162" s="53" t="s">
        <v>2377</v>
      </c>
      <c r="D162" s="307" t="s">
        <v>1034</v>
      </c>
      <c r="E162" s="78" t="str">
        <f t="shared" si="20"/>
        <v>memory_chara_spy_00401</v>
      </c>
      <c r="F162" s="78" t="str">
        <f t="shared" si="21"/>
        <v>memory_chara_spy_00401</v>
      </c>
      <c r="G162" s="308" t="str">
        <f t="shared" si="22"/>
        <v>item_icon_memory_chara_spy_00401</v>
      </c>
      <c r="H162" s="89" t="s">
        <v>2384</v>
      </c>
      <c r="I162" s="89" t="s">
        <v>1028</v>
      </c>
      <c r="J162" s="94">
        <v>9.99999999E8</v>
      </c>
      <c r="K162" s="94">
        <v>9.99999999E8</v>
      </c>
      <c r="L162" s="341" t="s">
        <v>2385</v>
      </c>
      <c r="M162" s="313"/>
      <c r="N162" s="358">
        <v>45936.625</v>
      </c>
      <c r="O162" s="311">
        <v>2.0251001E8</v>
      </c>
      <c r="P162" s="312">
        <v>14.4</v>
      </c>
      <c r="Q162" s="85"/>
      <c r="R162" s="85"/>
      <c r="S162" s="85"/>
      <c r="T162" s="85"/>
      <c r="U162" s="85"/>
    </row>
    <row r="163">
      <c r="A163" s="89" t="s">
        <v>80</v>
      </c>
      <c r="B163" s="305" t="str">
        <f t="array" ref="B163">iferror(INDEX('作品'!D:D,MATCH(A163,'作品'!A:A,0),0),"error")</f>
        <v>ダンダダン</v>
      </c>
      <c r="C163" s="53" t="s">
        <v>2377</v>
      </c>
      <c r="D163" s="307" t="s">
        <v>1014</v>
      </c>
      <c r="E163" s="78" t="str">
        <f t="shared" si="20"/>
        <v>memory_chara_dan_00201</v>
      </c>
      <c r="F163" s="78" t="str">
        <f t="shared" si="21"/>
        <v>memory_chara_dan_00201</v>
      </c>
      <c r="G163" s="308" t="str">
        <f t="shared" si="22"/>
        <v>item_icon_memory_chara_dan_00201</v>
      </c>
      <c r="H163" s="89" t="s">
        <v>2386</v>
      </c>
      <c r="I163" s="89" t="s">
        <v>1028</v>
      </c>
      <c r="J163" s="94">
        <v>9.99999999E8</v>
      </c>
      <c r="K163" s="94">
        <v>9.99999999E8</v>
      </c>
      <c r="L163" s="341" t="s">
        <v>2387</v>
      </c>
      <c r="M163" s="313"/>
      <c r="N163" s="358">
        <v>45952.625</v>
      </c>
      <c r="O163" s="311">
        <v>2.0251002E8</v>
      </c>
      <c r="P163" s="312">
        <v>14.4</v>
      </c>
      <c r="Q163" s="85"/>
      <c r="R163" s="85"/>
      <c r="S163" s="85"/>
      <c r="T163" s="85"/>
      <c r="U163" s="85"/>
    </row>
    <row r="164">
      <c r="A164" s="89" t="s">
        <v>80</v>
      </c>
      <c r="B164" s="305" t="str">
        <f t="array" ref="B164">iferror(INDEX('作品'!D:D,MATCH(A164,'作品'!A:A,0),0),"error")</f>
        <v>ダンダダン</v>
      </c>
      <c r="C164" s="53" t="s">
        <v>2377</v>
      </c>
      <c r="D164" s="307" t="s">
        <v>1026</v>
      </c>
      <c r="E164" s="78" t="str">
        <f t="shared" si="20"/>
        <v>memory_chara_dan_00301</v>
      </c>
      <c r="F164" s="78" t="str">
        <f t="shared" si="21"/>
        <v>memory_chara_dan_00301</v>
      </c>
      <c r="G164" s="308" t="str">
        <f t="shared" si="22"/>
        <v>item_icon_memory_chara_dan_00301</v>
      </c>
      <c r="H164" s="89" t="s">
        <v>2388</v>
      </c>
      <c r="I164" s="89" t="s">
        <v>1028</v>
      </c>
      <c r="J164" s="94">
        <v>9.99999999E8</v>
      </c>
      <c r="K164" s="94">
        <v>9.99999999E8</v>
      </c>
      <c r="L164" s="341" t="s">
        <v>2389</v>
      </c>
      <c r="M164" s="313"/>
      <c r="N164" s="358">
        <v>45952.625</v>
      </c>
      <c r="O164" s="311">
        <v>2.0251002E8</v>
      </c>
      <c r="P164" s="312">
        <v>14.4</v>
      </c>
      <c r="Q164" s="85"/>
      <c r="R164" s="85"/>
      <c r="S164" s="85"/>
      <c r="T164" s="85"/>
      <c r="U164" s="85"/>
    </row>
    <row r="165">
      <c r="A165" s="89" t="s">
        <v>98</v>
      </c>
      <c r="B165" s="305" t="str">
        <f t="array" ref="B165">iferror(INDEX('作品'!D:D,MATCH(A165,'作品'!A:A,0),0),"error")</f>
        <v>株式会社マジルミエ</v>
      </c>
      <c r="C165" s="53" t="s">
        <v>2377</v>
      </c>
      <c r="D165" s="307" t="s">
        <v>1034</v>
      </c>
      <c r="E165" s="78" t="str">
        <f t="shared" si="20"/>
        <v>memory_chara_mag_00401</v>
      </c>
      <c r="F165" s="78" t="str">
        <f t="shared" si="21"/>
        <v>memory_chara_mag_00401</v>
      </c>
      <c r="G165" s="308" t="str">
        <f t="shared" si="22"/>
        <v>item_icon_memory_chara_mag_00401</v>
      </c>
      <c r="H165" s="89" t="s">
        <v>2390</v>
      </c>
      <c r="I165" s="89" t="s">
        <v>1028</v>
      </c>
      <c r="J165" s="94">
        <v>9.99999999E8</v>
      </c>
      <c r="K165" s="94">
        <v>9.99999999E8</v>
      </c>
      <c r="L165" s="341" t="s">
        <v>2391</v>
      </c>
      <c r="M165" s="313"/>
      <c r="N165" s="358">
        <v>45967.625</v>
      </c>
      <c r="O165" s="53">
        <v>2.0251101E8</v>
      </c>
      <c r="P165" s="312">
        <v>14.4</v>
      </c>
      <c r="Q165" s="85"/>
      <c r="R165" s="85"/>
      <c r="S165" s="85"/>
      <c r="T165" s="85"/>
      <c r="U165" s="85"/>
    </row>
    <row r="166">
      <c r="A166" s="89" t="s">
        <v>98</v>
      </c>
      <c r="B166" s="305" t="str">
        <f t="array" ref="B166">iferror(INDEX('作品'!D:D,MATCH(A166,'作品'!A:A,0),0),"error")</f>
        <v>株式会社マジルミエ</v>
      </c>
      <c r="C166" s="53" t="s">
        <v>2377</v>
      </c>
      <c r="D166" s="307" t="s">
        <v>1046</v>
      </c>
      <c r="E166" s="78" t="str">
        <f t="shared" si="20"/>
        <v>memory_chara_mag_00501</v>
      </c>
      <c r="F166" s="78" t="str">
        <f t="shared" si="21"/>
        <v>memory_chara_mag_00501</v>
      </c>
      <c r="G166" s="308" t="str">
        <f t="shared" si="22"/>
        <v>item_icon_memory_chara_mag_00501</v>
      </c>
      <c r="H166" s="89" t="s">
        <v>2392</v>
      </c>
      <c r="I166" s="89" t="s">
        <v>1028</v>
      </c>
      <c r="J166" s="94">
        <v>9.99999999E8</v>
      </c>
      <c r="K166" s="94">
        <v>9.99999999E8</v>
      </c>
      <c r="L166" s="341" t="s">
        <v>2393</v>
      </c>
      <c r="M166" s="313"/>
      <c r="N166" s="358">
        <v>45967.625</v>
      </c>
      <c r="O166" s="53">
        <v>2.0251101E8</v>
      </c>
      <c r="P166" s="312">
        <v>14.4</v>
      </c>
      <c r="Q166" s="85"/>
      <c r="R166" s="85"/>
      <c r="S166" s="85"/>
      <c r="T166" s="85"/>
      <c r="U166" s="85"/>
    </row>
    <row r="167">
      <c r="A167" s="99" t="s">
        <v>121</v>
      </c>
      <c r="B167" s="305" t="str">
        <f t="array" ref="B167">iferror(INDEX('作品'!D:D,MATCH(A167,'作品'!A:A,0),0),"error")</f>
        <v>2.5次元の誘惑</v>
      </c>
      <c r="C167" s="53" t="s">
        <v>2377</v>
      </c>
      <c r="D167" s="307" t="s">
        <v>1046</v>
      </c>
      <c r="E167" s="78" t="str">
        <f t="shared" si="20"/>
        <v>memory_chara_yuw_00501</v>
      </c>
      <c r="F167" s="78" t="str">
        <f t="shared" si="21"/>
        <v>memory_chara_yuw_00501</v>
      </c>
      <c r="G167" s="308" t="str">
        <f t="shared" si="22"/>
        <v>item_icon_memory_chara_yuw_00501</v>
      </c>
      <c r="H167" s="89" t="s">
        <v>2394</v>
      </c>
      <c r="I167" s="89" t="s">
        <v>1028</v>
      </c>
      <c r="J167" s="94">
        <v>9.99999999E8</v>
      </c>
      <c r="K167" s="94">
        <v>9.99999999E8</v>
      </c>
      <c r="L167" s="341" t="s">
        <v>2395</v>
      </c>
      <c r="M167" s="313"/>
      <c r="N167" s="361" t="s">
        <v>2248</v>
      </c>
      <c r="O167" s="53">
        <v>2.0251102E8</v>
      </c>
      <c r="P167" s="312">
        <v>14.4</v>
      </c>
      <c r="Q167" s="85"/>
      <c r="R167" s="85"/>
      <c r="S167" s="85"/>
      <c r="T167" s="85"/>
      <c r="U167" s="85"/>
    </row>
    <row r="168">
      <c r="A168" s="99" t="s">
        <v>121</v>
      </c>
      <c r="B168" s="305" t="str">
        <f t="array" ref="B168">iferror(INDEX('作品'!D:D,MATCH(A168,'作品'!A:A,0),0),"error")</f>
        <v>2.5次元の誘惑</v>
      </c>
      <c r="C168" s="53" t="s">
        <v>2377</v>
      </c>
      <c r="D168" s="307" t="s">
        <v>1151</v>
      </c>
      <c r="E168" s="78" t="str">
        <f t="shared" si="20"/>
        <v>memory_chara_yuw_00601</v>
      </c>
      <c r="F168" s="78" t="str">
        <f t="shared" si="21"/>
        <v>memory_chara_yuw_00601</v>
      </c>
      <c r="G168" s="308" t="str">
        <f t="shared" si="22"/>
        <v>item_icon_memory_chara_yuw_00601</v>
      </c>
      <c r="H168" s="89" t="s">
        <v>2396</v>
      </c>
      <c r="I168" s="89" t="s">
        <v>1028</v>
      </c>
      <c r="J168" s="94">
        <v>9.99999999E8</v>
      </c>
      <c r="K168" s="94">
        <v>9.99999999E8</v>
      </c>
      <c r="L168" s="341" t="s">
        <v>2397</v>
      </c>
      <c r="M168" s="313"/>
      <c r="N168" s="361" t="s">
        <v>2248</v>
      </c>
      <c r="O168" s="53">
        <v>2.0251102E8</v>
      </c>
      <c r="P168" s="312">
        <v>14.4</v>
      </c>
      <c r="Q168" s="85"/>
      <c r="R168" s="85"/>
      <c r="S168" s="85"/>
      <c r="T168" s="85"/>
      <c r="U168" s="85"/>
    </row>
    <row r="169">
      <c r="A169" s="89" t="s">
        <v>127</v>
      </c>
      <c r="B169" s="305" t="str">
        <f t="array" ref="B169">iferror(INDEX('作品'!D:D,MATCH(A169,'作品'!A:A,0),0),"error")</f>
        <v>魔都精兵のスレイブ</v>
      </c>
      <c r="C169" s="53" t="s">
        <v>2377</v>
      </c>
      <c r="D169" s="307" t="s">
        <v>1191</v>
      </c>
      <c r="E169" s="78" t="str">
        <f t="shared" si="20"/>
        <v>memory_chara_sur_00701</v>
      </c>
      <c r="F169" s="78" t="str">
        <f t="shared" si="21"/>
        <v>memory_chara_sur_00701</v>
      </c>
      <c r="G169" s="308" t="str">
        <f t="shared" si="22"/>
        <v>item_icon_memory_chara_sur_00701</v>
      </c>
      <c r="H169" s="89" t="s">
        <v>2398</v>
      </c>
      <c r="I169" s="89" t="s">
        <v>1028</v>
      </c>
      <c r="J169" s="94">
        <v>9.99999999E8</v>
      </c>
      <c r="K169" s="94">
        <v>9.99999999E8</v>
      </c>
      <c r="L169" s="341" t="s">
        <v>2399</v>
      </c>
      <c r="M169" s="313"/>
      <c r="N169" s="307" t="s">
        <v>2274</v>
      </c>
      <c r="O169" s="311">
        <v>2.0251201E8</v>
      </c>
      <c r="P169" s="312"/>
      <c r="Q169" s="85"/>
      <c r="R169" s="85"/>
      <c r="S169" s="85"/>
      <c r="T169" s="85"/>
      <c r="U169" s="85"/>
    </row>
    <row r="170">
      <c r="A170" s="89" t="s">
        <v>127</v>
      </c>
      <c r="B170" s="305" t="str">
        <f t="array" ref="B170">iferror(INDEX('作品'!D:D,MATCH(A170,'作品'!A:A,0),0),"error")</f>
        <v>魔都精兵のスレイブ</v>
      </c>
      <c r="C170" s="53" t="s">
        <v>2377</v>
      </c>
      <c r="D170" s="307" t="s">
        <v>1238</v>
      </c>
      <c r="E170" s="78" t="str">
        <f t="shared" si="20"/>
        <v>memory_chara_sur_00801</v>
      </c>
      <c r="F170" s="78" t="str">
        <f t="shared" si="21"/>
        <v>memory_chara_sur_00801</v>
      </c>
      <c r="G170" s="308" t="str">
        <f t="shared" si="22"/>
        <v>item_icon_memory_chara_sur_00801</v>
      </c>
      <c r="H170" s="89" t="s">
        <v>2400</v>
      </c>
      <c r="I170" s="89" t="s">
        <v>1028</v>
      </c>
      <c r="J170" s="94">
        <v>9.99999999E8</v>
      </c>
      <c r="K170" s="94">
        <v>9.99999999E8</v>
      </c>
      <c r="L170" s="341" t="s">
        <v>2401</v>
      </c>
      <c r="M170" s="313"/>
      <c r="N170" s="307" t="s">
        <v>2274</v>
      </c>
      <c r="O170" s="311">
        <v>2.0251201E8</v>
      </c>
      <c r="P170" s="312"/>
      <c r="Q170" s="85"/>
      <c r="R170" s="85"/>
      <c r="S170" s="85"/>
      <c r="T170" s="85"/>
      <c r="U170" s="85"/>
    </row>
    <row r="171">
      <c r="A171" s="89" t="s">
        <v>158</v>
      </c>
      <c r="B171" s="305" t="str">
        <f t="array" ref="B171">iferror(INDEX('作品'!D:D,MATCH(A171,'作品'!A:A,0),0),"error")</f>
        <v>【推しの子】</v>
      </c>
      <c r="C171" s="53" t="s">
        <v>2377</v>
      </c>
      <c r="D171" s="307" t="s">
        <v>1151</v>
      </c>
      <c r="E171" s="78" t="str">
        <f t="shared" si="20"/>
        <v>memory_chara_osh_00601</v>
      </c>
      <c r="F171" s="78" t="str">
        <f t="shared" si="21"/>
        <v>memory_chara_osh_00601</v>
      </c>
      <c r="G171" s="308" t="str">
        <f t="shared" si="22"/>
        <v>item_icon_memory_chara_osh_00601</v>
      </c>
      <c r="H171" s="89" t="s">
        <v>2402</v>
      </c>
      <c r="I171" s="89" t="s">
        <v>1028</v>
      </c>
      <c r="J171" s="94">
        <v>9.99999999E8</v>
      </c>
      <c r="K171" s="94">
        <v>9.99999999E8</v>
      </c>
      <c r="L171" s="341" t="s">
        <v>2403</v>
      </c>
      <c r="M171" s="313"/>
      <c r="N171" s="307" t="s">
        <v>2109</v>
      </c>
      <c r="O171" s="311">
        <v>2.0251202E8</v>
      </c>
      <c r="P171" s="312"/>
      <c r="Q171" s="85"/>
      <c r="R171" s="85"/>
      <c r="S171" s="85"/>
      <c r="T171" s="85"/>
      <c r="U171" s="85"/>
    </row>
    <row r="172">
      <c r="A172" s="89" t="s">
        <v>148</v>
      </c>
      <c r="B172" s="305" t="str">
        <f t="array" ref="B172">iferror(INDEX('作品'!D:D,MATCH(A172,'作品'!A:A,0),0),"error")</f>
        <v>地獄楽</v>
      </c>
      <c r="C172" s="53" t="s">
        <v>2377</v>
      </c>
      <c r="D172" s="307" t="s">
        <v>1151</v>
      </c>
      <c r="E172" s="78" t="str">
        <f t="shared" si="20"/>
        <v>memory_chara_jig_00601</v>
      </c>
      <c r="F172" s="78" t="str">
        <f t="shared" si="21"/>
        <v>memory_chara_jig_00601</v>
      </c>
      <c r="G172" s="308" t="str">
        <f t="shared" si="22"/>
        <v>item_icon_memory_chara_jig_00601</v>
      </c>
      <c r="H172" s="53" t="s">
        <v>2404</v>
      </c>
      <c r="I172" s="89" t="s">
        <v>1028</v>
      </c>
      <c r="J172" s="94">
        <v>9.99999999E8</v>
      </c>
      <c r="K172" s="94">
        <v>9.99999999E8</v>
      </c>
      <c r="L172" s="360" t="s">
        <v>2405</v>
      </c>
      <c r="M172" s="313"/>
      <c r="N172" s="307" t="s">
        <v>2334</v>
      </c>
      <c r="O172" s="311">
        <v>2.0260101E8</v>
      </c>
      <c r="P172" s="312"/>
      <c r="Q172" s="85"/>
      <c r="R172" s="85"/>
      <c r="S172" s="85"/>
      <c r="T172" s="85"/>
      <c r="U172" s="85"/>
    </row>
    <row r="173">
      <c r="A173" s="89" t="s">
        <v>148</v>
      </c>
      <c r="B173" s="305" t="str">
        <f t="array" ref="B173">iferror(INDEX('作品'!D:D,MATCH(A173,'作品'!A:A,0),0),"error")</f>
        <v>地獄楽</v>
      </c>
      <c r="C173" s="53" t="s">
        <v>2377</v>
      </c>
      <c r="D173" s="307" t="s">
        <v>1191</v>
      </c>
      <c r="E173" s="78" t="str">
        <f t="shared" si="20"/>
        <v>memory_chara_jig_00701</v>
      </c>
      <c r="F173" s="78" t="str">
        <f t="shared" si="21"/>
        <v>memory_chara_jig_00701</v>
      </c>
      <c r="G173" s="308" t="str">
        <f t="shared" si="22"/>
        <v>item_icon_memory_chara_jig_00701</v>
      </c>
      <c r="H173" s="53" t="s">
        <v>2406</v>
      </c>
      <c r="I173" s="89" t="s">
        <v>1028</v>
      </c>
      <c r="J173" s="94">
        <v>9.99999999E8</v>
      </c>
      <c r="K173" s="94">
        <v>9.99999999E8</v>
      </c>
      <c r="L173" s="360" t="s">
        <v>2407</v>
      </c>
      <c r="M173" s="313"/>
      <c r="N173" s="307" t="s">
        <v>2334</v>
      </c>
      <c r="O173" s="311">
        <v>2.0260101E8</v>
      </c>
      <c r="P173" s="312"/>
      <c r="Q173" s="85"/>
      <c r="R173" s="85"/>
      <c r="S173" s="85"/>
      <c r="T173" s="85"/>
      <c r="U173" s="85"/>
    </row>
    <row r="174">
      <c r="A174" s="89" t="s">
        <v>162</v>
      </c>
      <c r="B174" s="305" t="str">
        <f t="array" ref="B174">iferror(INDEX('作品'!D:D,MATCH(A174,'作品'!A:A,0),0),"error")</f>
        <v>幼稚園WARS</v>
      </c>
      <c r="C174" s="53" t="s">
        <v>2377</v>
      </c>
      <c r="D174" s="307" t="s">
        <v>1014</v>
      </c>
      <c r="E174" s="78" t="str">
        <f t="shared" si="20"/>
        <v>memory_chara_you_00201</v>
      </c>
      <c r="F174" s="78" t="str">
        <f t="shared" si="21"/>
        <v>memory_chara_you_00201</v>
      </c>
      <c r="G174" s="308" t="str">
        <f t="shared" si="22"/>
        <v>item_icon_memory_chara_you_00201</v>
      </c>
      <c r="H174" s="53" t="s">
        <v>2408</v>
      </c>
      <c r="I174" s="89" t="s">
        <v>1028</v>
      </c>
      <c r="J174" s="94">
        <v>9.99999999E8</v>
      </c>
      <c r="K174" s="94">
        <v>9.99999999E8</v>
      </c>
      <c r="L174" s="360" t="s">
        <v>2409</v>
      </c>
      <c r="M174" s="313"/>
      <c r="N174" s="307" t="s">
        <v>2343</v>
      </c>
      <c r="O174" s="311">
        <v>2.0260201E8</v>
      </c>
      <c r="P174" s="312"/>
      <c r="Q174" s="85"/>
      <c r="R174" s="85"/>
      <c r="S174" s="85"/>
      <c r="T174" s="85"/>
      <c r="U174" s="85"/>
    </row>
    <row r="175">
      <c r="A175" s="89" t="s">
        <v>162</v>
      </c>
      <c r="B175" s="305" t="str">
        <f t="array" ref="B175">iferror(INDEX('作品'!D:D,MATCH(A175,'作品'!A:A,0),0),"error")</f>
        <v>幼稚園WARS</v>
      </c>
      <c r="C175" s="53" t="s">
        <v>2377</v>
      </c>
      <c r="D175" s="307" t="s">
        <v>1026</v>
      </c>
      <c r="E175" s="78" t="str">
        <f t="shared" si="20"/>
        <v>memory_chara_you_00301</v>
      </c>
      <c r="F175" s="78" t="str">
        <f t="shared" si="21"/>
        <v>memory_chara_you_00301</v>
      </c>
      <c r="G175" s="308" t="str">
        <f t="shared" si="22"/>
        <v>item_icon_memory_chara_you_00301</v>
      </c>
      <c r="H175" s="53" t="s">
        <v>2410</v>
      </c>
      <c r="I175" s="89" t="s">
        <v>1028</v>
      </c>
      <c r="J175" s="94">
        <v>9.99999999E8</v>
      </c>
      <c r="K175" s="94">
        <v>9.99999999E8</v>
      </c>
      <c r="L175" s="360" t="s">
        <v>2411</v>
      </c>
      <c r="M175" s="313"/>
      <c r="N175" s="307" t="s">
        <v>2343</v>
      </c>
      <c r="O175" s="311">
        <v>2.0260201E8</v>
      </c>
      <c r="P175" s="312"/>
      <c r="Q175" s="85"/>
      <c r="R175" s="85"/>
      <c r="S175" s="85"/>
      <c r="T175" s="85"/>
      <c r="U175" s="85"/>
    </row>
    <row r="176">
      <c r="A176" s="89" t="s">
        <v>172</v>
      </c>
      <c r="B176" s="305" t="str">
        <f t="array" ref="B176">iferror(INDEX('作品'!D:D,MATCH(A176,'作品'!A:A,0),0),"error")</f>
        <v>ふつうの軽音部</v>
      </c>
      <c r="C176" s="53" t="s">
        <v>2377</v>
      </c>
      <c r="D176" s="307" t="s">
        <v>1014</v>
      </c>
      <c r="E176" s="78" t="str">
        <f t="shared" si="20"/>
        <v>memory_chara_hut_00201</v>
      </c>
      <c r="F176" s="78" t="str">
        <f t="shared" si="21"/>
        <v>memory_chara_hut_00201</v>
      </c>
      <c r="G176" s="308" t="str">
        <f t="shared" si="22"/>
        <v>item_icon_memory_chara_hut_00201</v>
      </c>
      <c r="H176" s="53" t="s">
        <v>2412</v>
      </c>
      <c r="I176" s="89" t="s">
        <v>1028</v>
      </c>
      <c r="J176" s="94">
        <v>9.99999999E8</v>
      </c>
      <c r="K176" s="94">
        <v>9.99999999E8</v>
      </c>
      <c r="L176" s="360" t="s">
        <v>2413</v>
      </c>
      <c r="M176" s="313"/>
      <c r="N176" s="307" t="s">
        <v>2361</v>
      </c>
      <c r="O176" s="311"/>
      <c r="P176" s="312"/>
      <c r="Q176" s="85"/>
      <c r="R176" s="85"/>
      <c r="S176" s="85"/>
      <c r="T176" s="85"/>
      <c r="U176" s="85"/>
    </row>
    <row r="177">
      <c r="A177" s="89" t="s">
        <v>172</v>
      </c>
      <c r="B177" s="305" t="str">
        <f t="array" ref="B177">iferror(INDEX('作品'!D:D,MATCH(A177,'作品'!A:A,0),0),"error")</f>
        <v>ふつうの軽音部</v>
      </c>
      <c r="C177" s="53" t="s">
        <v>2377</v>
      </c>
      <c r="D177" s="307" t="s">
        <v>1026</v>
      </c>
      <c r="E177" s="78" t="str">
        <f t="shared" si="20"/>
        <v>memory_chara_hut_00301</v>
      </c>
      <c r="F177" s="78" t="str">
        <f t="shared" si="21"/>
        <v>memory_chara_hut_00301</v>
      </c>
      <c r="G177" s="308" t="str">
        <f t="shared" si="22"/>
        <v>item_icon_memory_chara_hut_00301</v>
      </c>
      <c r="H177" s="53" t="s">
        <v>2414</v>
      </c>
      <c r="I177" s="89" t="s">
        <v>1028</v>
      </c>
      <c r="J177" s="94">
        <v>9.99999999E8</v>
      </c>
      <c r="K177" s="94">
        <v>9.99999999E8</v>
      </c>
      <c r="L177" s="360" t="s">
        <v>2415</v>
      </c>
      <c r="M177" s="313"/>
      <c r="N177" s="307" t="s">
        <v>2361</v>
      </c>
      <c r="O177" s="311"/>
      <c r="P177" s="312"/>
      <c r="Q177" s="85"/>
      <c r="R177" s="85"/>
      <c r="S177" s="85"/>
      <c r="T177" s="85"/>
      <c r="U177" s="85"/>
    </row>
    <row r="178">
      <c r="A178" s="89" t="s">
        <v>206</v>
      </c>
      <c r="B178" s="305" t="str">
        <f t="array" ref="B178">iferror(INDEX('作品'!D:D,MATCH(A178,'作品'!A:A,0),0),"error")</f>
        <v>あやかしトライアングル</v>
      </c>
      <c r="C178" s="53" t="s">
        <v>2377</v>
      </c>
      <c r="D178" s="307" t="s">
        <v>1014</v>
      </c>
      <c r="E178" s="78" t="str">
        <f t="shared" si="20"/>
        <v>memory_chara_aya_00201</v>
      </c>
      <c r="F178" s="78" t="str">
        <f t="shared" si="21"/>
        <v>memory_chara_aya_00201</v>
      </c>
      <c r="G178" s="308" t="str">
        <f t="shared" si="22"/>
        <v>item_icon_memory_chara_aya_00201</v>
      </c>
      <c r="H178" s="53" t="s">
        <v>2416</v>
      </c>
      <c r="I178" s="89" t="s">
        <v>1028</v>
      </c>
      <c r="J178" s="94">
        <v>9.99999999E8</v>
      </c>
      <c r="K178" s="94">
        <v>9.99999999E8</v>
      </c>
      <c r="L178" s="360" t="s">
        <v>2417</v>
      </c>
      <c r="M178" s="313"/>
      <c r="N178" s="307" t="s">
        <v>2370</v>
      </c>
      <c r="O178" s="311"/>
      <c r="P178" s="312"/>
      <c r="Q178" s="85"/>
      <c r="R178" s="85"/>
      <c r="S178" s="85"/>
      <c r="T178" s="85"/>
      <c r="U178" s="85"/>
    </row>
    <row r="179">
      <c r="A179" s="89" t="s">
        <v>206</v>
      </c>
      <c r="B179" s="305" t="str">
        <f t="array" ref="B179">iferror(INDEX('作品'!D:D,MATCH(A179,'作品'!A:A,0),0),"error")</f>
        <v>あやかしトライアングル</v>
      </c>
      <c r="C179" s="53" t="s">
        <v>2377</v>
      </c>
      <c r="D179" s="307" t="s">
        <v>1026</v>
      </c>
      <c r="E179" s="78" t="str">
        <f t="shared" si="20"/>
        <v>memory_chara_aya_00301</v>
      </c>
      <c r="F179" s="78" t="str">
        <f t="shared" si="21"/>
        <v>memory_chara_aya_00301</v>
      </c>
      <c r="G179" s="308" t="str">
        <f t="shared" si="22"/>
        <v>item_icon_memory_chara_aya_00301</v>
      </c>
      <c r="H179" s="53" t="s">
        <v>2418</v>
      </c>
      <c r="I179" s="89" t="s">
        <v>1028</v>
      </c>
      <c r="J179" s="94">
        <v>9.99999999E8</v>
      </c>
      <c r="K179" s="94">
        <v>9.99999999E8</v>
      </c>
      <c r="L179" s="360" t="s">
        <v>2419</v>
      </c>
      <c r="M179" s="313"/>
      <c r="N179" s="307" t="s">
        <v>2370</v>
      </c>
      <c r="O179" s="311"/>
      <c r="P179" s="312"/>
      <c r="Q179" s="85"/>
      <c r="R179" s="85"/>
      <c r="S179" s="85"/>
      <c r="T179" s="85"/>
      <c r="U179" s="85"/>
    </row>
    <row r="180">
      <c r="A180" s="369"/>
      <c r="B180" s="78"/>
      <c r="C180" s="78"/>
      <c r="D180" s="57"/>
      <c r="E180" s="78"/>
      <c r="F180" s="57"/>
      <c r="G180" s="78"/>
      <c r="H180" s="78"/>
      <c r="I180" s="78"/>
      <c r="J180" s="370"/>
      <c r="K180" s="370"/>
      <c r="L180" s="371"/>
      <c r="M180" s="372"/>
      <c r="N180" s="373"/>
      <c r="O180" s="373"/>
      <c r="P180" s="374"/>
      <c r="Q180" s="85"/>
      <c r="R180" s="85"/>
      <c r="S180" s="85"/>
      <c r="T180" s="85"/>
      <c r="U180" s="85"/>
    </row>
    <row r="181" ht="9.0" customHeight="1">
      <c r="A181" s="118"/>
      <c r="B181" s="87"/>
      <c r="C181" s="87"/>
      <c r="D181" s="87"/>
      <c r="E181" s="87"/>
      <c r="F181" s="87"/>
      <c r="G181" s="87"/>
      <c r="H181" s="87"/>
      <c r="I181" s="87"/>
      <c r="J181" s="87"/>
      <c r="K181" s="87"/>
      <c r="L181" s="87"/>
      <c r="M181" s="87"/>
      <c r="N181" s="87"/>
      <c r="O181" s="87"/>
      <c r="P181" s="88"/>
      <c r="Q181" s="85"/>
      <c r="R181" s="85"/>
      <c r="S181" s="85"/>
      <c r="T181" s="85"/>
      <c r="U181" s="85"/>
    </row>
    <row r="182">
      <c r="A182" s="89" t="s">
        <v>283</v>
      </c>
      <c r="B182" s="375" t="str">
        <f t="array" ref="B182">iferror(INDEX('作品'!D:D,MATCH(A182,'作品'!A:A,0),0),"error")</f>
        <v>GLOW</v>
      </c>
      <c r="C182" s="376" t="s">
        <v>2420</v>
      </c>
      <c r="D182" s="46" t="s">
        <v>973</v>
      </c>
      <c r="E182" s="53" t="str">
        <f t="shared" ref="E182:E189" si="23">C182&amp;"_"&amp;A182&amp;"_"&amp;D182</f>
        <v>item_glo_00001</v>
      </c>
      <c r="F182" s="53" t="str">
        <f t="shared" ref="F182:F189" si="24">E182</f>
        <v>item_glo_00001</v>
      </c>
      <c r="G182" s="308" t="str">
        <f t="shared" ref="G182:G189" si="25">"item_icon_"&amp;F182</f>
        <v>item_icon_item_glo_00001</v>
      </c>
      <c r="H182" s="53" t="s">
        <v>2421</v>
      </c>
      <c r="I182" s="53" t="s">
        <v>1057</v>
      </c>
      <c r="J182" s="94">
        <v>9.99999999E8</v>
      </c>
      <c r="K182" s="94">
        <v>9.99999999E8</v>
      </c>
      <c r="L182" s="96" t="s">
        <v>2422</v>
      </c>
      <c r="M182" s="113"/>
      <c r="N182" s="307" t="s">
        <v>2109</v>
      </c>
      <c r="O182" s="311">
        <v>2.0251202E8</v>
      </c>
      <c r="P182" s="316"/>
      <c r="Q182" s="85"/>
      <c r="R182" s="85"/>
      <c r="S182" s="85"/>
      <c r="T182" s="85"/>
      <c r="U182" s="85"/>
    </row>
    <row r="183">
      <c r="A183" s="89" t="s">
        <v>283</v>
      </c>
      <c r="B183" s="375" t="str">
        <f t="array" ref="B183">iferror(INDEX('作品'!D:D,MATCH(A183,'作品'!A:A,0),0),"error")</f>
        <v>GLOW</v>
      </c>
      <c r="C183" s="376" t="s">
        <v>2420</v>
      </c>
      <c r="D183" s="46" t="s">
        <v>990</v>
      </c>
      <c r="E183" s="53" t="str">
        <f t="shared" si="23"/>
        <v>item_glo_00002</v>
      </c>
      <c r="F183" s="53" t="str">
        <f t="shared" si="24"/>
        <v>item_glo_00002</v>
      </c>
      <c r="G183" s="308" t="str">
        <f t="shared" si="25"/>
        <v>item_icon_item_glo_00002</v>
      </c>
      <c r="H183" s="53" t="s">
        <v>2423</v>
      </c>
      <c r="I183" s="53" t="s">
        <v>1057</v>
      </c>
      <c r="J183" s="94">
        <v>9.99999999E8</v>
      </c>
      <c r="K183" s="94">
        <v>9.99999999E8</v>
      </c>
      <c r="L183" s="96" t="s">
        <v>2422</v>
      </c>
      <c r="M183" s="113"/>
      <c r="N183" s="307" t="s">
        <v>2109</v>
      </c>
      <c r="O183" s="311" t="s">
        <v>2424</v>
      </c>
      <c r="P183" s="316"/>
      <c r="Q183" s="85"/>
      <c r="R183" s="85"/>
      <c r="S183" s="85"/>
      <c r="T183" s="85"/>
      <c r="U183" s="85"/>
    </row>
    <row r="184">
      <c r="A184" s="89" t="s">
        <v>283</v>
      </c>
      <c r="B184" s="375" t="str">
        <f t="array" ref="B184">iferror(INDEX('作品'!D:D,MATCH(A184,'作品'!A:A,0),0),"error")</f>
        <v>GLOW</v>
      </c>
      <c r="C184" s="376" t="s">
        <v>2420</v>
      </c>
      <c r="D184" s="46" t="s">
        <v>1267</v>
      </c>
      <c r="E184" s="53" t="str">
        <f t="shared" si="23"/>
        <v>item_glo_00003</v>
      </c>
      <c r="F184" s="53" t="str">
        <f t="shared" si="24"/>
        <v>item_glo_00003</v>
      </c>
      <c r="G184" s="308" t="str">
        <f t="shared" si="25"/>
        <v>item_icon_item_glo_00003</v>
      </c>
      <c r="H184" s="53" t="s">
        <v>2425</v>
      </c>
      <c r="I184" s="53" t="s">
        <v>1057</v>
      </c>
      <c r="J184" s="94">
        <v>9.99999999E8</v>
      </c>
      <c r="K184" s="94">
        <v>9.99999999E8</v>
      </c>
      <c r="L184" s="96" t="s">
        <v>2422</v>
      </c>
      <c r="M184" s="113"/>
      <c r="N184" s="307" t="s">
        <v>2109</v>
      </c>
      <c r="O184" s="311" t="s">
        <v>2424</v>
      </c>
      <c r="P184" s="316"/>
      <c r="Q184" s="85"/>
      <c r="R184" s="85"/>
      <c r="S184" s="85"/>
      <c r="T184" s="85"/>
      <c r="U184" s="85"/>
    </row>
    <row r="185">
      <c r="A185" s="89" t="s">
        <v>283</v>
      </c>
      <c r="B185" s="375" t="str">
        <f t="array" ref="B185">iferror(INDEX('作品'!D:D,MATCH(A185,'作品'!A:A,0),0),"error")</f>
        <v>GLOW</v>
      </c>
      <c r="C185" s="376" t="s">
        <v>2420</v>
      </c>
      <c r="D185" s="46" t="s">
        <v>1878</v>
      </c>
      <c r="E185" s="53" t="str">
        <f t="shared" si="23"/>
        <v>item_glo_00004</v>
      </c>
      <c r="F185" s="53" t="str">
        <f t="shared" si="24"/>
        <v>item_glo_00004</v>
      </c>
      <c r="G185" s="308" t="str">
        <f t="shared" si="25"/>
        <v>item_icon_item_glo_00004</v>
      </c>
      <c r="H185" s="53" t="s">
        <v>2426</v>
      </c>
      <c r="I185" s="53" t="s">
        <v>1057</v>
      </c>
      <c r="J185" s="94">
        <v>9.99999999E8</v>
      </c>
      <c r="K185" s="94">
        <v>9.99999999E8</v>
      </c>
      <c r="L185" s="96" t="s">
        <v>2422</v>
      </c>
      <c r="M185" s="113"/>
      <c r="N185" s="307" t="s">
        <v>2109</v>
      </c>
      <c r="O185" s="311" t="s">
        <v>2424</v>
      </c>
      <c r="P185" s="316"/>
      <c r="Q185" s="85"/>
      <c r="R185" s="85"/>
      <c r="S185" s="85"/>
      <c r="T185" s="85"/>
      <c r="U185" s="85"/>
    </row>
    <row r="186">
      <c r="A186" s="89" t="s">
        <v>166</v>
      </c>
      <c r="B186" s="305" t="str">
        <f t="array" ref="B186">iferror(INDEX('作品'!D:D,MATCH(A186,'作品'!A:A,0),0),"error")</f>
        <v>君のことが大大大大大好きな100人の彼女</v>
      </c>
      <c r="C186" s="376" t="s">
        <v>2420</v>
      </c>
      <c r="D186" s="46" t="s">
        <v>973</v>
      </c>
      <c r="E186" s="53" t="str">
        <f t="shared" si="23"/>
        <v>item_kim_00001</v>
      </c>
      <c r="F186" s="53" t="str">
        <f t="shared" si="24"/>
        <v>item_kim_00001</v>
      </c>
      <c r="G186" s="308" t="str">
        <f t="shared" si="25"/>
        <v>item_icon_item_kim_00001</v>
      </c>
      <c r="H186" s="53" t="s">
        <v>2427</v>
      </c>
      <c r="I186" s="53" t="s">
        <v>1057</v>
      </c>
      <c r="J186" s="94">
        <v>9.99999999E8</v>
      </c>
      <c r="K186" s="94">
        <v>9.99999999E8</v>
      </c>
      <c r="L186" s="96" t="s">
        <v>2428</v>
      </c>
      <c r="M186" s="113"/>
      <c r="N186" s="307" t="s">
        <v>2352</v>
      </c>
      <c r="O186" s="311"/>
      <c r="P186" s="316"/>
      <c r="Q186" s="85"/>
      <c r="R186" s="85"/>
      <c r="S186" s="85"/>
      <c r="T186" s="85"/>
      <c r="U186" s="85"/>
    </row>
    <row r="187">
      <c r="A187" s="89" t="s">
        <v>172</v>
      </c>
      <c r="B187" s="305" t="str">
        <f t="array" ref="B187">iferror(INDEX('作品'!D:D,MATCH(A187,'作品'!A:A,0),0),"error")</f>
        <v>ふつうの軽音部</v>
      </c>
      <c r="C187" s="376" t="s">
        <v>2420</v>
      </c>
      <c r="D187" s="46" t="s">
        <v>973</v>
      </c>
      <c r="E187" s="53" t="str">
        <f t="shared" si="23"/>
        <v>item_hut_00001</v>
      </c>
      <c r="F187" s="53" t="str">
        <f t="shared" si="24"/>
        <v>item_hut_00001</v>
      </c>
      <c r="G187" s="308" t="str">
        <f t="shared" si="25"/>
        <v>item_icon_item_hut_00001</v>
      </c>
      <c r="H187" s="53" t="s">
        <v>2429</v>
      </c>
      <c r="I187" s="53" t="s">
        <v>1057</v>
      </c>
      <c r="J187" s="94">
        <v>9.99999999E8</v>
      </c>
      <c r="K187" s="94">
        <v>9.99999999E8</v>
      </c>
      <c r="L187" s="96" t="s">
        <v>2430</v>
      </c>
      <c r="M187" s="113"/>
      <c r="N187" s="307" t="s">
        <v>2361</v>
      </c>
      <c r="O187" s="311"/>
      <c r="P187" s="316"/>
      <c r="Q187" s="85"/>
      <c r="R187" s="85"/>
      <c r="S187" s="85"/>
      <c r="T187" s="85"/>
      <c r="U187" s="85"/>
    </row>
    <row r="188">
      <c r="A188" s="89" t="s">
        <v>206</v>
      </c>
      <c r="B188" s="305" t="str">
        <f t="array" ref="B188">iferror(INDEX('作品'!D:D,MATCH(A188,'作品'!A:A,0),0),"error")</f>
        <v>あやかしトライアングル</v>
      </c>
      <c r="C188" s="376" t="s">
        <v>2420</v>
      </c>
      <c r="D188" s="46" t="s">
        <v>973</v>
      </c>
      <c r="E188" s="53" t="str">
        <f t="shared" si="23"/>
        <v>item_aya_00001</v>
      </c>
      <c r="F188" s="53" t="str">
        <f t="shared" si="24"/>
        <v>item_aya_00001</v>
      </c>
      <c r="G188" s="308" t="str">
        <f t="shared" si="25"/>
        <v>item_icon_item_aya_00001</v>
      </c>
      <c r="H188" s="53" t="s">
        <v>2431</v>
      </c>
      <c r="I188" s="53" t="s">
        <v>1057</v>
      </c>
      <c r="J188" s="94">
        <v>9.99999999E8</v>
      </c>
      <c r="K188" s="94">
        <v>9.99999999E8</v>
      </c>
      <c r="L188" s="96" t="s">
        <v>2432</v>
      </c>
      <c r="M188" s="113"/>
      <c r="N188" s="307" t="s">
        <v>2370</v>
      </c>
      <c r="O188" s="311"/>
      <c r="P188" s="316"/>
      <c r="Q188" s="85"/>
      <c r="R188" s="85"/>
      <c r="S188" s="85"/>
      <c r="T188" s="85"/>
      <c r="U188" s="85"/>
    </row>
    <row r="189">
      <c r="A189" s="377" t="s">
        <v>283</v>
      </c>
      <c r="B189" s="378" t="str">
        <f t="array" ref="B189">iferror(INDEX('作品'!D:D,MATCH(A189,'作品'!A:A,0),0),"error")</f>
        <v>GLOW</v>
      </c>
      <c r="C189" s="379" t="s">
        <v>2420</v>
      </c>
      <c r="D189" s="380" t="s">
        <v>2110</v>
      </c>
      <c r="E189" s="381" t="str">
        <f t="shared" si="23"/>
        <v>item_glo_90000</v>
      </c>
      <c r="F189" s="381" t="str">
        <f t="shared" si="24"/>
        <v>item_glo_90000</v>
      </c>
      <c r="G189" s="377" t="str">
        <f t="shared" si="25"/>
        <v>item_icon_item_glo_90000</v>
      </c>
      <c r="H189" s="381" t="s">
        <v>2433</v>
      </c>
      <c r="I189" s="381" t="s">
        <v>976</v>
      </c>
      <c r="J189" s="382" t="s">
        <v>2434</v>
      </c>
      <c r="K189" s="382">
        <v>1.0</v>
      </c>
      <c r="L189" s="383"/>
      <c r="M189" s="383" t="s">
        <v>2435</v>
      </c>
      <c r="N189" s="381"/>
      <c r="O189" s="384"/>
      <c r="P189" s="385"/>
      <c r="Q189" s="85"/>
      <c r="R189" s="85"/>
      <c r="S189" s="85"/>
      <c r="T189" s="85"/>
      <c r="U189" s="85"/>
    </row>
    <row r="190" ht="9.0" customHeight="1">
      <c r="A190" s="118"/>
      <c r="B190" s="87"/>
      <c r="C190" s="87"/>
      <c r="D190" s="87"/>
      <c r="E190" s="87"/>
      <c r="F190" s="87"/>
      <c r="G190" s="87"/>
      <c r="H190" s="87"/>
      <c r="I190" s="87"/>
      <c r="J190" s="87"/>
      <c r="K190" s="87"/>
      <c r="L190" s="87"/>
      <c r="M190" s="87"/>
      <c r="N190" s="87"/>
      <c r="O190" s="87"/>
      <c r="P190" s="88"/>
      <c r="Q190" s="85"/>
      <c r="R190" s="85"/>
      <c r="S190" s="85"/>
      <c r="T190" s="85"/>
      <c r="U190" s="85"/>
    </row>
    <row r="191">
      <c r="A191" s="89" t="s">
        <v>283</v>
      </c>
      <c r="B191" s="375" t="str">
        <f t="array" ref="B191">iferror(INDEX('作品'!D:D,MATCH(A191,'作品'!A:A,0),0),"error")</f>
        <v>GLOW</v>
      </c>
      <c r="C191" s="376" t="s">
        <v>2436</v>
      </c>
      <c r="D191" s="46" t="s">
        <v>973</v>
      </c>
      <c r="E191" s="53" t="str">
        <f>C191&amp;"_"&amp;A191&amp;"_"&amp;D191</f>
        <v>box_item_glo_00001</v>
      </c>
      <c r="F191" s="53" t="str">
        <f>E191</f>
        <v>box_item_glo_00001</v>
      </c>
      <c r="G191" s="308" t="str">
        <f>"item_icon_"&amp;F191</f>
        <v>item_icon_box_item_glo_00001</v>
      </c>
      <c r="H191" s="53" t="s">
        <v>2437</v>
      </c>
      <c r="I191" s="53" t="s">
        <v>1057</v>
      </c>
      <c r="J191" s="94">
        <v>9.99999999E8</v>
      </c>
      <c r="K191" s="94">
        <v>9.99999999E8</v>
      </c>
      <c r="L191" s="96" t="s">
        <v>2438</v>
      </c>
      <c r="M191" s="113"/>
      <c r="N191" s="307" t="s">
        <v>2109</v>
      </c>
      <c r="O191" s="311" t="s">
        <v>2424</v>
      </c>
      <c r="P191" s="316"/>
      <c r="Q191" s="85"/>
      <c r="R191" s="85"/>
      <c r="S191" s="85"/>
      <c r="T191" s="85"/>
      <c r="U191" s="85"/>
    </row>
    <row r="192">
      <c r="A192" s="98"/>
      <c r="B192" s="98"/>
      <c r="C192" s="98"/>
      <c r="D192" s="386"/>
      <c r="E192" s="98"/>
      <c r="F192" s="98"/>
      <c r="G192" s="98"/>
      <c r="H192" s="98"/>
      <c r="I192" s="98"/>
      <c r="J192" s="98"/>
      <c r="K192" s="113"/>
      <c r="L192" s="113"/>
      <c r="M192" s="113"/>
      <c r="N192" s="98"/>
      <c r="O192" s="98"/>
      <c r="P192" s="387"/>
      <c r="Q192" s="85"/>
      <c r="R192" s="85"/>
      <c r="S192" s="85"/>
      <c r="T192" s="85"/>
      <c r="U192" s="85"/>
    </row>
    <row r="193">
      <c r="A193" s="98"/>
      <c r="B193" s="98"/>
      <c r="C193" s="98"/>
      <c r="D193" s="386"/>
      <c r="E193" s="98"/>
      <c r="F193" s="98"/>
      <c r="G193" s="98"/>
      <c r="H193" s="98"/>
      <c r="I193" s="98"/>
      <c r="J193" s="98"/>
      <c r="K193" s="113"/>
      <c r="L193" s="113"/>
      <c r="M193" s="113"/>
      <c r="N193" s="98"/>
      <c r="O193" s="98"/>
      <c r="P193" s="387"/>
      <c r="Q193" s="85"/>
      <c r="R193" s="85"/>
      <c r="S193" s="85"/>
      <c r="T193" s="85"/>
      <c r="U193" s="85"/>
    </row>
    <row r="194">
      <c r="A194" s="98"/>
      <c r="B194" s="98"/>
      <c r="C194" s="98"/>
      <c r="D194" s="386"/>
      <c r="E194" s="98"/>
      <c r="F194" s="98"/>
      <c r="G194" s="98"/>
      <c r="H194" s="98"/>
      <c r="I194" s="98"/>
      <c r="J194" s="98"/>
      <c r="K194" s="113"/>
      <c r="L194" s="113"/>
      <c r="M194" s="113"/>
      <c r="N194" s="98"/>
      <c r="O194" s="98"/>
      <c r="P194" s="387"/>
      <c r="Q194" s="85"/>
      <c r="R194" s="85"/>
      <c r="S194" s="85"/>
      <c r="T194" s="85"/>
      <c r="U194" s="85"/>
    </row>
    <row r="195" ht="9.0" customHeight="1">
      <c r="A195" s="118"/>
      <c r="B195" s="87"/>
      <c r="C195" s="87"/>
      <c r="D195" s="87"/>
      <c r="E195" s="87"/>
      <c r="F195" s="87"/>
      <c r="G195" s="87"/>
      <c r="H195" s="87"/>
      <c r="I195" s="87"/>
      <c r="J195" s="87"/>
      <c r="K195" s="87"/>
      <c r="L195" s="87"/>
      <c r="M195" s="87"/>
      <c r="N195" s="87"/>
      <c r="O195" s="87"/>
      <c r="P195" s="88"/>
      <c r="Q195" s="85"/>
      <c r="R195" s="85"/>
      <c r="S195" s="85"/>
      <c r="T195" s="85"/>
      <c r="U195" s="85"/>
    </row>
    <row r="196">
      <c r="A196" s="99" t="s">
        <v>283</v>
      </c>
      <c r="B196" s="78" t="s">
        <v>285</v>
      </c>
      <c r="C196" s="53" t="s">
        <v>2439</v>
      </c>
      <c r="D196" s="46" t="s">
        <v>973</v>
      </c>
      <c r="E196" s="78" t="str">
        <f>C196&amp;"_"&amp;A196&amp;"_"&amp;D196</f>
        <v>entry_item_glo_00001</v>
      </c>
      <c r="F196" s="78" t="str">
        <f>E196</f>
        <v>entry_item_glo_00001</v>
      </c>
      <c r="G196" s="308" t="str">
        <f>"item_icon_"&amp;F196</f>
        <v>item_icon_entry_item_glo_00001</v>
      </c>
      <c r="H196" s="53" t="s">
        <v>2440</v>
      </c>
      <c r="I196" s="53" t="s">
        <v>976</v>
      </c>
      <c r="J196" s="94">
        <v>9.99999999E8</v>
      </c>
      <c r="K196" s="94">
        <v>9.99999999E8</v>
      </c>
      <c r="L196" s="96" t="s">
        <v>2441</v>
      </c>
      <c r="M196" s="95" t="s">
        <v>2442</v>
      </c>
      <c r="N196" s="307" t="s">
        <v>2049</v>
      </c>
      <c r="O196" s="311">
        <v>2.0250901E8</v>
      </c>
      <c r="P196" s="316"/>
      <c r="Q196" s="85"/>
      <c r="R196" s="85"/>
      <c r="S196" s="85"/>
      <c r="T196" s="85"/>
      <c r="U196" s="85"/>
    </row>
    <row r="197">
      <c r="A197" s="388"/>
      <c r="B197" s="389"/>
      <c r="C197" s="389"/>
      <c r="D197" s="390"/>
      <c r="E197" s="389"/>
      <c r="F197" s="390"/>
      <c r="G197" s="391"/>
      <c r="H197" s="389"/>
      <c r="I197" s="389"/>
      <c r="J197" s="392"/>
      <c r="K197" s="392"/>
      <c r="L197" s="393"/>
      <c r="M197" s="394"/>
      <c r="N197" s="395"/>
      <c r="O197" s="395"/>
      <c r="P197" s="396"/>
      <c r="Q197" s="85"/>
      <c r="R197" s="85"/>
      <c r="S197" s="85"/>
      <c r="T197" s="85"/>
      <c r="U197" s="85"/>
    </row>
    <row r="198">
      <c r="A198" s="388"/>
      <c r="B198" s="389"/>
      <c r="C198" s="389"/>
      <c r="D198" s="390"/>
      <c r="E198" s="389"/>
      <c r="F198" s="390"/>
      <c r="G198" s="391"/>
      <c r="H198" s="389"/>
      <c r="I198" s="389"/>
      <c r="J198" s="392"/>
      <c r="K198" s="392"/>
      <c r="L198" s="393"/>
      <c r="M198" s="394"/>
      <c r="N198" s="395"/>
      <c r="O198" s="395"/>
      <c r="P198" s="396"/>
      <c r="Q198" s="85"/>
      <c r="R198" s="85"/>
      <c r="S198" s="85"/>
      <c r="T198" s="85"/>
      <c r="U198" s="85"/>
    </row>
    <row r="199">
      <c r="A199" s="388"/>
      <c r="B199" s="389"/>
      <c r="C199" s="389"/>
      <c r="D199" s="390"/>
      <c r="E199" s="389"/>
      <c r="F199" s="390"/>
      <c r="G199" s="391"/>
      <c r="H199" s="389"/>
      <c r="I199" s="389"/>
      <c r="J199" s="392"/>
      <c r="K199" s="392"/>
      <c r="L199" s="393"/>
      <c r="M199" s="394"/>
      <c r="N199" s="395"/>
      <c r="O199" s="395"/>
      <c r="P199" s="396"/>
      <c r="Q199" s="85"/>
      <c r="R199" s="85"/>
      <c r="S199" s="85"/>
      <c r="T199" s="85"/>
      <c r="U199" s="85"/>
    </row>
  </sheetData>
  <mergeCells count="10">
    <mergeCell ref="A181:P181"/>
    <mergeCell ref="A190:P190"/>
    <mergeCell ref="A195:P195"/>
    <mergeCell ref="A4:P4"/>
    <mergeCell ref="A9:P9"/>
    <mergeCell ref="A29:P29"/>
    <mergeCell ref="A39:P39"/>
    <mergeCell ref="A54:P54"/>
    <mergeCell ref="A57:P57"/>
    <mergeCell ref="A158:P158"/>
  </mergeCells>
  <conditionalFormatting sqref="E1:E57 H21:H28 E59:E180 E182:E189 E191 E196:E199">
    <cfRule type="expression" dxfId="0" priority="1">
      <formula>COUNTIF(E:E,E:E)&gt;1</formula>
    </cfRule>
  </conditionalFormatting>
  <hyperlinks>
    <hyperlink r:id="rId2" ref="M10"/>
  </hyperlinks>
  <drawing r:id="rId3"/>
  <legacy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14.13"/>
    <col customWidth="1" min="3" max="6" width="13.13"/>
  </cols>
  <sheetData>
    <row r="1">
      <c r="A1" s="397" t="s">
        <v>2443</v>
      </c>
      <c r="B1" s="398" t="s">
        <v>2444</v>
      </c>
      <c r="C1" s="399"/>
      <c r="D1" s="397" t="s">
        <v>2445</v>
      </c>
      <c r="E1" s="398" t="s">
        <v>2445</v>
      </c>
      <c r="F1" s="399"/>
    </row>
    <row r="2">
      <c r="A2" s="400" t="s">
        <v>2446</v>
      </c>
      <c r="B2" s="401" t="s">
        <v>2447</v>
      </c>
      <c r="C2" s="56"/>
      <c r="D2" s="46" t="s">
        <v>2448</v>
      </c>
      <c r="E2" s="142" t="s">
        <v>2449</v>
      </c>
      <c r="F2" s="56"/>
    </row>
    <row r="3">
      <c r="A3" s="46" t="s">
        <v>2450</v>
      </c>
      <c r="B3" s="142" t="s">
        <v>2451</v>
      </c>
      <c r="C3" s="56"/>
      <c r="D3" s="46" t="s">
        <v>2452</v>
      </c>
      <c r="E3" s="142" t="s">
        <v>2453</v>
      </c>
      <c r="F3" s="56"/>
    </row>
    <row r="4">
      <c r="A4" s="46" t="s">
        <v>2454</v>
      </c>
      <c r="B4" s="142" t="s">
        <v>2455</v>
      </c>
      <c r="C4" s="56"/>
      <c r="D4" s="46" t="s">
        <v>2456</v>
      </c>
      <c r="E4" s="142" t="s">
        <v>2457</v>
      </c>
      <c r="F4" s="56"/>
    </row>
    <row r="5">
      <c r="A5" s="46" t="s">
        <v>2458</v>
      </c>
      <c r="B5" s="142" t="s">
        <v>2459</v>
      </c>
      <c r="C5" s="56"/>
      <c r="D5" s="46" t="s">
        <v>2460</v>
      </c>
      <c r="E5" s="142" t="s">
        <v>429</v>
      </c>
      <c r="F5" s="56"/>
    </row>
    <row r="6">
      <c r="A6" s="46"/>
      <c r="B6" s="142"/>
      <c r="C6" s="56"/>
      <c r="D6" s="46" t="s">
        <v>2461</v>
      </c>
      <c r="E6" s="142" t="s">
        <v>2462</v>
      </c>
      <c r="F6" s="56"/>
    </row>
    <row r="7">
      <c r="A7" s="46"/>
      <c r="B7" s="142"/>
      <c r="C7" s="56"/>
      <c r="D7" s="295" t="s">
        <v>2463</v>
      </c>
      <c r="E7" s="149" t="s">
        <v>2464</v>
      </c>
      <c r="F7" s="56"/>
    </row>
    <row r="8">
      <c r="A8" s="56"/>
      <c r="B8" s="56"/>
      <c r="C8" s="56"/>
      <c r="D8" s="295" t="s">
        <v>2454</v>
      </c>
      <c r="E8" s="149" t="s">
        <v>2455</v>
      </c>
      <c r="F8" s="56"/>
    </row>
    <row r="9">
      <c r="A9" s="56"/>
      <c r="B9" s="56"/>
      <c r="C9" s="56"/>
      <c r="D9" s="46"/>
      <c r="E9" s="142"/>
      <c r="F9" s="56"/>
    </row>
    <row r="10">
      <c r="A10" s="56"/>
      <c r="B10" s="56"/>
      <c r="C10" s="56"/>
      <c r="D10" s="46"/>
      <c r="E10" s="142"/>
      <c r="F10" s="56"/>
    </row>
    <row r="11">
      <c r="A11" s="56"/>
      <c r="B11" s="56"/>
      <c r="C11" s="56"/>
      <c r="D11" s="46"/>
      <c r="E11" s="142"/>
      <c r="F11" s="56"/>
    </row>
    <row r="12">
      <c r="A12" s="56"/>
      <c r="B12" s="56"/>
      <c r="C12" s="56"/>
      <c r="D12" s="46"/>
      <c r="E12" s="142"/>
      <c r="F12" s="56"/>
    </row>
    <row r="13">
      <c r="A13" s="56"/>
      <c r="B13" s="56"/>
      <c r="C13" s="56"/>
      <c r="F13" s="56"/>
    </row>
    <row r="14">
      <c r="A14" s="56"/>
      <c r="B14" s="56"/>
      <c r="C14" s="56"/>
      <c r="F14" s="56"/>
    </row>
    <row r="15">
      <c r="A15" s="56"/>
      <c r="B15" s="56"/>
      <c r="C15" s="56"/>
    </row>
    <row r="16">
      <c r="A16" s="56"/>
      <c r="B16" s="56"/>
      <c r="C16" s="56"/>
      <c r="F16" s="56"/>
    </row>
    <row r="17">
      <c r="A17" s="56"/>
      <c r="B17" s="56"/>
      <c r="C17" s="56"/>
      <c r="F17" s="56"/>
    </row>
    <row r="18">
      <c r="A18" s="56"/>
      <c r="B18" s="56"/>
      <c r="C18" s="56"/>
      <c r="D18" s="56"/>
      <c r="E18" s="56"/>
      <c r="F18" s="5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0"/>
    <col customWidth="1" min="3" max="3" width="11.0"/>
    <col customWidth="1" min="4" max="4" width="21.38"/>
    <col customWidth="1" min="6" max="6" width="15.25"/>
    <col customWidth="1" min="7" max="7" width="17.0"/>
    <col customWidth="1" min="8" max="8" width="15.0"/>
    <col customWidth="1" min="9" max="9" width="16.5"/>
  </cols>
  <sheetData>
    <row r="1">
      <c r="A1" s="402" t="s">
        <v>2465</v>
      </c>
      <c r="B1" s="303" t="s">
        <v>43</v>
      </c>
      <c r="C1" s="303" t="s">
        <v>951</v>
      </c>
      <c r="D1" s="403" t="s">
        <v>2466</v>
      </c>
      <c r="E1" s="404" t="s">
        <v>952</v>
      </c>
      <c r="F1" s="405" t="s">
        <v>292</v>
      </c>
      <c r="G1" s="405" t="s">
        <v>293</v>
      </c>
      <c r="H1" s="406" t="s">
        <v>294</v>
      </c>
      <c r="I1" s="407" t="s">
        <v>295</v>
      </c>
      <c r="J1" s="407" t="s">
        <v>58</v>
      </c>
    </row>
    <row r="2">
      <c r="A2" s="408" t="s">
        <v>60</v>
      </c>
      <c r="B2" s="90" t="str">
        <f t="array" ref="B2">iferror(INDEX('作品'!D:D,MATCH(A2,'作品'!A:A,0),0),"error")</f>
        <v>SPY×FAMILY</v>
      </c>
      <c r="C2" s="48" t="s">
        <v>973</v>
      </c>
      <c r="D2" s="409" t="str">
        <f t="shared" ref="D2:D50" si="1">"unit_icon_chara"&amp;"_"&amp;A2&amp;"_"&amp;C2</f>
        <v>unit_icon_chara_spy_00001</v>
      </c>
      <c r="E2" s="57" t="s">
        <v>2467</v>
      </c>
      <c r="F2" s="47" t="s">
        <v>300</v>
      </c>
      <c r="G2" s="410" t="s">
        <v>300</v>
      </c>
      <c r="H2" s="411">
        <v>45658.0</v>
      </c>
      <c r="I2" s="412">
        <v>390812.49998842593</v>
      </c>
      <c r="J2" s="413"/>
    </row>
    <row r="3">
      <c r="A3" s="408" t="s">
        <v>60</v>
      </c>
      <c r="B3" s="90" t="str">
        <f t="array" ref="B3">iferror(INDEX('作品'!D:D,MATCH(A3,'作品'!A:A,0),0),"error")</f>
        <v>SPY×FAMILY</v>
      </c>
      <c r="C3" s="48" t="s">
        <v>990</v>
      </c>
      <c r="D3" s="409" t="str">
        <f t="shared" si="1"/>
        <v>unit_icon_chara_spy_00002</v>
      </c>
      <c r="E3" s="57" t="s">
        <v>2468</v>
      </c>
      <c r="F3" s="47" t="s">
        <v>298</v>
      </c>
      <c r="G3" s="410" t="s">
        <v>298</v>
      </c>
      <c r="H3" s="411">
        <v>45658.0</v>
      </c>
      <c r="I3" s="412">
        <v>390812.49998842593</v>
      </c>
      <c r="J3" s="413"/>
    </row>
    <row r="4">
      <c r="A4" s="408" t="s">
        <v>60</v>
      </c>
      <c r="B4" s="90" t="str">
        <f t="array" ref="B4">iferror(INDEX('作品'!D:D,MATCH(A4,'作品'!A:A,0),0),"error")</f>
        <v>SPY×FAMILY</v>
      </c>
      <c r="C4" s="48" t="s">
        <v>1001</v>
      </c>
      <c r="D4" s="409" t="str">
        <f t="shared" si="1"/>
        <v>unit_icon_chara_spy_00101</v>
      </c>
      <c r="E4" s="57" t="s">
        <v>2469</v>
      </c>
      <c r="F4" s="47" t="s">
        <v>302</v>
      </c>
      <c r="G4" s="414"/>
      <c r="H4" s="411">
        <v>45658.0</v>
      </c>
      <c r="I4" s="412">
        <v>390812.49998842593</v>
      </c>
      <c r="J4" s="413"/>
    </row>
    <row r="5">
      <c r="A5" s="408" t="s">
        <v>60</v>
      </c>
      <c r="B5" s="90" t="str">
        <f t="array" ref="B5">iferror(INDEX('作品'!D:D,MATCH(A5,'作品'!A:A,0),0),"error")</f>
        <v>SPY×FAMILY</v>
      </c>
      <c r="C5" s="48" t="s">
        <v>1014</v>
      </c>
      <c r="D5" s="409" t="str">
        <f t="shared" si="1"/>
        <v>unit_icon_chara_spy_00201</v>
      </c>
      <c r="E5" s="57" t="s">
        <v>2470</v>
      </c>
      <c r="F5" s="47" t="s">
        <v>304</v>
      </c>
      <c r="G5" s="414"/>
      <c r="H5" s="411">
        <v>45658.0</v>
      </c>
      <c r="I5" s="412">
        <v>390812.49998842593</v>
      </c>
      <c r="J5" s="413"/>
    </row>
    <row r="6">
      <c r="A6" s="408" t="s">
        <v>60</v>
      </c>
      <c r="B6" s="90" t="str">
        <f t="array" ref="B6">iferror(INDEX('作品'!D:D,MATCH(A6,'作品'!A:A,0),0),"error")</f>
        <v>SPY×FAMILY</v>
      </c>
      <c r="C6" s="48" t="s">
        <v>1026</v>
      </c>
      <c r="D6" s="409" t="str">
        <f t="shared" si="1"/>
        <v>unit_icon_chara_spy_00301</v>
      </c>
      <c r="E6" s="57" t="s">
        <v>2471</v>
      </c>
      <c r="F6" s="47" t="s">
        <v>306</v>
      </c>
      <c r="G6" s="414"/>
      <c r="H6" s="411">
        <v>45658.0</v>
      </c>
      <c r="I6" s="412">
        <v>390812.49998842593</v>
      </c>
      <c r="J6" s="413"/>
    </row>
    <row r="7">
      <c r="A7" s="408" t="s">
        <v>60</v>
      </c>
      <c r="B7" s="90" t="str">
        <f t="array" ref="B7">iferror(INDEX('作品'!D:D,MATCH(A7,'作品'!A:A,0),0),"error")</f>
        <v>SPY×FAMILY</v>
      </c>
      <c r="C7" s="48" t="s">
        <v>1034</v>
      </c>
      <c r="D7" s="409" t="str">
        <f t="shared" si="1"/>
        <v>unit_icon_chara_spy_00401</v>
      </c>
      <c r="E7" s="57" t="s">
        <v>2472</v>
      </c>
      <c r="F7" s="47" t="s">
        <v>308</v>
      </c>
      <c r="G7" s="414"/>
      <c r="H7" s="411">
        <v>45658.0</v>
      </c>
      <c r="I7" s="412">
        <v>390812.49998842593</v>
      </c>
      <c r="J7" s="413"/>
    </row>
    <row r="8">
      <c r="A8" s="408" t="s">
        <v>68</v>
      </c>
      <c r="B8" s="90" t="str">
        <f t="array" ref="B8">iferror(INDEX('作品'!D:D,MATCH(A8,'作品'!A:A,0),0),"error")</f>
        <v>ラーメン赤猫</v>
      </c>
      <c r="C8" s="48" t="s">
        <v>973</v>
      </c>
      <c r="D8" s="409" t="str">
        <f t="shared" si="1"/>
        <v>unit_icon_chara_aka_00001</v>
      </c>
      <c r="E8" s="57" t="s">
        <v>2473</v>
      </c>
      <c r="F8" s="47" t="s">
        <v>310</v>
      </c>
      <c r="G8" s="414"/>
      <c r="H8" s="411">
        <v>45658.0</v>
      </c>
      <c r="I8" s="412">
        <v>390812.49998842593</v>
      </c>
      <c r="J8" s="415"/>
    </row>
    <row r="9">
      <c r="A9" s="408" t="s">
        <v>68</v>
      </c>
      <c r="B9" s="90" t="str">
        <f t="array" ref="B9">iferror(INDEX('作品'!D:D,MATCH(A9,'作品'!A:A,0),0),"error")</f>
        <v>ラーメン赤猫</v>
      </c>
      <c r="C9" s="48" t="s">
        <v>1001</v>
      </c>
      <c r="D9" s="409" t="str">
        <f t="shared" si="1"/>
        <v>unit_icon_chara_aka_00101</v>
      </c>
      <c r="E9" s="57" t="s">
        <v>2474</v>
      </c>
      <c r="F9" s="47" t="s">
        <v>312</v>
      </c>
      <c r="G9" s="414"/>
      <c r="H9" s="411">
        <v>45658.0</v>
      </c>
      <c r="I9" s="412">
        <v>390812.49998842593</v>
      </c>
      <c r="J9" s="415"/>
    </row>
    <row r="10">
      <c r="A10" s="408" t="s">
        <v>75</v>
      </c>
      <c r="B10" s="90" t="str">
        <f t="array" ref="B10">iferror(INDEX('作品'!D:D,MATCH(A10,'作品'!A:A,0),0),"error")</f>
        <v>トマトイプーのリコピン</v>
      </c>
      <c r="C10" s="48" t="s">
        <v>973</v>
      </c>
      <c r="D10" s="409" t="str">
        <f t="shared" si="1"/>
        <v>unit_icon_chara_rik_00001</v>
      </c>
      <c r="E10" s="57" t="s">
        <v>2475</v>
      </c>
      <c r="F10" s="47" t="s">
        <v>314</v>
      </c>
      <c r="G10" s="414"/>
      <c r="H10" s="411">
        <v>45658.0</v>
      </c>
      <c r="I10" s="412">
        <v>390812.49998842593</v>
      </c>
      <c r="J10" s="415"/>
    </row>
    <row r="11">
      <c r="A11" s="408" t="s">
        <v>75</v>
      </c>
      <c r="B11" s="90" t="str">
        <f t="array" ref="B11">iferror(INDEX('作品'!D:D,MATCH(A11,'作品'!A:A,0),0),"error")</f>
        <v>トマトイプーのリコピン</v>
      </c>
      <c r="C11" s="48" t="s">
        <v>1001</v>
      </c>
      <c r="D11" s="409" t="str">
        <f t="shared" si="1"/>
        <v>unit_icon_chara_rik_00101</v>
      </c>
      <c r="E11" s="57" t="s">
        <v>2476</v>
      </c>
      <c r="F11" s="47" t="s">
        <v>316</v>
      </c>
      <c r="G11" s="414"/>
      <c r="H11" s="411">
        <v>45658.0</v>
      </c>
      <c r="I11" s="412">
        <v>390812.49998842593</v>
      </c>
      <c r="J11" s="415"/>
    </row>
    <row r="12">
      <c r="A12" s="408" t="s">
        <v>75</v>
      </c>
      <c r="B12" s="90" t="str">
        <f t="array" ref="B12">iferror(INDEX('作品'!D:D,MATCH(A12,'作品'!A:A,0),0),"error")</f>
        <v>トマトイプーのリコピン</v>
      </c>
      <c r="C12" s="48" t="s">
        <v>1014</v>
      </c>
      <c r="D12" s="409" t="str">
        <f t="shared" si="1"/>
        <v>unit_icon_chara_rik_00201</v>
      </c>
      <c r="E12" s="57" t="s">
        <v>2477</v>
      </c>
      <c r="F12" s="47" t="s">
        <v>318</v>
      </c>
      <c r="G12" s="414"/>
      <c r="H12" s="411">
        <v>45658.0</v>
      </c>
      <c r="I12" s="412">
        <v>390812.49998842593</v>
      </c>
      <c r="J12" s="415"/>
    </row>
    <row r="13">
      <c r="A13" s="408" t="s">
        <v>80</v>
      </c>
      <c r="B13" s="90" t="str">
        <f t="array" ref="B13">iferror(INDEX('作品'!D:D,MATCH(A13,'作品'!A:A,0),0),"error")</f>
        <v>ダンダダン</v>
      </c>
      <c r="C13" s="48" t="s">
        <v>973</v>
      </c>
      <c r="D13" s="409" t="str">
        <f t="shared" si="1"/>
        <v>unit_icon_chara_dan_00001</v>
      </c>
      <c r="E13" s="57" t="s">
        <v>2478</v>
      </c>
      <c r="F13" s="47" t="s">
        <v>324</v>
      </c>
      <c r="G13" s="414"/>
      <c r="H13" s="411">
        <v>45658.0</v>
      </c>
      <c r="I13" s="412">
        <v>390812.49998842593</v>
      </c>
      <c r="J13" s="415"/>
    </row>
    <row r="14">
      <c r="A14" s="408" t="s">
        <v>80</v>
      </c>
      <c r="B14" s="90" t="str">
        <f t="array" ref="B14">iferror(INDEX('作品'!D:D,MATCH(A14,'作品'!A:A,0),0),"error")</f>
        <v>ダンダダン</v>
      </c>
      <c r="C14" s="48" t="s">
        <v>990</v>
      </c>
      <c r="D14" s="409" t="str">
        <f t="shared" si="1"/>
        <v>unit_icon_chara_dan_00002</v>
      </c>
      <c r="E14" s="57" t="s">
        <v>2479</v>
      </c>
      <c r="F14" s="47" t="s">
        <v>322</v>
      </c>
      <c r="G14" s="414"/>
      <c r="H14" s="411">
        <v>45658.0</v>
      </c>
      <c r="I14" s="412">
        <v>390812.49998842593</v>
      </c>
      <c r="J14" s="415"/>
    </row>
    <row r="15">
      <c r="A15" s="408" t="s">
        <v>80</v>
      </c>
      <c r="B15" s="90" t="str">
        <f t="array" ref="B15">iferror(INDEX('作品'!D:D,MATCH(A15,'作品'!A:A,0),0),"error")</f>
        <v>ダンダダン</v>
      </c>
      <c r="C15" s="48" t="s">
        <v>1001</v>
      </c>
      <c r="D15" s="409" t="str">
        <f t="shared" si="1"/>
        <v>unit_icon_chara_dan_00101</v>
      </c>
      <c r="E15" s="57" t="s">
        <v>2480</v>
      </c>
      <c r="F15" s="47" t="s">
        <v>320</v>
      </c>
      <c r="G15" s="414"/>
      <c r="H15" s="411">
        <v>45658.0</v>
      </c>
      <c r="I15" s="412">
        <v>390812.49998842593</v>
      </c>
      <c r="J15" s="415"/>
    </row>
    <row r="16">
      <c r="A16" s="408" t="s">
        <v>80</v>
      </c>
      <c r="B16" s="90" t="str">
        <f t="array" ref="B16">iferror(INDEX('作品'!D:D,MATCH(A16,'作品'!A:A,0),0),"error")</f>
        <v>ダンダダン</v>
      </c>
      <c r="C16" s="48" t="s">
        <v>1014</v>
      </c>
      <c r="D16" s="409" t="str">
        <f t="shared" si="1"/>
        <v>unit_icon_chara_dan_00201</v>
      </c>
      <c r="E16" s="57" t="s">
        <v>2481</v>
      </c>
      <c r="F16" s="47" t="s">
        <v>326</v>
      </c>
      <c r="G16" s="414"/>
      <c r="H16" s="411">
        <v>45658.0</v>
      </c>
      <c r="I16" s="412">
        <v>390812.49998842593</v>
      </c>
      <c r="J16" s="415"/>
    </row>
    <row r="17">
      <c r="A17" s="408" t="s">
        <v>87</v>
      </c>
      <c r="B17" s="90" t="str">
        <f t="array" ref="B17">iferror(INDEX('作品'!D:D,MATCH(A17,'作品'!A:A,0),0),"error")</f>
        <v>姫様“拷問”の時間です</v>
      </c>
      <c r="C17" s="48" t="s">
        <v>973</v>
      </c>
      <c r="D17" s="409" t="str">
        <f t="shared" si="1"/>
        <v>unit_icon_chara_gom_00001</v>
      </c>
      <c r="E17" s="57" t="s">
        <v>2482</v>
      </c>
      <c r="F17" s="47" t="s">
        <v>328</v>
      </c>
      <c r="G17" s="414"/>
      <c r="H17" s="411">
        <v>45658.0</v>
      </c>
      <c r="I17" s="412">
        <v>390812.49998842593</v>
      </c>
      <c r="J17" s="415"/>
    </row>
    <row r="18">
      <c r="A18" s="408" t="s">
        <v>87</v>
      </c>
      <c r="B18" s="90" t="str">
        <f t="array" ref="B18">iferror(INDEX('作品'!D:D,MATCH(A18,'作品'!A:A,0),0),"error")</f>
        <v>姫様“拷問”の時間です</v>
      </c>
      <c r="C18" s="48" t="s">
        <v>1001</v>
      </c>
      <c r="D18" s="409" t="str">
        <f t="shared" si="1"/>
        <v>unit_icon_chara_gom_00101</v>
      </c>
      <c r="E18" s="57" t="s">
        <v>2483</v>
      </c>
      <c r="F18" s="47" t="s">
        <v>330</v>
      </c>
      <c r="G18" s="414"/>
      <c r="H18" s="411">
        <v>45658.0</v>
      </c>
      <c r="I18" s="412">
        <v>390812.49998842593</v>
      </c>
      <c r="J18" s="415"/>
    </row>
    <row r="19">
      <c r="A19" s="408" t="s">
        <v>92</v>
      </c>
      <c r="B19" s="90" t="str">
        <f t="array" ref="B19">iferror(INDEX('作品'!D:D,MATCH(A19,'作品'!A:A,0),0),"error")</f>
        <v>チェンソーマン</v>
      </c>
      <c r="C19" s="48" t="s">
        <v>973</v>
      </c>
      <c r="D19" s="409" t="str">
        <f t="shared" si="1"/>
        <v>unit_icon_chara_chi_00001</v>
      </c>
      <c r="E19" s="46" t="s">
        <v>2484</v>
      </c>
      <c r="F19" s="47" t="s">
        <v>333</v>
      </c>
      <c r="G19" s="414"/>
      <c r="H19" s="411">
        <v>45658.0</v>
      </c>
      <c r="I19" s="412">
        <v>390812.49998842593</v>
      </c>
      <c r="J19" s="415"/>
    </row>
    <row r="20">
      <c r="A20" s="408" t="s">
        <v>92</v>
      </c>
      <c r="B20" s="90" t="str">
        <f t="array" ref="B20">iferror(INDEX('作品'!D:D,MATCH(A20,'作品'!A:A,0),0),"error")</f>
        <v>チェンソーマン</v>
      </c>
      <c r="C20" s="48" t="s">
        <v>990</v>
      </c>
      <c r="D20" s="409" t="str">
        <f t="shared" si="1"/>
        <v>unit_icon_chara_chi_00002</v>
      </c>
      <c r="E20" s="46" t="s">
        <v>2485</v>
      </c>
      <c r="F20" s="47" t="s">
        <v>335</v>
      </c>
      <c r="G20" s="414"/>
      <c r="H20" s="411">
        <v>45658.0</v>
      </c>
      <c r="I20" s="412">
        <v>390812.49998842593</v>
      </c>
      <c r="J20" s="415"/>
    </row>
    <row r="21">
      <c r="A21" s="408" t="s">
        <v>92</v>
      </c>
      <c r="B21" s="90" t="str">
        <f t="array" ref="B21">iferror(INDEX('作品'!D:D,MATCH(A21,'作品'!A:A,0),0),"error")</f>
        <v>チェンソーマン</v>
      </c>
      <c r="C21" s="48" t="s">
        <v>1001</v>
      </c>
      <c r="D21" s="409" t="str">
        <f t="shared" si="1"/>
        <v>unit_icon_chara_chi_00101</v>
      </c>
      <c r="E21" s="46" t="s">
        <v>2486</v>
      </c>
      <c r="F21" s="47" t="s">
        <v>337</v>
      </c>
      <c r="G21" s="414"/>
      <c r="H21" s="411">
        <v>45658.0</v>
      </c>
      <c r="I21" s="412">
        <v>390812.49998842593</v>
      </c>
      <c r="J21" s="415"/>
    </row>
    <row r="22">
      <c r="A22" s="408" t="s">
        <v>109</v>
      </c>
      <c r="B22" s="90" t="str">
        <f t="array" ref="B22">iferror(INDEX('作品'!D:D,MATCH(A22,'作品'!A:A,0),0),"error")</f>
        <v>忘却バッテリー</v>
      </c>
      <c r="C22" s="48" t="s">
        <v>973</v>
      </c>
      <c r="D22" s="409" t="str">
        <f t="shared" si="1"/>
        <v>unit_icon_chara_bat_00001</v>
      </c>
      <c r="E22" s="57" t="s">
        <v>2487</v>
      </c>
      <c r="F22" s="47" t="s">
        <v>339</v>
      </c>
      <c r="G22" s="414"/>
      <c r="H22" s="411">
        <v>45658.0</v>
      </c>
      <c r="I22" s="412">
        <v>390812.49998842593</v>
      </c>
      <c r="J22" s="415"/>
    </row>
    <row r="23">
      <c r="A23" s="408" t="s">
        <v>109</v>
      </c>
      <c r="B23" s="90" t="str">
        <f t="array" ref="B23">iferror(INDEX('作品'!D:D,MATCH(A23,'作品'!A:A,0),0),"error")</f>
        <v>忘却バッテリー</v>
      </c>
      <c r="C23" s="48" t="s">
        <v>1001</v>
      </c>
      <c r="D23" s="409" t="str">
        <f t="shared" si="1"/>
        <v>unit_icon_chara_bat_00101</v>
      </c>
      <c r="E23" s="57" t="s">
        <v>2488</v>
      </c>
      <c r="F23" s="47" t="s">
        <v>341</v>
      </c>
      <c r="G23" s="414"/>
      <c r="H23" s="411">
        <v>45658.0</v>
      </c>
      <c r="I23" s="412">
        <v>390812.49998842593</v>
      </c>
      <c r="J23" s="415"/>
    </row>
    <row r="24">
      <c r="A24" s="408" t="s">
        <v>115</v>
      </c>
      <c r="B24" s="90" t="str">
        <f t="array" ref="B24">iferror(INDEX('作品'!D:D,MATCH(A24,'作品'!A:A,0),0),"error")</f>
        <v>怪獣８号</v>
      </c>
      <c r="C24" s="48" t="s">
        <v>973</v>
      </c>
      <c r="D24" s="409" t="str">
        <f t="shared" si="1"/>
        <v>unit_icon_chara_kai_00001</v>
      </c>
      <c r="E24" s="57" t="s">
        <v>2489</v>
      </c>
      <c r="F24" s="47" t="s">
        <v>1259</v>
      </c>
      <c r="G24" s="414"/>
      <c r="H24" s="411">
        <v>45658.0</v>
      </c>
      <c r="I24" s="412">
        <v>390812.49998842593</v>
      </c>
      <c r="J24" s="415"/>
    </row>
    <row r="25">
      <c r="A25" s="408" t="s">
        <v>115</v>
      </c>
      <c r="B25" s="90" t="str">
        <f t="array" ref="B25">iferror(INDEX('作品'!D:D,MATCH(A25,'作品'!A:A,0),0),"error")</f>
        <v>怪獣８号</v>
      </c>
      <c r="C25" s="48" t="s">
        <v>990</v>
      </c>
      <c r="D25" s="409" t="str">
        <f t="shared" si="1"/>
        <v>unit_icon_chara_kai_00002</v>
      </c>
      <c r="E25" s="57" t="s">
        <v>2490</v>
      </c>
      <c r="F25" s="47" t="s">
        <v>343</v>
      </c>
      <c r="G25" s="414"/>
      <c r="H25" s="411">
        <v>45658.0</v>
      </c>
      <c r="I25" s="412">
        <v>390812.49998842593</v>
      </c>
      <c r="J25" s="415"/>
    </row>
    <row r="26">
      <c r="A26" s="408" t="s">
        <v>115</v>
      </c>
      <c r="B26" s="90" t="str">
        <f t="array" ref="B26">iferror(INDEX('作品'!D:D,MATCH(A26,'作品'!A:A,0),0),"error")</f>
        <v>怪獣８号</v>
      </c>
      <c r="C26" s="48" t="s">
        <v>1001</v>
      </c>
      <c r="D26" s="409" t="str">
        <f t="shared" si="1"/>
        <v>unit_icon_chara_kai_00101</v>
      </c>
      <c r="E26" s="78" t="s">
        <v>2491</v>
      </c>
      <c r="F26" s="47" t="s">
        <v>347</v>
      </c>
      <c r="G26" s="414"/>
      <c r="H26" s="411">
        <v>45658.0</v>
      </c>
      <c r="I26" s="412">
        <v>390812.49998842593</v>
      </c>
      <c r="J26" s="415"/>
    </row>
    <row r="27">
      <c r="A27" s="408" t="s">
        <v>115</v>
      </c>
      <c r="B27" s="90" t="str">
        <f t="array" ref="B27">iferror(INDEX('作品'!D:D,MATCH(A27,'作品'!A:A,0),0),"error")</f>
        <v>怪獣８号</v>
      </c>
      <c r="C27" s="48" t="s">
        <v>1014</v>
      </c>
      <c r="D27" s="409" t="str">
        <f t="shared" si="1"/>
        <v>unit_icon_chara_kai_00201</v>
      </c>
      <c r="E27" s="78" t="s">
        <v>2492</v>
      </c>
      <c r="F27" s="47" t="s">
        <v>349</v>
      </c>
      <c r="G27" s="414"/>
      <c r="H27" s="411">
        <v>45658.0</v>
      </c>
      <c r="I27" s="412">
        <v>390812.49998842593</v>
      </c>
      <c r="J27" s="415"/>
    </row>
    <row r="28">
      <c r="A28" s="408" t="s">
        <v>115</v>
      </c>
      <c r="B28" s="90" t="str">
        <f t="array" ref="B28">iferror(INDEX('作品'!D:D,MATCH(A28,'作品'!A:A,0),0),"error")</f>
        <v>怪獣８号</v>
      </c>
      <c r="C28" s="48" t="s">
        <v>1026</v>
      </c>
      <c r="D28" s="409" t="str">
        <f t="shared" si="1"/>
        <v>unit_icon_chara_kai_00301</v>
      </c>
      <c r="E28" s="78" t="s">
        <v>2493</v>
      </c>
      <c r="F28" s="47" t="s">
        <v>351</v>
      </c>
      <c r="G28" s="414"/>
      <c r="H28" s="411">
        <v>45658.0</v>
      </c>
      <c r="I28" s="412">
        <v>390812.49998842593</v>
      </c>
      <c r="J28" s="415"/>
    </row>
    <row r="29">
      <c r="A29" s="408" t="s">
        <v>121</v>
      </c>
      <c r="B29" s="90" t="str">
        <f t="array" ref="B29">iferror(INDEX('作品'!D:D,MATCH(A29,'作品'!A:A,0),0),"error")</f>
        <v>2.5次元の誘惑</v>
      </c>
      <c r="C29" s="48" t="s">
        <v>973</v>
      </c>
      <c r="D29" s="409" t="str">
        <f t="shared" si="1"/>
        <v>unit_icon_chara_yuw_00001</v>
      </c>
      <c r="E29" s="53" t="s">
        <v>2494</v>
      </c>
      <c r="F29" s="47" t="s">
        <v>355</v>
      </c>
      <c r="G29" s="414"/>
      <c r="H29" s="411">
        <v>45658.0</v>
      </c>
      <c r="I29" s="412">
        <v>390812.49998842593</v>
      </c>
      <c r="J29" s="415"/>
    </row>
    <row r="30">
      <c r="A30" s="408" t="s">
        <v>121</v>
      </c>
      <c r="B30" s="90" t="str">
        <f t="array" ref="B30">iferror(INDEX('作品'!D:D,MATCH(A30,'作品'!A:A,0),0),"error")</f>
        <v>2.5次元の誘惑</v>
      </c>
      <c r="C30" s="48" t="s">
        <v>1001</v>
      </c>
      <c r="D30" s="409" t="str">
        <f t="shared" si="1"/>
        <v>unit_icon_chara_yuw_00101</v>
      </c>
      <c r="E30" s="53" t="s">
        <v>2495</v>
      </c>
      <c r="F30" s="47" t="s">
        <v>357</v>
      </c>
      <c r="G30" s="414"/>
      <c r="H30" s="411">
        <v>45658.0</v>
      </c>
      <c r="I30" s="412">
        <v>390812.49998842593</v>
      </c>
      <c r="J30" s="415"/>
    </row>
    <row r="31">
      <c r="A31" s="408" t="s">
        <v>121</v>
      </c>
      <c r="B31" s="90" t="str">
        <f t="array" ref="B31">iferror(INDEX('作品'!D:D,MATCH(A31,'作品'!A:A,0),0),"error")</f>
        <v>2.5次元の誘惑</v>
      </c>
      <c r="C31" s="48" t="s">
        <v>1014</v>
      </c>
      <c r="D31" s="409" t="str">
        <f t="shared" si="1"/>
        <v>unit_icon_chara_yuw_00201</v>
      </c>
      <c r="E31" s="53" t="s">
        <v>2496</v>
      </c>
      <c r="F31" s="47" t="s">
        <v>359</v>
      </c>
      <c r="G31" s="414"/>
      <c r="H31" s="411">
        <v>45658.0</v>
      </c>
      <c r="I31" s="412">
        <v>390812.49998842593</v>
      </c>
      <c r="J31" s="415"/>
    </row>
    <row r="32">
      <c r="A32" s="408" t="s">
        <v>127</v>
      </c>
      <c r="B32" s="90" t="str">
        <f t="array" ref="B32">iferror(INDEX('作品'!D:D,MATCH(A32,'作品'!A:A,0),0),"error")</f>
        <v>魔都精兵のスレイブ</v>
      </c>
      <c r="C32" s="48" t="s">
        <v>973</v>
      </c>
      <c r="D32" s="409" t="str">
        <f t="shared" si="1"/>
        <v>unit_icon_chara_sur_00001</v>
      </c>
      <c r="E32" s="78" t="s">
        <v>2497</v>
      </c>
      <c r="F32" s="47" t="s">
        <v>361</v>
      </c>
      <c r="G32" s="414"/>
      <c r="H32" s="411">
        <v>45658.0</v>
      </c>
      <c r="I32" s="412">
        <v>390812.49998842593</v>
      </c>
      <c r="J32" s="415"/>
    </row>
    <row r="33">
      <c r="A33" s="408" t="s">
        <v>127</v>
      </c>
      <c r="B33" s="90" t="str">
        <f t="array" ref="B33">iferror(INDEX('作品'!D:D,MATCH(A33,'作品'!A:A,0),0),"error")</f>
        <v>魔都精兵のスレイブ</v>
      </c>
      <c r="C33" s="48" t="s">
        <v>1001</v>
      </c>
      <c r="D33" s="409" t="str">
        <f t="shared" si="1"/>
        <v>unit_icon_chara_sur_00101</v>
      </c>
      <c r="E33" s="78" t="s">
        <v>2498</v>
      </c>
      <c r="F33" s="47" t="s">
        <v>363</v>
      </c>
      <c r="G33" s="414"/>
      <c r="H33" s="411">
        <v>45658.0</v>
      </c>
      <c r="I33" s="412">
        <v>390812.49998842593</v>
      </c>
      <c r="J33" s="415"/>
    </row>
    <row r="34">
      <c r="A34" s="408" t="s">
        <v>127</v>
      </c>
      <c r="B34" s="90" t="str">
        <f t="array" ref="B34">iferror(INDEX('作品'!D:D,MATCH(A34,'作品'!A:A,0),0),"error")</f>
        <v>魔都精兵のスレイブ</v>
      </c>
      <c r="C34" s="48" t="s">
        <v>1014</v>
      </c>
      <c r="D34" s="409" t="str">
        <f t="shared" si="1"/>
        <v>unit_icon_chara_sur_00201</v>
      </c>
      <c r="E34" s="78" t="s">
        <v>2499</v>
      </c>
      <c r="F34" s="47" t="s">
        <v>365</v>
      </c>
      <c r="G34" s="414"/>
      <c r="H34" s="411">
        <v>45658.0</v>
      </c>
      <c r="I34" s="412">
        <v>390812.49998842593</v>
      </c>
      <c r="J34" s="415"/>
    </row>
    <row r="35">
      <c r="A35" s="408" t="s">
        <v>127</v>
      </c>
      <c r="B35" s="90" t="str">
        <f t="array" ref="B35">iferror(INDEX('作品'!D:D,MATCH(A35,'作品'!A:A,0),0),"error")</f>
        <v>魔都精兵のスレイブ</v>
      </c>
      <c r="C35" s="48" t="s">
        <v>1026</v>
      </c>
      <c r="D35" s="409" t="str">
        <f t="shared" si="1"/>
        <v>unit_icon_chara_sur_00301</v>
      </c>
      <c r="E35" s="78" t="s">
        <v>2500</v>
      </c>
      <c r="F35" s="47" t="s">
        <v>367</v>
      </c>
      <c r="G35" s="414"/>
      <c r="H35" s="411">
        <v>45658.0</v>
      </c>
      <c r="I35" s="412">
        <v>390812.49998842593</v>
      </c>
      <c r="J35" s="415"/>
    </row>
    <row r="36">
      <c r="A36" s="408" t="s">
        <v>127</v>
      </c>
      <c r="B36" s="90" t="str">
        <f t="array" ref="B36">iferror(INDEX('作品'!D:D,MATCH(A36,'作品'!A:A,0),0),"error")</f>
        <v>魔都精兵のスレイブ</v>
      </c>
      <c r="C36" s="48" t="s">
        <v>1034</v>
      </c>
      <c r="D36" s="409" t="str">
        <f t="shared" si="1"/>
        <v>unit_icon_chara_sur_00401</v>
      </c>
      <c r="E36" s="78" t="s">
        <v>2501</v>
      </c>
      <c r="F36" s="47" t="s">
        <v>369</v>
      </c>
      <c r="G36" s="414"/>
      <c r="H36" s="411">
        <v>45658.0</v>
      </c>
      <c r="I36" s="412">
        <v>390812.49998842593</v>
      </c>
      <c r="J36" s="415"/>
    </row>
    <row r="37">
      <c r="A37" s="408" t="s">
        <v>132</v>
      </c>
      <c r="B37" s="90" t="str">
        <f t="array" ref="B37">iferror(INDEX('作品'!D:D,MATCH(A37,'作品'!A:A,0),0),"error")</f>
        <v>鴨乃橋ロンの禁断推理</v>
      </c>
      <c r="C37" s="48" t="s">
        <v>973</v>
      </c>
      <c r="D37" s="409" t="str">
        <f t="shared" si="1"/>
        <v>unit_icon_chara_ron_00001</v>
      </c>
      <c r="E37" s="78" t="s">
        <v>2502</v>
      </c>
      <c r="F37" s="47" t="s">
        <v>371</v>
      </c>
      <c r="G37" s="414"/>
      <c r="H37" s="411">
        <v>45658.0</v>
      </c>
      <c r="I37" s="412">
        <v>390812.49998842593</v>
      </c>
      <c r="J37" s="415"/>
    </row>
    <row r="38">
      <c r="A38" s="408" t="s">
        <v>132</v>
      </c>
      <c r="B38" s="90" t="str">
        <f t="array" ref="B38">iferror(INDEX('作品'!D:D,MATCH(A38,'作品'!A:A,0),0),"error")</f>
        <v>鴨乃橋ロンの禁断推理</v>
      </c>
      <c r="C38" s="48" t="s">
        <v>1001</v>
      </c>
      <c r="D38" s="409" t="str">
        <f t="shared" si="1"/>
        <v>unit_icon_chara_ron_00101</v>
      </c>
      <c r="E38" s="78" t="s">
        <v>2503</v>
      </c>
      <c r="F38" s="47" t="s">
        <v>373</v>
      </c>
      <c r="G38" s="414"/>
      <c r="H38" s="411">
        <v>45658.0</v>
      </c>
      <c r="I38" s="412">
        <v>390812.49998842593</v>
      </c>
      <c r="J38" s="415"/>
    </row>
    <row r="39">
      <c r="A39" s="408" t="s">
        <v>138</v>
      </c>
      <c r="B39" s="90" t="str">
        <f t="array" ref="B39">iferror(INDEX('作品'!D:D,MATCH(A39,'作品'!A:A,0),0),"error")</f>
        <v>阿波連さんははかれない</v>
      </c>
      <c r="C39" s="48" t="s">
        <v>973</v>
      </c>
      <c r="D39" s="409" t="str">
        <f t="shared" si="1"/>
        <v>unit_icon_chara_aha_00001</v>
      </c>
      <c r="E39" s="78" t="s">
        <v>2504</v>
      </c>
      <c r="F39" s="47" t="s">
        <v>377</v>
      </c>
      <c r="G39" s="414"/>
      <c r="H39" s="411">
        <v>45658.0</v>
      </c>
      <c r="I39" s="412">
        <v>390812.49998842593</v>
      </c>
      <c r="J39" s="415"/>
    </row>
    <row r="40">
      <c r="A40" s="408" t="s">
        <v>138</v>
      </c>
      <c r="B40" s="90" t="str">
        <f t="array" ref="B40">iferror(INDEX('作品'!D:D,MATCH(A40,'作品'!A:A,0),0),"error")</f>
        <v>阿波連さんははかれない</v>
      </c>
      <c r="C40" s="48" t="s">
        <v>1001</v>
      </c>
      <c r="D40" s="409" t="str">
        <f t="shared" si="1"/>
        <v>unit_icon_chara_aha_00101</v>
      </c>
      <c r="E40" s="78" t="s">
        <v>2505</v>
      </c>
      <c r="F40" s="47" t="s">
        <v>375</v>
      </c>
      <c r="G40" s="414"/>
      <c r="H40" s="411">
        <v>45658.0</v>
      </c>
      <c r="I40" s="412">
        <v>390812.49998842593</v>
      </c>
      <c r="J40" s="415"/>
    </row>
    <row r="41">
      <c r="A41" s="408" t="s">
        <v>153</v>
      </c>
      <c r="B41" s="90" t="str">
        <f t="array" ref="B41">iferror(INDEX('作品'!D:D,MATCH(A41,'作品'!A:A,0),0),"error")</f>
        <v>タコピーの原罪</v>
      </c>
      <c r="C41" s="48" t="s">
        <v>973</v>
      </c>
      <c r="D41" s="409" t="str">
        <f t="shared" si="1"/>
        <v>unit_icon_chara_tak_00001</v>
      </c>
      <c r="E41" s="78" t="s">
        <v>2506</v>
      </c>
      <c r="F41" s="47" t="s">
        <v>379</v>
      </c>
      <c r="G41" s="414"/>
      <c r="H41" s="411">
        <v>45658.0</v>
      </c>
      <c r="I41" s="412">
        <v>390812.49998842593</v>
      </c>
      <c r="J41" s="415"/>
    </row>
    <row r="42">
      <c r="A42" s="408" t="s">
        <v>148</v>
      </c>
      <c r="B42" s="90" t="str">
        <f t="array" ref="B42">iferror(INDEX('作品'!D:D,MATCH(A42,'作品'!A:A,0),0),"error")</f>
        <v>地獄楽</v>
      </c>
      <c r="C42" s="48" t="s">
        <v>973</v>
      </c>
      <c r="D42" s="409" t="str">
        <f t="shared" si="1"/>
        <v>unit_icon_chara_jig_00001</v>
      </c>
      <c r="E42" s="78" t="s">
        <v>2507</v>
      </c>
      <c r="F42" s="47" t="s">
        <v>381</v>
      </c>
      <c r="G42" s="414"/>
      <c r="H42" s="411">
        <v>45658.0</v>
      </c>
      <c r="I42" s="412">
        <v>390812.49998842593</v>
      </c>
      <c r="J42" s="415"/>
    </row>
    <row r="43">
      <c r="A43" s="408" t="s">
        <v>148</v>
      </c>
      <c r="B43" s="90" t="str">
        <f t="array" ref="B43">iferror(INDEX('作品'!D:D,MATCH(A43,'作品'!A:A,0),0),"error")</f>
        <v>地獄楽</v>
      </c>
      <c r="C43" s="48" t="s">
        <v>1001</v>
      </c>
      <c r="D43" s="409" t="str">
        <f t="shared" si="1"/>
        <v>unit_icon_chara_jig_00101</v>
      </c>
      <c r="E43" s="78" t="s">
        <v>2508</v>
      </c>
      <c r="F43" s="47" t="s">
        <v>383</v>
      </c>
      <c r="G43" s="414"/>
      <c r="H43" s="411">
        <v>45658.0</v>
      </c>
      <c r="I43" s="412">
        <v>390812.49998842593</v>
      </c>
      <c r="J43" s="415"/>
    </row>
    <row r="44">
      <c r="A44" s="416" t="s">
        <v>98</v>
      </c>
      <c r="B44" s="90" t="str">
        <f t="array" ref="B44">iferror(INDEX('作品'!D:D,MATCH(A44,'作品'!A:A,0),0),"error")</f>
        <v>株式会社マジルミエ</v>
      </c>
      <c r="C44" s="48" t="s">
        <v>973</v>
      </c>
      <c r="D44" s="409" t="str">
        <f t="shared" si="1"/>
        <v>unit_icon_chara_mag_00001</v>
      </c>
      <c r="E44" s="78" t="s">
        <v>2509</v>
      </c>
      <c r="F44" s="47" t="s">
        <v>385</v>
      </c>
      <c r="G44" s="414"/>
      <c r="H44" s="411">
        <v>45658.0</v>
      </c>
      <c r="I44" s="412">
        <v>390812.49998842593</v>
      </c>
      <c r="J44" s="415"/>
    </row>
    <row r="45">
      <c r="A45" s="416" t="s">
        <v>98</v>
      </c>
      <c r="B45" s="90" t="str">
        <f t="array" ref="B45">iferror(INDEX('作品'!D:D,MATCH(A45,'作品'!A:A,0),0),"error")</f>
        <v>株式会社マジルミエ</v>
      </c>
      <c r="C45" s="48" t="s">
        <v>1001</v>
      </c>
      <c r="D45" s="409" t="str">
        <f t="shared" si="1"/>
        <v>unit_icon_chara_mag_00101</v>
      </c>
      <c r="E45" s="78" t="s">
        <v>2510</v>
      </c>
      <c r="F45" s="47" t="s">
        <v>387</v>
      </c>
      <c r="G45" s="414"/>
      <c r="H45" s="411">
        <v>45658.0</v>
      </c>
      <c r="I45" s="412">
        <v>390812.49998842593</v>
      </c>
      <c r="J45" s="415"/>
    </row>
    <row r="46">
      <c r="A46" s="408" t="s">
        <v>103</v>
      </c>
      <c r="B46" s="90" t="str">
        <f t="array" ref="B46">iferror(INDEX('作品'!D:D,MATCH(A46,'作品'!A:A,0),0),"error")</f>
        <v>道産子ギャルはなまらめんこい</v>
      </c>
      <c r="C46" s="48" t="s">
        <v>973</v>
      </c>
      <c r="D46" s="409" t="str">
        <f t="shared" si="1"/>
        <v>unit_icon_chara_dos_00001</v>
      </c>
      <c r="E46" s="78" t="s">
        <v>2511</v>
      </c>
      <c r="F46" s="47" t="s">
        <v>389</v>
      </c>
      <c r="G46" s="414"/>
      <c r="H46" s="411">
        <v>45658.0</v>
      </c>
      <c r="I46" s="412">
        <v>390812.49998842593</v>
      </c>
      <c r="J46" s="415"/>
    </row>
    <row r="47">
      <c r="A47" s="408" t="s">
        <v>103</v>
      </c>
      <c r="B47" s="90" t="str">
        <f t="array" ref="B47">iferror(INDEX('作品'!D:D,MATCH(A47,'作品'!A:A,0),0),"error")</f>
        <v>道産子ギャルはなまらめんこい</v>
      </c>
      <c r="C47" s="48" t="s">
        <v>1001</v>
      </c>
      <c r="D47" s="409" t="str">
        <f t="shared" si="1"/>
        <v>unit_icon_chara_dos_00101</v>
      </c>
      <c r="E47" s="78" t="s">
        <v>2512</v>
      </c>
      <c r="F47" s="47" t="s">
        <v>391</v>
      </c>
      <c r="G47" s="414"/>
      <c r="H47" s="411">
        <v>45658.0</v>
      </c>
      <c r="I47" s="412">
        <v>390812.49998842593</v>
      </c>
      <c r="J47" s="415"/>
    </row>
    <row r="48">
      <c r="A48" s="408" t="s">
        <v>143</v>
      </c>
      <c r="B48" s="90" t="str">
        <f t="array" ref="B48">iferror(INDEX('作品'!D:D,MATCH(A48,'作品'!A:A,0),0),"error")</f>
        <v>サマータイムレンダ</v>
      </c>
      <c r="C48" s="48" t="s">
        <v>973</v>
      </c>
      <c r="D48" s="409" t="str">
        <f t="shared" si="1"/>
        <v>unit_icon_chara_sum_00001</v>
      </c>
      <c r="E48" s="78" t="s">
        <v>2513</v>
      </c>
      <c r="F48" s="47" t="s">
        <v>393</v>
      </c>
      <c r="G48" s="414"/>
      <c r="H48" s="411">
        <v>45658.0</v>
      </c>
      <c r="I48" s="412">
        <v>390812.49998842593</v>
      </c>
      <c r="J48" s="415"/>
    </row>
    <row r="49">
      <c r="A49" s="408" t="s">
        <v>143</v>
      </c>
      <c r="B49" s="90" t="str">
        <f t="array" ref="B49">iferror(INDEX('作品'!D:D,MATCH(A49,'作品'!A:A,0),0),"error")</f>
        <v>サマータイムレンダ</v>
      </c>
      <c r="C49" s="48" t="s">
        <v>1001</v>
      </c>
      <c r="D49" s="409" t="str">
        <f t="shared" si="1"/>
        <v>unit_icon_chara_sum_00101</v>
      </c>
      <c r="E49" s="78" t="s">
        <v>2514</v>
      </c>
      <c r="F49" s="47" t="s">
        <v>395</v>
      </c>
      <c r="G49" s="414"/>
      <c r="H49" s="411">
        <v>45658.0</v>
      </c>
      <c r="I49" s="412">
        <v>390812.49998842593</v>
      </c>
      <c r="J49" s="415"/>
    </row>
    <row r="50">
      <c r="A50" s="408" t="s">
        <v>143</v>
      </c>
      <c r="B50" s="90" t="str">
        <f t="array" ref="B50">iferror(INDEX('作品'!D:D,MATCH(A50,'作品'!A:A,0),0),"error")</f>
        <v>サマータイムレンダ</v>
      </c>
      <c r="C50" s="48" t="s">
        <v>1014</v>
      </c>
      <c r="D50" s="409" t="str">
        <f t="shared" si="1"/>
        <v>unit_icon_chara_sum_00201</v>
      </c>
      <c r="E50" s="78" t="s">
        <v>2515</v>
      </c>
      <c r="F50" s="47" t="s">
        <v>397</v>
      </c>
      <c r="G50" s="414"/>
      <c r="H50" s="411">
        <v>45658.0</v>
      </c>
      <c r="I50" s="412">
        <v>390812.49998842593</v>
      </c>
      <c r="J50" s="415"/>
    </row>
    <row r="51">
      <c r="A51" s="417"/>
      <c r="B51" s="417"/>
      <c r="C51" s="417"/>
      <c r="D51" s="417"/>
      <c r="E51" s="417"/>
      <c r="F51" s="417"/>
      <c r="G51" s="417"/>
      <c r="H51" s="417"/>
      <c r="I51" s="417"/>
      <c r="J51" s="417"/>
    </row>
    <row r="52">
      <c r="A52" s="417"/>
      <c r="B52" s="417"/>
      <c r="C52" s="417"/>
      <c r="D52" s="417"/>
      <c r="E52" s="417"/>
      <c r="F52" s="417"/>
      <c r="G52" s="417"/>
      <c r="H52" s="417"/>
      <c r="I52" s="417"/>
      <c r="J52" s="417"/>
    </row>
    <row r="53">
      <c r="A53" s="417"/>
      <c r="B53" s="417"/>
      <c r="C53" s="417"/>
      <c r="D53" s="417"/>
      <c r="E53" s="417"/>
      <c r="F53" s="417"/>
      <c r="G53" s="417"/>
      <c r="H53" s="417"/>
      <c r="I53" s="417"/>
      <c r="J53" s="417"/>
    </row>
  </sheetData>
  <conditionalFormatting sqref="D2:D53">
    <cfRule type="expression" dxfId="0" priority="1">
      <formula>COUNTIF(D:D,D:D)&gt;1</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9.38"/>
    <col customWidth="1" min="4" max="4" width="14.13"/>
    <col customWidth="1" min="5" max="5" width="17.63"/>
    <col customWidth="1" min="6" max="6" width="26.5"/>
    <col customWidth="1" min="7" max="7" width="20.63"/>
    <col customWidth="1" min="8" max="8" width="8.63"/>
    <col customWidth="1" min="9" max="9" width="26.25"/>
    <col customWidth="1" min="10" max="10" width="23.63"/>
    <col customWidth="1" min="11" max="11" width="20.88"/>
    <col customWidth="1" hidden="1" min="12" max="12" width="25.13"/>
    <col hidden="1" min="13" max="14" width="12.63"/>
    <col customWidth="1" hidden="1" min="15" max="15" width="10.88"/>
    <col customWidth="1" min="16" max="17" width="15.25"/>
    <col customWidth="1" min="18" max="18" width="2.13"/>
  </cols>
  <sheetData>
    <row r="1">
      <c r="A1" s="418" t="s">
        <v>40</v>
      </c>
      <c r="B1" s="419" t="s">
        <v>43</v>
      </c>
      <c r="C1" s="420" t="s">
        <v>2445</v>
      </c>
      <c r="D1" s="398" t="s">
        <v>2444</v>
      </c>
      <c r="E1" s="397" t="s">
        <v>2443</v>
      </c>
      <c r="F1" s="420" t="s">
        <v>2516</v>
      </c>
      <c r="G1" s="420" t="s">
        <v>2517</v>
      </c>
      <c r="H1" s="420" t="s">
        <v>2518</v>
      </c>
      <c r="I1" s="420" t="s">
        <v>2519</v>
      </c>
      <c r="J1" s="420" t="s">
        <v>2520</v>
      </c>
      <c r="K1" s="419" t="s">
        <v>2521</v>
      </c>
      <c r="L1" s="420" t="s">
        <v>2522</v>
      </c>
      <c r="M1" s="421" t="s">
        <v>2523</v>
      </c>
      <c r="N1" s="421" t="s">
        <v>2524</v>
      </c>
      <c r="O1" s="422" t="s">
        <v>2525</v>
      </c>
      <c r="P1" s="398" t="s">
        <v>58</v>
      </c>
      <c r="Q1" s="398" t="s">
        <v>2526</v>
      </c>
      <c r="R1" s="399"/>
    </row>
    <row r="2">
      <c r="A2" s="45" t="s">
        <v>60</v>
      </c>
      <c r="B2" s="90" t="str">
        <f t="array" ref="B2">iferror(INDEX('作品'!D:D,MATCH(left(A2,3),'作品'!A:A,0),0),"error")</f>
        <v>SPY×FAMILY</v>
      </c>
      <c r="C2" s="46" t="s">
        <v>2527</v>
      </c>
      <c r="D2" s="401" t="s">
        <v>2447</v>
      </c>
      <c r="E2" s="400" t="s">
        <v>2446</v>
      </c>
      <c r="F2" s="423" t="str">
        <f>IFERROR(__xludf.DUMMYFUNCTION("CONCATENATE(""quest_"",D2,""_"",A2,""_"",C2,""_"")&amp;IFERROR(REGEXEXTRACT(G2,""[0-9]{2}""),REGEXEXTRACT(G2,""[0-9]{1}""))"),"quest_main_spy_normal_1")</f>
        <v>quest_main_spy_normal_1</v>
      </c>
      <c r="G2" s="424" t="s">
        <v>2528</v>
      </c>
      <c r="H2" s="46" t="s">
        <v>2529</v>
      </c>
      <c r="I2" s="425" t="str">
        <f t="shared" ref="I2:I271" si="1">CONCATENATE(C2,"_",A2,"_","000",H2,)</f>
        <v>normal_spy_00001</v>
      </c>
      <c r="J2" s="425" t="str">
        <f t="shared" ref="J2:J91" si="2">"stage_icon_"&amp;A2&amp;"_"&amp;C2&amp;"_"&amp;H2</f>
        <v>stage_icon_spy_normal_01</v>
      </c>
      <c r="K2" s="425"/>
      <c r="L2" s="425"/>
      <c r="M2" s="426"/>
      <c r="N2" s="426"/>
      <c r="O2" s="45"/>
      <c r="P2" s="54"/>
      <c r="Q2" s="54"/>
      <c r="R2" s="56"/>
    </row>
    <row r="3">
      <c r="A3" s="45" t="s">
        <v>60</v>
      </c>
      <c r="B3" s="90" t="str">
        <f t="array" ref="B3">iferror(INDEX('作品'!D:D,MATCH(left(A3,3),'作品'!A:A,0),0),"error")</f>
        <v>SPY×FAMILY</v>
      </c>
      <c r="C3" s="46" t="s">
        <v>2527</v>
      </c>
      <c r="D3" s="401" t="s">
        <v>2447</v>
      </c>
      <c r="E3" s="400" t="s">
        <v>2446</v>
      </c>
      <c r="F3" s="423" t="str">
        <f>IFERROR(__xludf.DUMMYFUNCTION("CONCATENATE(""quest_"",D3,""_"",A3,""_"",C3,""_"")&amp;IFERROR(REGEXEXTRACT(G3,""[0-9]{2}""),REGEXEXTRACT(G3,""[0-9]{1}""))"),"quest_main_spy_normal_1")</f>
        <v>quest_main_spy_normal_1</v>
      </c>
      <c r="G3" s="424" t="s">
        <v>2528</v>
      </c>
      <c r="H3" s="46" t="s">
        <v>2530</v>
      </c>
      <c r="I3" s="425" t="str">
        <f t="shared" si="1"/>
        <v>normal_spy_00002</v>
      </c>
      <c r="J3" s="425" t="str">
        <f t="shared" si="2"/>
        <v>stage_icon_spy_normal_02</v>
      </c>
      <c r="K3" s="59"/>
      <c r="L3" s="59"/>
      <c r="M3" s="427"/>
      <c r="N3" s="427"/>
      <c r="O3" s="45"/>
      <c r="P3" s="54"/>
      <c r="Q3" s="54"/>
      <c r="R3" s="56"/>
    </row>
    <row r="4">
      <c r="A4" s="45" t="s">
        <v>60</v>
      </c>
      <c r="B4" s="90" t="str">
        <f t="array" ref="B4">iferror(INDEX('作品'!D:D,MATCH(left(A4,3),'作品'!A:A,0),0),"error")</f>
        <v>SPY×FAMILY</v>
      </c>
      <c r="C4" s="46" t="s">
        <v>2527</v>
      </c>
      <c r="D4" s="401" t="s">
        <v>2447</v>
      </c>
      <c r="E4" s="400" t="s">
        <v>2446</v>
      </c>
      <c r="F4" s="423" t="str">
        <f>IFERROR(__xludf.DUMMYFUNCTION("CONCATENATE(""quest_"",D4,""_"",A4,""_"",C4,""_"")&amp;IFERROR(REGEXEXTRACT(G4,""[0-9]{2}""),REGEXEXTRACT(G4,""[0-9]{1}""))"),"quest_main_spy_normal_1")</f>
        <v>quest_main_spy_normal_1</v>
      </c>
      <c r="G4" s="424" t="s">
        <v>2528</v>
      </c>
      <c r="H4" s="46" t="s">
        <v>2531</v>
      </c>
      <c r="I4" s="425" t="str">
        <f t="shared" si="1"/>
        <v>normal_spy_00003</v>
      </c>
      <c r="J4" s="425" t="str">
        <f t="shared" si="2"/>
        <v>stage_icon_spy_normal_03</v>
      </c>
      <c r="K4" s="59"/>
      <c r="L4" s="59"/>
      <c r="M4" s="427"/>
      <c r="N4" s="427"/>
      <c r="O4" s="45"/>
      <c r="P4" s="54"/>
      <c r="Q4" s="54"/>
      <c r="R4" s="56"/>
    </row>
    <row r="5">
      <c r="A5" s="45" t="s">
        <v>60</v>
      </c>
      <c r="B5" s="90" t="str">
        <f t="array" ref="B5">iferror(INDEX('作品'!D:D,MATCH(left(A5,3),'作品'!A:A,0),0),"error")</f>
        <v>SPY×FAMILY</v>
      </c>
      <c r="C5" s="46" t="s">
        <v>2527</v>
      </c>
      <c r="D5" s="401" t="s">
        <v>2447</v>
      </c>
      <c r="E5" s="400" t="s">
        <v>2446</v>
      </c>
      <c r="F5" s="423" t="str">
        <f>IFERROR(__xludf.DUMMYFUNCTION("CONCATENATE(""quest_"",D5,""_"",A5,""_"",C5,""_"")&amp;IFERROR(REGEXEXTRACT(G5,""[0-9]{2}""),REGEXEXTRACT(G5,""[0-9]{1}""))"),"quest_main_spy_normal_1")</f>
        <v>quest_main_spy_normal_1</v>
      </c>
      <c r="G5" s="424" t="s">
        <v>2528</v>
      </c>
      <c r="H5" s="46" t="s">
        <v>2532</v>
      </c>
      <c r="I5" s="425" t="str">
        <f t="shared" si="1"/>
        <v>normal_spy_00004</v>
      </c>
      <c r="J5" s="425" t="str">
        <f t="shared" si="2"/>
        <v>stage_icon_spy_normal_04</v>
      </c>
      <c r="K5" s="59"/>
      <c r="L5" s="59"/>
      <c r="M5" s="427"/>
      <c r="N5" s="427"/>
      <c r="O5" s="45"/>
      <c r="P5" s="54"/>
      <c r="Q5" s="54"/>
      <c r="R5" s="56"/>
    </row>
    <row r="6">
      <c r="A6" s="45" t="s">
        <v>60</v>
      </c>
      <c r="B6" s="90" t="str">
        <f t="array" ref="B6">iferror(INDEX('作品'!D:D,MATCH(left(A6,3),'作品'!A:A,0),0),"error")</f>
        <v>SPY×FAMILY</v>
      </c>
      <c r="C6" s="46" t="s">
        <v>2527</v>
      </c>
      <c r="D6" s="401" t="s">
        <v>2447</v>
      </c>
      <c r="E6" s="400" t="s">
        <v>2446</v>
      </c>
      <c r="F6" s="423" t="str">
        <f>IFERROR(__xludf.DUMMYFUNCTION("CONCATENATE(""quest_"",D6,""_"",A6,""_"",C6,""_"")&amp;IFERROR(REGEXEXTRACT(G6,""[0-9]{2}""),REGEXEXTRACT(G6,""[0-9]{1}""))"),"quest_main_spy_normal_1")</f>
        <v>quest_main_spy_normal_1</v>
      </c>
      <c r="G6" s="424" t="s">
        <v>2528</v>
      </c>
      <c r="H6" s="46" t="s">
        <v>2533</v>
      </c>
      <c r="I6" s="425" t="str">
        <f t="shared" si="1"/>
        <v>normal_spy_00005</v>
      </c>
      <c r="J6" s="425" t="str">
        <f t="shared" si="2"/>
        <v>stage_icon_spy_normal_05</v>
      </c>
      <c r="K6" s="59"/>
      <c r="L6" s="59"/>
      <c r="M6" s="427"/>
      <c r="N6" s="427"/>
      <c r="O6" s="45"/>
      <c r="P6" s="54"/>
      <c r="Q6" s="54"/>
      <c r="R6" s="56"/>
    </row>
    <row r="7">
      <c r="A7" s="45" t="s">
        <v>60</v>
      </c>
      <c r="B7" s="90" t="str">
        <f t="array" ref="B7">iferror(INDEX('作品'!D:D,MATCH(left(A7,3),'作品'!A:A,0),0),"error")</f>
        <v>SPY×FAMILY</v>
      </c>
      <c r="C7" s="46" t="s">
        <v>2527</v>
      </c>
      <c r="D7" s="401" t="s">
        <v>2447</v>
      </c>
      <c r="E7" s="400" t="s">
        <v>2446</v>
      </c>
      <c r="F7" s="423" t="str">
        <f>IFERROR(__xludf.DUMMYFUNCTION("CONCATENATE(""quest_"",D7,""_"",A7,""_"",C7,""_"")&amp;IFERROR(REGEXEXTRACT(G7,""[0-9]{2}""),REGEXEXTRACT(G7,""[0-9]{1}""))"),"quest_main_spy_normal_1")</f>
        <v>quest_main_spy_normal_1</v>
      </c>
      <c r="G7" s="424" t="s">
        <v>2528</v>
      </c>
      <c r="H7" s="46" t="s">
        <v>2534</v>
      </c>
      <c r="I7" s="425" t="str">
        <f t="shared" si="1"/>
        <v>normal_spy_00006</v>
      </c>
      <c r="J7" s="425" t="str">
        <f t="shared" si="2"/>
        <v>stage_icon_spy_normal_06</v>
      </c>
      <c r="K7" s="59"/>
      <c r="L7" s="59"/>
      <c r="M7" s="427"/>
      <c r="N7" s="427"/>
      <c r="O7" s="45"/>
      <c r="P7" s="54"/>
      <c r="Q7" s="54"/>
      <c r="R7" s="56"/>
    </row>
    <row r="8">
      <c r="A8" s="24" t="s">
        <v>87</v>
      </c>
      <c r="B8" s="90" t="str">
        <f t="array" ref="B8">iferror(INDEX('作品'!D:D,MATCH(left(A8,3),'作品'!A:A,0),0),"error")</f>
        <v>姫様“拷問”の時間です</v>
      </c>
      <c r="C8" s="46" t="s">
        <v>2527</v>
      </c>
      <c r="D8" s="401" t="s">
        <v>2447</v>
      </c>
      <c r="E8" s="400" t="s">
        <v>2446</v>
      </c>
      <c r="F8" s="423" t="str">
        <f>IFERROR(__xludf.DUMMYFUNCTION("CONCATENATE(""quest_"",D8,""_"",A8,""_"",C8,""_"")&amp;IFERROR(REGEXEXTRACT(G8,""[0-9]{2}""),REGEXEXTRACT(G8,""[0-9]{1}""))"),"quest_main_gom_normal_2")</f>
        <v>quest_main_gom_normal_2</v>
      </c>
      <c r="G8" s="424" t="s">
        <v>2535</v>
      </c>
      <c r="H8" s="46" t="s">
        <v>2529</v>
      </c>
      <c r="I8" s="425" t="str">
        <f t="shared" si="1"/>
        <v>normal_gom_00001</v>
      </c>
      <c r="J8" s="425" t="str">
        <f t="shared" si="2"/>
        <v>stage_icon_gom_normal_01</v>
      </c>
      <c r="K8" s="425"/>
      <c r="L8" s="425"/>
      <c r="M8" s="426"/>
      <c r="N8" s="426"/>
      <c r="O8" s="45"/>
      <c r="P8" s="54"/>
      <c r="Q8" s="54"/>
      <c r="R8" s="56"/>
    </row>
    <row r="9">
      <c r="A9" s="24" t="s">
        <v>87</v>
      </c>
      <c r="B9" s="90" t="str">
        <f t="array" ref="B9">iferror(INDEX('作品'!D:D,MATCH(left(A9,3),'作品'!A:A,0),0),"error")</f>
        <v>姫様“拷問”の時間です</v>
      </c>
      <c r="C9" s="46" t="s">
        <v>2527</v>
      </c>
      <c r="D9" s="401" t="s">
        <v>2447</v>
      </c>
      <c r="E9" s="400" t="s">
        <v>2446</v>
      </c>
      <c r="F9" s="423" t="str">
        <f>IFERROR(__xludf.DUMMYFUNCTION("CONCATENATE(""quest_"",D9,""_"",A9,""_"",C9,""_"")&amp;IFERROR(REGEXEXTRACT(G9,""[0-9]{2}""),REGEXEXTRACT(G9,""[0-9]{1}""))"),"quest_main_gom_normal_2")</f>
        <v>quest_main_gom_normal_2</v>
      </c>
      <c r="G9" s="424" t="s">
        <v>2535</v>
      </c>
      <c r="H9" s="46" t="s">
        <v>2530</v>
      </c>
      <c r="I9" s="425" t="str">
        <f t="shared" si="1"/>
        <v>normal_gom_00002</v>
      </c>
      <c r="J9" s="425" t="str">
        <f t="shared" si="2"/>
        <v>stage_icon_gom_normal_02</v>
      </c>
      <c r="K9" s="59"/>
      <c r="L9" s="59"/>
      <c r="M9" s="427"/>
      <c r="N9" s="427"/>
      <c r="O9" s="45"/>
      <c r="P9" s="54"/>
      <c r="Q9" s="54"/>
      <c r="R9" s="56"/>
    </row>
    <row r="10">
      <c r="A10" s="24" t="s">
        <v>87</v>
      </c>
      <c r="B10" s="90" t="str">
        <f t="array" ref="B10">iferror(INDEX('作品'!D:D,MATCH(left(A10,3),'作品'!A:A,0),0),"error")</f>
        <v>姫様“拷問”の時間です</v>
      </c>
      <c r="C10" s="46" t="s">
        <v>2527</v>
      </c>
      <c r="D10" s="401" t="s">
        <v>2447</v>
      </c>
      <c r="E10" s="400" t="s">
        <v>2446</v>
      </c>
      <c r="F10" s="423" t="str">
        <f>IFERROR(__xludf.DUMMYFUNCTION("CONCATENATE(""quest_"",D10,""_"",A10,""_"",C10,""_"")&amp;IFERROR(REGEXEXTRACT(G10,""[0-9]{2}""),REGEXEXTRACT(G10,""[0-9]{1}""))"),"quest_main_gom_normal_2")</f>
        <v>quest_main_gom_normal_2</v>
      </c>
      <c r="G10" s="424" t="s">
        <v>2535</v>
      </c>
      <c r="H10" s="46" t="s">
        <v>2531</v>
      </c>
      <c r="I10" s="425" t="str">
        <f t="shared" si="1"/>
        <v>normal_gom_00003</v>
      </c>
      <c r="J10" s="425" t="str">
        <f t="shared" si="2"/>
        <v>stage_icon_gom_normal_03</v>
      </c>
      <c r="K10" s="425"/>
      <c r="L10" s="425"/>
      <c r="M10" s="426"/>
      <c r="N10" s="426"/>
      <c r="O10" s="45"/>
      <c r="P10" s="54"/>
      <c r="Q10" s="54"/>
      <c r="R10" s="56"/>
    </row>
    <row r="11">
      <c r="A11" s="24" t="s">
        <v>87</v>
      </c>
      <c r="B11" s="90" t="str">
        <f t="array" ref="B11">iferror(INDEX('作品'!D:D,MATCH(left(A11,3),'作品'!A:A,0),0),"error")</f>
        <v>姫様“拷問”の時間です</v>
      </c>
      <c r="C11" s="46" t="s">
        <v>2527</v>
      </c>
      <c r="D11" s="401" t="s">
        <v>2447</v>
      </c>
      <c r="E11" s="400" t="s">
        <v>2446</v>
      </c>
      <c r="F11" s="423" t="str">
        <f>IFERROR(__xludf.DUMMYFUNCTION("CONCATENATE(""quest_"",D11,""_"",A11,""_"",C11,""_"")&amp;IFERROR(REGEXEXTRACT(G11,""[0-9]{2}""),REGEXEXTRACT(G11,""[0-9]{1}""))"),"quest_main_gom_normal_2")</f>
        <v>quest_main_gom_normal_2</v>
      </c>
      <c r="G11" s="424" t="s">
        <v>2535</v>
      </c>
      <c r="H11" s="46" t="s">
        <v>2532</v>
      </c>
      <c r="I11" s="425" t="str">
        <f t="shared" si="1"/>
        <v>normal_gom_00004</v>
      </c>
      <c r="J11" s="425" t="str">
        <f t="shared" si="2"/>
        <v>stage_icon_gom_normal_04</v>
      </c>
      <c r="K11" s="59"/>
      <c r="L11" s="59"/>
      <c r="M11" s="427"/>
      <c r="N11" s="427"/>
      <c r="O11" s="45"/>
      <c r="P11" s="54"/>
      <c r="Q11" s="54"/>
      <c r="R11" s="56"/>
    </row>
    <row r="12">
      <c r="A12" s="24" t="s">
        <v>87</v>
      </c>
      <c r="B12" s="90" t="str">
        <f t="array" ref="B12">iferror(INDEX('作品'!D:D,MATCH(left(A12,3),'作品'!A:A,0),0),"error")</f>
        <v>姫様“拷問”の時間です</v>
      </c>
      <c r="C12" s="46" t="s">
        <v>2527</v>
      </c>
      <c r="D12" s="401" t="s">
        <v>2447</v>
      </c>
      <c r="E12" s="400" t="s">
        <v>2446</v>
      </c>
      <c r="F12" s="423" t="str">
        <f>IFERROR(__xludf.DUMMYFUNCTION("CONCATENATE(""quest_"",D12,""_"",A12,""_"",C12,""_"")&amp;IFERROR(REGEXEXTRACT(G12,""[0-9]{2}""),REGEXEXTRACT(G12,""[0-9]{1}""))"),"quest_main_gom_normal_2")</f>
        <v>quest_main_gom_normal_2</v>
      </c>
      <c r="G12" s="424" t="s">
        <v>2535</v>
      </c>
      <c r="H12" s="46" t="s">
        <v>2533</v>
      </c>
      <c r="I12" s="425" t="str">
        <f t="shared" si="1"/>
        <v>normal_gom_00005</v>
      </c>
      <c r="J12" s="425" t="str">
        <f t="shared" si="2"/>
        <v>stage_icon_gom_normal_05</v>
      </c>
      <c r="K12" s="425"/>
      <c r="L12" s="425"/>
      <c r="M12" s="426"/>
      <c r="N12" s="426"/>
      <c r="O12" s="45"/>
      <c r="P12" s="54"/>
      <c r="Q12" s="54"/>
      <c r="R12" s="56"/>
    </row>
    <row r="13">
      <c r="A13" s="24" t="s">
        <v>87</v>
      </c>
      <c r="B13" s="90" t="str">
        <f t="array" ref="B13">iferror(INDEX('作品'!D:D,MATCH(left(A13,3),'作品'!A:A,0),0),"error")</f>
        <v>姫様“拷問”の時間です</v>
      </c>
      <c r="C13" s="46" t="s">
        <v>2527</v>
      </c>
      <c r="D13" s="401" t="s">
        <v>2447</v>
      </c>
      <c r="E13" s="400" t="s">
        <v>2446</v>
      </c>
      <c r="F13" s="423" t="str">
        <f>IFERROR(__xludf.DUMMYFUNCTION("CONCATENATE(""quest_"",D13,""_"",A13,""_"",C13,""_"")&amp;IFERROR(REGEXEXTRACT(G13,""[0-9]{2}""),REGEXEXTRACT(G13,""[0-9]{1}""))"),"quest_main_gom_normal_2")</f>
        <v>quest_main_gom_normal_2</v>
      </c>
      <c r="G13" s="424" t="s">
        <v>2535</v>
      </c>
      <c r="H13" s="46" t="s">
        <v>2534</v>
      </c>
      <c r="I13" s="425" t="str">
        <f t="shared" si="1"/>
        <v>normal_gom_00006</v>
      </c>
      <c r="J13" s="425" t="str">
        <f t="shared" si="2"/>
        <v>stage_icon_gom_normal_06</v>
      </c>
      <c r="K13" s="59"/>
      <c r="L13" s="59"/>
      <c r="M13" s="427"/>
      <c r="N13" s="427"/>
      <c r="O13" s="45"/>
      <c r="P13" s="54"/>
      <c r="Q13" s="54"/>
      <c r="R13" s="56"/>
    </row>
    <row r="14">
      <c r="A14" s="45" t="s">
        <v>68</v>
      </c>
      <c r="B14" s="90" t="str">
        <f t="array" ref="B14">iferror(INDEX('作品'!D:D,MATCH(left(A14,3),'作品'!A:A,0),0),"error")</f>
        <v>ラーメン赤猫</v>
      </c>
      <c r="C14" s="46" t="s">
        <v>2527</v>
      </c>
      <c r="D14" s="401" t="s">
        <v>2447</v>
      </c>
      <c r="E14" s="400" t="s">
        <v>2446</v>
      </c>
      <c r="F14" s="423" t="str">
        <f>IFERROR(__xludf.DUMMYFUNCTION("CONCATENATE(""quest_"",D14,""_"",A14,""_"",C14,""_"")&amp;IFERROR(REGEXEXTRACT(G14,""[0-9]{2}""),REGEXEXTRACT(G14,""[0-9]{1}""))"),"quest_main_aka_normal_3")</f>
        <v>quest_main_aka_normal_3</v>
      </c>
      <c r="G14" s="424" t="s">
        <v>2536</v>
      </c>
      <c r="H14" s="46" t="s">
        <v>2529</v>
      </c>
      <c r="I14" s="425" t="str">
        <f t="shared" si="1"/>
        <v>normal_aka_00001</v>
      </c>
      <c r="J14" s="425" t="str">
        <f t="shared" si="2"/>
        <v>stage_icon_aka_normal_01</v>
      </c>
      <c r="K14" s="425"/>
      <c r="L14" s="425"/>
      <c r="M14" s="426"/>
      <c r="N14" s="426"/>
      <c r="O14" s="45"/>
      <c r="P14" s="54"/>
      <c r="Q14" s="54"/>
      <c r="R14" s="56"/>
    </row>
    <row r="15">
      <c r="A15" s="45" t="s">
        <v>68</v>
      </c>
      <c r="B15" s="90" t="str">
        <f t="array" ref="B15">iferror(INDEX('作品'!D:D,MATCH(left(A15,3),'作品'!A:A,0),0),"error")</f>
        <v>ラーメン赤猫</v>
      </c>
      <c r="C15" s="46" t="s">
        <v>2527</v>
      </c>
      <c r="D15" s="401" t="s">
        <v>2447</v>
      </c>
      <c r="E15" s="400" t="s">
        <v>2446</v>
      </c>
      <c r="F15" s="423" t="str">
        <f>IFERROR(__xludf.DUMMYFUNCTION("CONCATENATE(""quest_"",D15,""_"",A15,""_"",C15,""_"")&amp;IFERROR(REGEXEXTRACT(G15,""[0-9]{2}""),REGEXEXTRACT(G15,""[0-9]{1}""))"),"quest_main_aka_normal_3")</f>
        <v>quest_main_aka_normal_3</v>
      </c>
      <c r="G15" s="424" t="s">
        <v>2536</v>
      </c>
      <c r="H15" s="46" t="s">
        <v>2530</v>
      </c>
      <c r="I15" s="425" t="str">
        <f t="shared" si="1"/>
        <v>normal_aka_00002</v>
      </c>
      <c r="J15" s="425" t="str">
        <f t="shared" si="2"/>
        <v>stage_icon_aka_normal_02</v>
      </c>
      <c r="K15" s="59"/>
      <c r="L15" s="59"/>
      <c r="M15" s="427"/>
      <c r="N15" s="427"/>
      <c r="O15" s="45"/>
      <c r="P15" s="54"/>
      <c r="Q15" s="54"/>
      <c r="R15" s="56"/>
    </row>
    <row r="16">
      <c r="A16" s="45" t="s">
        <v>68</v>
      </c>
      <c r="B16" s="90" t="str">
        <f t="array" ref="B16">iferror(INDEX('作品'!D:D,MATCH(left(A16,3),'作品'!A:A,0),0),"error")</f>
        <v>ラーメン赤猫</v>
      </c>
      <c r="C16" s="46" t="s">
        <v>2527</v>
      </c>
      <c r="D16" s="401" t="s">
        <v>2447</v>
      </c>
      <c r="E16" s="400" t="s">
        <v>2446</v>
      </c>
      <c r="F16" s="423" t="str">
        <f>IFERROR(__xludf.DUMMYFUNCTION("CONCATENATE(""quest_"",D16,""_"",A16,""_"",C16,""_"")&amp;IFERROR(REGEXEXTRACT(G16,""[0-9]{2}""),REGEXEXTRACT(G16,""[0-9]{1}""))"),"quest_main_aka_normal_3")</f>
        <v>quest_main_aka_normal_3</v>
      </c>
      <c r="G16" s="424" t="s">
        <v>2536</v>
      </c>
      <c r="H16" s="46" t="s">
        <v>2531</v>
      </c>
      <c r="I16" s="425" t="str">
        <f t="shared" si="1"/>
        <v>normal_aka_00003</v>
      </c>
      <c r="J16" s="425" t="str">
        <f t="shared" si="2"/>
        <v>stage_icon_aka_normal_03</v>
      </c>
      <c r="K16" s="59"/>
      <c r="L16" s="59"/>
      <c r="M16" s="427"/>
      <c r="N16" s="427"/>
      <c r="O16" s="45"/>
      <c r="P16" s="54"/>
      <c r="Q16" s="54"/>
      <c r="R16" s="56"/>
    </row>
    <row r="17">
      <c r="A17" s="25" t="s">
        <v>2537</v>
      </c>
      <c r="B17" s="90" t="str">
        <f t="array" ref="B17">iferror(INDEX('作品'!D:D,MATCH(left(A17,3),'作品'!A:A,0),0),"error")</f>
        <v>GLOW</v>
      </c>
      <c r="C17" s="46" t="s">
        <v>2527</v>
      </c>
      <c r="D17" s="401" t="s">
        <v>2447</v>
      </c>
      <c r="E17" s="400" t="s">
        <v>2446</v>
      </c>
      <c r="F17" s="423" t="str">
        <f>IFERROR(__xludf.DUMMYFUNCTION("CONCATENATE(""quest_"",D17,""_"",A17,""_"",C17,""_"")&amp;IFERROR(REGEXEXTRACT(G17,""[0-9]{2}""),REGEXEXTRACT(G17,""[0-9]{1}""))"),"quest_main_glo1_normal_4")</f>
        <v>quest_main_glo1_normal_4</v>
      </c>
      <c r="G17" s="424" t="s">
        <v>2538</v>
      </c>
      <c r="H17" s="46" t="s">
        <v>2529</v>
      </c>
      <c r="I17" s="425" t="str">
        <f t="shared" si="1"/>
        <v>normal_glo1_00001</v>
      </c>
      <c r="J17" s="425" t="str">
        <f t="shared" si="2"/>
        <v>stage_icon_glo1_normal_01</v>
      </c>
      <c r="K17" s="425"/>
      <c r="L17" s="425"/>
      <c r="M17" s="426"/>
      <c r="N17" s="426"/>
      <c r="O17" s="45"/>
      <c r="P17" s="54"/>
      <c r="Q17" s="54"/>
      <c r="R17" s="56"/>
    </row>
    <row r="18">
      <c r="A18" s="25" t="s">
        <v>2537</v>
      </c>
      <c r="B18" s="90" t="str">
        <f t="array" ref="B18">iferror(INDEX('作品'!D:D,MATCH(left(A18,3),'作品'!A:A,0),0),"error")</f>
        <v>GLOW</v>
      </c>
      <c r="C18" s="46" t="s">
        <v>2527</v>
      </c>
      <c r="D18" s="401" t="s">
        <v>2447</v>
      </c>
      <c r="E18" s="400" t="s">
        <v>2446</v>
      </c>
      <c r="F18" s="423" t="str">
        <f>IFERROR(__xludf.DUMMYFUNCTION("CONCATENATE(""quest_"",D18,""_"",A18,""_"",C18,""_"")&amp;IFERROR(REGEXEXTRACT(G18,""[0-9]{2}""),REGEXEXTRACT(G18,""[0-9]{1}""))"),"quest_main_glo1_normal_4")</f>
        <v>quest_main_glo1_normal_4</v>
      </c>
      <c r="G18" s="424" t="s">
        <v>2538</v>
      </c>
      <c r="H18" s="46" t="s">
        <v>2530</v>
      </c>
      <c r="I18" s="425" t="str">
        <f t="shared" si="1"/>
        <v>normal_glo1_00002</v>
      </c>
      <c r="J18" s="425" t="str">
        <f t="shared" si="2"/>
        <v>stage_icon_glo1_normal_02</v>
      </c>
      <c r="K18" s="59"/>
      <c r="L18" s="59"/>
      <c r="M18" s="427"/>
      <c r="N18" s="427"/>
      <c r="O18" s="45"/>
      <c r="P18" s="54"/>
      <c r="Q18" s="54"/>
      <c r="R18" s="56"/>
    </row>
    <row r="19">
      <c r="A19" s="25" t="s">
        <v>2537</v>
      </c>
      <c r="B19" s="90" t="str">
        <f t="array" ref="B19">iferror(INDEX('作品'!D:D,MATCH(left(A19,3),'作品'!A:A,0),0),"error")</f>
        <v>GLOW</v>
      </c>
      <c r="C19" s="46" t="s">
        <v>2527</v>
      </c>
      <c r="D19" s="401" t="s">
        <v>2447</v>
      </c>
      <c r="E19" s="400" t="s">
        <v>2446</v>
      </c>
      <c r="F19" s="423" t="str">
        <f>IFERROR(__xludf.DUMMYFUNCTION("CONCATENATE(""quest_"",D19,""_"",A19,""_"",C19,""_"")&amp;IFERROR(REGEXEXTRACT(G19,""[0-9]{2}""),REGEXEXTRACT(G19,""[0-9]{1}""))"),"quest_main_glo1_normal_4")</f>
        <v>quest_main_glo1_normal_4</v>
      </c>
      <c r="G19" s="424" t="s">
        <v>2538</v>
      </c>
      <c r="H19" s="46" t="s">
        <v>2531</v>
      </c>
      <c r="I19" s="425" t="str">
        <f t="shared" si="1"/>
        <v>normal_glo1_00003</v>
      </c>
      <c r="J19" s="425" t="str">
        <f t="shared" si="2"/>
        <v>stage_icon_glo1_normal_03</v>
      </c>
      <c r="K19" s="59"/>
      <c r="L19" s="59"/>
      <c r="M19" s="427"/>
      <c r="N19" s="427"/>
      <c r="O19" s="45"/>
      <c r="P19" s="54"/>
      <c r="Q19" s="54"/>
      <c r="R19" s="56"/>
    </row>
    <row r="20">
      <c r="A20" s="25" t="s">
        <v>2537</v>
      </c>
      <c r="B20" s="90" t="str">
        <f t="array" ref="B20">iferror(INDEX('作品'!D:D,MATCH(left(A20,3),'作品'!A:A,0),0),"error")</f>
        <v>GLOW</v>
      </c>
      <c r="C20" s="46" t="s">
        <v>2527</v>
      </c>
      <c r="D20" s="401" t="s">
        <v>2447</v>
      </c>
      <c r="E20" s="400" t="s">
        <v>2446</v>
      </c>
      <c r="F20" s="423" t="str">
        <f>IFERROR(__xludf.DUMMYFUNCTION("CONCATENATE(""quest_"",D20,""_"",A20,""_"",C20,""_"")&amp;IFERROR(REGEXEXTRACT(G20,""[0-9]{2}""),REGEXEXTRACT(G20,""[0-9]{1}""))"),"quest_main_glo1_normal_4")</f>
        <v>quest_main_glo1_normal_4</v>
      </c>
      <c r="G20" s="424" t="s">
        <v>2538</v>
      </c>
      <c r="H20" s="46" t="s">
        <v>2532</v>
      </c>
      <c r="I20" s="425" t="str">
        <f t="shared" si="1"/>
        <v>normal_glo1_00004</v>
      </c>
      <c r="J20" s="425" t="str">
        <f t="shared" si="2"/>
        <v>stage_icon_glo1_normal_04</v>
      </c>
      <c r="K20" s="425"/>
      <c r="L20" s="425"/>
      <c r="M20" s="426"/>
      <c r="N20" s="426"/>
      <c r="O20" s="45"/>
      <c r="P20" s="54"/>
      <c r="Q20" s="54"/>
      <c r="R20" s="56"/>
    </row>
    <row r="21">
      <c r="A21" s="25" t="s">
        <v>2537</v>
      </c>
      <c r="B21" s="90" t="str">
        <f t="array" ref="B21">iferror(INDEX('作品'!D:D,MATCH(left(A21,3),'作品'!A:A,0),0),"error")</f>
        <v>GLOW</v>
      </c>
      <c r="C21" s="46" t="s">
        <v>2527</v>
      </c>
      <c r="D21" s="401" t="s">
        <v>2447</v>
      </c>
      <c r="E21" s="400" t="s">
        <v>2446</v>
      </c>
      <c r="F21" s="423" t="str">
        <f>IFERROR(__xludf.DUMMYFUNCTION("CONCATENATE(""quest_"",D21,""_"",A21,""_"",C21,""_"")&amp;IFERROR(REGEXEXTRACT(G21,""[0-9]{2}""),REGEXEXTRACT(G21,""[0-9]{1}""))"),"quest_main_glo1_normal_4")</f>
        <v>quest_main_glo1_normal_4</v>
      </c>
      <c r="G21" s="424" t="s">
        <v>2538</v>
      </c>
      <c r="H21" s="46" t="s">
        <v>2533</v>
      </c>
      <c r="I21" s="425" t="str">
        <f t="shared" si="1"/>
        <v>normal_glo1_00005</v>
      </c>
      <c r="J21" s="425" t="str">
        <f t="shared" si="2"/>
        <v>stage_icon_glo1_normal_05</v>
      </c>
      <c r="K21" s="59"/>
      <c r="L21" s="59"/>
      <c r="M21" s="427"/>
      <c r="N21" s="427"/>
      <c r="O21" s="45"/>
      <c r="P21" s="54"/>
      <c r="Q21" s="54"/>
      <c r="R21" s="56"/>
    </row>
    <row r="22">
      <c r="A22" s="25" t="s">
        <v>2537</v>
      </c>
      <c r="B22" s="90" t="str">
        <f t="array" ref="B22">iferror(INDEX('作品'!D:D,MATCH(left(A22,3),'作品'!A:A,0),0),"error")</f>
        <v>GLOW</v>
      </c>
      <c r="C22" s="46" t="s">
        <v>2527</v>
      </c>
      <c r="D22" s="401" t="s">
        <v>2447</v>
      </c>
      <c r="E22" s="400" t="s">
        <v>2446</v>
      </c>
      <c r="F22" s="423" t="str">
        <f>IFERROR(__xludf.DUMMYFUNCTION("CONCATENATE(""quest_"",D22,""_"",A22,""_"",C22,""_"")&amp;IFERROR(REGEXEXTRACT(G22,""[0-9]{2}""),REGEXEXTRACT(G22,""[0-9]{1}""))"),"quest_main_glo1_normal_4")</f>
        <v>quest_main_glo1_normal_4</v>
      </c>
      <c r="G22" s="424" t="s">
        <v>2538</v>
      </c>
      <c r="H22" s="46" t="s">
        <v>2534</v>
      </c>
      <c r="I22" s="425" t="str">
        <f t="shared" si="1"/>
        <v>normal_glo1_00006</v>
      </c>
      <c r="J22" s="425" t="str">
        <f t="shared" si="2"/>
        <v>stage_icon_glo1_normal_06</v>
      </c>
      <c r="K22" s="59"/>
      <c r="L22" s="59"/>
      <c r="M22" s="427"/>
      <c r="N22" s="427"/>
      <c r="O22" s="45"/>
      <c r="P22" s="54"/>
      <c r="Q22" s="54"/>
      <c r="R22" s="56"/>
    </row>
    <row r="23">
      <c r="A23" s="24" t="s">
        <v>80</v>
      </c>
      <c r="B23" s="90" t="str">
        <f t="array" ref="B23">iferror(INDEX('作品'!D:D,MATCH(left(A23,3),'作品'!A:A,0),0),"error")</f>
        <v>ダンダダン</v>
      </c>
      <c r="C23" s="46" t="s">
        <v>2527</v>
      </c>
      <c r="D23" s="401" t="s">
        <v>2447</v>
      </c>
      <c r="E23" s="400" t="s">
        <v>2446</v>
      </c>
      <c r="F23" s="423" t="str">
        <f>IFERROR(__xludf.DUMMYFUNCTION("CONCATENATE(""quest_"",D23,""_"",A23,""_"",C23,""_"")&amp;IFERROR(REGEXEXTRACT(G23,""[0-9]{2}""),REGEXEXTRACT(G23,""[0-9]{1}""))"),"quest_main_dan_normal_5")</f>
        <v>quest_main_dan_normal_5</v>
      </c>
      <c r="G23" s="424" t="s">
        <v>2539</v>
      </c>
      <c r="H23" s="46" t="s">
        <v>2529</v>
      </c>
      <c r="I23" s="425" t="str">
        <f t="shared" si="1"/>
        <v>normal_dan_00001</v>
      </c>
      <c r="J23" s="425" t="str">
        <f t="shared" si="2"/>
        <v>stage_icon_dan_normal_01</v>
      </c>
      <c r="K23" s="59"/>
      <c r="L23" s="59"/>
      <c r="M23" s="427"/>
      <c r="N23" s="427"/>
      <c r="O23" s="45"/>
      <c r="P23" s="54"/>
      <c r="Q23" s="54"/>
      <c r="R23" s="56"/>
    </row>
    <row r="24">
      <c r="A24" s="24" t="s">
        <v>80</v>
      </c>
      <c r="B24" s="90" t="str">
        <f t="array" ref="B24">iferror(INDEX('作品'!D:D,MATCH(left(A24,3),'作品'!A:A,0),0),"error")</f>
        <v>ダンダダン</v>
      </c>
      <c r="C24" s="46" t="s">
        <v>2527</v>
      </c>
      <c r="D24" s="401" t="s">
        <v>2447</v>
      </c>
      <c r="E24" s="400" t="s">
        <v>2446</v>
      </c>
      <c r="F24" s="423" t="str">
        <f>IFERROR(__xludf.DUMMYFUNCTION("CONCATENATE(""quest_"",D24,""_"",A24,""_"",C24,""_"")&amp;IFERROR(REGEXEXTRACT(G24,""[0-9]{2}""),REGEXEXTRACT(G24,""[0-9]{1}""))"),"quest_main_dan_normal_5")</f>
        <v>quest_main_dan_normal_5</v>
      </c>
      <c r="G24" s="424" t="s">
        <v>2539</v>
      </c>
      <c r="H24" s="46" t="s">
        <v>2530</v>
      </c>
      <c r="I24" s="425" t="str">
        <f t="shared" si="1"/>
        <v>normal_dan_00002</v>
      </c>
      <c r="J24" s="425" t="str">
        <f t="shared" si="2"/>
        <v>stage_icon_dan_normal_02</v>
      </c>
      <c r="K24" s="59"/>
      <c r="L24" s="59"/>
      <c r="M24" s="427"/>
      <c r="N24" s="427"/>
      <c r="O24" s="45"/>
      <c r="P24" s="54"/>
      <c r="Q24" s="54"/>
      <c r="R24" s="56"/>
    </row>
    <row r="25">
      <c r="A25" s="24" t="s">
        <v>80</v>
      </c>
      <c r="B25" s="90" t="str">
        <f t="array" ref="B25">iferror(INDEX('作品'!D:D,MATCH(left(A25,3),'作品'!A:A,0),0),"error")</f>
        <v>ダンダダン</v>
      </c>
      <c r="C25" s="46" t="s">
        <v>2527</v>
      </c>
      <c r="D25" s="401" t="s">
        <v>2447</v>
      </c>
      <c r="E25" s="400" t="s">
        <v>2446</v>
      </c>
      <c r="F25" s="423" t="str">
        <f>IFERROR(__xludf.DUMMYFUNCTION("CONCATENATE(""quest_"",D25,""_"",A25,""_"",C25,""_"")&amp;IFERROR(REGEXEXTRACT(G25,""[0-9]{2}""),REGEXEXTRACT(G25,""[0-9]{1}""))"),"quest_main_dan_normal_5")</f>
        <v>quest_main_dan_normal_5</v>
      </c>
      <c r="G25" s="424" t="s">
        <v>2539</v>
      </c>
      <c r="H25" s="46" t="s">
        <v>2531</v>
      </c>
      <c r="I25" s="425" t="str">
        <f t="shared" si="1"/>
        <v>normal_dan_00003</v>
      </c>
      <c r="J25" s="425" t="str">
        <f t="shared" si="2"/>
        <v>stage_icon_dan_normal_03</v>
      </c>
      <c r="K25" s="59"/>
      <c r="L25" s="59"/>
      <c r="M25" s="427"/>
      <c r="N25" s="427"/>
      <c r="O25" s="45"/>
      <c r="P25" s="54"/>
      <c r="Q25" s="54"/>
      <c r="R25" s="56"/>
    </row>
    <row r="26">
      <c r="A26" s="24" t="s">
        <v>80</v>
      </c>
      <c r="B26" s="90" t="str">
        <f t="array" ref="B26">iferror(INDEX('作品'!D:D,MATCH(left(A26,3),'作品'!A:A,0),0),"error")</f>
        <v>ダンダダン</v>
      </c>
      <c r="C26" s="46" t="s">
        <v>2527</v>
      </c>
      <c r="D26" s="401" t="s">
        <v>2447</v>
      </c>
      <c r="E26" s="400" t="s">
        <v>2446</v>
      </c>
      <c r="F26" s="423" t="str">
        <f>IFERROR(__xludf.DUMMYFUNCTION("CONCATENATE(""quest_"",D26,""_"",A26,""_"",C26,""_"")&amp;IFERROR(REGEXEXTRACT(G26,""[0-9]{2}""),REGEXEXTRACT(G26,""[0-9]{1}""))"),"quest_main_dan_normal_5")</f>
        <v>quest_main_dan_normal_5</v>
      </c>
      <c r="G26" s="424" t="s">
        <v>2539</v>
      </c>
      <c r="H26" s="46" t="s">
        <v>2532</v>
      </c>
      <c r="I26" s="425" t="str">
        <f t="shared" si="1"/>
        <v>normal_dan_00004</v>
      </c>
      <c r="J26" s="425" t="str">
        <f t="shared" si="2"/>
        <v>stage_icon_dan_normal_04</v>
      </c>
      <c r="K26" s="59"/>
      <c r="L26" s="59"/>
      <c r="M26" s="427"/>
      <c r="N26" s="427"/>
      <c r="O26" s="45"/>
      <c r="P26" s="54"/>
      <c r="Q26" s="54"/>
      <c r="R26" s="56"/>
    </row>
    <row r="27">
      <c r="A27" s="24" t="s">
        <v>80</v>
      </c>
      <c r="B27" s="90" t="str">
        <f t="array" ref="B27">iferror(INDEX('作品'!D:D,MATCH(left(A27,3),'作品'!A:A,0),0),"error")</f>
        <v>ダンダダン</v>
      </c>
      <c r="C27" s="46" t="s">
        <v>2527</v>
      </c>
      <c r="D27" s="401" t="s">
        <v>2447</v>
      </c>
      <c r="E27" s="400" t="s">
        <v>2446</v>
      </c>
      <c r="F27" s="423" t="str">
        <f>IFERROR(__xludf.DUMMYFUNCTION("CONCATENATE(""quest_"",D27,""_"",A27,""_"",C27,""_"")&amp;IFERROR(REGEXEXTRACT(G27,""[0-9]{2}""),REGEXEXTRACT(G27,""[0-9]{1}""))"),"quest_main_dan_normal_5")</f>
        <v>quest_main_dan_normal_5</v>
      </c>
      <c r="G27" s="424" t="s">
        <v>2539</v>
      </c>
      <c r="H27" s="46" t="s">
        <v>2533</v>
      </c>
      <c r="I27" s="425" t="str">
        <f t="shared" si="1"/>
        <v>normal_dan_00005</v>
      </c>
      <c r="J27" s="425" t="str">
        <f t="shared" si="2"/>
        <v>stage_icon_dan_normal_05</v>
      </c>
      <c r="K27" s="59"/>
      <c r="L27" s="59"/>
      <c r="M27" s="427"/>
      <c r="N27" s="427"/>
      <c r="O27" s="45"/>
      <c r="P27" s="54"/>
      <c r="Q27" s="54"/>
      <c r="R27" s="56"/>
    </row>
    <row r="28">
      <c r="A28" s="24" t="s">
        <v>80</v>
      </c>
      <c r="B28" s="90" t="str">
        <f t="array" ref="B28">iferror(INDEX('作品'!D:D,MATCH(left(A28,3),'作品'!A:A,0),0),"error")</f>
        <v>ダンダダン</v>
      </c>
      <c r="C28" s="46" t="s">
        <v>2527</v>
      </c>
      <c r="D28" s="401" t="s">
        <v>2447</v>
      </c>
      <c r="E28" s="400" t="s">
        <v>2446</v>
      </c>
      <c r="F28" s="423" t="str">
        <f>IFERROR(__xludf.DUMMYFUNCTION("CONCATENATE(""quest_"",D28,""_"",A28,""_"",C28,""_"")&amp;IFERROR(REGEXEXTRACT(G28,""[0-9]{2}""),REGEXEXTRACT(G28,""[0-9]{1}""))"),"quest_main_dan_normal_5")</f>
        <v>quest_main_dan_normal_5</v>
      </c>
      <c r="G28" s="424" t="s">
        <v>2539</v>
      </c>
      <c r="H28" s="46" t="s">
        <v>2534</v>
      </c>
      <c r="I28" s="425" t="str">
        <f t="shared" si="1"/>
        <v>normal_dan_00006</v>
      </c>
      <c r="J28" s="425" t="str">
        <f t="shared" si="2"/>
        <v>stage_icon_dan_normal_06</v>
      </c>
      <c r="K28" s="59"/>
      <c r="L28" s="59"/>
      <c r="M28" s="427"/>
      <c r="N28" s="427"/>
      <c r="O28" s="45"/>
      <c r="P28" s="54"/>
      <c r="Q28" s="54"/>
      <c r="R28" s="56"/>
    </row>
    <row r="29">
      <c r="A29" s="24" t="s">
        <v>148</v>
      </c>
      <c r="B29" s="90" t="str">
        <f t="array" ref="B29">iferror(INDEX('作品'!D:D,MATCH(left(A29,3),'作品'!A:A,0),0),"error")</f>
        <v>地獄楽</v>
      </c>
      <c r="C29" s="46" t="s">
        <v>2527</v>
      </c>
      <c r="D29" s="401" t="s">
        <v>2447</v>
      </c>
      <c r="E29" s="400" t="s">
        <v>2446</v>
      </c>
      <c r="F29" s="423" t="str">
        <f>IFERROR(__xludf.DUMMYFUNCTION("CONCATENATE(""quest_"",D29,""_"",A29,""_"",C29,""_"")&amp;IFERROR(REGEXEXTRACT(G29,""[0-9]{2}""),REGEXEXTRACT(G29,""[0-9]{1}""))"),"quest_main_jig_normal_6")</f>
        <v>quest_main_jig_normal_6</v>
      </c>
      <c r="G29" s="424" t="s">
        <v>2540</v>
      </c>
      <c r="H29" s="46" t="s">
        <v>2529</v>
      </c>
      <c r="I29" s="425" t="str">
        <f t="shared" si="1"/>
        <v>normal_jig_00001</v>
      </c>
      <c r="J29" s="425" t="str">
        <f t="shared" si="2"/>
        <v>stage_icon_jig_normal_01</v>
      </c>
      <c r="K29" s="425"/>
      <c r="L29" s="425"/>
      <c r="M29" s="426"/>
      <c r="N29" s="426"/>
      <c r="O29" s="45"/>
      <c r="P29" s="54"/>
      <c r="Q29" s="54"/>
      <c r="R29" s="56"/>
    </row>
    <row r="30">
      <c r="A30" s="24" t="s">
        <v>148</v>
      </c>
      <c r="B30" s="90" t="str">
        <f t="array" ref="B30">iferror(INDEX('作品'!D:D,MATCH(left(A30,3),'作品'!A:A,0),0),"error")</f>
        <v>地獄楽</v>
      </c>
      <c r="C30" s="46" t="s">
        <v>2527</v>
      </c>
      <c r="D30" s="401" t="s">
        <v>2447</v>
      </c>
      <c r="E30" s="400" t="s">
        <v>2446</v>
      </c>
      <c r="F30" s="423" t="str">
        <f>IFERROR(__xludf.DUMMYFUNCTION("CONCATENATE(""quest_"",D30,""_"",A30,""_"",C30,""_"")&amp;IFERROR(REGEXEXTRACT(G30,""[0-9]{2}""),REGEXEXTRACT(G30,""[0-9]{1}""))"),"quest_main_jig_normal_6")</f>
        <v>quest_main_jig_normal_6</v>
      </c>
      <c r="G30" s="424" t="s">
        <v>2540</v>
      </c>
      <c r="H30" s="46" t="s">
        <v>2530</v>
      </c>
      <c r="I30" s="425" t="str">
        <f t="shared" si="1"/>
        <v>normal_jig_00002</v>
      </c>
      <c r="J30" s="425" t="str">
        <f t="shared" si="2"/>
        <v>stage_icon_jig_normal_02</v>
      </c>
      <c r="K30" s="59"/>
      <c r="L30" s="59"/>
      <c r="M30" s="427"/>
      <c r="N30" s="427"/>
      <c r="O30" s="45"/>
      <c r="P30" s="54"/>
      <c r="Q30" s="54"/>
      <c r="R30" s="56"/>
    </row>
    <row r="31">
      <c r="A31" s="24" t="s">
        <v>148</v>
      </c>
      <c r="B31" s="90" t="str">
        <f t="array" ref="B31">iferror(INDEX('作品'!D:D,MATCH(left(A31,3),'作品'!A:A,0),0),"error")</f>
        <v>地獄楽</v>
      </c>
      <c r="C31" s="46" t="s">
        <v>2527</v>
      </c>
      <c r="D31" s="401" t="s">
        <v>2447</v>
      </c>
      <c r="E31" s="400" t="s">
        <v>2446</v>
      </c>
      <c r="F31" s="423" t="str">
        <f>IFERROR(__xludf.DUMMYFUNCTION("CONCATENATE(""quest_"",D31,""_"",A31,""_"",C31,""_"")&amp;IFERROR(REGEXEXTRACT(G31,""[0-9]{2}""),REGEXEXTRACT(G31,""[0-9]{1}""))"),"quest_main_jig_normal_6")</f>
        <v>quest_main_jig_normal_6</v>
      </c>
      <c r="G31" s="424" t="s">
        <v>2540</v>
      </c>
      <c r="H31" s="46" t="s">
        <v>2531</v>
      </c>
      <c r="I31" s="425" t="str">
        <f t="shared" si="1"/>
        <v>normal_jig_00003</v>
      </c>
      <c r="J31" s="425" t="str">
        <f t="shared" si="2"/>
        <v>stage_icon_jig_normal_03</v>
      </c>
      <c r="K31" s="59"/>
      <c r="L31" s="59"/>
      <c r="M31" s="427"/>
      <c r="N31" s="427"/>
      <c r="O31" s="45"/>
      <c r="P31" s="54"/>
      <c r="Q31" s="54"/>
      <c r="R31" s="56"/>
    </row>
    <row r="32">
      <c r="A32" s="24" t="s">
        <v>148</v>
      </c>
      <c r="B32" s="90" t="str">
        <f t="array" ref="B32">iferror(INDEX('作品'!D:D,MATCH(left(A32,3),'作品'!A:A,0),0),"error")</f>
        <v>地獄楽</v>
      </c>
      <c r="C32" s="46" t="s">
        <v>2527</v>
      </c>
      <c r="D32" s="401" t="s">
        <v>2447</v>
      </c>
      <c r="E32" s="400" t="s">
        <v>2446</v>
      </c>
      <c r="F32" s="423" t="str">
        <f>IFERROR(__xludf.DUMMYFUNCTION("CONCATENATE(""quest_"",D32,""_"",A32,""_"",C32,""_"")&amp;IFERROR(REGEXEXTRACT(G32,""[0-9]{2}""),REGEXEXTRACT(G32,""[0-9]{1}""))"),"quest_main_jig_normal_6")</f>
        <v>quest_main_jig_normal_6</v>
      </c>
      <c r="G32" s="424" t="s">
        <v>2540</v>
      </c>
      <c r="H32" s="46" t="s">
        <v>2532</v>
      </c>
      <c r="I32" s="425" t="str">
        <f t="shared" si="1"/>
        <v>normal_jig_00004</v>
      </c>
      <c r="J32" s="425" t="str">
        <f t="shared" si="2"/>
        <v>stage_icon_jig_normal_04</v>
      </c>
      <c r="K32" s="425"/>
      <c r="L32" s="425"/>
      <c r="M32" s="426"/>
      <c r="N32" s="426"/>
      <c r="O32" s="45"/>
      <c r="P32" s="54"/>
      <c r="Q32" s="54"/>
      <c r="R32" s="56"/>
    </row>
    <row r="33">
      <c r="A33" s="24" t="s">
        <v>148</v>
      </c>
      <c r="B33" s="90" t="str">
        <f t="array" ref="B33">iferror(INDEX('作品'!D:D,MATCH(left(A33,3),'作品'!A:A,0),0),"error")</f>
        <v>地獄楽</v>
      </c>
      <c r="C33" s="46" t="s">
        <v>2527</v>
      </c>
      <c r="D33" s="401" t="s">
        <v>2447</v>
      </c>
      <c r="E33" s="400" t="s">
        <v>2446</v>
      </c>
      <c r="F33" s="423" t="str">
        <f>IFERROR(__xludf.DUMMYFUNCTION("CONCATENATE(""quest_"",D33,""_"",A33,""_"",C33,""_"")&amp;IFERROR(REGEXEXTRACT(G33,""[0-9]{2}""),REGEXEXTRACT(G33,""[0-9]{1}""))"),"quest_main_jig_normal_6")</f>
        <v>quest_main_jig_normal_6</v>
      </c>
      <c r="G33" s="424" t="s">
        <v>2540</v>
      </c>
      <c r="H33" s="46" t="s">
        <v>2533</v>
      </c>
      <c r="I33" s="425" t="str">
        <f t="shared" si="1"/>
        <v>normal_jig_00005</v>
      </c>
      <c r="J33" s="425" t="str">
        <f t="shared" si="2"/>
        <v>stage_icon_jig_normal_05</v>
      </c>
      <c r="K33" s="59"/>
      <c r="L33" s="59"/>
      <c r="M33" s="427"/>
      <c r="N33" s="427"/>
      <c r="O33" s="45"/>
      <c r="P33" s="54"/>
      <c r="Q33" s="54"/>
      <c r="R33" s="56"/>
    </row>
    <row r="34">
      <c r="A34" s="24" t="s">
        <v>148</v>
      </c>
      <c r="B34" s="90" t="str">
        <f t="array" ref="B34">iferror(INDEX('作品'!D:D,MATCH(left(A34,3),'作品'!A:A,0),0),"error")</f>
        <v>地獄楽</v>
      </c>
      <c r="C34" s="46" t="s">
        <v>2527</v>
      </c>
      <c r="D34" s="401" t="s">
        <v>2447</v>
      </c>
      <c r="E34" s="400" t="s">
        <v>2446</v>
      </c>
      <c r="F34" s="423" t="str">
        <f>IFERROR(__xludf.DUMMYFUNCTION("CONCATENATE(""quest_"",D34,""_"",A34,""_"",C34,""_"")&amp;IFERROR(REGEXEXTRACT(G34,""[0-9]{2}""),REGEXEXTRACT(G34,""[0-9]{1}""))"),"quest_main_jig_normal_6")</f>
        <v>quest_main_jig_normal_6</v>
      </c>
      <c r="G34" s="424" t="s">
        <v>2540</v>
      </c>
      <c r="H34" s="46" t="s">
        <v>2534</v>
      </c>
      <c r="I34" s="425" t="str">
        <f t="shared" si="1"/>
        <v>normal_jig_00006</v>
      </c>
      <c r="J34" s="425" t="str">
        <f t="shared" si="2"/>
        <v>stage_icon_jig_normal_06</v>
      </c>
      <c r="K34" s="59"/>
      <c r="L34" s="59"/>
      <c r="M34" s="427"/>
      <c r="N34" s="427"/>
      <c r="O34" s="45"/>
      <c r="P34" s="54"/>
      <c r="Q34" s="54"/>
      <c r="R34" s="56"/>
    </row>
    <row r="35">
      <c r="A35" s="25" t="s">
        <v>153</v>
      </c>
      <c r="B35" s="90" t="str">
        <f t="array" ref="B35">iferror(INDEX('作品'!D:D,MATCH(left(A35,3),'作品'!A:A,0),0),"error")</f>
        <v>タコピーの原罪</v>
      </c>
      <c r="C35" s="46" t="s">
        <v>2527</v>
      </c>
      <c r="D35" s="401" t="s">
        <v>2447</v>
      </c>
      <c r="E35" s="400" t="s">
        <v>2446</v>
      </c>
      <c r="F35" s="423" t="str">
        <f>IFERROR(__xludf.DUMMYFUNCTION("CONCATENATE(""quest_"",D35,""_"",A35,""_"",C35,""_"")&amp;IFERROR(REGEXEXTRACT(G35,""[0-9]{2}""),REGEXEXTRACT(G35,""[0-9]{1}""))"),"quest_main_tak_normal_7")</f>
        <v>quest_main_tak_normal_7</v>
      </c>
      <c r="G35" s="424" t="s">
        <v>2541</v>
      </c>
      <c r="H35" s="46" t="s">
        <v>2529</v>
      </c>
      <c r="I35" s="425" t="str">
        <f t="shared" si="1"/>
        <v>normal_tak_00001</v>
      </c>
      <c r="J35" s="425" t="str">
        <f t="shared" si="2"/>
        <v>stage_icon_tak_normal_01</v>
      </c>
      <c r="K35" s="425"/>
      <c r="L35" s="425"/>
      <c r="M35" s="426"/>
      <c r="N35" s="426"/>
      <c r="O35" s="45"/>
      <c r="P35" s="54"/>
      <c r="Q35" s="54"/>
      <c r="R35" s="56"/>
    </row>
    <row r="36">
      <c r="A36" s="25" t="s">
        <v>153</v>
      </c>
      <c r="B36" s="90" t="str">
        <f t="array" ref="B36">iferror(INDEX('作品'!D:D,MATCH(left(A36,3),'作品'!A:A,0),0),"error")</f>
        <v>タコピーの原罪</v>
      </c>
      <c r="C36" s="46" t="s">
        <v>2527</v>
      </c>
      <c r="D36" s="401" t="s">
        <v>2447</v>
      </c>
      <c r="E36" s="400" t="s">
        <v>2446</v>
      </c>
      <c r="F36" s="423" t="str">
        <f>IFERROR(__xludf.DUMMYFUNCTION("CONCATENATE(""quest_"",D36,""_"",A36,""_"",C36,""_"")&amp;IFERROR(REGEXEXTRACT(G36,""[0-9]{2}""),REGEXEXTRACT(G36,""[0-9]{1}""))"),"quest_main_tak_normal_7")</f>
        <v>quest_main_tak_normal_7</v>
      </c>
      <c r="G36" s="424" t="s">
        <v>2541</v>
      </c>
      <c r="H36" s="46" t="s">
        <v>2530</v>
      </c>
      <c r="I36" s="425" t="str">
        <f t="shared" si="1"/>
        <v>normal_tak_00002</v>
      </c>
      <c r="J36" s="425" t="str">
        <f t="shared" si="2"/>
        <v>stage_icon_tak_normal_02</v>
      </c>
      <c r="K36" s="59"/>
      <c r="L36" s="59"/>
      <c r="M36" s="427"/>
      <c r="N36" s="427"/>
      <c r="O36" s="45"/>
      <c r="P36" s="54"/>
      <c r="Q36" s="54"/>
      <c r="R36" s="56"/>
    </row>
    <row r="37">
      <c r="A37" s="25" t="s">
        <v>153</v>
      </c>
      <c r="B37" s="90" t="str">
        <f t="array" ref="B37">iferror(INDEX('作品'!D:D,MATCH(left(A37,3),'作品'!A:A,0),0),"error")</f>
        <v>タコピーの原罪</v>
      </c>
      <c r="C37" s="46" t="s">
        <v>2527</v>
      </c>
      <c r="D37" s="401" t="s">
        <v>2447</v>
      </c>
      <c r="E37" s="400" t="s">
        <v>2446</v>
      </c>
      <c r="F37" s="423" t="str">
        <f>IFERROR(__xludf.DUMMYFUNCTION("CONCATENATE(""quest_"",D37,""_"",A37,""_"",C37,""_"")&amp;IFERROR(REGEXEXTRACT(G37,""[0-9]{2}""),REGEXEXTRACT(G37,""[0-9]{1}""))"),"quest_main_tak_normal_7")</f>
        <v>quest_main_tak_normal_7</v>
      </c>
      <c r="G37" s="424" t="s">
        <v>2541</v>
      </c>
      <c r="H37" s="46" t="s">
        <v>2531</v>
      </c>
      <c r="I37" s="425" t="str">
        <f t="shared" si="1"/>
        <v>normal_tak_00003</v>
      </c>
      <c r="J37" s="425" t="str">
        <f t="shared" si="2"/>
        <v>stage_icon_tak_normal_03</v>
      </c>
      <c r="K37" s="59"/>
      <c r="L37" s="59"/>
      <c r="M37" s="427"/>
      <c r="N37" s="427"/>
      <c r="O37" s="45"/>
      <c r="P37" s="54"/>
      <c r="Q37" s="54"/>
      <c r="R37" s="56"/>
    </row>
    <row r="38">
      <c r="A38" s="25" t="s">
        <v>2542</v>
      </c>
      <c r="B38" s="90" t="str">
        <f t="array" ref="B38">iferror(INDEX('作品'!D:D,MATCH(left(A38,3),'作品'!A:A,0),0),"error")</f>
        <v>GLOW</v>
      </c>
      <c r="C38" s="46" t="s">
        <v>2527</v>
      </c>
      <c r="D38" s="401" t="s">
        <v>2447</v>
      </c>
      <c r="E38" s="400" t="s">
        <v>2446</v>
      </c>
      <c r="F38" s="423" t="str">
        <f>IFERROR(__xludf.DUMMYFUNCTION("CONCATENATE(""quest_"",D38,""_"",A38,""_"",C38,""_"")&amp;IFERROR(REGEXEXTRACT(G38,""[0-9]{2}""),REGEXEXTRACT(G38,""[0-9]{1}""))"),"quest_main_glo2_normal_8")</f>
        <v>quest_main_glo2_normal_8</v>
      </c>
      <c r="G38" s="424" t="s">
        <v>2543</v>
      </c>
      <c r="H38" s="46" t="s">
        <v>2529</v>
      </c>
      <c r="I38" s="425" t="str">
        <f t="shared" si="1"/>
        <v>normal_glo2_00001</v>
      </c>
      <c r="J38" s="425" t="str">
        <f t="shared" si="2"/>
        <v>stage_icon_glo2_normal_01</v>
      </c>
      <c r="K38" s="425"/>
      <c r="L38" s="425"/>
      <c r="M38" s="426"/>
      <c r="N38" s="426"/>
      <c r="O38" s="45"/>
      <c r="P38" s="54"/>
      <c r="Q38" s="54"/>
      <c r="R38" s="56"/>
    </row>
    <row r="39">
      <c r="A39" s="25" t="s">
        <v>2542</v>
      </c>
      <c r="B39" s="90" t="str">
        <f t="array" ref="B39">iferror(INDEX('作品'!D:D,MATCH(left(A39,3),'作品'!A:A,0),0),"error")</f>
        <v>GLOW</v>
      </c>
      <c r="C39" s="46" t="s">
        <v>2527</v>
      </c>
      <c r="D39" s="401" t="s">
        <v>2447</v>
      </c>
      <c r="E39" s="400" t="s">
        <v>2446</v>
      </c>
      <c r="F39" s="423" t="str">
        <f>IFERROR(__xludf.DUMMYFUNCTION("CONCATENATE(""quest_"",D39,""_"",A39,""_"",C39,""_"")&amp;IFERROR(REGEXEXTRACT(G39,""[0-9]{2}""),REGEXEXTRACT(G39,""[0-9]{1}""))"),"quest_main_glo2_normal_8")</f>
        <v>quest_main_glo2_normal_8</v>
      </c>
      <c r="G39" s="424" t="s">
        <v>2543</v>
      </c>
      <c r="H39" s="46" t="s">
        <v>2530</v>
      </c>
      <c r="I39" s="425" t="str">
        <f t="shared" si="1"/>
        <v>normal_glo2_00002</v>
      </c>
      <c r="J39" s="425" t="str">
        <f t="shared" si="2"/>
        <v>stage_icon_glo2_normal_02</v>
      </c>
      <c r="K39" s="59"/>
      <c r="L39" s="59"/>
      <c r="M39" s="427"/>
      <c r="N39" s="427"/>
      <c r="O39" s="45"/>
      <c r="P39" s="54"/>
      <c r="Q39" s="54"/>
      <c r="R39" s="56"/>
    </row>
    <row r="40">
      <c r="A40" s="25" t="s">
        <v>2542</v>
      </c>
      <c r="B40" s="90" t="str">
        <f t="array" ref="B40">iferror(INDEX('作品'!D:D,MATCH(left(A40,3),'作品'!A:A,0),0),"error")</f>
        <v>GLOW</v>
      </c>
      <c r="C40" s="46" t="s">
        <v>2527</v>
      </c>
      <c r="D40" s="401" t="s">
        <v>2447</v>
      </c>
      <c r="E40" s="400" t="s">
        <v>2446</v>
      </c>
      <c r="F40" s="423" t="str">
        <f>IFERROR(__xludf.DUMMYFUNCTION("CONCATENATE(""quest_"",D40,""_"",A40,""_"",C40,""_"")&amp;IFERROR(REGEXEXTRACT(G40,""[0-9]{2}""),REGEXEXTRACT(G40,""[0-9]{1}""))"),"quest_main_glo2_normal_8")</f>
        <v>quest_main_glo2_normal_8</v>
      </c>
      <c r="G40" s="424" t="s">
        <v>2543</v>
      </c>
      <c r="H40" s="46" t="s">
        <v>2531</v>
      </c>
      <c r="I40" s="425" t="str">
        <f t="shared" si="1"/>
        <v>normal_glo2_00003</v>
      </c>
      <c r="J40" s="425" t="str">
        <f t="shared" si="2"/>
        <v>stage_icon_glo2_normal_03</v>
      </c>
      <c r="K40" s="59"/>
      <c r="L40" s="59"/>
      <c r="M40" s="427"/>
      <c r="N40" s="427"/>
      <c r="O40" s="45"/>
      <c r="P40" s="54"/>
      <c r="Q40" s="54"/>
      <c r="R40" s="56"/>
    </row>
    <row r="41">
      <c r="A41" s="25" t="s">
        <v>2542</v>
      </c>
      <c r="B41" s="90" t="str">
        <f t="array" ref="B41">iferror(INDEX('作品'!D:D,MATCH(left(A41,3),'作品'!A:A,0),0),"error")</f>
        <v>GLOW</v>
      </c>
      <c r="C41" s="46" t="s">
        <v>2527</v>
      </c>
      <c r="D41" s="401" t="s">
        <v>2447</v>
      </c>
      <c r="E41" s="400" t="s">
        <v>2446</v>
      </c>
      <c r="F41" s="423" t="str">
        <f>IFERROR(__xludf.DUMMYFUNCTION("CONCATENATE(""quest_"",D41,""_"",A41,""_"",C41,""_"")&amp;IFERROR(REGEXEXTRACT(G41,""[0-9]{2}""),REGEXEXTRACT(G41,""[0-9]{1}""))"),"quest_main_glo2_normal_8")</f>
        <v>quest_main_glo2_normal_8</v>
      </c>
      <c r="G41" s="424" t="s">
        <v>2543</v>
      </c>
      <c r="H41" s="46" t="s">
        <v>2532</v>
      </c>
      <c r="I41" s="425" t="str">
        <f t="shared" si="1"/>
        <v>normal_glo2_00004</v>
      </c>
      <c r="J41" s="425" t="str">
        <f t="shared" si="2"/>
        <v>stage_icon_glo2_normal_04</v>
      </c>
      <c r="K41" s="425"/>
      <c r="L41" s="425"/>
      <c r="M41" s="426"/>
      <c r="N41" s="426"/>
      <c r="O41" s="45"/>
      <c r="P41" s="54"/>
      <c r="Q41" s="54"/>
      <c r="R41" s="56"/>
    </row>
    <row r="42">
      <c r="A42" s="25" t="s">
        <v>2542</v>
      </c>
      <c r="B42" s="90" t="str">
        <f t="array" ref="B42">iferror(INDEX('作品'!D:D,MATCH(left(A42,3),'作品'!A:A,0),0),"error")</f>
        <v>GLOW</v>
      </c>
      <c r="C42" s="46" t="s">
        <v>2527</v>
      </c>
      <c r="D42" s="401" t="s">
        <v>2447</v>
      </c>
      <c r="E42" s="400" t="s">
        <v>2446</v>
      </c>
      <c r="F42" s="423" t="str">
        <f>IFERROR(__xludf.DUMMYFUNCTION("CONCATENATE(""quest_"",D42,""_"",A42,""_"",C42,""_"")&amp;IFERROR(REGEXEXTRACT(G42,""[0-9]{2}""),REGEXEXTRACT(G42,""[0-9]{1}""))"),"quest_main_glo2_normal_8")</f>
        <v>quest_main_glo2_normal_8</v>
      </c>
      <c r="G42" s="424" t="s">
        <v>2543</v>
      </c>
      <c r="H42" s="46" t="s">
        <v>2533</v>
      </c>
      <c r="I42" s="425" t="str">
        <f t="shared" si="1"/>
        <v>normal_glo2_00005</v>
      </c>
      <c r="J42" s="425" t="str">
        <f t="shared" si="2"/>
        <v>stage_icon_glo2_normal_05</v>
      </c>
      <c r="K42" s="59"/>
      <c r="L42" s="59"/>
      <c r="M42" s="427"/>
      <c r="N42" s="427"/>
      <c r="O42" s="45"/>
      <c r="P42" s="54"/>
      <c r="Q42" s="54"/>
      <c r="R42" s="56"/>
    </row>
    <row r="43">
      <c r="A43" s="25" t="s">
        <v>2542</v>
      </c>
      <c r="B43" s="90" t="str">
        <f t="array" ref="B43">iferror(INDEX('作品'!D:D,MATCH(left(A43,3),'作品'!A:A,0),0),"error")</f>
        <v>GLOW</v>
      </c>
      <c r="C43" s="46" t="s">
        <v>2527</v>
      </c>
      <c r="D43" s="401" t="s">
        <v>2447</v>
      </c>
      <c r="E43" s="400" t="s">
        <v>2446</v>
      </c>
      <c r="F43" s="423" t="str">
        <f>IFERROR(__xludf.DUMMYFUNCTION("CONCATENATE(""quest_"",D43,""_"",A43,""_"",C43,""_"")&amp;IFERROR(REGEXEXTRACT(G43,""[0-9]{2}""),REGEXEXTRACT(G43,""[0-9]{1}""))"),"quest_main_glo2_normal_8")</f>
        <v>quest_main_glo2_normal_8</v>
      </c>
      <c r="G43" s="424" t="s">
        <v>2543</v>
      </c>
      <c r="H43" s="46" t="s">
        <v>2534</v>
      </c>
      <c r="I43" s="425" t="str">
        <f t="shared" si="1"/>
        <v>normal_glo2_00006</v>
      </c>
      <c r="J43" s="425" t="str">
        <f t="shared" si="2"/>
        <v>stage_icon_glo2_normal_06</v>
      </c>
      <c r="K43" s="59"/>
      <c r="L43" s="59"/>
      <c r="M43" s="427"/>
      <c r="N43" s="427"/>
      <c r="O43" s="45"/>
      <c r="P43" s="54"/>
      <c r="Q43" s="54"/>
      <c r="R43" s="56"/>
    </row>
    <row r="44">
      <c r="A44" s="24" t="s">
        <v>92</v>
      </c>
      <c r="B44" s="90" t="str">
        <f t="array" ref="B44">iferror(INDEX('作品'!D:D,MATCH(left(A44,3),'作品'!A:A,0),0),"error")</f>
        <v>チェンソーマン</v>
      </c>
      <c r="C44" s="46" t="s">
        <v>2527</v>
      </c>
      <c r="D44" s="401" t="s">
        <v>2447</v>
      </c>
      <c r="E44" s="400" t="s">
        <v>2446</v>
      </c>
      <c r="F44" s="423" t="str">
        <f>IFERROR(__xludf.DUMMYFUNCTION("CONCATENATE(""quest_"",D44,""_"",A44,""_"",C44,""_"")&amp;IFERROR(REGEXEXTRACT(G44,""[0-9]{2}""),REGEXEXTRACT(G44,""[0-9]{1}""))"),"quest_main_chi_normal_9")</f>
        <v>quest_main_chi_normal_9</v>
      </c>
      <c r="G44" s="428" t="s">
        <v>2544</v>
      </c>
      <c r="H44" s="46" t="s">
        <v>2529</v>
      </c>
      <c r="I44" s="425" t="str">
        <f t="shared" si="1"/>
        <v>normal_chi_00001</v>
      </c>
      <c r="J44" s="425" t="str">
        <f t="shared" si="2"/>
        <v>stage_icon_chi_normal_01</v>
      </c>
      <c r="K44" s="425"/>
      <c r="L44" s="425"/>
      <c r="M44" s="426"/>
      <c r="N44" s="426"/>
      <c r="O44" s="45"/>
      <c r="P44" s="54"/>
      <c r="Q44" s="54"/>
      <c r="R44" s="56"/>
    </row>
    <row r="45">
      <c r="A45" s="24" t="s">
        <v>92</v>
      </c>
      <c r="B45" s="90" t="str">
        <f t="array" ref="B45">iferror(INDEX('作品'!D:D,MATCH(left(A45,3),'作品'!A:A,0),0),"error")</f>
        <v>チェンソーマン</v>
      </c>
      <c r="C45" s="46" t="s">
        <v>2527</v>
      </c>
      <c r="D45" s="401" t="s">
        <v>2447</v>
      </c>
      <c r="E45" s="400" t="s">
        <v>2446</v>
      </c>
      <c r="F45" s="423" t="str">
        <f>IFERROR(__xludf.DUMMYFUNCTION("CONCATENATE(""quest_"",D45,""_"",A45,""_"",C45,""_"")&amp;IFERROR(REGEXEXTRACT(G45,""[0-9]{2}""),REGEXEXTRACT(G45,""[0-9]{1}""))"),"quest_main_chi_normal_9")</f>
        <v>quest_main_chi_normal_9</v>
      </c>
      <c r="G45" s="428" t="s">
        <v>2544</v>
      </c>
      <c r="H45" s="46" t="s">
        <v>2530</v>
      </c>
      <c r="I45" s="425" t="str">
        <f t="shared" si="1"/>
        <v>normal_chi_00002</v>
      </c>
      <c r="J45" s="425" t="str">
        <f t="shared" si="2"/>
        <v>stage_icon_chi_normal_02</v>
      </c>
      <c r="K45" s="59"/>
      <c r="L45" s="59"/>
      <c r="M45" s="427"/>
      <c r="N45" s="427"/>
      <c r="O45" s="45"/>
      <c r="P45" s="54"/>
      <c r="Q45" s="54"/>
      <c r="R45" s="56"/>
    </row>
    <row r="46">
      <c r="A46" s="24" t="s">
        <v>92</v>
      </c>
      <c r="B46" s="90" t="str">
        <f t="array" ref="B46">iferror(INDEX('作品'!D:D,MATCH(left(A46,3),'作品'!A:A,0),0),"error")</f>
        <v>チェンソーマン</v>
      </c>
      <c r="C46" s="46" t="s">
        <v>2527</v>
      </c>
      <c r="D46" s="401" t="s">
        <v>2447</v>
      </c>
      <c r="E46" s="400" t="s">
        <v>2446</v>
      </c>
      <c r="F46" s="423" t="str">
        <f>IFERROR(__xludf.DUMMYFUNCTION("CONCATENATE(""quest_"",D46,""_"",A46,""_"",C46,""_"")&amp;IFERROR(REGEXEXTRACT(G46,""[0-9]{2}""),REGEXEXTRACT(G46,""[0-9]{1}""))"),"quest_main_chi_normal_9")</f>
        <v>quest_main_chi_normal_9</v>
      </c>
      <c r="G46" s="428" t="s">
        <v>2544</v>
      </c>
      <c r="H46" s="46" t="s">
        <v>2531</v>
      </c>
      <c r="I46" s="425" t="str">
        <f t="shared" si="1"/>
        <v>normal_chi_00003</v>
      </c>
      <c r="J46" s="425" t="str">
        <f t="shared" si="2"/>
        <v>stage_icon_chi_normal_03</v>
      </c>
      <c r="K46" s="59"/>
      <c r="L46" s="59"/>
      <c r="M46" s="427"/>
      <c r="N46" s="427"/>
      <c r="O46" s="45"/>
      <c r="P46" s="54"/>
      <c r="Q46" s="54"/>
      <c r="R46" s="56"/>
    </row>
    <row r="47">
      <c r="A47" s="24" t="s">
        <v>92</v>
      </c>
      <c r="B47" s="90" t="str">
        <f t="array" ref="B47">iferror(INDEX('作品'!D:D,MATCH(left(A47,3),'作品'!A:A,0),0),"error")</f>
        <v>チェンソーマン</v>
      </c>
      <c r="C47" s="46" t="s">
        <v>2527</v>
      </c>
      <c r="D47" s="401" t="s">
        <v>2447</v>
      </c>
      <c r="E47" s="400" t="s">
        <v>2446</v>
      </c>
      <c r="F47" s="423" t="str">
        <f>IFERROR(__xludf.DUMMYFUNCTION("CONCATENATE(""quest_"",D47,""_"",A47,""_"",C47,""_"")&amp;IFERROR(REGEXEXTRACT(G47,""[0-9]{2}""),REGEXEXTRACT(G47,""[0-9]{1}""))"),"quest_main_chi_normal_9")</f>
        <v>quest_main_chi_normal_9</v>
      </c>
      <c r="G47" s="428" t="s">
        <v>2544</v>
      </c>
      <c r="H47" s="46" t="s">
        <v>2532</v>
      </c>
      <c r="I47" s="425" t="str">
        <f t="shared" si="1"/>
        <v>normal_chi_00004</v>
      </c>
      <c r="J47" s="425" t="str">
        <f t="shared" si="2"/>
        <v>stage_icon_chi_normal_04</v>
      </c>
      <c r="K47" s="425"/>
      <c r="L47" s="425"/>
      <c r="M47" s="426"/>
      <c r="N47" s="426"/>
      <c r="O47" s="45"/>
      <c r="P47" s="54"/>
      <c r="Q47" s="54"/>
      <c r="R47" s="56"/>
    </row>
    <row r="48">
      <c r="A48" s="24" t="s">
        <v>92</v>
      </c>
      <c r="B48" s="90" t="str">
        <f t="array" ref="B48">iferror(INDEX('作品'!D:D,MATCH(left(A48,3),'作品'!A:A,0),0),"error")</f>
        <v>チェンソーマン</v>
      </c>
      <c r="C48" s="46" t="s">
        <v>2527</v>
      </c>
      <c r="D48" s="401" t="s">
        <v>2447</v>
      </c>
      <c r="E48" s="400" t="s">
        <v>2446</v>
      </c>
      <c r="F48" s="423" t="str">
        <f>IFERROR(__xludf.DUMMYFUNCTION("CONCATENATE(""quest_"",D48,""_"",A48,""_"",C48,""_"")&amp;IFERROR(REGEXEXTRACT(G48,""[0-9]{2}""),REGEXEXTRACT(G48,""[0-9]{1}""))"),"quest_main_chi_normal_9")</f>
        <v>quest_main_chi_normal_9</v>
      </c>
      <c r="G48" s="428" t="s">
        <v>2544</v>
      </c>
      <c r="H48" s="46" t="s">
        <v>2533</v>
      </c>
      <c r="I48" s="425" t="str">
        <f t="shared" si="1"/>
        <v>normal_chi_00005</v>
      </c>
      <c r="J48" s="425" t="str">
        <f t="shared" si="2"/>
        <v>stage_icon_chi_normal_05</v>
      </c>
      <c r="K48" s="59"/>
      <c r="L48" s="59"/>
      <c r="M48" s="427"/>
      <c r="N48" s="427"/>
      <c r="O48" s="45"/>
      <c r="P48" s="54"/>
      <c r="Q48" s="54"/>
      <c r="R48" s="56"/>
    </row>
    <row r="49">
      <c r="A49" s="24" t="s">
        <v>92</v>
      </c>
      <c r="B49" s="90" t="str">
        <f t="array" ref="B49">iferror(INDEX('作品'!D:D,MATCH(left(A49,3),'作品'!A:A,0),0),"error")</f>
        <v>チェンソーマン</v>
      </c>
      <c r="C49" s="46" t="s">
        <v>2527</v>
      </c>
      <c r="D49" s="401" t="s">
        <v>2447</v>
      </c>
      <c r="E49" s="400" t="s">
        <v>2446</v>
      </c>
      <c r="F49" s="423" t="str">
        <f>IFERROR(__xludf.DUMMYFUNCTION("CONCATENATE(""quest_"",D49,""_"",A49,""_"",C49,""_"")&amp;IFERROR(REGEXEXTRACT(G49,""[0-9]{2}""),REGEXEXTRACT(G49,""[0-9]{1}""))"),"quest_main_chi_normal_9")</f>
        <v>quest_main_chi_normal_9</v>
      </c>
      <c r="G49" s="428" t="s">
        <v>2544</v>
      </c>
      <c r="H49" s="46" t="s">
        <v>2534</v>
      </c>
      <c r="I49" s="425" t="str">
        <f t="shared" si="1"/>
        <v>normal_chi_00006</v>
      </c>
      <c r="J49" s="425" t="str">
        <f t="shared" si="2"/>
        <v>stage_icon_chi_normal_06</v>
      </c>
      <c r="K49" s="59"/>
      <c r="L49" s="59"/>
      <c r="M49" s="427"/>
      <c r="N49" s="427"/>
      <c r="O49" s="45"/>
      <c r="P49" s="54"/>
      <c r="Q49" s="54"/>
      <c r="R49" s="56"/>
    </row>
    <row r="50">
      <c r="A50" s="24" t="s">
        <v>127</v>
      </c>
      <c r="B50" s="90" t="str">
        <f t="array" ref="B50">iferror(INDEX('作品'!D:D,MATCH(left(A50,3),'作品'!A:A,0),0),"error")</f>
        <v>魔都精兵のスレイブ</v>
      </c>
      <c r="C50" s="46" t="s">
        <v>2527</v>
      </c>
      <c r="D50" s="401" t="s">
        <v>2447</v>
      </c>
      <c r="E50" s="400" t="s">
        <v>2446</v>
      </c>
      <c r="F50" s="423" t="str">
        <f>IFERROR(__xludf.DUMMYFUNCTION("CONCATENATE(""quest_"",D50,""_"",A50,""_"",C50,""_"")&amp;IFERROR(REGEXEXTRACT(G50,""[0-9]{2}""),REGEXEXTRACT(G50,""[0-9]{1}""))"),"quest_main_sur_normal_10")</f>
        <v>quest_main_sur_normal_10</v>
      </c>
      <c r="G50" s="424" t="s">
        <v>2545</v>
      </c>
      <c r="H50" s="46" t="s">
        <v>2529</v>
      </c>
      <c r="I50" s="425" t="str">
        <f t="shared" si="1"/>
        <v>normal_sur_00001</v>
      </c>
      <c r="J50" s="425" t="str">
        <f t="shared" si="2"/>
        <v>stage_icon_sur_normal_01</v>
      </c>
      <c r="K50" s="425"/>
      <c r="L50" s="425"/>
      <c r="M50" s="426"/>
      <c r="N50" s="426"/>
      <c r="O50" s="45"/>
      <c r="P50" s="54"/>
      <c r="Q50" s="54"/>
      <c r="R50" s="56"/>
    </row>
    <row r="51">
      <c r="A51" s="24" t="s">
        <v>127</v>
      </c>
      <c r="B51" s="90" t="str">
        <f t="array" ref="B51">iferror(INDEX('作品'!D:D,MATCH(left(A51,3),'作品'!A:A,0),0),"error")</f>
        <v>魔都精兵のスレイブ</v>
      </c>
      <c r="C51" s="46" t="s">
        <v>2527</v>
      </c>
      <c r="D51" s="401" t="s">
        <v>2447</v>
      </c>
      <c r="E51" s="400" t="s">
        <v>2446</v>
      </c>
      <c r="F51" s="423" t="str">
        <f>IFERROR(__xludf.DUMMYFUNCTION("CONCATENATE(""quest_"",D51,""_"",A51,""_"",C51,""_"")&amp;IFERROR(REGEXEXTRACT(G51,""[0-9]{2}""),REGEXEXTRACT(G51,""[0-9]{1}""))"),"quest_main_sur_normal_10")</f>
        <v>quest_main_sur_normal_10</v>
      </c>
      <c r="G51" s="424" t="s">
        <v>2545</v>
      </c>
      <c r="H51" s="46" t="s">
        <v>2530</v>
      </c>
      <c r="I51" s="425" t="str">
        <f t="shared" si="1"/>
        <v>normal_sur_00002</v>
      </c>
      <c r="J51" s="425" t="str">
        <f t="shared" si="2"/>
        <v>stage_icon_sur_normal_02</v>
      </c>
      <c r="K51" s="59"/>
      <c r="L51" s="59"/>
      <c r="M51" s="427"/>
      <c r="N51" s="427"/>
      <c r="O51" s="45"/>
      <c r="P51" s="54"/>
      <c r="Q51" s="54"/>
      <c r="R51" s="56"/>
    </row>
    <row r="52">
      <c r="A52" s="24" t="s">
        <v>127</v>
      </c>
      <c r="B52" s="90" t="str">
        <f t="array" ref="B52">iferror(INDEX('作品'!D:D,MATCH(left(A52,3),'作品'!A:A,0),0),"error")</f>
        <v>魔都精兵のスレイブ</v>
      </c>
      <c r="C52" s="46" t="s">
        <v>2527</v>
      </c>
      <c r="D52" s="401" t="s">
        <v>2447</v>
      </c>
      <c r="E52" s="400" t="s">
        <v>2446</v>
      </c>
      <c r="F52" s="423" t="str">
        <f>IFERROR(__xludf.DUMMYFUNCTION("CONCATENATE(""quest_"",D52,""_"",A52,""_"",C52,""_"")&amp;IFERROR(REGEXEXTRACT(G52,""[0-9]{2}""),REGEXEXTRACT(G52,""[0-9]{1}""))"),"quest_main_sur_normal_10")</f>
        <v>quest_main_sur_normal_10</v>
      </c>
      <c r="G52" s="424" t="s">
        <v>2545</v>
      </c>
      <c r="H52" s="46" t="s">
        <v>2531</v>
      </c>
      <c r="I52" s="425" t="str">
        <f t="shared" si="1"/>
        <v>normal_sur_00003</v>
      </c>
      <c r="J52" s="425" t="str">
        <f t="shared" si="2"/>
        <v>stage_icon_sur_normal_03</v>
      </c>
      <c r="K52" s="59"/>
      <c r="L52" s="59"/>
      <c r="M52" s="427"/>
      <c r="N52" s="427"/>
      <c r="O52" s="45"/>
      <c r="P52" s="54"/>
      <c r="Q52" s="54"/>
      <c r="R52" s="56"/>
    </row>
    <row r="53">
      <c r="A53" s="24" t="s">
        <v>127</v>
      </c>
      <c r="B53" s="90" t="str">
        <f t="array" ref="B53">iferror(INDEX('作品'!D:D,MATCH(left(A53,3),'作品'!A:A,0),0),"error")</f>
        <v>魔都精兵のスレイブ</v>
      </c>
      <c r="C53" s="46" t="s">
        <v>2527</v>
      </c>
      <c r="D53" s="401" t="s">
        <v>2447</v>
      </c>
      <c r="E53" s="400" t="s">
        <v>2446</v>
      </c>
      <c r="F53" s="423" t="str">
        <f>IFERROR(__xludf.DUMMYFUNCTION("CONCATENATE(""quest_"",D53,""_"",A53,""_"",C53,""_"")&amp;IFERROR(REGEXEXTRACT(G53,""[0-9]{2}""),REGEXEXTRACT(G53,""[0-9]{1}""))"),"quest_main_sur_normal_10")</f>
        <v>quest_main_sur_normal_10</v>
      </c>
      <c r="G53" s="424" t="s">
        <v>2545</v>
      </c>
      <c r="H53" s="46" t="s">
        <v>2532</v>
      </c>
      <c r="I53" s="425" t="str">
        <f t="shared" si="1"/>
        <v>normal_sur_00004</v>
      </c>
      <c r="J53" s="425" t="str">
        <f t="shared" si="2"/>
        <v>stage_icon_sur_normal_04</v>
      </c>
      <c r="K53" s="59"/>
      <c r="L53" s="59"/>
      <c r="M53" s="427"/>
      <c r="N53" s="427"/>
      <c r="O53" s="45"/>
      <c r="P53" s="54"/>
      <c r="Q53" s="54"/>
      <c r="R53" s="56"/>
    </row>
    <row r="54">
      <c r="A54" s="24" t="s">
        <v>127</v>
      </c>
      <c r="B54" s="90" t="str">
        <f t="array" ref="B54">iferror(INDEX('作品'!D:D,MATCH(left(A54,3),'作品'!A:A,0),0),"error")</f>
        <v>魔都精兵のスレイブ</v>
      </c>
      <c r="C54" s="46" t="s">
        <v>2527</v>
      </c>
      <c r="D54" s="401" t="s">
        <v>2447</v>
      </c>
      <c r="E54" s="400" t="s">
        <v>2446</v>
      </c>
      <c r="F54" s="423" t="str">
        <f>IFERROR(__xludf.DUMMYFUNCTION("CONCATENATE(""quest_"",D54,""_"",A54,""_"",C54,""_"")&amp;IFERROR(REGEXEXTRACT(G54,""[0-9]{2}""),REGEXEXTRACT(G54,""[0-9]{1}""))"),"quest_main_sur_normal_10")</f>
        <v>quest_main_sur_normal_10</v>
      </c>
      <c r="G54" s="424" t="s">
        <v>2545</v>
      </c>
      <c r="H54" s="46" t="s">
        <v>2533</v>
      </c>
      <c r="I54" s="425" t="str">
        <f t="shared" si="1"/>
        <v>normal_sur_00005</v>
      </c>
      <c r="J54" s="425" t="str">
        <f t="shared" si="2"/>
        <v>stage_icon_sur_normal_05</v>
      </c>
      <c r="K54" s="59"/>
      <c r="L54" s="59"/>
      <c r="M54" s="427"/>
      <c r="N54" s="427"/>
      <c r="O54" s="45"/>
      <c r="P54" s="54"/>
      <c r="Q54" s="54"/>
      <c r="R54" s="56"/>
    </row>
    <row r="55">
      <c r="A55" s="24" t="s">
        <v>127</v>
      </c>
      <c r="B55" s="90" t="str">
        <f t="array" ref="B55">iferror(INDEX('作品'!D:D,MATCH(left(A55,3),'作品'!A:A,0),0),"error")</f>
        <v>魔都精兵のスレイブ</v>
      </c>
      <c r="C55" s="46" t="s">
        <v>2527</v>
      </c>
      <c r="D55" s="401" t="s">
        <v>2447</v>
      </c>
      <c r="E55" s="400" t="s">
        <v>2446</v>
      </c>
      <c r="F55" s="423" t="str">
        <f>IFERROR(__xludf.DUMMYFUNCTION("CONCATENATE(""quest_"",D55,""_"",A55,""_"",C55,""_"")&amp;IFERROR(REGEXEXTRACT(G55,""[0-9]{2}""),REGEXEXTRACT(G55,""[0-9]{1}""))"),"quest_main_sur_normal_10")</f>
        <v>quest_main_sur_normal_10</v>
      </c>
      <c r="G55" s="424" t="s">
        <v>2545</v>
      </c>
      <c r="H55" s="46" t="s">
        <v>2534</v>
      </c>
      <c r="I55" s="425" t="str">
        <f t="shared" si="1"/>
        <v>normal_sur_00006</v>
      </c>
      <c r="J55" s="425" t="str">
        <f t="shared" si="2"/>
        <v>stage_icon_sur_normal_06</v>
      </c>
      <c r="K55" s="59"/>
      <c r="L55" s="59"/>
      <c r="M55" s="427"/>
      <c r="N55" s="427"/>
      <c r="O55" s="45"/>
      <c r="P55" s="54"/>
      <c r="Q55" s="54"/>
      <c r="R55" s="56"/>
    </row>
    <row r="56">
      <c r="A56" s="24" t="s">
        <v>75</v>
      </c>
      <c r="B56" s="90" t="str">
        <f t="array" ref="B56">iferror(INDEX('作品'!D:D,MATCH(left(A56,3),'作品'!A:A,0),0),"error")</f>
        <v>トマトイプーのリコピン</v>
      </c>
      <c r="C56" s="46" t="s">
        <v>2527</v>
      </c>
      <c r="D56" s="401" t="s">
        <v>2447</v>
      </c>
      <c r="E56" s="400" t="s">
        <v>2446</v>
      </c>
      <c r="F56" s="423" t="str">
        <f>IFERROR(__xludf.DUMMYFUNCTION("CONCATENATE(""quest_"",D56,""_"",A56,""_"",C56,""_"")&amp;IFERROR(REGEXEXTRACT(G56,""[0-9]{2}""),REGEXEXTRACT(G56,""[0-9]{1}""))"),"quest_main_rik_normal_11")</f>
        <v>quest_main_rik_normal_11</v>
      </c>
      <c r="G56" s="424" t="s">
        <v>2546</v>
      </c>
      <c r="H56" s="46" t="s">
        <v>2529</v>
      </c>
      <c r="I56" s="425" t="str">
        <f t="shared" si="1"/>
        <v>normal_rik_00001</v>
      </c>
      <c r="J56" s="425" t="str">
        <f t="shared" si="2"/>
        <v>stage_icon_rik_normal_01</v>
      </c>
      <c r="K56" s="425"/>
      <c r="L56" s="425"/>
      <c r="M56" s="426"/>
      <c r="N56" s="426"/>
      <c r="O56" s="45"/>
      <c r="P56" s="54"/>
      <c r="Q56" s="54"/>
      <c r="R56" s="56"/>
    </row>
    <row r="57">
      <c r="A57" s="24" t="s">
        <v>75</v>
      </c>
      <c r="B57" s="90" t="str">
        <f t="array" ref="B57">iferror(INDEX('作品'!D:D,MATCH(left(A57,3),'作品'!A:A,0),0),"error")</f>
        <v>トマトイプーのリコピン</v>
      </c>
      <c r="C57" s="46" t="s">
        <v>2527</v>
      </c>
      <c r="D57" s="401" t="s">
        <v>2447</v>
      </c>
      <c r="E57" s="400" t="s">
        <v>2446</v>
      </c>
      <c r="F57" s="423" t="str">
        <f>IFERROR(__xludf.DUMMYFUNCTION("CONCATENATE(""quest_"",D57,""_"",A57,""_"",C57,""_"")&amp;IFERROR(REGEXEXTRACT(G57,""[0-9]{2}""),REGEXEXTRACT(G57,""[0-9]{1}""))"),"quest_main_rik_normal_11")</f>
        <v>quest_main_rik_normal_11</v>
      </c>
      <c r="G57" s="424" t="s">
        <v>2546</v>
      </c>
      <c r="H57" s="46" t="s">
        <v>2530</v>
      </c>
      <c r="I57" s="425" t="str">
        <f t="shared" si="1"/>
        <v>normal_rik_00002</v>
      </c>
      <c r="J57" s="425" t="str">
        <f t="shared" si="2"/>
        <v>stage_icon_rik_normal_02</v>
      </c>
      <c r="K57" s="59"/>
      <c r="L57" s="59"/>
      <c r="M57" s="427"/>
      <c r="N57" s="427"/>
      <c r="O57" s="45"/>
      <c r="P57" s="54"/>
      <c r="Q57" s="54"/>
      <c r="R57" s="56"/>
    </row>
    <row r="58">
      <c r="A58" s="24" t="s">
        <v>75</v>
      </c>
      <c r="B58" s="90" t="str">
        <f t="array" ref="B58">iferror(INDEX('作品'!D:D,MATCH(left(A58,3),'作品'!A:A,0),0),"error")</f>
        <v>トマトイプーのリコピン</v>
      </c>
      <c r="C58" s="46" t="s">
        <v>2527</v>
      </c>
      <c r="D58" s="401" t="s">
        <v>2447</v>
      </c>
      <c r="E58" s="400" t="s">
        <v>2446</v>
      </c>
      <c r="F58" s="423" t="str">
        <f>IFERROR(__xludf.DUMMYFUNCTION("CONCATENATE(""quest_"",D58,""_"",A58,""_"",C58,""_"")&amp;IFERROR(REGEXEXTRACT(G58,""[0-9]{2}""),REGEXEXTRACT(G58,""[0-9]{1}""))"),"quest_main_rik_normal_11")</f>
        <v>quest_main_rik_normal_11</v>
      </c>
      <c r="G58" s="424" t="s">
        <v>2546</v>
      </c>
      <c r="H58" s="46" t="s">
        <v>2531</v>
      </c>
      <c r="I58" s="425" t="str">
        <f t="shared" si="1"/>
        <v>normal_rik_00003</v>
      </c>
      <c r="J58" s="425" t="str">
        <f t="shared" si="2"/>
        <v>stage_icon_rik_normal_03</v>
      </c>
      <c r="K58" s="59"/>
      <c r="L58" s="59"/>
      <c r="M58" s="427"/>
      <c r="N58" s="427"/>
      <c r="O58" s="45"/>
      <c r="P58" s="54"/>
      <c r="Q58" s="54"/>
      <c r="R58" s="56"/>
    </row>
    <row r="59">
      <c r="A59" s="25" t="s">
        <v>2547</v>
      </c>
      <c r="B59" s="90" t="str">
        <f t="array" ref="B59">iferror(INDEX('作品'!D:D,MATCH(left(A59,3),'作品'!A:A,0),0),"error")</f>
        <v>GLOW</v>
      </c>
      <c r="C59" s="46" t="s">
        <v>2527</v>
      </c>
      <c r="D59" s="401" t="s">
        <v>2447</v>
      </c>
      <c r="E59" s="400" t="s">
        <v>2446</v>
      </c>
      <c r="F59" s="423" t="str">
        <f>IFERROR(__xludf.DUMMYFUNCTION("CONCATENATE(""quest_"",D59,""_"",A59,""_"",C59,""_"")&amp;IFERROR(REGEXEXTRACT(G59,""[0-9]{2}""),REGEXEXTRACT(G59,""[0-9]{1}""))"),"quest_main_glo3_normal_12")</f>
        <v>quest_main_glo3_normal_12</v>
      </c>
      <c r="G59" s="424" t="s">
        <v>2548</v>
      </c>
      <c r="H59" s="46" t="s">
        <v>2529</v>
      </c>
      <c r="I59" s="425" t="str">
        <f t="shared" si="1"/>
        <v>normal_glo3_00001</v>
      </c>
      <c r="J59" s="425" t="str">
        <f t="shared" si="2"/>
        <v>stage_icon_glo3_normal_01</v>
      </c>
      <c r="K59" s="425"/>
      <c r="L59" s="425"/>
      <c r="M59" s="426"/>
      <c r="N59" s="426"/>
      <c r="O59" s="45"/>
      <c r="P59" s="54"/>
      <c r="Q59" s="54"/>
      <c r="R59" s="56"/>
    </row>
    <row r="60">
      <c r="A60" s="25" t="s">
        <v>2547</v>
      </c>
      <c r="B60" s="90" t="str">
        <f t="array" ref="B60">iferror(INDEX('作品'!D:D,MATCH(left(A60,3),'作品'!A:A,0),0),"error")</f>
        <v>GLOW</v>
      </c>
      <c r="C60" s="46" t="s">
        <v>2527</v>
      </c>
      <c r="D60" s="401" t="s">
        <v>2447</v>
      </c>
      <c r="E60" s="400" t="s">
        <v>2446</v>
      </c>
      <c r="F60" s="423" t="str">
        <f>IFERROR(__xludf.DUMMYFUNCTION("CONCATENATE(""quest_"",D60,""_"",A60,""_"",C60,""_"")&amp;IFERROR(REGEXEXTRACT(G60,""[0-9]{2}""),REGEXEXTRACT(G60,""[0-9]{1}""))"),"quest_main_glo3_normal_12")</f>
        <v>quest_main_glo3_normal_12</v>
      </c>
      <c r="G60" s="424" t="s">
        <v>2548</v>
      </c>
      <c r="H60" s="46" t="s">
        <v>2530</v>
      </c>
      <c r="I60" s="425" t="str">
        <f t="shared" si="1"/>
        <v>normal_glo3_00002</v>
      </c>
      <c r="J60" s="425" t="str">
        <f t="shared" si="2"/>
        <v>stage_icon_glo3_normal_02</v>
      </c>
      <c r="K60" s="59"/>
      <c r="L60" s="59"/>
      <c r="M60" s="427"/>
      <c r="N60" s="427"/>
      <c r="O60" s="45"/>
      <c r="P60" s="54"/>
      <c r="Q60" s="54"/>
      <c r="R60" s="56"/>
    </row>
    <row r="61">
      <c r="A61" s="25" t="s">
        <v>2547</v>
      </c>
      <c r="B61" s="90" t="str">
        <f t="array" ref="B61">iferror(INDEX('作品'!D:D,MATCH(left(A61,3),'作品'!A:A,0),0),"error")</f>
        <v>GLOW</v>
      </c>
      <c r="C61" s="46" t="s">
        <v>2527</v>
      </c>
      <c r="D61" s="401" t="s">
        <v>2447</v>
      </c>
      <c r="E61" s="400" t="s">
        <v>2446</v>
      </c>
      <c r="F61" s="423" t="str">
        <f>IFERROR(__xludf.DUMMYFUNCTION("CONCATENATE(""quest_"",D61,""_"",A61,""_"",C61,""_"")&amp;IFERROR(REGEXEXTRACT(G61,""[0-9]{2}""),REGEXEXTRACT(G61,""[0-9]{1}""))"),"quest_main_glo3_normal_12")</f>
        <v>quest_main_glo3_normal_12</v>
      </c>
      <c r="G61" s="424" t="s">
        <v>2548</v>
      </c>
      <c r="H61" s="46" t="s">
        <v>2531</v>
      </c>
      <c r="I61" s="425" t="str">
        <f t="shared" si="1"/>
        <v>normal_glo3_00003</v>
      </c>
      <c r="J61" s="425" t="str">
        <f t="shared" si="2"/>
        <v>stage_icon_glo3_normal_03</v>
      </c>
      <c r="K61" s="59"/>
      <c r="L61" s="59"/>
      <c r="M61" s="427"/>
      <c r="N61" s="427"/>
      <c r="O61" s="45"/>
      <c r="P61" s="54"/>
      <c r="Q61" s="54"/>
      <c r="R61" s="56"/>
    </row>
    <row r="62">
      <c r="A62" s="25" t="s">
        <v>2547</v>
      </c>
      <c r="B62" s="90" t="str">
        <f t="array" ref="B62">iferror(INDEX('作品'!D:D,MATCH(left(A62,3),'作品'!A:A,0),0),"error")</f>
        <v>GLOW</v>
      </c>
      <c r="C62" s="46" t="s">
        <v>2527</v>
      </c>
      <c r="D62" s="401" t="s">
        <v>2447</v>
      </c>
      <c r="E62" s="400" t="s">
        <v>2446</v>
      </c>
      <c r="F62" s="423" t="str">
        <f>IFERROR(__xludf.DUMMYFUNCTION("CONCATENATE(""quest_"",D62,""_"",A62,""_"",C62,""_"")&amp;IFERROR(REGEXEXTRACT(G62,""[0-9]{2}""),REGEXEXTRACT(G62,""[0-9]{1}""))"),"quest_main_glo3_normal_12")</f>
        <v>quest_main_glo3_normal_12</v>
      </c>
      <c r="G62" s="424" t="s">
        <v>2548</v>
      </c>
      <c r="H62" s="46" t="s">
        <v>2532</v>
      </c>
      <c r="I62" s="425" t="str">
        <f t="shared" si="1"/>
        <v>normal_glo3_00004</v>
      </c>
      <c r="J62" s="425" t="str">
        <f t="shared" si="2"/>
        <v>stage_icon_glo3_normal_04</v>
      </c>
      <c r="K62" s="425"/>
      <c r="L62" s="425"/>
      <c r="M62" s="426"/>
      <c r="N62" s="426"/>
      <c r="O62" s="45"/>
      <c r="P62" s="54"/>
      <c r="Q62" s="54"/>
      <c r="R62" s="56"/>
    </row>
    <row r="63">
      <c r="A63" s="25" t="s">
        <v>2547</v>
      </c>
      <c r="B63" s="90" t="str">
        <f t="array" ref="B63">iferror(INDEX('作品'!D:D,MATCH(left(A63,3),'作品'!A:A,0),0),"error")</f>
        <v>GLOW</v>
      </c>
      <c r="C63" s="46" t="s">
        <v>2527</v>
      </c>
      <c r="D63" s="401" t="s">
        <v>2447</v>
      </c>
      <c r="E63" s="400" t="s">
        <v>2446</v>
      </c>
      <c r="F63" s="423" t="str">
        <f>IFERROR(__xludf.DUMMYFUNCTION("CONCATENATE(""quest_"",D63,""_"",A63,""_"",C63,""_"")&amp;IFERROR(REGEXEXTRACT(G63,""[0-9]{2}""),REGEXEXTRACT(G63,""[0-9]{1}""))"),"quest_main_glo3_normal_12")</f>
        <v>quest_main_glo3_normal_12</v>
      </c>
      <c r="G63" s="424" t="s">
        <v>2548</v>
      </c>
      <c r="H63" s="46" t="s">
        <v>2533</v>
      </c>
      <c r="I63" s="425" t="str">
        <f t="shared" si="1"/>
        <v>normal_glo3_00005</v>
      </c>
      <c r="J63" s="425" t="str">
        <f t="shared" si="2"/>
        <v>stage_icon_glo3_normal_05</v>
      </c>
      <c r="K63" s="59"/>
      <c r="L63" s="59"/>
      <c r="M63" s="427"/>
      <c r="N63" s="427"/>
      <c r="O63" s="45"/>
      <c r="P63" s="54"/>
      <c r="Q63" s="54"/>
      <c r="R63" s="56"/>
    </row>
    <row r="64">
      <c r="A64" s="25" t="s">
        <v>2547</v>
      </c>
      <c r="B64" s="90" t="str">
        <f t="array" ref="B64">iferror(INDEX('作品'!D:D,MATCH(left(A64,3),'作品'!A:A,0),0),"error")</f>
        <v>GLOW</v>
      </c>
      <c r="C64" s="46" t="s">
        <v>2527</v>
      </c>
      <c r="D64" s="401" t="s">
        <v>2447</v>
      </c>
      <c r="E64" s="400" t="s">
        <v>2446</v>
      </c>
      <c r="F64" s="423" t="str">
        <f>IFERROR(__xludf.DUMMYFUNCTION("CONCATENATE(""quest_"",D64,""_"",A64,""_"",C64,""_"")&amp;IFERROR(REGEXEXTRACT(G64,""[0-9]{2}""),REGEXEXTRACT(G64,""[0-9]{1}""))"),"quest_main_glo3_normal_12")</f>
        <v>quest_main_glo3_normal_12</v>
      </c>
      <c r="G64" s="424" t="s">
        <v>2548</v>
      </c>
      <c r="H64" s="46" t="s">
        <v>2534</v>
      </c>
      <c r="I64" s="425" t="str">
        <f t="shared" si="1"/>
        <v>normal_glo3_00006</v>
      </c>
      <c r="J64" s="425" t="str">
        <f t="shared" si="2"/>
        <v>stage_icon_glo3_normal_06</v>
      </c>
      <c r="K64" s="59"/>
      <c r="L64" s="59"/>
      <c r="M64" s="427"/>
      <c r="N64" s="427"/>
      <c r="O64" s="45"/>
      <c r="P64" s="54"/>
      <c r="Q64" s="54"/>
      <c r="R64" s="56"/>
    </row>
    <row r="65">
      <c r="A65" s="45" t="s">
        <v>98</v>
      </c>
      <c r="B65" s="90" t="str">
        <f t="array" ref="B65">iferror(INDEX('作品'!D:D,MATCH(left(A65,3),'作品'!A:A,0),0),"error")</f>
        <v>株式会社マジルミエ</v>
      </c>
      <c r="C65" s="46" t="s">
        <v>2527</v>
      </c>
      <c r="D65" s="401" t="s">
        <v>2447</v>
      </c>
      <c r="E65" s="400" t="s">
        <v>2446</v>
      </c>
      <c r="F65" s="423" t="str">
        <f>IFERROR(__xludf.DUMMYFUNCTION("CONCATENATE(""quest_"",D65,""_"",A65,""_"",C65,""_"")&amp;IFERROR(REGEXEXTRACT(G65,""[0-9]{2}""),REGEXEXTRACT(G65,""[0-9]{1}""))"),"quest_main_mag_normal_13")</f>
        <v>quest_main_mag_normal_13</v>
      </c>
      <c r="G65" s="424" t="s">
        <v>2549</v>
      </c>
      <c r="H65" s="46" t="s">
        <v>2529</v>
      </c>
      <c r="I65" s="425" t="str">
        <f t="shared" si="1"/>
        <v>normal_mag_00001</v>
      </c>
      <c r="J65" s="425" t="str">
        <f t="shared" si="2"/>
        <v>stage_icon_mag_normal_01</v>
      </c>
      <c r="K65" s="425"/>
      <c r="L65" s="425"/>
      <c r="M65" s="426"/>
      <c r="N65" s="426"/>
      <c r="O65" s="45"/>
      <c r="P65" s="54"/>
      <c r="Q65" s="54"/>
      <c r="R65" s="56"/>
    </row>
    <row r="66">
      <c r="A66" s="45" t="s">
        <v>98</v>
      </c>
      <c r="B66" s="90" t="str">
        <f t="array" ref="B66">iferror(INDEX('作品'!D:D,MATCH(left(A66,3),'作品'!A:A,0),0),"error")</f>
        <v>株式会社マジルミエ</v>
      </c>
      <c r="C66" s="46" t="s">
        <v>2527</v>
      </c>
      <c r="D66" s="401" t="s">
        <v>2447</v>
      </c>
      <c r="E66" s="400" t="s">
        <v>2446</v>
      </c>
      <c r="F66" s="423" t="str">
        <f>IFERROR(__xludf.DUMMYFUNCTION("CONCATENATE(""quest_"",D66,""_"",A66,""_"",C66,""_"")&amp;IFERROR(REGEXEXTRACT(G66,""[0-9]{2}""),REGEXEXTRACT(G66,""[0-9]{1}""))"),"quest_main_mag_normal_13")</f>
        <v>quest_main_mag_normal_13</v>
      </c>
      <c r="G66" s="424" t="s">
        <v>2549</v>
      </c>
      <c r="H66" s="46" t="s">
        <v>2530</v>
      </c>
      <c r="I66" s="425" t="str">
        <f t="shared" si="1"/>
        <v>normal_mag_00002</v>
      </c>
      <c r="J66" s="425" t="str">
        <f t="shared" si="2"/>
        <v>stage_icon_mag_normal_02</v>
      </c>
      <c r="K66" s="59"/>
      <c r="L66" s="59"/>
      <c r="M66" s="427"/>
      <c r="N66" s="427"/>
      <c r="O66" s="45"/>
      <c r="P66" s="54"/>
      <c r="Q66" s="54"/>
      <c r="R66" s="56"/>
    </row>
    <row r="67">
      <c r="A67" s="45" t="s">
        <v>98</v>
      </c>
      <c r="B67" s="90" t="str">
        <f t="array" ref="B67">iferror(INDEX('作品'!D:D,MATCH(left(A67,3),'作品'!A:A,0),0),"error")</f>
        <v>株式会社マジルミエ</v>
      </c>
      <c r="C67" s="46" t="s">
        <v>2527</v>
      </c>
      <c r="D67" s="401" t="s">
        <v>2447</v>
      </c>
      <c r="E67" s="400" t="s">
        <v>2446</v>
      </c>
      <c r="F67" s="423" t="str">
        <f>IFERROR(__xludf.DUMMYFUNCTION("CONCATENATE(""quest_"",D67,""_"",A67,""_"",C67,""_"")&amp;IFERROR(REGEXEXTRACT(G67,""[0-9]{2}""),REGEXEXTRACT(G67,""[0-9]{1}""))"),"quest_main_mag_normal_13")</f>
        <v>quest_main_mag_normal_13</v>
      </c>
      <c r="G67" s="424" t="s">
        <v>2549</v>
      </c>
      <c r="H67" s="46" t="s">
        <v>2531</v>
      </c>
      <c r="I67" s="425" t="str">
        <f t="shared" si="1"/>
        <v>normal_mag_00003</v>
      </c>
      <c r="J67" s="425" t="str">
        <f t="shared" si="2"/>
        <v>stage_icon_mag_normal_03</v>
      </c>
      <c r="K67" s="59"/>
      <c r="L67" s="59"/>
      <c r="M67" s="427"/>
      <c r="N67" s="427"/>
      <c r="O67" s="45"/>
      <c r="P67" s="54"/>
      <c r="Q67" s="54"/>
      <c r="R67" s="56"/>
    </row>
    <row r="68">
      <c r="A68" s="45" t="s">
        <v>98</v>
      </c>
      <c r="B68" s="90" t="str">
        <f t="array" ref="B68">iferror(INDEX('作品'!D:D,MATCH(left(A68,3),'作品'!A:A,0),0),"error")</f>
        <v>株式会社マジルミエ</v>
      </c>
      <c r="C68" s="46" t="s">
        <v>2527</v>
      </c>
      <c r="D68" s="401" t="s">
        <v>2447</v>
      </c>
      <c r="E68" s="400" t="s">
        <v>2446</v>
      </c>
      <c r="F68" s="423" t="str">
        <f>IFERROR(__xludf.DUMMYFUNCTION("CONCATENATE(""quest_"",D68,""_"",A68,""_"",C68,""_"")&amp;IFERROR(REGEXEXTRACT(G68,""[0-9]{2}""),REGEXEXTRACT(G68,""[0-9]{1}""))"),"quest_main_mag_normal_13")</f>
        <v>quest_main_mag_normal_13</v>
      </c>
      <c r="G68" s="424" t="s">
        <v>2549</v>
      </c>
      <c r="H68" s="46" t="s">
        <v>2532</v>
      </c>
      <c r="I68" s="425" t="str">
        <f t="shared" si="1"/>
        <v>normal_mag_00004</v>
      </c>
      <c r="J68" s="425" t="str">
        <f t="shared" si="2"/>
        <v>stage_icon_mag_normal_04</v>
      </c>
      <c r="K68" s="425"/>
      <c r="L68" s="425"/>
      <c r="M68" s="426"/>
      <c r="N68" s="426"/>
      <c r="O68" s="45"/>
      <c r="P68" s="54"/>
      <c r="Q68" s="54"/>
      <c r="R68" s="56"/>
    </row>
    <row r="69">
      <c r="A69" s="45" t="s">
        <v>98</v>
      </c>
      <c r="B69" s="90" t="str">
        <f t="array" ref="B69">iferror(INDEX('作品'!D:D,MATCH(left(A69,3),'作品'!A:A,0),0),"error")</f>
        <v>株式会社マジルミエ</v>
      </c>
      <c r="C69" s="46" t="s">
        <v>2527</v>
      </c>
      <c r="D69" s="401" t="s">
        <v>2447</v>
      </c>
      <c r="E69" s="400" t="s">
        <v>2446</v>
      </c>
      <c r="F69" s="423" t="str">
        <f>IFERROR(__xludf.DUMMYFUNCTION("CONCATENATE(""quest_"",D69,""_"",A69,""_"",C69,""_"")&amp;IFERROR(REGEXEXTRACT(G69,""[0-9]{2}""),REGEXEXTRACT(G69,""[0-9]{1}""))"),"quest_main_mag_normal_13")</f>
        <v>quest_main_mag_normal_13</v>
      </c>
      <c r="G69" s="424" t="s">
        <v>2549</v>
      </c>
      <c r="H69" s="46" t="s">
        <v>2533</v>
      </c>
      <c r="I69" s="425" t="str">
        <f t="shared" si="1"/>
        <v>normal_mag_00005</v>
      </c>
      <c r="J69" s="425" t="str">
        <f t="shared" si="2"/>
        <v>stage_icon_mag_normal_05</v>
      </c>
      <c r="K69" s="59"/>
      <c r="L69" s="59"/>
      <c r="M69" s="427"/>
      <c r="N69" s="427"/>
      <c r="O69" s="45"/>
      <c r="P69" s="54"/>
      <c r="Q69" s="54"/>
      <c r="R69" s="56"/>
    </row>
    <row r="70">
      <c r="A70" s="45" t="s">
        <v>98</v>
      </c>
      <c r="B70" s="90" t="str">
        <f t="array" ref="B70">iferror(INDEX('作品'!D:D,MATCH(left(A70,3),'作品'!A:A,0),0),"error")</f>
        <v>株式会社マジルミエ</v>
      </c>
      <c r="C70" s="46" t="s">
        <v>2527</v>
      </c>
      <c r="D70" s="401" t="s">
        <v>2447</v>
      </c>
      <c r="E70" s="400" t="s">
        <v>2446</v>
      </c>
      <c r="F70" s="423" t="str">
        <f>IFERROR(__xludf.DUMMYFUNCTION("CONCATENATE(""quest_"",D70,""_"",A70,""_"",C70,""_"")&amp;IFERROR(REGEXEXTRACT(G70,""[0-9]{2}""),REGEXEXTRACT(G70,""[0-9]{1}""))"),"quest_main_mag_normal_13")</f>
        <v>quest_main_mag_normal_13</v>
      </c>
      <c r="G70" s="424" t="s">
        <v>2549</v>
      </c>
      <c r="H70" s="46" t="s">
        <v>2534</v>
      </c>
      <c r="I70" s="425" t="str">
        <f t="shared" si="1"/>
        <v>normal_mag_00006</v>
      </c>
      <c r="J70" s="425" t="str">
        <f t="shared" si="2"/>
        <v>stage_icon_mag_normal_06</v>
      </c>
      <c r="K70" s="59"/>
      <c r="L70" s="59"/>
      <c r="M70" s="427"/>
      <c r="N70" s="427"/>
      <c r="O70" s="45"/>
      <c r="P70" s="54"/>
      <c r="Q70" s="54"/>
      <c r="R70" s="56"/>
    </row>
    <row r="71">
      <c r="A71" s="24" t="s">
        <v>143</v>
      </c>
      <c r="B71" s="90" t="str">
        <f t="array" ref="B71">iferror(INDEX('作品'!D:D,MATCH(left(A71,3),'作品'!A:A,0),0),"error")</f>
        <v>サマータイムレンダ</v>
      </c>
      <c r="C71" s="46" t="s">
        <v>2527</v>
      </c>
      <c r="D71" s="401" t="s">
        <v>2447</v>
      </c>
      <c r="E71" s="400" t="s">
        <v>2446</v>
      </c>
      <c r="F71" s="423" t="str">
        <f>IFERROR(__xludf.DUMMYFUNCTION("CONCATENATE(""quest_"",D71,""_"",A71,""_"",C71,""_"")&amp;IFERROR(REGEXEXTRACT(G71,""[0-9]{2}""),REGEXEXTRACT(G71,""[0-9]{1}""))"),"quest_main_sum_normal_14")</f>
        <v>quest_main_sum_normal_14</v>
      </c>
      <c r="G71" s="424" t="s">
        <v>2550</v>
      </c>
      <c r="H71" s="46" t="s">
        <v>2529</v>
      </c>
      <c r="I71" s="425" t="str">
        <f t="shared" si="1"/>
        <v>normal_sum_00001</v>
      </c>
      <c r="J71" s="425" t="str">
        <f t="shared" si="2"/>
        <v>stage_icon_sum_normal_01</v>
      </c>
      <c r="K71" s="425"/>
      <c r="L71" s="425"/>
      <c r="M71" s="426"/>
      <c r="N71" s="426"/>
      <c r="O71" s="45"/>
      <c r="P71" s="54"/>
      <c r="Q71" s="54"/>
      <c r="R71" s="56"/>
    </row>
    <row r="72">
      <c r="A72" s="24" t="s">
        <v>143</v>
      </c>
      <c r="B72" s="90" t="str">
        <f t="array" ref="B72">iferror(INDEX('作品'!D:D,MATCH(left(A72,3),'作品'!A:A,0),0),"error")</f>
        <v>サマータイムレンダ</v>
      </c>
      <c r="C72" s="46" t="s">
        <v>2527</v>
      </c>
      <c r="D72" s="401" t="s">
        <v>2447</v>
      </c>
      <c r="E72" s="400" t="s">
        <v>2446</v>
      </c>
      <c r="F72" s="423" t="str">
        <f>IFERROR(__xludf.DUMMYFUNCTION("CONCATENATE(""quest_"",D72,""_"",A72,""_"",C72,""_"")&amp;IFERROR(REGEXEXTRACT(G72,""[0-9]{2}""),REGEXEXTRACT(G72,""[0-9]{1}""))"),"quest_main_sum_normal_14")</f>
        <v>quest_main_sum_normal_14</v>
      </c>
      <c r="G72" s="424" t="s">
        <v>2550</v>
      </c>
      <c r="H72" s="46" t="s">
        <v>2530</v>
      </c>
      <c r="I72" s="425" t="str">
        <f t="shared" si="1"/>
        <v>normal_sum_00002</v>
      </c>
      <c r="J72" s="425" t="str">
        <f t="shared" si="2"/>
        <v>stage_icon_sum_normal_02</v>
      </c>
      <c r="K72" s="59"/>
      <c r="L72" s="59"/>
      <c r="M72" s="427"/>
      <c r="N72" s="427"/>
      <c r="O72" s="45"/>
      <c r="P72" s="54"/>
      <c r="Q72" s="54"/>
      <c r="R72" s="56"/>
    </row>
    <row r="73">
      <c r="A73" s="24" t="s">
        <v>143</v>
      </c>
      <c r="B73" s="90" t="str">
        <f t="array" ref="B73">iferror(INDEX('作品'!D:D,MATCH(left(A73,3),'作品'!A:A,0),0),"error")</f>
        <v>サマータイムレンダ</v>
      </c>
      <c r="C73" s="46" t="s">
        <v>2527</v>
      </c>
      <c r="D73" s="401" t="s">
        <v>2447</v>
      </c>
      <c r="E73" s="400" t="s">
        <v>2446</v>
      </c>
      <c r="F73" s="423" t="str">
        <f>IFERROR(__xludf.DUMMYFUNCTION("CONCATENATE(""quest_"",D73,""_"",A73,""_"",C73,""_"")&amp;IFERROR(REGEXEXTRACT(G73,""[0-9]{2}""),REGEXEXTRACT(G73,""[0-9]{1}""))"),"quest_main_sum_normal_14")</f>
        <v>quest_main_sum_normal_14</v>
      </c>
      <c r="G73" s="424" t="s">
        <v>2550</v>
      </c>
      <c r="H73" s="46" t="s">
        <v>2531</v>
      </c>
      <c r="I73" s="425" t="str">
        <f t="shared" si="1"/>
        <v>normal_sum_00003</v>
      </c>
      <c r="J73" s="425" t="str">
        <f t="shared" si="2"/>
        <v>stage_icon_sum_normal_03</v>
      </c>
      <c r="K73" s="59"/>
      <c r="L73" s="59"/>
      <c r="M73" s="427"/>
      <c r="N73" s="427"/>
      <c r="O73" s="45"/>
      <c r="P73" s="54"/>
      <c r="Q73" s="54"/>
      <c r="R73" s="56"/>
    </row>
    <row r="74">
      <c r="A74" s="24" t="s">
        <v>143</v>
      </c>
      <c r="B74" s="90" t="str">
        <f t="array" ref="B74">iferror(INDEX('作品'!D:D,MATCH(left(A74,3),'作品'!A:A,0),0),"error")</f>
        <v>サマータイムレンダ</v>
      </c>
      <c r="C74" s="46" t="s">
        <v>2527</v>
      </c>
      <c r="D74" s="401" t="s">
        <v>2447</v>
      </c>
      <c r="E74" s="400" t="s">
        <v>2446</v>
      </c>
      <c r="F74" s="423" t="str">
        <f>IFERROR(__xludf.DUMMYFUNCTION("CONCATENATE(""quest_"",D74,""_"",A74,""_"",C74,""_"")&amp;IFERROR(REGEXEXTRACT(G74,""[0-9]{2}""),REGEXEXTRACT(G74,""[0-9]{1}""))"),"quest_main_sum_normal_14")</f>
        <v>quest_main_sum_normal_14</v>
      </c>
      <c r="G74" s="424" t="s">
        <v>2550</v>
      </c>
      <c r="H74" s="46" t="s">
        <v>2532</v>
      </c>
      <c r="I74" s="425" t="str">
        <f t="shared" si="1"/>
        <v>normal_sum_00004</v>
      </c>
      <c r="J74" s="425" t="str">
        <f t="shared" si="2"/>
        <v>stage_icon_sum_normal_04</v>
      </c>
      <c r="K74" s="425"/>
      <c r="L74" s="425"/>
      <c r="M74" s="426"/>
      <c r="N74" s="426"/>
      <c r="O74" s="45"/>
      <c r="P74" s="54"/>
      <c r="Q74" s="54"/>
      <c r="R74" s="56"/>
    </row>
    <row r="75">
      <c r="A75" s="24" t="s">
        <v>143</v>
      </c>
      <c r="B75" s="90" t="str">
        <f t="array" ref="B75">iferror(INDEX('作品'!D:D,MATCH(left(A75,3),'作品'!A:A,0),0),"error")</f>
        <v>サマータイムレンダ</v>
      </c>
      <c r="C75" s="46" t="s">
        <v>2527</v>
      </c>
      <c r="D75" s="401" t="s">
        <v>2447</v>
      </c>
      <c r="E75" s="400" t="s">
        <v>2446</v>
      </c>
      <c r="F75" s="423" t="str">
        <f>IFERROR(__xludf.DUMMYFUNCTION("CONCATENATE(""quest_"",D75,""_"",A75,""_"",C75,""_"")&amp;IFERROR(REGEXEXTRACT(G75,""[0-9]{2}""),REGEXEXTRACT(G75,""[0-9]{1}""))"),"quest_main_sum_normal_14")</f>
        <v>quest_main_sum_normal_14</v>
      </c>
      <c r="G75" s="424" t="s">
        <v>2550</v>
      </c>
      <c r="H75" s="46" t="s">
        <v>2533</v>
      </c>
      <c r="I75" s="425" t="str">
        <f t="shared" si="1"/>
        <v>normal_sum_00005</v>
      </c>
      <c r="J75" s="425" t="str">
        <f t="shared" si="2"/>
        <v>stage_icon_sum_normal_05</v>
      </c>
      <c r="K75" s="59"/>
      <c r="L75" s="59"/>
      <c r="M75" s="427"/>
      <c r="N75" s="427"/>
      <c r="O75" s="45"/>
      <c r="P75" s="54"/>
      <c r="Q75" s="54"/>
      <c r="R75" s="56"/>
    </row>
    <row r="76">
      <c r="A76" s="24" t="s">
        <v>143</v>
      </c>
      <c r="B76" s="90" t="str">
        <f t="array" ref="B76">iferror(INDEX('作品'!D:D,MATCH(left(A76,3),'作品'!A:A,0),0),"error")</f>
        <v>サマータイムレンダ</v>
      </c>
      <c r="C76" s="46" t="s">
        <v>2527</v>
      </c>
      <c r="D76" s="401" t="s">
        <v>2447</v>
      </c>
      <c r="E76" s="400" t="s">
        <v>2446</v>
      </c>
      <c r="F76" s="423" t="str">
        <f>IFERROR(__xludf.DUMMYFUNCTION("CONCATENATE(""quest_"",D76,""_"",A76,""_"",C76,""_"")&amp;IFERROR(REGEXEXTRACT(G76,""[0-9]{2}""),REGEXEXTRACT(G76,""[0-9]{1}""))"),"quest_main_sum_normal_14")</f>
        <v>quest_main_sum_normal_14</v>
      </c>
      <c r="G76" s="424" t="s">
        <v>2550</v>
      </c>
      <c r="H76" s="46" t="s">
        <v>2534</v>
      </c>
      <c r="I76" s="425" t="str">
        <f t="shared" si="1"/>
        <v>normal_sum_00006</v>
      </c>
      <c r="J76" s="425" t="str">
        <f t="shared" si="2"/>
        <v>stage_icon_sum_normal_06</v>
      </c>
      <c r="K76" s="59"/>
      <c r="L76" s="59"/>
      <c r="M76" s="427"/>
      <c r="N76" s="427"/>
      <c r="O76" s="45"/>
      <c r="P76" s="54"/>
      <c r="Q76" s="54"/>
      <c r="R76" s="56"/>
    </row>
    <row r="77">
      <c r="A77" s="45" t="s">
        <v>115</v>
      </c>
      <c r="B77" s="90" t="str">
        <f t="array" ref="B77">iferror(INDEX('作品'!D:D,MATCH(left(A77,3),'作品'!A:A,0),0),"error")</f>
        <v>怪獣８号</v>
      </c>
      <c r="C77" s="46" t="s">
        <v>2527</v>
      </c>
      <c r="D77" s="401" t="s">
        <v>2447</v>
      </c>
      <c r="E77" s="400" t="s">
        <v>2446</v>
      </c>
      <c r="F77" s="423" t="str">
        <f>IFERROR(__xludf.DUMMYFUNCTION("CONCATENATE(""quest_"",D77,""_"",A77,""_"",C77,""_"")&amp;IFERROR(REGEXEXTRACT(G77,""[0-9]{2}""),REGEXEXTRACT(G77,""[0-9]{1}""))"),"quest_main_kai_normal_15")</f>
        <v>quest_main_kai_normal_15</v>
      </c>
      <c r="G77" s="424" t="s">
        <v>2551</v>
      </c>
      <c r="H77" s="46" t="s">
        <v>2529</v>
      </c>
      <c r="I77" s="425" t="str">
        <f t="shared" si="1"/>
        <v>normal_kai_00001</v>
      </c>
      <c r="J77" s="425" t="str">
        <f t="shared" si="2"/>
        <v>stage_icon_kai_normal_01</v>
      </c>
      <c r="K77" s="425"/>
      <c r="L77" s="425"/>
      <c r="M77" s="426"/>
      <c r="N77" s="426"/>
      <c r="O77" s="45"/>
      <c r="P77" s="54"/>
      <c r="Q77" s="54"/>
      <c r="R77" s="56"/>
    </row>
    <row r="78">
      <c r="A78" s="45" t="s">
        <v>115</v>
      </c>
      <c r="B78" s="90" t="str">
        <f t="array" ref="B78">iferror(INDEX('作品'!D:D,MATCH(left(A78,3),'作品'!A:A,0),0),"error")</f>
        <v>怪獣８号</v>
      </c>
      <c r="C78" s="46" t="s">
        <v>2527</v>
      </c>
      <c r="D78" s="401" t="s">
        <v>2447</v>
      </c>
      <c r="E78" s="400" t="s">
        <v>2446</v>
      </c>
      <c r="F78" s="423" t="str">
        <f>IFERROR(__xludf.DUMMYFUNCTION("CONCATENATE(""quest_"",D78,""_"",A78,""_"",C78,""_"")&amp;IFERROR(REGEXEXTRACT(G78,""[0-9]{2}""),REGEXEXTRACT(G78,""[0-9]{1}""))"),"quest_main_kai_normal_15")</f>
        <v>quest_main_kai_normal_15</v>
      </c>
      <c r="G78" s="424" t="s">
        <v>2551</v>
      </c>
      <c r="H78" s="46" t="s">
        <v>2530</v>
      </c>
      <c r="I78" s="425" t="str">
        <f t="shared" si="1"/>
        <v>normal_kai_00002</v>
      </c>
      <c r="J78" s="425" t="str">
        <f t="shared" si="2"/>
        <v>stage_icon_kai_normal_02</v>
      </c>
      <c r="K78" s="59"/>
      <c r="L78" s="59"/>
      <c r="M78" s="427"/>
      <c r="N78" s="427"/>
      <c r="O78" s="45"/>
      <c r="P78" s="54"/>
      <c r="Q78" s="54"/>
      <c r="R78" s="56"/>
    </row>
    <row r="79">
      <c r="A79" s="45" t="s">
        <v>115</v>
      </c>
      <c r="B79" s="90" t="str">
        <f t="array" ref="B79">iferror(INDEX('作品'!D:D,MATCH(left(A79,3),'作品'!A:A,0),0),"error")</f>
        <v>怪獣８号</v>
      </c>
      <c r="C79" s="46" t="s">
        <v>2527</v>
      </c>
      <c r="D79" s="401" t="s">
        <v>2447</v>
      </c>
      <c r="E79" s="400" t="s">
        <v>2446</v>
      </c>
      <c r="F79" s="423" t="str">
        <f>IFERROR(__xludf.DUMMYFUNCTION("CONCATENATE(""quest_"",D79,""_"",A79,""_"",C79,""_"")&amp;IFERROR(REGEXEXTRACT(G79,""[0-9]{2}""),REGEXEXTRACT(G79,""[0-9]{1}""))"),"quest_main_kai_normal_15")</f>
        <v>quest_main_kai_normal_15</v>
      </c>
      <c r="G79" s="424" t="s">
        <v>2551</v>
      </c>
      <c r="H79" s="46" t="s">
        <v>2531</v>
      </c>
      <c r="I79" s="425" t="str">
        <f t="shared" si="1"/>
        <v>normal_kai_00003</v>
      </c>
      <c r="J79" s="425" t="str">
        <f t="shared" si="2"/>
        <v>stage_icon_kai_normal_03</v>
      </c>
      <c r="K79" s="59"/>
      <c r="L79" s="59"/>
      <c r="M79" s="427"/>
      <c r="N79" s="427"/>
      <c r="O79" s="45"/>
      <c r="P79" s="54"/>
      <c r="Q79" s="54"/>
      <c r="R79" s="56"/>
    </row>
    <row r="80">
      <c r="A80" s="45" t="s">
        <v>115</v>
      </c>
      <c r="B80" s="90" t="str">
        <f t="array" ref="B80">iferror(INDEX('作品'!D:D,MATCH(left(A80,3),'作品'!A:A,0),0),"error")</f>
        <v>怪獣８号</v>
      </c>
      <c r="C80" s="46" t="s">
        <v>2527</v>
      </c>
      <c r="D80" s="46" t="s">
        <v>2447</v>
      </c>
      <c r="E80" s="400" t="s">
        <v>2446</v>
      </c>
      <c r="F80" s="423" t="str">
        <f>IFERROR(__xludf.DUMMYFUNCTION("CONCATENATE(""quest_"",D80,""_"",A80,""_"",C80,""_"")&amp;IFERROR(REGEXEXTRACT(G80,""[0-9]{2}""),REGEXEXTRACT(G80,""[0-9]{1}""))"),"quest_main_kai_normal_15")</f>
        <v>quest_main_kai_normal_15</v>
      </c>
      <c r="G80" s="424" t="s">
        <v>2551</v>
      </c>
      <c r="H80" s="46" t="s">
        <v>2532</v>
      </c>
      <c r="I80" s="425" t="str">
        <f t="shared" si="1"/>
        <v>normal_kai_00004</v>
      </c>
      <c r="J80" s="425" t="str">
        <f t="shared" si="2"/>
        <v>stage_icon_kai_normal_04</v>
      </c>
      <c r="K80" s="59"/>
      <c r="L80" s="59"/>
      <c r="M80" s="427"/>
      <c r="N80" s="427"/>
      <c r="O80" s="45"/>
      <c r="P80" s="54"/>
      <c r="Q80" s="54"/>
      <c r="R80" s="56"/>
    </row>
    <row r="81">
      <c r="A81" s="45" t="s">
        <v>115</v>
      </c>
      <c r="B81" s="90" t="str">
        <f t="array" ref="B81">iferror(INDEX('作品'!D:D,MATCH(left(A81,3),'作品'!A:A,0),0),"error")</f>
        <v>怪獣８号</v>
      </c>
      <c r="C81" s="46" t="s">
        <v>2527</v>
      </c>
      <c r="D81" s="401" t="s">
        <v>2447</v>
      </c>
      <c r="E81" s="400" t="s">
        <v>2446</v>
      </c>
      <c r="F81" s="423" t="str">
        <f>IFERROR(__xludf.DUMMYFUNCTION("CONCATENATE(""quest_"",D81,""_"",A81,""_"",C81,""_"")&amp;IFERROR(REGEXEXTRACT(G81,""[0-9]{2}""),REGEXEXTRACT(G81,""[0-9]{1}""))"),"quest_main_kai_normal_15")</f>
        <v>quest_main_kai_normal_15</v>
      </c>
      <c r="G81" s="424" t="s">
        <v>2551</v>
      </c>
      <c r="H81" s="46" t="s">
        <v>2533</v>
      </c>
      <c r="I81" s="425" t="str">
        <f t="shared" si="1"/>
        <v>normal_kai_00005</v>
      </c>
      <c r="J81" s="425" t="str">
        <f t="shared" si="2"/>
        <v>stage_icon_kai_normal_05</v>
      </c>
      <c r="K81" s="59"/>
      <c r="L81" s="59"/>
      <c r="M81" s="427"/>
      <c r="N81" s="427"/>
      <c r="O81" s="45"/>
      <c r="P81" s="54"/>
      <c r="Q81" s="54"/>
      <c r="R81" s="56"/>
    </row>
    <row r="82">
      <c r="A82" s="45" t="s">
        <v>115</v>
      </c>
      <c r="B82" s="90" t="str">
        <f t="array" ref="B82">iferror(INDEX('作品'!D:D,MATCH(left(A82,3),'作品'!A:A,0),0),"error")</f>
        <v>怪獣８号</v>
      </c>
      <c r="C82" s="46" t="s">
        <v>2527</v>
      </c>
      <c r="D82" s="46" t="s">
        <v>2447</v>
      </c>
      <c r="E82" s="400" t="s">
        <v>2446</v>
      </c>
      <c r="F82" s="423" t="str">
        <f>IFERROR(__xludf.DUMMYFUNCTION("CONCATENATE(""quest_"",D82,""_"",A82,""_"",C82,""_"")&amp;IFERROR(REGEXEXTRACT(G82,""[0-9]{2}""),REGEXEXTRACT(G82,""[0-9]{1}""))"),"quest_main_kai_normal_15")</f>
        <v>quest_main_kai_normal_15</v>
      </c>
      <c r="G82" s="424" t="s">
        <v>2551</v>
      </c>
      <c r="H82" s="46" t="s">
        <v>2534</v>
      </c>
      <c r="I82" s="425" t="str">
        <f t="shared" si="1"/>
        <v>normal_kai_00006</v>
      </c>
      <c r="J82" s="425" t="str">
        <f t="shared" si="2"/>
        <v>stage_icon_kai_normal_06</v>
      </c>
      <c r="K82" s="59"/>
      <c r="L82" s="59"/>
      <c r="M82" s="427"/>
      <c r="N82" s="427"/>
      <c r="O82" s="45"/>
      <c r="P82" s="54"/>
      <c r="Q82" s="54"/>
      <c r="R82" s="56"/>
    </row>
    <row r="83">
      <c r="A83" s="25" t="s">
        <v>2552</v>
      </c>
      <c r="B83" s="90" t="str">
        <f t="array" ref="B83">iferror(INDEX('作品'!D:D,MATCH(left(A83,3),'作品'!A:A,0),0),"error")</f>
        <v>GLOW</v>
      </c>
      <c r="C83" s="46" t="s">
        <v>2527</v>
      </c>
      <c r="D83" s="401" t="s">
        <v>2447</v>
      </c>
      <c r="E83" s="400" t="s">
        <v>2446</v>
      </c>
      <c r="F83" s="423" t="str">
        <f>IFERROR(__xludf.DUMMYFUNCTION("CONCATENATE(""quest_"",D83,""_"",A83,""_"",C83,""_"")&amp;IFERROR(REGEXEXTRACT(G83,""[0-9]{2}""),REGEXEXTRACT(G83,""[0-9]{1}""))"),"quest_main_glo4_normal_16")</f>
        <v>quest_main_glo4_normal_16</v>
      </c>
      <c r="G83" s="424" t="s">
        <v>2553</v>
      </c>
      <c r="H83" s="46" t="s">
        <v>2529</v>
      </c>
      <c r="I83" s="425" t="str">
        <f t="shared" si="1"/>
        <v>normal_glo4_00001</v>
      </c>
      <c r="J83" s="425" t="str">
        <f t="shared" si="2"/>
        <v>stage_icon_glo4_normal_01</v>
      </c>
      <c r="K83" s="425"/>
      <c r="L83" s="425"/>
      <c r="M83" s="426"/>
      <c r="N83" s="426"/>
      <c r="O83" s="45"/>
      <c r="P83" s="54"/>
      <c r="Q83" s="54"/>
      <c r="R83" s="56"/>
    </row>
    <row r="84">
      <c r="A84" s="25" t="s">
        <v>2552</v>
      </c>
      <c r="B84" s="90" t="str">
        <f t="array" ref="B84">iferror(INDEX('作品'!D:D,MATCH(left(A84,3),'作品'!A:A,0),0),"error")</f>
        <v>GLOW</v>
      </c>
      <c r="C84" s="46" t="s">
        <v>2527</v>
      </c>
      <c r="D84" s="401" t="s">
        <v>2447</v>
      </c>
      <c r="E84" s="400" t="s">
        <v>2446</v>
      </c>
      <c r="F84" s="423" t="str">
        <f>IFERROR(__xludf.DUMMYFUNCTION("CONCATENATE(""quest_"",D84,""_"",A84,""_"",C84,""_"")&amp;IFERROR(REGEXEXTRACT(G84,""[0-9]{2}""),REGEXEXTRACT(G84,""[0-9]{1}""))"),"quest_main_glo4_normal_16")</f>
        <v>quest_main_glo4_normal_16</v>
      </c>
      <c r="G84" s="424" t="s">
        <v>2553</v>
      </c>
      <c r="H84" s="46" t="s">
        <v>2530</v>
      </c>
      <c r="I84" s="425" t="str">
        <f t="shared" si="1"/>
        <v>normal_glo4_00002</v>
      </c>
      <c r="J84" s="425" t="str">
        <f t="shared" si="2"/>
        <v>stage_icon_glo4_normal_02</v>
      </c>
      <c r="K84" s="59"/>
      <c r="L84" s="59"/>
      <c r="M84" s="427"/>
      <c r="N84" s="427"/>
      <c r="O84" s="45"/>
      <c r="P84" s="54"/>
      <c r="Q84" s="54"/>
      <c r="R84" s="56"/>
    </row>
    <row r="85">
      <c r="A85" s="25" t="s">
        <v>2552</v>
      </c>
      <c r="B85" s="90" t="str">
        <f t="array" ref="B85">iferror(INDEX('作品'!D:D,MATCH(left(A85,3),'作品'!A:A,0),0),"error")</f>
        <v>GLOW</v>
      </c>
      <c r="C85" s="46" t="s">
        <v>2527</v>
      </c>
      <c r="D85" s="401" t="s">
        <v>2447</v>
      </c>
      <c r="E85" s="400" t="s">
        <v>2446</v>
      </c>
      <c r="F85" s="423" t="str">
        <f>IFERROR(__xludf.DUMMYFUNCTION("CONCATENATE(""quest_"",D85,""_"",A85,""_"",C85,""_"")&amp;IFERROR(REGEXEXTRACT(G85,""[0-9]{2}""),REGEXEXTRACT(G85,""[0-9]{1}""))"),"quest_main_glo4_normal_16")</f>
        <v>quest_main_glo4_normal_16</v>
      </c>
      <c r="G85" s="424" t="s">
        <v>2553</v>
      </c>
      <c r="H85" s="46" t="s">
        <v>2531</v>
      </c>
      <c r="I85" s="425" t="str">
        <f t="shared" si="1"/>
        <v>normal_glo4_00003</v>
      </c>
      <c r="J85" s="425" t="str">
        <f t="shared" si="2"/>
        <v>stage_icon_glo4_normal_03</v>
      </c>
      <c r="K85" s="59"/>
      <c r="L85" s="59"/>
      <c r="M85" s="427"/>
      <c r="N85" s="427"/>
      <c r="O85" s="45"/>
      <c r="P85" s="54"/>
      <c r="Q85" s="54"/>
      <c r="R85" s="56"/>
    </row>
    <row r="86">
      <c r="A86" s="25" t="s">
        <v>2552</v>
      </c>
      <c r="B86" s="90" t="str">
        <f t="array" ref="B86">iferror(INDEX('作品'!D:D,MATCH(left(A86,3),'作品'!A:A,0),0),"error")</f>
        <v>GLOW</v>
      </c>
      <c r="C86" s="46" t="s">
        <v>2527</v>
      </c>
      <c r="D86" s="401" t="s">
        <v>2447</v>
      </c>
      <c r="E86" s="400" t="s">
        <v>2446</v>
      </c>
      <c r="F86" s="423" t="str">
        <f>IFERROR(__xludf.DUMMYFUNCTION("CONCATENATE(""quest_"",D86,""_"",A86,""_"",C86,""_"")&amp;IFERROR(REGEXEXTRACT(G86,""[0-9]{2}""),REGEXEXTRACT(G86,""[0-9]{1}""))"),"quest_main_glo4_normal_16")</f>
        <v>quest_main_glo4_normal_16</v>
      </c>
      <c r="G86" s="424" t="s">
        <v>2553</v>
      </c>
      <c r="H86" s="46" t="s">
        <v>2532</v>
      </c>
      <c r="I86" s="425" t="str">
        <f t="shared" si="1"/>
        <v>normal_glo4_00004</v>
      </c>
      <c r="J86" s="425" t="str">
        <f t="shared" si="2"/>
        <v>stage_icon_glo4_normal_04</v>
      </c>
      <c r="K86" s="425"/>
      <c r="L86" s="425"/>
      <c r="M86" s="426"/>
      <c r="N86" s="426"/>
      <c r="O86" s="45"/>
      <c r="P86" s="54"/>
      <c r="Q86" s="54"/>
      <c r="R86" s="56"/>
    </row>
    <row r="87">
      <c r="A87" s="25" t="s">
        <v>2552</v>
      </c>
      <c r="B87" s="90" t="str">
        <f t="array" ref="B87">iferror(INDEX('作品'!D:D,MATCH(left(A87,3),'作品'!A:A,0),0),"error")</f>
        <v>GLOW</v>
      </c>
      <c r="C87" s="46" t="s">
        <v>2527</v>
      </c>
      <c r="D87" s="401" t="s">
        <v>2447</v>
      </c>
      <c r="E87" s="400" t="s">
        <v>2446</v>
      </c>
      <c r="F87" s="423" t="str">
        <f>IFERROR(__xludf.DUMMYFUNCTION("CONCATENATE(""quest_"",D87,""_"",A87,""_"",C87,""_"")&amp;IFERROR(REGEXEXTRACT(G87,""[0-9]{2}""),REGEXEXTRACT(G87,""[0-9]{1}""))"),"quest_main_glo4_normal_16")</f>
        <v>quest_main_glo4_normal_16</v>
      </c>
      <c r="G87" s="424" t="s">
        <v>2553</v>
      </c>
      <c r="H87" s="46" t="s">
        <v>2533</v>
      </c>
      <c r="I87" s="425" t="str">
        <f t="shared" si="1"/>
        <v>normal_glo4_00005</v>
      </c>
      <c r="J87" s="425" t="str">
        <f t="shared" si="2"/>
        <v>stage_icon_glo4_normal_05</v>
      </c>
      <c r="K87" s="59"/>
      <c r="L87" s="59"/>
      <c r="M87" s="427"/>
      <c r="N87" s="427"/>
      <c r="O87" s="45"/>
      <c r="P87" s="54"/>
      <c r="Q87" s="54"/>
      <c r="R87" s="56"/>
    </row>
    <row r="88">
      <c r="A88" s="25" t="s">
        <v>2552</v>
      </c>
      <c r="B88" s="90" t="str">
        <f t="array" ref="B88">iferror(INDEX('作品'!D:D,MATCH(left(A88,3),'作品'!A:A,0),0),"error")</f>
        <v>GLOW</v>
      </c>
      <c r="C88" s="46" t="s">
        <v>2527</v>
      </c>
      <c r="D88" s="401" t="s">
        <v>2447</v>
      </c>
      <c r="E88" s="400" t="s">
        <v>2446</v>
      </c>
      <c r="F88" s="423" t="str">
        <f>IFERROR(__xludf.DUMMYFUNCTION("CONCATENATE(""quest_"",D88,""_"",A88,""_"",C88,""_"")&amp;IFERROR(REGEXEXTRACT(G88,""[0-9]{2}""),REGEXEXTRACT(G88,""[0-9]{1}""))"),"quest_main_glo4_normal_16")</f>
        <v>quest_main_glo4_normal_16</v>
      </c>
      <c r="G88" s="424" t="s">
        <v>2553</v>
      </c>
      <c r="H88" s="46" t="s">
        <v>2534</v>
      </c>
      <c r="I88" s="425" t="str">
        <f t="shared" si="1"/>
        <v>normal_glo4_00006</v>
      </c>
      <c r="J88" s="425" t="str">
        <f t="shared" si="2"/>
        <v>stage_icon_glo4_normal_06</v>
      </c>
      <c r="K88" s="59"/>
      <c r="L88" s="59"/>
      <c r="M88" s="427"/>
      <c r="N88" s="427"/>
      <c r="O88" s="45"/>
      <c r="P88" s="54"/>
      <c r="Q88" s="54"/>
      <c r="R88" s="56"/>
    </row>
    <row r="89">
      <c r="A89" s="25" t="s">
        <v>158</v>
      </c>
      <c r="B89" s="90" t="str">
        <f t="array" ref="B89">iferror(INDEX('作品'!D:D,MATCH(left(A89,3),'作品'!A:A,0),0),"error")</f>
        <v>【推しの子】</v>
      </c>
      <c r="C89" s="46" t="s">
        <v>2527</v>
      </c>
      <c r="D89" s="401" t="s">
        <v>2447</v>
      </c>
      <c r="E89" s="400" t="s">
        <v>2446</v>
      </c>
      <c r="F89" s="423" t="str">
        <f>IFERROR(__xludf.DUMMYFUNCTION("CONCATENATE(""quest_"",D89,""_"",A89,""_"",C89,""_"")&amp;IFERROR(REGEXEXTRACT(G89,""[0-9]{2}""),REGEXEXTRACT(G89,""[0-9]{1}""))"),"quest_main_osh_normal_17")</f>
        <v>quest_main_osh_normal_17</v>
      </c>
      <c r="G89" s="424" t="s">
        <v>2554</v>
      </c>
      <c r="H89" s="46" t="s">
        <v>2529</v>
      </c>
      <c r="I89" s="425" t="str">
        <f t="shared" si="1"/>
        <v>normal_osh_00001</v>
      </c>
      <c r="J89" s="425" t="str">
        <f t="shared" si="2"/>
        <v>stage_icon_osh_normal_01</v>
      </c>
      <c r="K89" s="59"/>
      <c r="L89" s="59"/>
      <c r="M89" s="427"/>
      <c r="N89" s="427"/>
      <c r="O89" s="45"/>
      <c r="P89" s="54"/>
      <c r="Q89" s="54"/>
      <c r="R89" s="56"/>
    </row>
    <row r="90">
      <c r="A90" s="25" t="s">
        <v>158</v>
      </c>
      <c r="B90" s="90" t="str">
        <f t="array" ref="B90">iferror(INDEX('作品'!D:D,MATCH(left(A90,3),'作品'!A:A,0),0),"error")</f>
        <v>【推しの子】</v>
      </c>
      <c r="C90" s="46" t="s">
        <v>2527</v>
      </c>
      <c r="D90" s="401" t="s">
        <v>2447</v>
      </c>
      <c r="E90" s="400" t="s">
        <v>2446</v>
      </c>
      <c r="F90" s="423" t="str">
        <f>IFERROR(__xludf.DUMMYFUNCTION("CONCATENATE(""quest_"",D90,""_"",A90,""_"",C90,""_"")&amp;IFERROR(REGEXEXTRACT(G90,""[0-9]{2}""),REGEXEXTRACT(G90,""[0-9]{1}""))"),"quest_main_osh_normal_17")</f>
        <v>quest_main_osh_normal_17</v>
      </c>
      <c r="G90" s="424" t="s">
        <v>2554</v>
      </c>
      <c r="H90" s="46" t="s">
        <v>2530</v>
      </c>
      <c r="I90" s="425" t="str">
        <f t="shared" si="1"/>
        <v>normal_osh_00002</v>
      </c>
      <c r="J90" s="425" t="str">
        <f t="shared" si="2"/>
        <v>stage_icon_osh_normal_02</v>
      </c>
      <c r="K90" s="59"/>
      <c r="L90" s="59"/>
      <c r="M90" s="427"/>
      <c r="N90" s="427"/>
      <c r="O90" s="45"/>
      <c r="P90" s="54"/>
      <c r="Q90" s="54"/>
      <c r="R90" s="56"/>
    </row>
    <row r="91">
      <c r="A91" s="25" t="s">
        <v>158</v>
      </c>
      <c r="B91" s="90" t="str">
        <f t="array" ref="B91">iferror(INDEX('作品'!D:D,MATCH(left(A91,3),'作品'!A:A,0),0),"error")</f>
        <v>【推しの子】</v>
      </c>
      <c r="C91" s="46" t="s">
        <v>2527</v>
      </c>
      <c r="D91" s="401" t="s">
        <v>2447</v>
      </c>
      <c r="E91" s="400" t="s">
        <v>2446</v>
      </c>
      <c r="F91" s="423" t="str">
        <f>IFERROR(__xludf.DUMMYFUNCTION("CONCATENATE(""quest_"",D91,""_"",A91,""_"",C91,""_"")&amp;IFERROR(REGEXEXTRACT(G91,""[0-9]{2}""),REGEXEXTRACT(G91,""[0-9]{1}""))"),"quest_main_osh_normal_17")</f>
        <v>quest_main_osh_normal_17</v>
      </c>
      <c r="G91" s="424" t="s">
        <v>2554</v>
      </c>
      <c r="H91" s="46" t="s">
        <v>2531</v>
      </c>
      <c r="I91" s="425" t="str">
        <f t="shared" si="1"/>
        <v>normal_osh_00003</v>
      </c>
      <c r="J91" s="425" t="str">
        <f t="shared" si="2"/>
        <v>stage_icon_osh_normal_03</v>
      </c>
      <c r="K91" s="59"/>
      <c r="L91" s="59"/>
      <c r="M91" s="427"/>
      <c r="N91" s="427"/>
      <c r="O91" s="45"/>
      <c r="P91" s="54"/>
      <c r="Q91" s="54"/>
      <c r="R91" s="56"/>
    </row>
    <row r="92">
      <c r="A92" s="45" t="s">
        <v>60</v>
      </c>
      <c r="B92" s="90" t="str">
        <f t="array" ref="B92">iferror(INDEX('作品'!D:D,MATCH(left(A92,3),'作品'!A:A,0),0),"error")</f>
        <v>SPY×FAMILY</v>
      </c>
      <c r="C92" s="46" t="s">
        <v>2555</v>
      </c>
      <c r="D92" s="401" t="s">
        <v>2447</v>
      </c>
      <c r="E92" s="400" t="s">
        <v>2446</v>
      </c>
      <c r="F92" s="423" t="str">
        <f>IFERROR(__xludf.DUMMYFUNCTION("CONCATENATE(""quest_"",D92,""_"",A92,""_"",C92,""_"")&amp;IFERROR(REGEXEXTRACT(G92,""[0-9]{2}""),REGEXEXTRACT(G92,""[0-9]{1}""))"),"quest_main_spy_hard_1")</f>
        <v>quest_main_spy_hard_1</v>
      </c>
      <c r="G92" s="424" t="s">
        <v>2528</v>
      </c>
      <c r="H92" s="46" t="s">
        <v>2529</v>
      </c>
      <c r="I92" s="425" t="str">
        <f t="shared" si="1"/>
        <v>hard_spy_00001</v>
      </c>
      <c r="J92" s="425" t="s">
        <v>2556</v>
      </c>
      <c r="K92" s="425"/>
      <c r="L92" s="425"/>
      <c r="M92" s="426"/>
      <c r="N92" s="426"/>
      <c r="O92" s="45"/>
      <c r="P92" s="54"/>
      <c r="Q92" s="54"/>
      <c r="R92" s="56"/>
    </row>
    <row r="93">
      <c r="A93" s="45" t="s">
        <v>60</v>
      </c>
      <c r="B93" s="90" t="str">
        <f t="array" ref="B93">iferror(INDEX('作品'!D:D,MATCH(left(A93,3),'作品'!A:A,0),0),"error")</f>
        <v>SPY×FAMILY</v>
      </c>
      <c r="C93" s="46" t="s">
        <v>2555</v>
      </c>
      <c r="D93" s="401" t="s">
        <v>2447</v>
      </c>
      <c r="E93" s="400" t="s">
        <v>2446</v>
      </c>
      <c r="F93" s="423" t="str">
        <f>IFERROR(__xludf.DUMMYFUNCTION("CONCATENATE(""quest_"",D93,""_"",A93,""_"",C93,""_"")&amp;IFERROR(REGEXEXTRACT(G93,""[0-9]{2}""),REGEXEXTRACT(G93,""[0-9]{1}""))"),"quest_main_spy_hard_1")</f>
        <v>quest_main_spy_hard_1</v>
      </c>
      <c r="G93" s="424" t="s">
        <v>2528</v>
      </c>
      <c r="H93" s="46" t="s">
        <v>2530</v>
      </c>
      <c r="I93" s="425" t="str">
        <f t="shared" si="1"/>
        <v>hard_spy_00002</v>
      </c>
      <c r="J93" s="59" t="s">
        <v>2557</v>
      </c>
      <c r="K93" s="59"/>
      <c r="L93" s="59"/>
      <c r="M93" s="427"/>
      <c r="N93" s="427"/>
      <c r="O93" s="45"/>
      <c r="P93" s="54"/>
      <c r="Q93" s="54"/>
      <c r="R93" s="56"/>
    </row>
    <row r="94">
      <c r="A94" s="45" t="s">
        <v>60</v>
      </c>
      <c r="B94" s="90" t="str">
        <f t="array" ref="B94">iferror(INDEX('作品'!D:D,MATCH(left(A94,3),'作品'!A:A,0),0),"error")</f>
        <v>SPY×FAMILY</v>
      </c>
      <c r="C94" s="46" t="s">
        <v>2555</v>
      </c>
      <c r="D94" s="401" t="s">
        <v>2447</v>
      </c>
      <c r="E94" s="400" t="s">
        <v>2446</v>
      </c>
      <c r="F94" s="423" t="str">
        <f>IFERROR(__xludf.DUMMYFUNCTION("CONCATENATE(""quest_"",D94,""_"",A94,""_"",C94,""_"")&amp;IFERROR(REGEXEXTRACT(G94,""[0-9]{2}""),REGEXEXTRACT(G94,""[0-9]{1}""))"),"quest_main_spy_hard_1")</f>
        <v>quest_main_spy_hard_1</v>
      </c>
      <c r="G94" s="424" t="s">
        <v>2528</v>
      </c>
      <c r="H94" s="46" t="s">
        <v>2531</v>
      </c>
      <c r="I94" s="425" t="str">
        <f t="shared" si="1"/>
        <v>hard_spy_00003</v>
      </c>
      <c r="J94" s="59" t="s">
        <v>2558</v>
      </c>
      <c r="K94" s="59"/>
      <c r="L94" s="59"/>
      <c r="M94" s="427"/>
      <c r="N94" s="427"/>
      <c r="O94" s="45"/>
      <c r="P94" s="54"/>
      <c r="Q94" s="54"/>
      <c r="R94" s="56"/>
    </row>
    <row r="95">
      <c r="A95" s="45" t="s">
        <v>60</v>
      </c>
      <c r="B95" s="90" t="str">
        <f t="array" ref="B95">iferror(INDEX('作品'!D:D,MATCH(left(A95,3),'作品'!A:A,0),0),"error")</f>
        <v>SPY×FAMILY</v>
      </c>
      <c r="C95" s="46" t="s">
        <v>2555</v>
      </c>
      <c r="D95" s="401" t="s">
        <v>2447</v>
      </c>
      <c r="E95" s="400" t="s">
        <v>2446</v>
      </c>
      <c r="F95" s="423" t="str">
        <f>IFERROR(__xludf.DUMMYFUNCTION("CONCATENATE(""quest_"",D95,""_"",A95,""_"",C95,""_"")&amp;IFERROR(REGEXEXTRACT(G95,""[0-9]{2}""),REGEXEXTRACT(G95,""[0-9]{1}""))"),"quest_main_spy_hard_1")</f>
        <v>quest_main_spy_hard_1</v>
      </c>
      <c r="G95" s="424" t="s">
        <v>2528</v>
      </c>
      <c r="H95" s="46" t="s">
        <v>2532</v>
      </c>
      <c r="I95" s="425" t="str">
        <f t="shared" si="1"/>
        <v>hard_spy_00004</v>
      </c>
      <c r="J95" s="59" t="s">
        <v>2559</v>
      </c>
      <c r="K95" s="59"/>
      <c r="L95" s="59"/>
      <c r="M95" s="427"/>
      <c r="N95" s="427"/>
      <c r="O95" s="45"/>
      <c r="P95" s="54"/>
      <c r="Q95" s="54"/>
      <c r="R95" s="56"/>
    </row>
    <row r="96">
      <c r="A96" s="45" t="s">
        <v>60</v>
      </c>
      <c r="B96" s="90" t="str">
        <f t="array" ref="B96">iferror(INDEX('作品'!D:D,MATCH(left(A96,3),'作品'!A:A,0),0),"error")</f>
        <v>SPY×FAMILY</v>
      </c>
      <c r="C96" s="46" t="s">
        <v>2555</v>
      </c>
      <c r="D96" s="401" t="s">
        <v>2447</v>
      </c>
      <c r="E96" s="400" t="s">
        <v>2446</v>
      </c>
      <c r="F96" s="423" t="str">
        <f>IFERROR(__xludf.DUMMYFUNCTION("CONCATENATE(""quest_"",D96,""_"",A96,""_"",C96,""_"")&amp;IFERROR(REGEXEXTRACT(G96,""[0-9]{2}""),REGEXEXTRACT(G96,""[0-9]{1}""))"),"quest_main_spy_hard_1")</f>
        <v>quest_main_spy_hard_1</v>
      </c>
      <c r="G96" s="424" t="s">
        <v>2528</v>
      </c>
      <c r="H96" s="46" t="s">
        <v>2533</v>
      </c>
      <c r="I96" s="425" t="str">
        <f t="shared" si="1"/>
        <v>hard_spy_00005</v>
      </c>
      <c r="J96" s="59" t="s">
        <v>2560</v>
      </c>
      <c r="K96" s="59"/>
      <c r="L96" s="59"/>
      <c r="M96" s="427"/>
      <c r="N96" s="427"/>
      <c r="O96" s="45"/>
      <c r="P96" s="54"/>
      <c r="Q96" s="54"/>
      <c r="R96" s="56"/>
    </row>
    <row r="97">
      <c r="A97" s="45" t="s">
        <v>60</v>
      </c>
      <c r="B97" s="90" t="str">
        <f t="array" ref="B97">iferror(INDEX('作品'!D:D,MATCH(left(A97,3),'作品'!A:A,0),0),"error")</f>
        <v>SPY×FAMILY</v>
      </c>
      <c r="C97" s="46" t="s">
        <v>2555</v>
      </c>
      <c r="D97" s="401" t="s">
        <v>2447</v>
      </c>
      <c r="E97" s="400" t="s">
        <v>2446</v>
      </c>
      <c r="F97" s="423" t="str">
        <f>IFERROR(__xludf.DUMMYFUNCTION("CONCATENATE(""quest_"",D97,""_"",A97,""_"",C97,""_"")&amp;IFERROR(REGEXEXTRACT(G97,""[0-9]{2}""),REGEXEXTRACT(G97,""[0-9]{1}""))"),"quest_main_spy_hard_1")</f>
        <v>quest_main_spy_hard_1</v>
      </c>
      <c r="G97" s="424" t="s">
        <v>2528</v>
      </c>
      <c r="H97" s="46" t="s">
        <v>2534</v>
      </c>
      <c r="I97" s="425" t="str">
        <f t="shared" si="1"/>
        <v>hard_spy_00006</v>
      </c>
      <c r="J97" s="59" t="s">
        <v>2561</v>
      </c>
      <c r="K97" s="59"/>
      <c r="L97" s="59"/>
      <c r="M97" s="427"/>
      <c r="N97" s="427"/>
      <c r="O97" s="45"/>
      <c r="P97" s="54"/>
      <c r="Q97" s="54"/>
      <c r="R97" s="56"/>
    </row>
    <row r="98">
      <c r="A98" s="24" t="s">
        <v>87</v>
      </c>
      <c r="B98" s="90" t="str">
        <f t="array" ref="B98">iferror(INDEX('作品'!D:D,MATCH(left(A98,3),'作品'!A:A,0),0),"error")</f>
        <v>姫様“拷問”の時間です</v>
      </c>
      <c r="C98" s="46" t="s">
        <v>2555</v>
      </c>
      <c r="D98" s="401" t="s">
        <v>2447</v>
      </c>
      <c r="E98" s="400" t="s">
        <v>2446</v>
      </c>
      <c r="F98" s="423" t="str">
        <f>IFERROR(__xludf.DUMMYFUNCTION("CONCATENATE(""quest_"",D98,""_"",A98,""_"",C98,""_"")&amp;IFERROR(REGEXEXTRACT(G98,""[0-9]{2}""),REGEXEXTRACT(G98,""[0-9]{1}""))"),"quest_main_gom_hard_2")</f>
        <v>quest_main_gom_hard_2</v>
      </c>
      <c r="G98" s="424" t="s">
        <v>2535</v>
      </c>
      <c r="H98" s="46" t="s">
        <v>2529</v>
      </c>
      <c r="I98" s="425" t="str">
        <f t="shared" si="1"/>
        <v>hard_gom_00001</v>
      </c>
      <c r="J98" s="425" t="s">
        <v>2562</v>
      </c>
      <c r="K98" s="425"/>
      <c r="L98" s="425"/>
      <c r="M98" s="426"/>
      <c r="N98" s="426"/>
      <c r="O98" s="45"/>
      <c r="P98" s="54"/>
      <c r="Q98" s="54"/>
      <c r="R98" s="56"/>
    </row>
    <row r="99">
      <c r="A99" s="24" t="s">
        <v>87</v>
      </c>
      <c r="B99" s="90" t="str">
        <f t="array" ref="B99">iferror(INDEX('作品'!D:D,MATCH(left(A99,3),'作品'!A:A,0),0),"error")</f>
        <v>姫様“拷問”の時間です</v>
      </c>
      <c r="C99" s="46" t="s">
        <v>2555</v>
      </c>
      <c r="D99" s="401" t="s">
        <v>2447</v>
      </c>
      <c r="E99" s="400" t="s">
        <v>2446</v>
      </c>
      <c r="F99" s="423" t="str">
        <f>IFERROR(__xludf.DUMMYFUNCTION("CONCATENATE(""quest_"",D99,""_"",A99,""_"",C99,""_"")&amp;IFERROR(REGEXEXTRACT(G99,""[0-9]{2}""),REGEXEXTRACT(G99,""[0-9]{1}""))"),"quest_main_gom_hard_2")</f>
        <v>quest_main_gom_hard_2</v>
      </c>
      <c r="G99" s="424" t="s">
        <v>2535</v>
      </c>
      <c r="H99" s="46" t="s">
        <v>2530</v>
      </c>
      <c r="I99" s="425" t="str">
        <f t="shared" si="1"/>
        <v>hard_gom_00002</v>
      </c>
      <c r="J99" s="59" t="s">
        <v>2563</v>
      </c>
      <c r="K99" s="59"/>
      <c r="L99" s="59"/>
      <c r="M99" s="427"/>
      <c r="N99" s="427"/>
      <c r="O99" s="45"/>
      <c r="P99" s="54"/>
      <c r="Q99" s="54"/>
      <c r="R99" s="56"/>
    </row>
    <row r="100">
      <c r="A100" s="24" t="s">
        <v>87</v>
      </c>
      <c r="B100" s="90" t="str">
        <f t="array" ref="B100">iferror(INDEX('作品'!D:D,MATCH(left(A100,3),'作品'!A:A,0),0),"error")</f>
        <v>姫様“拷問”の時間です</v>
      </c>
      <c r="C100" s="46" t="s">
        <v>2555</v>
      </c>
      <c r="D100" s="401" t="s">
        <v>2447</v>
      </c>
      <c r="E100" s="400" t="s">
        <v>2446</v>
      </c>
      <c r="F100" s="423" t="str">
        <f>IFERROR(__xludf.DUMMYFUNCTION("CONCATENATE(""quest_"",D100,""_"",A100,""_"",C100,""_"")&amp;IFERROR(REGEXEXTRACT(G100,""[0-9]{2}""),REGEXEXTRACT(G100,""[0-9]{1}""))"),"quest_main_gom_hard_2")</f>
        <v>quest_main_gom_hard_2</v>
      </c>
      <c r="G100" s="424" t="s">
        <v>2535</v>
      </c>
      <c r="H100" s="46" t="s">
        <v>2531</v>
      </c>
      <c r="I100" s="425" t="str">
        <f t="shared" si="1"/>
        <v>hard_gom_00003</v>
      </c>
      <c r="J100" s="425" t="s">
        <v>2564</v>
      </c>
      <c r="K100" s="425"/>
      <c r="L100" s="425"/>
      <c r="M100" s="426"/>
      <c r="N100" s="426"/>
      <c r="O100" s="45"/>
      <c r="P100" s="54"/>
      <c r="Q100" s="54"/>
      <c r="R100" s="56"/>
    </row>
    <row r="101">
      <c r="A101" s="24" t="s">
        <v>87</v>
      </c>
      <c r="B101" s="90" t="str">
        <f t="array" ref="B101">iferror(INDEX('作品'!D:D,MATCH(left(A101,3),'作品'!A:A,0),0),"error")</f>
        <v>姫様“拷問”の時間です</v>
      </c>
      <c r="C101" s="46" t="s">
        <v>2555</v>
      </c>
      <c r="D101" s="401" t="s">
        <v>2447</v>
      </c>
      <c r="E101" s="400" t="s">
        <v>2446</v>
      </c>
      <c r="F101" s="423" t="str">
        <f>IFERROR(__xludf.DUMMYFUNCTION("CONCATENATE(""quest_"",D101,""_"",A101,""_"",C101,""_"")&amp;IFERROR(REGEXEXTRACT(G101,""[0-9]{2}""),REGEXEXTRACT(G101,""[0-9]{1}""))"),"quest_main_gom_hard_2")</f>
        <v>quest_main_gom_hard_2</v>
      </c>
      <c r="G101" s="424" t="s">
        <v>2535</v>
      </c>
      <c r="H101" s="46" t="s">
        <v>2532</v>
      </c>
      <c r="I101" s="425" t="str">
        <f t="shared" si="1"/>
        <v>hard_gom_00004</v>
      </c>
      <c r="J101" s="59" t="s">
        <v>2565</v>
      </c>
      <c r="K101" s="59"/>
      <c r="L101" s="59"/>
      <c r="M101" s="427"/>
      <c r="N101" s="427"/>
      <c r="O101" s="45"/>
      <c r="P101" s="54"/>
      <c r="Q101" s="54"/>
      <c r="R101" s="56"/>
    </row>
    <row r="102">
      <c r="A102" s="24" t="s">
        <v>87</v>
      </c>
      <c r="B102" s="90" t="str">
        <f t="array" ref="B102">iferror(INDEX('作品'!D:D,MATCH(left(A102,3),'作品'!A:A,0),0),"error")</f>
        <v>姫様“拷問”の時間です</v>
      </c>
      <c r="C102" s="46" t="s">
        <v>2555</v>
      </c>
      <c r="D102" s="401" t="s">
        <v>2447</v>
      </c>
      <c r="E102" s="400" t="s">
        <v>2446</v>
      </c>
      <c r="F102" s="423" t="str">
        <f>IFERROR(__xludf.DUMMYFUNCTION("CONCATENATE(""quest_"",D102,""_"",A102,""_"",C102,""_"")&amp;IFERROR(REGEXEXTRACT(G102,""[0-9]{2}""),REGEXEXTRACT(G102,""[0-9]{1}""))"),"quest_main_gom_hard_2")</f>
        <v>quest_main_gom_hard_2</v>
      </c>
      <c r="G102" s="424" t="s">
        <v>2535</v>
      </c>
      <c r="H102" s="46" t="s">
        <v>2533</v>
      </c>
      <c r="I102" s="425" t="str">
        <f t="shared" si="1"/>
        <v>hard_gom_00005</v>
      </c>
      <c r="J102" s="425" t="s">
        <v>2566</v>
      </c>
      <c r="K102" s="425"/>
      <c r="L102" s="425"/>
      <c r="M102" s="426"/>
      <c r="N102" s="426"/>
      <c r="O102" s="45"/>
      <c r="P102" s="54"/>
      <c r="Q102" s="54"/>
      <c r="R102" s="56"/>
    </row>
    <row r="103">
      <c r="A103" s="24" t="s">
        <v>87</v>
      </c>
      <c r="B103" s="90" t="str">
        <f t="array" ref="B103">iferror(INDEX('作品'!D:D,MATCH(left(A103,3),'作品'!A:A,0),0),"error")</f>
        <v>姫様“拷問”の時間です</v>
      </c>
      <c r="C103" s="46" t="s">
        <v>2555</v>
      </c>
      <c r="D103" s="401" t="s">
        <v>2447</v>
      </c>
      <c r="E103" s="400" t="s">
        <v>2446</v>
      </c>
      <c r="F103" s="423" t="str">
        <f>IFERROR(__xludf.DUMMYFUNCTION("CONCATENATE(""quest_"",D103,""_"",A103,""_"",C103,""_"")&amp;IFERROR(REGEXEXTRACT(G103,""[0-9]{2}""),REGEXEXTRACT(G103,""[0-9]{1}""))"),"quest_main_gom_hard_2")</f>
        <v>quest_main_gom_hard_2</v>
      </c>
      <c r="G103" s="424" t="s">
        <v>2535</v>
      </c>
      <c r="H103" s="46" t="s">
        <v>2534</v>
      </c>
      <c r="I103" s="425" t="str">
        <f t="shared" si="1"/>
        <v>hard_gom_00006</v>
      </c>
      <c r="J103" s="59" t="s">
        <v>2567</v>
      </c>
      <c r="K103" s="59"/>
      <c r="L103" s="59"/>
      <c r="M103" s="427"/>
      <c r="N103" s="427"/>
      <c r="O103" s="45"/>
      <c r="P103" s="54"/>
      <c r="Q103" s="54"/>
      <c r="R103" s="56"/>
    </row>
    <row r="104">
      <c r="A104" s="45" t="s">
        <v>68</v>
      </c>
      <c r="B104" s="90" t="str">
        <f t="array" ref="B104">iferror(INDEX('作品'!D:D,MATCH(left(A104,3),'作品'!A:A,0),0),"error")</f>
        <v>ラーメン赤猫</v>
      </c>
      <c r="C104" s="46" t="s">
        <v>2555</v>
      </c>
      <c r="D104" s="401" t="s">
        <v>2447</v>
      </c>
      <c r="E104" s="400" t="s">
        <v>2446</v>
      </c>
      <c r="F104" s="423" t="str">
        <f>IFERROR(__xludf.DUMMYFUNCTION("CONCATENATE(""quest_"",D104,""_"",A104,""_"",C104,""_"")&amp;IFERROR(REGEXEXTRACT(G104,""[0-9]{2}""),REGEXEXTRACT(G104,""[0-9]{1}""))"),"quest_main_aka_hard_3")</f>
        <v>quest_main_aka_hard_3</v>
      </c>
      <c r="G104" s="424" t="s">
        <v>2536</v>
      </c>
      <c r="H104" s="46" t="s">
        <v>2529</v>
      </c>
      <c r="I104" s="425" t="str">
        <f t="shared" si="1"/>
        <v>hard_aka_00001</v>
      </c>
      <c r="J104" s="425" t="s">
        <v>2568</v>
      </c>
      <c r="K104" s="425"/>
      <c r="L104" s="425"/>
      <c r="M104" s="426"/>
      <c r="N104" s="426"/>
      <c r="O104" s="45"/>
      <c r="P104" s="54"/>
      <c r="Q104" s="54"/>
      <c r="R104" s="56"/>
    </row>
    <row r="105">
      <c r="A105" s="45" t="s">
        <v>68</v>
      </c>
      <c r="B105" s="90" t="str">
        <f t="array" ref="B105">iferror(INDEX('作品'!D:D,MATCH(left(A105,3),'作品'!A:A,0),0),"error")</f>
        <v>ラーメン赤猫</v>
      </c>
      <c r="C105" s="46" t="s">
        <v>2555</v>
      </c>
      <c r="D105" s="401" t="s">
        <v>2447</v>
      </c>
      <c r="E105" s="400" t="s">
        <v>2446</v>
      </c>
      <c r="F105" s="423" t="str">
        <f>IFERROR(__xludf.DUMMYFUNCTION("CONCATENATE(""quest_"",D105,""_"",A105,""_"",C105,""_"")&amp;IFERROR(REGEXEXTRACT(G105,""[0-9]{2}""),REGEXEXTRACT(G105,""[0-9]{1}""))"),"quest_main_aka_hard_3")</f>
        <v>quest_main_aka_hard_3</v>
      </c>
      <c r="G105" s="424" t="s">
        <v>2536</v>
      </c>
      <c r="H105" s="46" t="s">
        <v>2530</v>
      </c>
      <c r="I105" s="425" t="str">
        <f t="shared" si="1"/>
        <v>hard_aka_00002</v>
      </c>
      <c r="J105" s="59" t="s">
        <v>2569</v>
      </c>
      <c r="K105" s="59"/>
      <c r="L105" s="59"/>
      <c r="M105" s="427"/>
      <c r="N105" s="427"/>
      <c r="O105" s="45"/>
      <c r="P105" s="54"/>
      <c r="Q105" s="54"/>
      <c r="R105" s="56"/>
    </row>
    <row r="106">
      <c r="A106" s="45" t="s">
        <v>68</v>
      </c>
      <c r="B106" s="90" t="str">
        <f t="array" ref="B106">iferror(INDEX('作品'!D:D,MATCH(left(A106,3),'作品'!A:A,0),0),"error")</f>
        <v>ラーメン赤猫</v>
      </c>
      <c r="C106" s="46" t="s">
        <v>2555</v>
      </c>
      <c r="D106" s="401" t="s">
        <v>2447</v>
      </c>
      <c r="E106" s="400" t="s">
        <v>2446</v>
      </c>
      <c r="F106" s="423" t="str">
        <f>IFERROR(__xludf.DUMMYFUNCTION("CONCATENATE(""quest_"",D106,""_"",A106,""_"",C106,""_"")&amp;IFERROR(REGEXEXTRACT(G106,""[0-9]{2}""),REGEXEXTRACT(G106,""[0-9]{1}""))"),"quest_main_aka_hard_3")</f>
        <v>quest_main_aka_hard_3</v>
      </c>
      <c r="G106" s="424" t="s">
        <v>2536</v>
      </c>
      <c r="H106" s="46" t="s">
        <v>2531</v>
      </c>
      <c r="I106" s="425" t="str">
        <f t="shared" si="1"/>
        <v>hard_aka_00003</v>
      </c>
      <c r="J106" s="59" t="s">
        <v>2570</v>
      </c>
      <c r="K106" s="59"/>
      <c r="L106" s="59"/>
      <c r="M106" s="427"/>
      <c r="N106" s="427"/>
      <c r="O106" s="45"/>
      <c r="P106" s="54"/>
      <c r="Q106" s="54"/>
      <c r="R106" s="56"/>
    </row>
    <row r="107">
      <c r="A107" s="25" t="s">
        <v>2537</v>
      </c>
      <c r="B107" s="90" t="str">
        <f t="array" ref="B107">iferror(INDEX('作品'!D:D,MATCH(left(A107,3),'作品'!A:A,0),0),"error")</f>
        <v>GLOW</v>
      </c>
      <c r="C107" s="46" t="s">
        <v>2555</v>
      </c>
      <c r="D107" s="401" t="s">
        <v>2447</v>
      </c>
      <c r="E107" s="400" t="s">
        <v>2446</v>
      </c>
      <c r="F107" s="423" t="str">
        <f>IFERROR(__xludf.DUMMYFUNCTION("CONCATENATE(""quest_"",D107,""_"",A107,""_"",C107,""_"")&amp;IFERROR(REGEXEXTRACT(G107,""[0-9]{2}""),REGEXEXTRACT(G107,""[0-9]{1}""))"),"quest_main_glo1_hard_4")</f>
        <v>quest_main_glo1_hard_4</v>
      </c>
      <c r="G107" s="424" t="s">
        <v>2538</v>
      </c>
      <c r="H107" s="46" t="s">
        <v>2529</v>
      </c>
      <c r="I107" s="425" t="str">
        <f t="shared" si="1"/>
        <v>hard_glo1_00001</v>
      </c>
      <c r="J107" s="425" t="s">
        <v>2571</v>
      </c>
      <c r="K107" s="425"/>
      <c r="L107" s="425"/>
      <c r="M107" s="426"/>
      <c r="N107" s="426"/>
      <c r="O107" s="45"/>
      <c r="P107" s="54"/>
      <c r="Q107" s="54"/>
      <c r="R107" s="56"/>
    </row>
    <row r="108">
      <c r="A108" s="25" t="s">
        <v>2537</v>
      </c>
      <c r="B108" s="90" t="str">
        <f t="array" ref="B108">iferror(INDEX('作品'!D:D,MATCH(left(A108,3),'作品'!A:A,0),0),"error")</f>
        <v>GLOW</v>
      </c>
      <c r="C108" s="46" t="s">
        <v>2555</v>
      </c>
      <c r="D108" s="401" t="s">
        <v>2447</v>
      </c>
      <c r="E108" s="400" t="s">
        <v>2446</v>
      </c>
      <c r="F108" s="423" t="str">
        <f>IFERROR(__xludf.DUMMYFUNCTION("CONCATENATE(""quest_"",D108,""_"",A108,""_"",C108,""_"")&amp;IFERROR(REGEXEXTRACT(G108,""[0-9]{2}""),REGEXEXTRACT(G108,""[0-9]{1}""))"),"quest_main_glo1_hard_4")</f>
        <v>quest_main_glo1_hard_4</v>
      </c>
      <c r="G108" s="424" t="s">
        <v>2538</v>
      </c>
      <c r="H108" s="46" t="s">
        <v>2530</v>
      </c>
      <c r="I108" s="425" t="str">
        <f t="shared" si="1"/>
        <v>hard_glo1_00002</v>
      </c>
      <c r="J108" s="59" t="s">
        <v>2572</v>
      </c>
      <c r="K108" s="59"/>
      <c r="L108" s="59"/>
      <c r="M108" s="427"/>
      <c r="N108" s="427"/>
      <c r="O108" s="45"/>
      <c r="P108" s="54"/>
      <c r="Q108" s="54"/>
      <c r="R108" s="56"/>
    </row>
    <row r="109">
      <c r="A109" s="25" t="s">
        <v>2537</v>
      </c>
      <c r="B109" s="90" t="str">
        <f t="array" ref="B109">iferror(INDEX('作品'!D:D,MATCH(left(A109,3),'作品'!A:A,0),0),"error")</f>
        <v>GLOW</v>
      </c>
      <c r="C109" s="46" t="s">
        <v>2555</v>
      </c>
      <c r="D109" s="401" t="s">
        <v>2447</v>
      </c>
      <c r="E109" s="400" t="s">
        <v>2446</v>
      </c>
      <c r="F109" s="423" t="str">
        <f>IFERROR(__xludf.DUMMYFUNCTION("CONCATENATE(""quest_"",D109,""_"",A109,""_"",C109,""_"")&amp;IFERROR(REGEXEXTRACT(G109,""[0-9]{2}""),REGEXEXTRACT(G109,""[0-9]{1}""))"),"quest_main_glo1_hard_4")</f>
        <v>quest_main_glo1_hard_4</v>
      </c>
      <c r="G109" s="424" t="s">
        <v>2538</v>
      </c>
      <c r="H109" s="46" t="s">
        <v>2531</v>
      </c>
      <c r="I109" s="425" t="str">
        <f t="shared" si="1"/>
        <v>hard_glo1_00003</v>
      </c>
      <c r="J109" s="59" t="s">
        <v>2573</v>
      </c>
      <c r="K109" s="59"/>
      <c r="L109" s="59"/>
      <c r="M109" s="427"/>
      <c r="N109" s="427"/>
      <c r="O109" s="45"/>
      <c r="P109" s="54"/>
      <c r="Q109" s="54"/>
      <c r="R109" s="56"/>
    </row>
    <row r="110">
      <c r="A110" s="25" t="s">
        <v>2537</v>
      </c>
      <c r="B110" s="90" t="str">
        <f t="array" ref="B110">iferror(INDEX('作品'!D:D,MATCH(left(A110,3),'作品'!A:A,0),0),"error")</f>
        <v>GLOW</v>
      </c>
      <c r="C110" s="46" t="s">
        <v>2555</v>
      </c>
      <c r="D110" s="401" t="s">
        <v>2447</v>
      </c>
      <c r="E110" s="400" t="s">
        <v>2446</v>
      </c>
      <c r="F110" s="423" t="str">
        <f>IFERROR(__xludf.DUMMYFUNCTION("CONCATENATE(""quest_"",D110,""_"",A110,""_"",C110,""_"")&amp;IFERROR(REGEXEXTRACT(G110,""[0-9]{2}""),REGEXEXTRACT(G110,""[0-9]{1}""))"),"quest_main_glo1_hard_4")</f>
        <v>quest_main_glo1_hard_4</v>
      </c>
      <c r="G110" s="424" t="s">
        <v>2538</v>
      </c>
      <c r="H110" s="46" t="s">
        <v>2532</v>
      </c>
      <c r="I110" s="425" t="str">
        <f t="shared" si="1"/>
        <v>hard_glo1_00004</v>
      </c>
      <c r="J110" s="425" t="s">
        <v>2574</v>
      </c>
      <c r="K110" s="425"/>
      <c r="L110" s="425"/>
      <c r="M110" s="426"/>
      <c r="N110" s="426"/>
      <c r="O110" s="45"/>
      <c r="P110" s="54"/>
      <c r="Q110" s="54"/>
      <c r="R110" s="56"/>
    </row>
    <row r="111">
      <c r="A111" s="25" t="s">
        <v>2537</v>
      </c>
      <c r="B111" s="90" t="str">
        <f t="array" ref="B111">iferror(INDEX('作品'!D:D,MATCH(left(A111,3),'作品'!A:A,0),0),"error")</f>
        <v>GLOW</v>
      </c>
      <c r="C111" s="46" t="s">
        <v>2555</v>
      </c>
      <c r="D111" s="401" t="s">
        <v>2447</v>
      </c>
      <c r="E111" s="400" t="s">
        <v>2446</v>
      </c>
      <c r="F111" s="423" t="str">
        <f>IFERROR(__xludf.DUMMYFUNCTION("CONCATENATE(""quest_"",D111,""_"",A111,""_"",C111,""_"")&amp;IFERROR(REGEXEXTRACT(G111,""[0-9]{2}""),REGEXEXTRACT(G111,""[0-9]{1}""))"),"quest_main_glo1_hard_4")</f>
        <v>quest_main_glo1_hard_4</v>
      </c>
      <c r="G111" s="424" t="s">
        <v>2538</v>
      </c>
      <c r="H111" s="46" t="s">
        <v>2533</v>
      </c>
      <c r="I111" s="425" t="str">
        <f t="shared" si="1"/>
        <v>hard_glo1_00005</v>
      </c>
      <c r="J111" s="59" t="s">
        <v>2575</v>
      </c>
      <c r="K111" s="59"/>
      <c r="L111" s="59"/>
      <c r="M111" s="427"/>
      <c r="N111" s="427"/>
      <c r="O111" s="45"/>
      <c r="P111" s="54"/>
      <c r="Q111" s="54"/>
      <c r="R111" s="56"/>
    </row>
    <row r="112">
      <c r="A112" s="25" t="s">
        <v>2537</v>
      </c>
      <c r="B112" s="90" t="str">
        <f t="array" ref="B112">iferror(INDEX('作品'!D:D,MATCH(left(A112,3),'作品'!A:A,0),0),"error")</f>
        <v>GLOW</v>
      </c>
      <c r="C112" s="46" t="s">
        <v>2555</v>
      </c>
      <c r="D112" s="401" t="s">
        <v>2447</v>
      </c>
      <c r="E112" s="400" t="s">
        <v>2446</v>
      </c>
      <c r="F112" s="423" t="str">
        <f>IFERROR(__xludf.DUMMYFUNCTION("CONCATENATE(""quest_"",D112,""_"",A112,""_"",C112,""_"")&amp;IFERROR(REGEXEXTRACT(G112,""[0-9]{2}""),REGEXEXTRACT(G112,""[0-9]{1}""))"),"quest_main_glo1_hard_4")</f>
        <v>quest_main_glo1_hard_4</v>
      </c>
      <c r="G112" s="424" t="s">
        <v>2538</v>
      </c>
      <c r="H112" s="46" t="s">
        <v>2534</v>
      </c>
      <c r="I112" s="425" t="str">
        <f t="shared" si="1"/>
        <v>hard_glo1_00006</v>
      </c>
      <c r="J112" s="59" t="s">
        <v>2576</v>
      </c>
      <c r="K112" s="59"/>
      <c r="L112" s="59"/>
      <c r="M112" s="427"/>
      <c r="N112" s="427"/>
      <c r="O112" s="45"/>
      <c r="P112" s="54"/>
      <c r="Q112" s="54"/>
      <c r="R112" s="56"/>
    </row>
    <row r="113">
      <c r="A113" s="24" t="s">
        <v>80</v>
      </c>
      <c r="B113" s="90" t="str">
        <f t="array" ref="B113">iferror(INDEX('作品'!D:D,MATCH(left(A113,3),'作品'!A:A,0),0),"error")</f>
        <v>ダンダダン</v>
      </c>
      <c r="C113" s="46" t="s">
        <v>2555</v>
      </c>
      <c r="D113" s="401" t="s">
        <v>2447</v>
      </c>
      <c r="E113" s="400" t="s">
        <v>2446</v>
      </c>
      <c r="F113" s="423" t="str">
        <f>IFERROR(__xludf.DUMMYFUNCTION("CONCATENATE(""quest_"",D113,""_"",A113,""_"",C113,""_"")&amp;IFERROR(REGEXEXTRACT(G113,""[0-9]{2}""),REGEXEXTRACT(G113,""[0-9]{1}""))"),"quest_main_dan_hard_5")</f>
        <v>quest_main_dan_hard_5</v>
      </c>
      <c r="G113" s="424" t="s">
        <v>2539</v>
      </c>
      <c r="H113" s="46" t="s">
        <v>2529</v>
      </c>
      <c r="I113" s="425" t="str">
        <f t="shared" si="1"/>
        <v>hard_dan_00001</v>
      </c>
      <c r="J113" s="59" t="s">
        <v>2577</v>
      </c>
      <c r="K113" s="59"/>
      <c r="L113" s="59"/>
      <c r="M113" s="427"/>
      <c r="N113" s="427"/>
      <c r="O113" s="45"/>
      <c r="P113" s="54"/>
      <c r="Q113" s="54"/>
      <c r="R113" s="56"/>
    </row>
    <row r="114">
      <c r="A114" s="24" t="s">
        <v>80</v>
      </c>
      <c r="B114" s="90" t="str">
        <f t="array" ref="B114">iferror(INDEX('作品'!D:D,MATCH(left(A114,3),'作品'!A:A,0),0),"error")</f>
        <v>ダンダダン</v>
      </c>
      <c r="C114" s="46" t="s">
        <v>2555</v>
      </c>
      <c r="D114" s="401" t="s">
        <v>2447</v>
      </c>
      <c r="E114" s="400" t="s">
        <v>2446</v>
      </c>
      <c r="F114" s="423" t="str">
        <f>IFERROR(__xludf.DUMMYFUNCTION("CONCATENATE(""quest_"",D114,""_"",A114,""_"",C114,""_"")&amp;IFERROR(REGEXEXTRACT(G114,""[0-9]{2}""),REGEXEXTRACT(G114,""[0-9]{1}""))"),"quest_main_dan_hard_5")</f>
        <v>quest_main_dan_hard_5</v>
      </c>
      <c r="G114" s="424" t="s">
        <v>2539</v>
      </c>
      <c r="H114" s="46" t="s">
        <v>2530</v>
      </c>
      <c r="I114" s="425" t="str">
        <f t="shared" si="1"/>
        <v>hard_dan_00002</v>
      </c>
      <c r="J114" s="59" t="s">
        <v>2578</v>
      </c>
      <c r="K114" s="59"/>
      <c r="L114" s="59"/>
      <c r="M114" s="427"/>
      <c r="N114" s="427"/>
      <c r="O114" s="45"/>
      <c r="P114" s="54"/>
      <c r="Q114" s="54"/>
      <c r="R114" s="56"/>
    </row>
    <row r="115">
      <c r="A115" s="24" t="s">
        <v>80</v>
      </c>
      <c r="B115" s="90" t="str">
        <f t="array" ref="B115">iferror(INDEX('作品'!D:D,MATCH(left(A115,3),'作品'!A:A,0),0),"error")</f>
        <v>ダンダダン</v>
      </c>
      <c r="C115" s="46" t="s">
        <v>2555</v>
      </c>
      <c r="D115" s="401" t="s">
        <v>2447</v>
      </c>
      <c r="E115" s="400" t="s">
        <v>2446</v>
      </c>
      <c r="F115" s="423" t="str">
        <f>IFERROR(__xludf.DUMMYFUNCTION("CONCATENATE(""quest_"",D115,""_"",A115,""_"",C115,""_"")&amp;IFERROR(REGEXEXTRACT(G115,""[0-9]{2}""),REGEXEXTRACT(G115,""[0-9]{1}""))"),"quest_main_dan_hard_5")</f>
        <v>quest_main_dan_hard_5</v>
      </c>
      <c r="G115" s="424" t="s">
        <v>2539</v>
      </c>
      <c r="H115" s="46" t="s">
        <v>2531</v>
      </c>
      <c r="I115" s="425" t="str">
        <f t="shared" si="1"/>
        <v>hard_dan_00003</v>
      </c>
      <c r="J115" s="59" t="s">
        <v>2579</v>
      </c>
      <c r="K115" s="59"/>
      <c r="L115" s="59"/>
      <c r="M115" s="427"/>
      <c r="N115" s="427"/>
      <c r="O115" s="45"/>
      <c r="P115" s="54"/>
      <c r="Q115" s="54"/>
      <c r="R115" s="56"/>
    </row>
    <row r="116">
      <c r="A116" s="24" t="s">
        <v>80</v>
      </c>
      <c r="B116" s="90" t="str">
        <f t="array" ref="B116">iferror(INDEX('作品'!D:D,MATCH(left(A116,3),'作品'!A:A,0),0),"error")</f>
        <v>ダンダダン</v>
      </c>
      <c r="C116" s="46" t="s">
        <v>2555</v>
      </c>
      <c r="D116" s="401" t="s">
        <v>2447</v>
      </c>
      <c r="E116" s="400" t="s">
        <v>2446</v>
      </c>
      <c r="F116" s="423" t="str">
        <f>IFERROR(__xludf.DUMMYFUNCTION("CONCATENATE(""quest_"",D116,""_"",A116,""_"",C116,""_"")&amp;IFERROR(REGEXEXTRACT(G116,""[0-9]{2}""),REGEXEXTRACT(G116,""[0-9]{1}""))"),"quest_main_dan_hard_5")</f>
        <v>quest_main_dan_hard_5</v>
      </c>
      <c r="G116" s="424" t="s">
        <v>2539</v>
      </c>
      <c r="H116" s="46" t="s">
        <v>2532</v>
      </c>
      <c r="I116" s="425" t="str">
        <f t="shared" si="1"/>
        <v>hard_dan_00004</v>
      </c>
      <c r="J116" s="59" t="s">
        <v>2580</v>
      </c>
      <c r="K116" s="59"/>
      <c r="L116" s="59"/>
      <c r="M116" s="427"/>
      <c r="N116" s="427"/>
      <c r="O116" s="45"/>
      <c r="P116" s="54"/>
      <c r="Q116" s="54"/>
      <c r="R116" s="56"/>
    </row>
    <row r="117">
      <c r="A117" s="24" t="s">
        <v>80</v>
      </c>
      <c r="B117" s="90" t="str">
        <f t="array" ref="B117">iferror(INDEX('作品'!D:D,MATCH(left(A117,3),'作品'!A:A,0),0),"error")</f>
        <v>ダンダダン</v>
      </c>
      <c r="C117" s="46" t="s">
        <v>2555</v>
      </c>
      <c r="D117" s="401" t="s">
        <v>2447</v>
      </c>
      <c r="E117" s="400" t="s">
        <v>2446</v>
      </c>
      <c r="F117" s="423" t="str">
        <f>IFERROR(__xludf.DUMMYFUNCTION("CONCATENATE(""quest_"",D117,""_"",A117,""_"",C117,""_"")&amp;IFERROR(REGEXEXTRACT(G117,""[0-9]{2}""),REGEXEXTRACT(G117,""[0-9]{1}""))"),"quest_main_dan_hard_5")</f>
        <v>quest_main_dan_hard_5</v>
      </c>
      <c r="G117" s="424" t="s">
        <v>2539</v>
      </c>
      <c r="H117" s="46" t="s">
        <v>2533</v>
      </c>
      <c r="I117" s="425" t="str">
        <f t="shared" si="1"/>
        <v>hard_dan_00005</v>
      </c>
      <c r="J117" s="59" t="s">
        <v>2581</v>
      </c>
      <c r="K117" s="59"/>
      <c r="L117" s="59"/>
      <c r="M117" s="427"/>
      <c r="N117" s="427"/>
      <c r="O117" s="45"/>
      <c r="P117" s="54"/>
      <c r="Q117" s="54"/>
      <c r="R117" s="56"/>
    </row>
    <row r="118">
      <c r="A118" s="24" t="s">
        <v>80</v>
      </c>
      <c r="B118" s="90" t="str">
        <f t="array" ref="B118">iferror(INDEX('作品'!D:D,MATCH(left(A118,3),'作品'!A:A,0),0),"error")</f>
        <v>ダンダダン</v>
      </c>
      <c r="C118" s="46" t="s">
        <v>2555</v>
      </c>
      <c r="D118" s="401" t="s">
        <v>2447</v>
      </c>
      <c r="E118" s="400" t="s">
        <v>2446</v>
      </c>
      <c r="F118" s="423" t="str">
        <f>IFERROR(__xludf.DUMMYFUNCTION("CONCATENATE(""quest_"",D118,""_"",A118,""_"",C118,""_"")&amp;IFERROR(REGEXEXTRACT(G118,""[0-9]{2}""),REGEXEXTRACT(G118,""[0-9]{1}""))"),"quest_main_dan_hard_5")</f>
        <v>quest_main_dan_hard_5</v>
      </c>
      <c r="G118" s="424" t="s">
        <v>2539</v>
      </c>
      <c r="H118" s="46" t="s">
        <v>2534</v>
      </c>
      <c r="I118" s="425" t="str">
        <f t="shared" si="1"/>
        <v>hard_dan_00006</v>
      </c>
      <c r="J118" s="59" t="s">
        <v>2582</v>
      </c>
      <c r="K118" s="59"/>
      <c r="L118" s="59"/>
      <c r="M118" s="427"/>
      <c r="N118" s="427"/>
      <c r="O118" s="45"/>
      <c r="P118" s="54"/>
      <c r="Q118" s="54"/>
      <c r="R118" s="56"/>
    </row>
    <row r="119">
      <c r="A119" s="24" t="s">
        <v>148</v>
      </c>
      <c r="B119" s="90" t="str">
        <f t="array" ref="B119">iferror(INDEX('作品'!D:D,MATCH(left(A119,3),'作品'!A:A,0),0),"error")</f>
        <v>地獄楽</v>
      </c>
      <c r="C119" s="46" t="s">
        <v>2555</v>
      </c>
      <c r="D119" s="401" t="s">
        <v>2447</v>
      </c>
      <c r="E119" s="400" t="s">
        <v>2446</v>
      </c>
      <c r="F119" s="423" t="str">
        <f>IFERROR(__xludf.DUMMYFUNCTION("CONCATENATE(""quest_"",D119,""_"",A119,""_"",C119,""_"")&amp;IFERROR(REGEXEXTRACT(G119,""[0-9]{2}""),REGEXEXTRACT(G119,""[0-9]{1}""))"),"quest_main_jig_hard_6")</f>
        <v>quest_main_jig_hard_6</v>
      </c>
      <c r="G119" s="424" t="s">
        <v>2540</v>
      </c>
      <c r="H119" s="46" t="s">
        <v>2529</v>
      </c>
      <c r="I119" s="425" t="str">
        <f t="shared" si="1"/>
        <v>hard_jig_00001</v>
      </c>
      <c r="J119" s="425" t="s">
        <v>2583</v>
      </c>
      <c r="K119" s="425"/>
      <c r="L119" s="425"/>
      <c r="M119" s="426"/>
      <c r="N119" s="426"/>
      <c r="O119" s="45"/>
      <c r="P119" s="54"/>
      <c r="Q119" s="54"/>
      <c r="R119" s="56"/>
    </row>
    <row r="120">
      <c r="A120" s="24" t="s">
        <v>148</v>
      </c>
      <c r="B120" s="90" t="str">
        <f t="array" ref="B120">iferror(INDEX('作品'!D:D,MATCH(left(A120,3),'作品'!A:A,0),0),"error")</f>
        <v>地獄楽</v>
      </c>
      <c r="C120" s="46" t="s">
        <v>2555</v>
      </c>
      <c r="D120" s="401" t="s">
        <v>2447</v>
      </c>
      <c r="E120" s="400" t="s">
        <v>2446</v>
      </c>
      <c r="F120" s="423" t="str">
        <f>IFERROR(__xludf.DUMMYFUNCTION("CONCATENATE(""quest_"",D120,""_"",A120,""_"",C120,""_"")&amp;IFERROR(REGEXEXTRACT(G120,""[0-9]{2}""),REGEXEXTRACT(G120,""[0-9]{1}""))"),"quest_main_jig_hard_6")</f>
        <v>quest_main_jig_hard_6</v>
      </c>
      <c r="G120" s="424" t="s">
        <v>2540</v>
      </c>
      <c r="H120" s="46" t="s">
        <v>2530</v>
      </c>
      <c r="I120" s="425" t="str">
        <f t="shared" si="1"/>
        <v>hard_jig_00002</v>
      </c>
      <c r="J120" s="59" t="s">
        <v>2584</v>
      </c>
      <c r="K120" s="59"/>
      <c r="L120" s="59"/>
      <c r="M120" s="427"/>
      <c r="N120" s="427"/>
      <c r="O120" s="45"/>
      <c r="P120" s="54"/>
      <c r="Q120" s="54"/>
      <c r="R120" s="56"/>
    </row>
    <row r="121">
      <c r="A121" s="24" t="s">
        <v>148</v>
      </c>
      <c r="B121" s="90" t="str">
        <f t="array" ref="B121">iferror(INDEX('作品'!D:D,MATCH(left(A121,3),'作品'!A:A,0),0),"error")</f>
        <v>地獄楽</v>
      </c>
      <c r="C121" s="46" t="s">
        <v>2555</v>
      </c>
      <c r="D121" s="401" t="s">
        <v>2447</v>
      </c>
      <c r="E121" s="400" t="s">
        <v>2446</v>
      </c>
      <c r="F121" s="423" t="str">
        <f>IFERROR(__xludf.DUMMYFUNCTION("CONCATENATE(""quest_"",D121,""_"",A121,""_"",C121,""_"")&amp;IFERROR(REGEXEXTRACT(G121,""[0-9]{2}""),REGEXEXTRACT(G121,""[0-9]{1}""))"),"quest_main_jig_hard_6")</f>
        <v>quest_main_jig_hard_6</v>
      </c>
      <c r="G121" s="424" t="s">
        <v>2540</v>
      </c>
      <c r="H121" s="46" t="s">
        <v>2531</v>
      </c>
      <c r="I121" s="425" t="str">
        <f t="shared" si="1"/>
        <v>hard_jig_00003</v>
      </c>
      <c r="J121" s="59" t="s">
        <v>2585</v>
      </c>
      <c r="K121" s="59"/>
      <c r="L121" s="59"/>
      <c r="M121" s="427"/>
      <c r="N121" s="427"/>
      <c r="O121" s="45"/>
      <c r="P121" s="54"/>
      <c r="Q121" s="54"/>
      <c r="R121" s="56"/>
    </row>
    <row r="122">
      <c r="A122" s="24" t="s">
        <v>148</v>
      </c>
      <c r="B122" s="90" t="str">
        <f t="array" ref="B122">iferror(INDEX('作品'!D:D,MATCH(left(A122,3),'作品'!A:A,0),0),"error")</f>
        <v>地獄楽</v>
      </c>
      <c r="C122" s="46" t="s">
        <v>2555</v>
      </c>
      <c r="D122" s="401" t="s">
        <v>2447</v>
      </c>
      <c r="E122" s="400" t="s">
        <v>2446</v>
      </c>
      <c r="F122" s="423" t="str">
        <f>IFERROR(__xludf.DUMMYFUNCTION("CONCATENATE(""quest_"",D122,""_"",A122,""_"",C122,""_"")&amp;IFERROR(REGEXEXTRACT(G122,""[0-9]{2}""),REGEXEXTRACT(G122,""[0-9]{1}""))"),"quest_main_jig_hard_6")</f>
        <v>quest_main_jig_hard_6</v>
      </c>
      <c r="G122" s="424" t="s">
        <v>2540</v>
      </c>
      <c r="H122" s="46" t="s">
        <v>2532</v>
      </c>
      <c r="I122" s="425" t="str">
        <f t="shared" si="1"/>
        <v>hard_jig_00004</v>
      </c>
      <c r="J122" s="425" t="s">
        <v>2586</v>
      </c>
      <c r="K122" s="425"/>
      <c r="L122" s="425"/>
      <c r="M122" s="426"/>
      <c r="N122" s="426"/>
      <c r="O122" s="45"/>
      <c r="P122" s="54"/>
      <c r="Q122" s="54"/>
      <c r="R122" s="56"/>
    </row>
    <row r="123">
      <c r="A123" s="24" t="s">
        <v>148</v>
      </c>
      <c r="B123" s="90" t="str">
        <f t="array" ref="B123">iferror(INDEX('作品'!D:D,MATCH(left(A123,3),'作品'!A:A,0),0),"error")</f>
        <v>地獄楽</v>
      </c>
      <c r="C123" s="46" t="s">
        <v>2555</v>
      </c>
      <c r="D123" s="401" t="s">
        <v>2447</v>
      </c>
      <c r="E123" s="400" t="s">
        <v>2446</v>
      </c>
      <c r="F123" s="423" t="str">
        <f>IFERROR(__xludf.DUMMYFUNCTION("CONCATENATE(""quest_"",D123,""_"",A123,""_"",C123,""_"")&amp;IFERROR(REGEXEXTRACT(G123,""[0-9]{2}""),REGEXEXTRACT(G123,""[0-9]{1}""))"),"quest_main_jig_hard_6")</f>
        <v>quest_main_jig_hard_6</v>
      </c>
      <c r="G123" s="424" t="s">
        <v>2540</v>
      </c>
      <c r="H123" s="46" t="s">
        <v>2533</v>
      </c>
      <c r="I123" s="425" t="str">
        <f t="shared" si="1"/>
        <v>hard_jig_00005</v>
      </c>
      <c r="J123" s="59" t="s">
        <v>2587</v>
      </c>
      <c r="K123" s="59"/>
      <c r="L123" s="59"/>
      <c r="M123" s="427"/>
      <c r="N123" s="427"/>
      <c r="O123" s="45"/>
      <c r="P123" s="54"/>
      <c r="Q123" s="54"/>
      <c r="R123" s="56"/>
    </row>
    <row r="124">
      <c r="A124" s="24" t="s">
        <v>148</v>
      </c>
      <c r="B124" s="90" t="str">
        <f t="array" ref="B124">iferror(INDEX('作品'!D:D,MATCH(left(A124,3),'作品'!A:A,0),0),"error")</f>
        <v>地獄楽</v>
      </c>
      <c r="C124" s="46" t="s">
        <v>2555</v>
      </c>
      <c r="D124" s="401" t="s">
        <v>2447</v>
      </c>
      <c r="E124" s="400" t="s">
        <v>2446</v>
      </c>
      <c r="F124" s="423" t="str">
        <f>IFERROR(__xludf.DUMMYFUNCTION("CONCATENATE(""quest_"",D124,""_"",A124,""_"",C124,""_"")&amp;IFERROR(REGEXEXTRACT(G124,""[0-9]{2}""),REGEXEXTRACT(G124,""[0-9]{1}""))"),"quest_main_jig_hard_6")</f>
        <v>quest_main_jig_hard_6</v>
      </c>
      <c r="G124" s="424" t="s">
        <v>2540</v>
      </c>
      <c r="H124" s="46" t="s">
        <v>2534</v>
      </c>
      <c r="I124" s="425" t="str">
        <f t="shared" si="1"/>
        <v>hard_jig_00006</v>
      </c>
      <c r="J124" s="59" t="s">
        <v>2588</v>
      </c>
      <c r="K124" s="59"/>
      <c r="L124" s="59"/>
      <c r="M124" s="427"/>
      <c r="N124" s="427"/>
      <c r="O124" s="45"/>
      <c r="P124" s="54"/>
      <c r="Q124" s="54"/>
      <c r="R124" s="56"/>
    </row>
    <row r="125">
      <c r="A125" s="25" t="s">
        <v>153</v>
      </c>
      <c r="B125" s="90" t="str">
        <f t="array" ref="B125">iferror(INDEX('作品'!D:D,MATCH(left(A125,3),'作品'!A:A,0),0),"error")</f>
        <v>タコピーの原罪</v>
      </c>
      <c r="C125" s="46" t="s">
        <v>2555</v>
      </c>
      <c r="D125" s="401" t="s">
        <v>2447</v>
      </c>
      <c r="E125" s="400" t="s">
        <v>2446</v>
      </c>
      <c r="F125" s="423" t="str">
        <f>IFERROR(__xludf.DUMMYFUNCTION("CONCATENATE(""quest_"",D125,""_"",A125,""_"",C125,""_"")&amp;IFERROR(REGEXEXTRACT(G125,""[0-9]{2}""),REGEXEXTRACT(G125,""[0-9]{1}""))"),"quest_main_tak_hard_7")</f>
        <v>quest_main_tak_hard_7</v>
      </c>
      <c r="G125" s="424" t="s">
        <v>2541</v>
      </c>
      <c r="H125" s="46" t="s">
        <v>2529</v>
      </c>
      <c r="I125" s="425" t="str">
        <f t="shared" si="1"/>
        <v>hard_tak_00001</v>
      </c>
      <c r="J125" s="425" t="s">
        <v>2589</v>
      </c>
      <c r="K125" s="425"/>
      <c r="L125" s="425"/>
      <c r="M125" s="426"/>
      <c r="N125" s="426"/>
      <c r="O125" s="45"/>
      <c r="P125" s="54"/>
      <c r="Q125" s="54"/>
      <c r="R125" s="56"/>
    </row>
    <row r="126">
      <c r="A126" s="25" t="s">
        <v>153</v>
      </c>
      <c r="B126" s="90" t="str">
        <f t="array" ref="B126">iferror(INDEX('作品'!D:D,MATCH(left(A126,3),'作品'!A:A,0),0),"error")</f>
        <v>タコピーの原罪</v>
      </c>
      <c r="C126" s="46" t="s">
        <v>2555</v>
      </c>
      <c r="D126" s="401" t="s">
        <v>2447</v>
      </c>
      <c r="E126" s="400" t="s">
        <v>2446</v>
      </c>
      <c r="F126" s="423" t="str">
        <f>IFERROR(__xludf.DUMMYFUNCTION("CONCATENATE(""quest_"",D126,""_"",A126,""_"",C126,""_"")&amp;IFERROR(REGEXEXTRACT(G126,""[0-9]{2}""),REGEXEXTRACT(G126,""[0-9]{1}""))"),"quest_main_tak_hard_7")</f>
        <v>quest_main_tak_hard_7</v>
      </c>
      <c r="G126" s="424" t="s">
        <v>2541</v>
      </c>
      <c r="H126" s="46" t="s">
        <v>2530</v>
      </c>
      <c r="I126" s="425" t="str">
        <f t="shared" si="1"/>
        <v>hard_tak_00002</v>
      </c>
      <c r="J126" s="59" t="s">
        <v>2590</v>
      </c>
      <c r="K126" s="59"/>
      <c r="L126" s="59"/>
      <c r="M126" s="427"/>
      <c r="N126" s="427"/>
      <c r="O126" s="45"/>
      <c r="P126" s="54"/>
      <c r="Q126" s="54"/>
      <c r="R126" s="56"/>
    </row>
    <row r="127">
      <c r="A127" s="25" t="s">
        <v>153</v>
      </c>
      <c r="B127" s="90" t="str">
        <f t="array" ref="B127">iferror(INDEX('作品'!D:D,MATCH(left(A127,3),'作品'!A:A,0),0),"error")</f>
        <v>タコピーの原罪</v>
      </c>
      <c r="C127" s="46" t="s">
        <v>2555</v>
      </c>
      <c r="D127" s="401" t="s">
        <v>2447</v>
      </c>
      <c r="E127" s="400" t="s">
        <v>2446</v>
      </c>
      <c r="F127" s="423" t="str">
        <f>IFERROR(__xludf.DUMMYFUNCTION("CONCATENATE(""quest_"",D127,""_"",A127,""_"",C127,""_"")&amp;IFERROR(REGEXEXTRACT(G127,""[0-9]{2}""),REGEXEXTRACT(G127,""[0-9]{1}""))"),"quest_main_tak_hard_7")</f>
        <v>quest_main_tak_hard_7</v>
      </c>
      <c r="G127" s="424" t="s">
        <v>2541</v>
      </c>
      <c r="H127" s="46" t="s">
        <v>2531</v>
      </c>
      <c r="I127" s="425" t="str">
        <f t="shared" si="1"/>
        <v>hard_tak_00003</v>
      </c>
      <c r="J127" s="59" t="s">
        <v>2591</v>
      </c>
      <c r="K127" s="59"/>
      <c r="L127" s="59"/>
      <c r="M127" s="427"/>
      <c r="N127" s="427"/>
      <c r="O127" s="45"/>
      <c r="P127" s="54"/>
      <c r="Q127" s="54"/>
      <c r="R127" s="56"/>
    </row>
    <row r="128">
      <c r="A128" s="25" t="s">
        <v>2542</v>
      </c>
      <c r="B128" s="90" t="str">
        <f t="array" ref="B128">iferror(INDEX('作品'!D:D,MATCH(left(A128,3),'作品'!A:A,0),0),"error")</f>
        <v>GLOW</v>
      </c>
      <c r="C128" s="46" t="s">
        <v>2555</v>
      </c>
      <c r="D128" s="401" t="s">
        <v>2447</v>
      </c>
      <c r="E128" s="400" t="s">
        <v>2446</v>
      </c>
      <c r="F128" s="423" t="str">
        <f>IFERROR(__xludf.DUMMYFUNCTION("CONCATENATE(""quest_"",D128,""_"",A128,""_"",C128,""_"")&amp;IFERROR(REGEXEXTRACT(G128,""[0-9]{2}""),REGEXEXTRACT(G128,""[0-9]{1}""))"),"quest_main_glo2_hard_8")</f>
        <v>quest_main_glo2_hard_8</v>
      </c>
      <c r="G128" s="424" t="s">
        <v>2543</v>
      </c>
      <c r="H128" s="46" t="s">
        <v>2529</v>
      </c>
      <c r="I128" s="425" t="str">
        <f t="shared" si="1"/>
        <v>hard_glo2_00001</v>
      </c>
      <c r="J128" s="425" t="s">
        <v>2592</v>
      </c>
      <c r="K128" s="425"/>
      <c r="L128" s="425"/>
      <c r="M128" s="426"/>
      <c r="N128" s="426"/>
      <c r="O128" s="45"/>
      <c r="P128" s="54"/>
      <c r="Q128" s="54"/>
      <c r="R128" s="56"/>
    </row>
    <row r="129">
      <c r="A129" s="25" t="s">
        <v>2542</v>
      </c>
      <c r="B129" s="90" t="str">
        <f t="array" ref="B129">iferror(INDEX('作品'!D:D,MATCH(left(A129,3),'作品'!A:A,0),0),"error")</f>
        <v>GLOW</v>
      </c>
      <c r="C129" s="46" t="s">
        <v>2555</v>
      </c>
      <c r="D129" s="401" t="s">
        <v>2447</v>
      </c>
      <c r="E129" s="400" t="s">
        <v>2446</v>
      </c>
      <c r="F129" s="423" t="str">
        <f>IFERROR(__xludf.DUMMYFUNCTION("CONCATENATE(""quest_"",D129,""_"",A129,""_"",C129,""_"")&amp;IFERROR(REGEXEXTRACT(G129,""[0-9]{2}""),REGEXEXTRACT(G129,""[0-9]{1}""))"),"quest_main_glo2_hard_8")</f>
        <v>quest_main_glo2_hard_8</v>
      </c>
      <c r="G129" s="424" t="s">
        <v>2543</v>
      </c>
      <c r="H129" s="46" t="s">
        <v>2530</v>
      </c>
      <c r="I129" s="425" t="str">
        <f t="shared" si="1"/>
        <v>hard_glo2_00002</v>
      </c>
      <c r="J129" s="59" t="s">
        <v>2593</v>
      </c>
      <c r="K129" s="59"/>
      <c r="L129" s="59"/>
      <c r="M129" s="427"/>
      <c r="N129" s="427"/>
      <c r="O129" s="45"/>
      <c r="P129" s="54"/>
      <c r="Q129" s="54"/>
      <c r="R129" s="56"/>
    </row>
    <row r="130">
      <c r="A130" s="25" t="s">
        <v>2542</v>
      </c>
      <c r="B130" s="90" t="str">
        <f t="array" ref="B130">iferror(INDEX('作品'!D:D,MATCH(left(A130,3),'作品'!A:A,0),0),"error")</f>
        <v>GLOW</v>
      </c>
      <c r="C130" s="46" t="s">
        <v>2555</v>
      </c>
      <c r="D130" s="401" t="s">
        <v>2447</v>
      </c>
      <c r="E130" s="400" t="s">
        <v>2446</v>
      </c>
      <c r="F130" s="423" t="str">
        <f>IFERROR(__xludf.DUMMYFUNCTION("CONCATENATE(""quest_"",D130,""_"",A130,""_"",C130,""_"")&amp;IFERROR(REGEXEXTRACT(G130,""[0-9]{2}""),REGEXEXTRACT(G130,""[0-9]{1}""))"),"quest_main_glo2_hard_8")</f>
        <v>quest_main_glo2_hard_8</v>
      </c>
      <c r="G130" s="424" t="s">
        <v>2543</v>
      </c>
      <c r="H130" s="46" t="s">
        <v>2531</v>
      </c>
      <c r="I130" s="425" t="str">
        <f t="shared" si="1"/>
        <v>hard_glo2_00003</v>
      </c>
      <c r="J130" s="59" t="s">
        <v>2594</v>
      </c>
      <c r="K130" s="59"/>
      <c r="L130" s="59"/>
      <c r="M130" s="427"/>
      <c r="N130" s="427"/>
      <c r="O130" s="45"/>
      <c r="P130" s="54"/>
      <c r="Q130" s="54"/>
      <c r="R130" s="56"/>
    </row>
    <row r="131">
      <c r="A131" s="25" t="s">
        <v>2542</v>
      </c>
      <c r="B131" s="90" t="str">
        <f t="array" ref="B131">iferror(INDEX('作品'!D:D,MATCH(left(A131,3),'作品'!A:A,0),0),"error")</f>
        <v>GLOW</v>
      </c>
      <c r="C131" s="46" t="s">
        <v>2555</v>
      </c>
      <c r="D131" s="401" t="s">
        <v>2447</v>
      </c>
      <c r="E131" s="400" t="s">
        <v>2446</v>
      </c>
      <c r="F131" s="423" t="str">
        <f>IFERROR(__xludf.DUMMYFUNCTION("CONCATENATE(""quest_"",D131,""_"",A131,""_"",C131,""_"")&amp;IFERROR(REGEXEXTRACT(G131,""[0-9]{2}""),REGEXEXTRACT(G131,""[0-9]{1}""))"),"quest_main_glo2_hard_8")</f>
        <v>quest_main_glo2_hard_8</v>
      </c>
      <c r="G131" s="424" t="s">
        <v>2543</v>
      </c>
      <c r="H131" s="46" t="s">
        <v>2532</v>
      </c>
      <c r="I131" s="425" t="str">
        <f t="shared" si="1"/>
        <v>hard_glo2_00004</v>
      </c>
      <c r="J131" s="425" t="s">
        <v>2595</v>
      </c>
      <c r="K131" s="425"/>
      <c r="L131" s="425"/>
      <c r="M131" s="426"/>
      <c r="N131" s="426"/>
      <c r="O131" s="45"/>
      <c r="P131" s="54"/>
      <c r="Q131" s="54"/>
      <c r="R131" s="56"/>
    </row>
    <row r="132">
      <c r="A132" s="25" t="s">
        <v>2542</v>
      </c>
      <c r="B132" s="90" t="str">
        <f t="array" ref="B132">iferror(INDEX('作品'!D:D,MATCH(left(A132,3),'作品'!A:A,0),0),"error")</f>
        <v>GLOW</v>
      </c>
      <c r="C132" s="46" t="s">
        <v>2555</v>
      </c>
      <c r="D132" s="401" t="s">
        <v>2447</v>
      </c>
      <c r="E132" s="400" t="s">
        <v>2446</v>
      </c>
      <c r="F132" s="423" t="str">
        <f>IFERROR(__xludf.DUMMYFUNCTION("CONCATENATE(""quest_"",D132,""_"",A132,""_"",C132,""_"")&amp;IFERROR(REGEXEXTRACT(G132,""[0-9]{2}""),REGEXEXTRACT(G132,""[0-9]{1}""))"),"quest_main_glo2_hard_8")</f>
        <v>quest_main_glo2_hard_8</v>
      </c>
      <c r="G132" s="424" t="s">
        <v>2543</v>
      </c>
      <c r="H132" s="46" t="s">
        <v>2533</v>
      </c>
      <c r="I132" s="425" t="str">
        <f t="shared" si="1"/>
        <v>hard_glo2_00005</v>
      </c>
      <c r="J132" s="59" t="s">
        <v>2596</v>
      </c>
      <c r="K132" s="59"/>
      <c r="L132" s="59"/>
      <c r="M132" s="427"/>
      <c r="N132" s="427"/>
      <c r="O132" s="45"/>
      <c r="P132" s="54"/>
      <c r="Q132" s="54"/>
      <c r="R132" s="56"/>
    </row>
    <row r="133">
      <c r="A133" s="25" t="s">
        <v>2542</v>
      </c>
      <c r="B133" s="90" t="str">
        <f t="array" ref="B133">iferror(INDEX('作品'!D:D,MATCH(left(A133,3),'作品'!A:A,0),0),"error")</f>
        <v>GLOW</v>
      </c>
      <c r="C133" s="46" t="s">
        <v>2555</v>
      </c>
      <c r="D133" s="401" t="s">
        <v>2447</v>
      </c>
      <c r="E133" s="400" t="s">
        <v>2446</v>
      </c>
      <c r="F133" s="423" t="str">
        <f>IFERROR(__xludf.DUMMYFUNCTION("CONCATENATE(""quest_"",D133,""_"",A133,""_"",C133,""_"")&amp;IFERROR(REGEXEXTRACT(G133,""[0-9]{2}""),REGEXEXTRACT(G133,""[0-9]{1}""))"),"quest_main_glo2_hard_8")</f>
        <v>quest_main_glo2_hard_8</v>
      </c>
      <c r="G133" s="424" t="s">
        <v>2543</v>
      </c>
      <c r="H133" s="46" t="s">
        <v>2534</v>
      </c>
      <c r="I133" s="425" t="str">
        <f t="shared" si="1"/>
        <v>hard_glo2_00006</v>
      </c>
      <c r="J133" s="59" t="s">
        <v>2597</v>
      </c>
      <c r="K133" s="59"/>
      <c r="L133" s="59"/>
      <c r="M133" s="427"/>
      <c r="N133" s="427"/>
      <c r="O133" s="45"/>
      <c r="P133" s="54"/>
      <c r="Q133" s="54"/>
      <c r="R133" s="56"/>
    </row>
    <row r="134">
      <c r="A134" s="24" t="s">
        <v>92</v>
      </c>
      <c r="B134" s="90" t="str">
        <f t="array" ref="B134">iferror(INDEX('作品'!D:D,MATCH(left(A134,3),'作品'!A:A,0),0),"error")</f>
        <v>チェンソーマン</v>
      </c>
      <c r="C134" s="46" t="s">
        <v>2555</v>
      </c>
      <c r="D134" s="401" t="s">
        <v>2447</v>
      </c>
      <c r="E134" s="400" t="s">
        <v>2446</v>
      </c>
      <c r="F134" s="423" t="str">
        <f>IFERROR(__xludf.DUMMYFUNCTION("CONCATENATE(""quest_"",D134,""_"",A134,""_"",C134,""_"")&amp;IFERROR(REGEXEXTRACT(G134,""[0-9]{2}""),REGEXEXTRACT(G134,""[0-9]{1}""))"),"quest_main_chi_hard_9")</f>
        <v>quest_main_chi_hard_9</v>
      </c>
      <c r="G134" s="428" t="s">
        <v>2544</v>
      </c>
      <c r="H134" s="46" t="s">
        <v>2529</v>
      </c>
      <c r="I134" s="425" t="str">
        <f t="shared" si="1"/>
        <v>hard_chi_00001</v>
      </c>
      <c r="J134" s="425" t="s">
        <v>2598</v>
      </c>
      <c r="K134" s="425"/>
      <c r="L134" s="425"/>
      <c r="M134" s="426"/>
      <c r="N134" s="426"/>
      <c r="O134" s="45"/>
      <c r="P134" s="54"/>
      <c r="Q134" s="54"/>
      <c r="R134" s="56"/>
    </row>
    <row r="135">
      <c r="A135" s="24" t="s">
        <v>92</v>
      </c>
      <c r="B135" s="90" t="str">
        <f t="array" ref="B135">iferror(INDEX('作品'!D:D,MATCH(left(A135,3),'作品'!A:A,0),0),"error")</f>
        <v>チェンソーマン</v>
      </c>
      <c r="C135" s="46" t="s">
        <v>2555</v>
      </c>
      <c r="D135" s="401" t="s">
        <v>2447</v>
      </c>
      <c r="E135" s="400" t="s">
        <v>2446</v>
      </c>
      <c r="F135" s="423" t="str">
        <f>IFERROR(__xludf.DUMMYFUNCTION("CONCATENATE(""quest_"",D135,""_"",A135,""_"",C135,""_"")&amp;IFERROR(REGEXEXTRACT(G135,""[0-9]{2}""),REGEXEXTRACT(G135,""[0-9]{1}""))"),"quest_main_chi_hard_9")</f>
        <v>quest_main_chi_hard_9</v>
      </c>
      <c r="G135" s="428" t="s">
        <v>2544</v>
      </c>
      <c r="H135" s="46" t="s">
        <v>2530</v>
      </c>
      <c r="I135" s="425" t="str">
        <f t="shared" si="1"/>
        <v>hard_chi_00002</v>
      </c>
      <c r="J135" s="59" t="s">
        <v>2599</v>
      </c>
      <c r="K135" s="59"/>
      <c r="L135" s="59"/>
      <c r="M135" s="427"/>
      <c r="N135" s="427"/>
      <c r="O135" s="45"/>
      <c r="P135" s="54"/>
      <c r="Q135" s="54"/>
      <c r="R135" s="56"/>
    </row>
    <row r="136">
      <c r="A136" s="24" t="s">
        <v>92</v>
      </c>
      <c r="B136" s="90" t="str">
        <f t="array" ref="B136">iferror(INDEX('作品'!D:D,MATCH(left(A136,3),'作品'!A:A,0),0),"error")</f>
        <v>チェンソーマン</v>
      </c>
      <c r="C136" s="46" t="s">
        <v>2555</v>
      </c>
      <c r="D136" s="401" t="s">
        <v>2447</v>
      </c>
      <c r="E136" s="400" t="s">
        <v>2446</v>
      </c>
      <c r="F136" s="423" t="str">
        <f>IFERROR(__xludf.DUMMYFUNCTION("CONCATENATE(""quest_"",D136,""_"",A136,""_"",C136,""_"")&amp;IFERROR(REGEXEXTRACT(G136,""[0-9]{2}""),REGEXEXTRACT(G136,""[0-9]{1}""))"),"quest_main_chi_hard_9")</f>
        <v>quest_main_chi_hard_9</v>
      </c>
      <c r="G136" s="428" t="s">
        <v>2544</v>
      </c>
      <c r="H136" s="46" t="s">
        <v>2531</v>
      </c>
      <c r="I136" s="425" t="str">
        <f t="shared" si="1"/>
        <v>hard_chi_00003</v>
      </c>
      <c r="J136" s="59" t="s">
        <v>2600</v>
      </c>
      <c r="K136" s="59"/>
      <c r="L136" s="59"/>
      <c r="M136" s="427"/>
      <c r="N136" s="427"/>
      <c r="O136" s="45"/>
      <c r="P136" s="54"/>
      <c r="Q136" s="54"/>
      <c r="R136" s="56"/>
    </row>
    <row r="137">
      <c r="A137" s="24" t="s">
        <v>92</v>
      </c>
      <c r="B137" s="90" t="str">
        <f t="array" ref="B137">iferror(INDEX('作品'!D:D,MATCH(left(A137,3),'作品'!A:A,0),0),"error")</f>
        <v>チェンソーマン</v>
      </c>
      <c r="C137" s="46" t="s">
        <v>2555</v>
      </c>
      <c r="D137" s="401" t="s">
        <v>2447</v>
      </c>
      <c r="E137" s="400" t="s">
        <v>2446</v>
      </c>
      <c r="F137" s="423" t="str">
        <f>IFERROR(__xludf.DUMMYFUNCTION("CONCATENATE(""quest_"",D137,""_"",A137,""_"",C137,""_"")&amp;IFERROR(REGEXEXTRACT(G137,""[0-9]{2}""),REGEXEXTRACT(G137,""[0-9]{1}""))"),"quest_main_chi_hard_9")</f>
        <v>quest_main_chi_hard_9</v>
      </c>
      <c r="G137" s="428" t="s">
        <v>2544</v>
      </c>
      <c r="H137" s="46" t="s">
        <v>2532</v>
      </c>
      <c r="I137" s="425" t="str">
        <f t="shared" si="1"/>
        <v>hard_chi_00004</v>
      </c>
      <c r="J137" s="425" t="s">
        <v>2601</v>
      </c>
      <c r="K137" s="425"/>
      <c r="L137" s="425"/>
      <c r="M137" s="426"/>
      <c r="N137" s="426"/>
      <c r="O137" s="45"/>
      <c r="P137" s="54"/>
      <c r="Q137" s="54"/>
      <c r="R137" s="56"/>
    </row>
    <row r="138">
      <c r="A138" s="24" t="s">
        <v>92</v>
      </c>
      <c r="B138" s="90" t="str">
        <f t="array" ref="B138">iferror(INDEX('作品'!D:D,MATCH(left(A138,3),'作品'!A:A,0),0),"error")</f>
        <v>チェンソーマン</v>
      </c>
      <c r="C138" s="46" t="s">
        <v>2555</v>
      </c>
      <c r="D138" s="401" t="s">
        <v>2447</v>
      </c>
      <c r="E138" s="400" t="s">
        <v>2446</v>
      </c>
      <c r="F138" s="423" t="str">
        <f>IFERROR(__xludf.DUMMYFUNCTION("CONCATENATE(""quest_"",D138,""_"",A138,""_"",C138,""_"")&amp;IFERROR(REGEXEXTRACT(G138,""[0-9]{2}""),REGEXEXTRACT(G138,""[0-9]{1}""))"),"quest_main_chi_hard_9")</f>
        <v>quest_main_chi_hard_9</v>
      </c>
      <c r="G138" s="428" t="s">
        <v>2544</v>
      </c>
      <c r="H138" s="46" t="s">
        <v>2533</v>
      </c>
      <c r="I138" s="425" t="str">
        <f t="shared" si="1"/>
        <v>hard_chi_00005</v>
      </c>
      <c r="J138" s="59" t="s">
        <v>2602</v>
      </c>
      <c r="K138" s="59"/>
      <c r="L138" s="59"/>
      <c r="M138" s="427"/>
      <c r="N138" s="427"/>
      <c r="O138" s="45"/>
      <c r="P138" s="54"/>
      <c r="Q138" s="54"/>
      <c r="R138" s="56"/>
    </row>
    <row r="139">
      <c r="A139" s="24" t="s">
        <v>92</v>
      </c>
      <c r="B139" s="90" t="str">
        <f t="array" ref="B139">iferror(INDEX('作品'!D:D,MATCH(left(A139,3),'作品'!A:A,0),0),"error")</f>
        <v>チェンソーマン</v>
      </c>
      <c r="C139" s="46" t="s">
        <v>2555</v>
      </c>
      <c r="D139" s="401" t="s">
        <v>2447</v>
      </c>
      <c r="E139" s="400" t="s">
        <v>2446</v>
      </c>
      <c r="F139" s="423" t="str">
        <f>IFERROR(__xludf.DUMMYFUNCTION("CONCATENATE(""quest_"",D139,""_"",A139,""_"",C139,""_"")&amp;IFERROR(REGEXEXTRACT(G139,""[0-9]{2}""),REGEXEXTRACT(G139,""[0-9]{1}""))"),"quest_main_chi_hard_9")</f>
        <v>quest_main_chi_hard_9</v>
      </c>
      <c r="G139" s="428" t="s">
        <v>2544</v>
      </c>
      <c r="H139" s="46" t="s">
        <v>2534</v>
      </c>
      <c r="I139" s="425" t="str">
        <f t="shared" si="1"/>
        <v>hard_chi_00006</v>
      </c>
      <c r="J139" s="59" t="s">
        <v>2603</v>
      </c>
      <c r="K139" s="59"/>
      <c r="L139" s="59"/>
      <c r="M139" s="427"/>
      <c r="N139" s="427"/>
      <c r="O139" s="45"/>
      <c r="P139" s="54"/>
      <c r="Q139" s="54"/>
      <c r="R139" s="56"/>
    </row>
    <row r="140">
      <c r="A140" s="24" t="s">
        <v>127</v>
      </c>
      <c r="B140" s="90" t="str">
        <f t="array" ref="B140">iferror(INDEX('作品'!D:D,MATCH(left(A140,3),'作品'!A:A,0),0),"error")</f>
        <v>魔都精兵のスレイブ</v>
      </c>
      <c r="C140" s="46" t="s">
        <v>2555</v>
      </c>
      <c r="D140" s="401" t="s">
        <v>2447</v>
      </c>
      <c r="E140" s="400" t="s">
        <v>2446</v>
      </c>
      <c r="F140" s="423" t="str">
        <f>IFERROR(__xludf.DUMMYFUNCTION("CONCATENATE(""quest_"",D140,""_"",A140,""_"",C140,""_"")&amp;IFERROR(REGEXEXTRACT(G140,""[0-9]{2}""),REGEXEXTRACT(G140,""[0-9]{1}""))"),"quest_main_sur_hard_10")</f>
        <v>quest_main_sur_hard_10</v>
      </c>
      <c r="G140" s="424" t="s">
        <v>2545</v>
      </c>
      <c r="H140" s="46" t="s">
        <v>2529</v>
      </c>
      <c r="I140" s="425" t="str">
        <f t="shared" si="1"/>
        <v>hard_sur_00001</v>
      </c>
      <c r="J140" s="425" t="s">
        <v>2604</v>
      </c>
      <c r="K140" s="425"/>
      <c r="L140" s="425"/>
      <c r="M140" s="426"/>
      <c r="N140" s="426"/>
      <c r="O140" s="45"/>
      <c r="P140" s="54"/>
      <c r="Q140" s="54"/>
      <c r="R140" s="56"/>
    </row>
    <row r="141">
      <c r="A141" s="24" t="s">
        <v>127</v>
      </c>
      <c r="B141" s="90" t="str">
        <f t="array" ref="B141">iferror(INDEX('作品'!D:D,MATCH(left(A141,3),'作品'!A:A,0),0),"error")</f>
        <v>魔都精兵のスレイブ</v>
      </c>
      <c r="C141" s="46" t="s">
        <v>2555</v>
      </c>
      <c r="D141" s="401" t="s">
        <v>2447</v>
      </c>
      <c r="E141" s="400" t="s">
        <v>2446</v>
      </c>
      <c r="F141" s="423" t="str">
        <f>IFERROR(__xludf.DUMMYFUNCTION("CONCATENATE(""quest_"",D141,""_"",A141,""_"",C141,""_"")&amp;IFERROR(REGEXEXTRACT(G141,""[0-9]{2}""),REGEXEXTRACT(G141,""[0-9]{1}""))"),"quest_main_sur_hard_10")</f>
        <v>quest_main_sur_hard_10</v>
      </c>
      <c r="G141" s="424" t="s">
        <v>2545</v>
      </c>
      <c r="H141" s="46" t="s">
        <v>2530</v>
      </c>
      <c r="I141" s="425" t="str">
        <f t="shared" si="1"/>
        <v>hard_sur_00002</v>
      </c>
      <c r="J141" s="59" t="s">
        <v>2605</v>
      </c>
      <c r="K141" s="59"/>
      <c r="L141" s="59"/>
      <c r="M141" s="427"/>
      <c r="N141" s="427"/>
      <c r="O141" s="45"/>
      <c r="P141" s="54"/>
      <c r="Q141" s="54"/>
      <c r="R141" s="56"/>
    </row>
    <row r="142">
      <c r="A142" s="24" t="s">
        <v>127</v>
      </c>
      <c r="B142" s="90" t="str">
        <f t="array" ref="B142">iferror(INDEX('作品'!D:D,MATCH(left(A142,3),'作品'!A:A,0),0),"error")</f>
        <v>魔都精兵のスレイブ</v>
      </c>
      <c r="C142" s="46" t="s">
        <v>2555</v>
      </c>
      <c r="D142" s="401" t="s">
        <v>2447</v>
      </c>
      <c r="E142" s="400" t="s">
        <v>2446</v>
      </c>
      <c r="F142" s="423" t="str">
        <f>IFERROR(__xludf.DUMMYFUNCTION("CONCATENATE(""quest_"",D142,""_"",A142,""_"",C142,""_"")&amp;IFERROR(REGEXEXTRACT(G142,""[0-9]{2}""),REGEXEXTRACT(G142,""[0-9]{1}""))"),"quest_main_sur_hard_10")</f>
        <v>quest_main_sur_hard_10</v>
      </c>
      <c r="G142" s="424" t="s">
        <v>2545</v>
      </c>
      <c r="H142" s="46" t="s">
        <v>2531</v>
      </c>
      <c r="I142" s="425" t="str">
        <f t="shared" si="1"/>
        <v>hard_sur_00003</v>
      </c>
      <c r="J142" s="59" t="s">
        <v>2606</v>
      </c>
      <c r="K142" s="59"/>
      <c r="L142" s="59"/>
      <c r="M142" s="427"/>
      <c r="N142" s="427"/>
      <c r="O142" s="45"/>
      <c r="P142" s="54"/>
      <c r="Q142" s="54"/>
      <c r="R142" s="56"/>
    </row>
    <row r="143">
      <c r="A143" s="24" t="s">
        <v>127</v>
      </c>
      <c r="B143" s="90" t="str">
        <f t="array" ref="B143">iferror(INDEX('作品'!D:D,MATCH(left(A143,3),'作品'!A:A,0),0),"error")</f>
        <v>魔都精兵のスレイブ</v>
      </c>
      <c r="C143" s="46" t="s">
        <v>2555</v>
      </c>
      <c r="D143" s="401" t="s">
        <v>2447</v>
      </c>
      <c r="E143" s="400" t="s">
        <v>2446</v>
      </c>
      <c r="F143" s="423" t="str">
        <f>IFERROR(__xludf.DUMMYFUNCTION("CONCATENATE(""quest_"",D143,""_"",A143,""_"",C143,""_"")&amp;IFERROR(REGEXEXTRACT(G143,""[0-9]{2}""),REGEXEXTRACT(G143,""[0-9]{1}""))"),"quest_main_sur_hard_10")</f>
        <v>quest_main_sur_hard_10</v>
      </c>
      <c r="G143" s="424" t="s">
        <v>2545</v>
      </c>
      <c r="H143" s="46" t="s">
        <v>2532</v>
      </c>
      <c r="I143" s="425" t="str">
        <f t="shared" si="1"/>
        <v>hard_sur_00004</v>
      </c>
      <c r="J143" s="59" t="s">
        <v>2607</v>
      </c>
      <c r="K143" s="59"/>
      <c r="L143" s="59"/>
      <c r="M143" s="427"/>
      <c r="N143" s="427"/>
      <c r="O143" s="45"/>
      <c r="P143" s="54"/>
      <c r="Q143" s="54"/>
      <c r="R143" s="56"/>
    </row>
    <row r="144">
      <c r="A144" s="24" t="s">
        <v>127</v>
      </c>
      <c r="B144" s="90" t="str">
        <f t="array" ref="B144">iferror(INDEX('作品'!D:D,MATCH(left(A144,3),'作品'!A:A,0),0),"error")</f>
        <v>魔都精兵のスレイブ</v>
      </c>
      <c r="C144" s="46" t="s">
        <v>2555</v>
      </c>
      <c r="D144" s="401" t="s">
        <v>2447</v>
      </c>
      <c r="E144" s="400" t="s">
        <v>2446</v>
      </c>
      <c r="F144" s="423" t="str">
        <f>IFERROR(__xludf.DUMMYFUNCTION("CONCATENATE(""quest_"",D144,""_"",A144,""_"",C144,""_"")&amp;IFERROR(REGEXEXTRACT(G144,""[0-9]{2}""),REGEXEXTRACT(G144,""[0-9]{1}""))"),"quest_main_sur_hard_10")</f>
        <v>quest_main_sur_hard_10</v>
      </c>
      <c r="G144" s="424" t="s">
        <v>2545</v>
      </c>
      <c r="H144" s="46" t="s">
        <v>2533</v>
      </c>
      <c r="I144" s="425" t="str">
        <f t="shared" si="1"/>
        <v>hard_sur_00005</v>
      </c>
      <c r="J144" s="59" t="s">
        <v>2608</v>
      </c>
      <c r="K144" s="59"/>
      <c r="L144" s="59"/>
      <c r="M144" s="427"/>
      <c r="N144" s="427"/>
      <c r="O144" s="45"/>
      <c r="P144" s="54"/>
      <c r="Q144" s="54"/>
      <c r="R144" s="56"/>
    </row>
    <row r="145">
      <c r="A145" s="24" t="s">
        <v>127</v>
      </c>
      <c r="B145" s="90" t="str">
        <f t="array" ref="B145">iferror(INDEX('作品'!D:D,MATCH(left(A145,3),'作品'!A:A,0),0),"error")</f>
        <v>魔都精兵のスレイブ</v>
      </c>
      <c r="C145" s="46" t="s">
        <v>2555</v>
      </c>
      <c r="D145" s="401" t="s">
        <v>2447</v>
      </c>
      <c r="E145" s="400" t="s">
        <v>2446</v>
      </c>
      <c r="F145" s="423" t="str">
        <f>IFERROR(__xludf.DUMMYFUNCTION("CONCATENATE(""quest_"",D145,""_"",A145,""_"",C145,""_"")&amp;IFERROR(REGEXEXTRACT(G145,""[0-9]{2}""),REGEXEXTRACT(G145,""[0-9]{1}""))"),"quest_main_sur_hard_10")</f>
        <v>quest_main_sur_hard_10</v>
      </c>
      <c r="G145" s="424" t="s">
        <v>2545</v>
      </c>
      <c r="H145" s="46" t="s">
        <v>2534</v>
      </c>
      <c r="I145" s="425" t="str">
        <f t="shared" si="1"/>
        <v>hard_sur_00006</v>
      </c>
      <c r="J145" s="59" t="s">
        <v>2609</v>
      </c>
      <c r="K145" s="59"/>
      <c r="L145" s="59"/>
      <c r="M145" s="427"/>
      <c r="N145" s="427"/>
      <c r="O145" s="45"/>
      <c r="P145" s="54"/>
      <c r="Q145" s="54"/>
      <c r="R145" s="56"/>
    </row>
    <row r="146">
      <c r="A146" s="24" t="s">
        <v>75</v>
      </c>
      <c r="B146" s="90" t="str">
        <f t="array" ref="B146">iferror(INDEX('作品'!D:D,MATCH(left(A146,3),'作品'!A:A,0),0),"error")</f>
        <v>トマトイプーのリコピン</v>
      </c>
      <c r="C146" s="46" t="s">
        <v>2555</v>
      </c>
      <c r="D146" s="401" t="s">
        <v>2447</v>
      </c>
      <c r="E146" s="400" t="s">
        <v>2446</v>
      </c>
      <c r="F146" s="423" t="str">
        <f>IFERROR(__xludf.DUMMYFUNCTION("CONCATENATE(""quest_"",D146,""_"",A146,""_"",C146,""_"")&amp;IFERROR(REGEXEXTRACT(G146,""[0-9]{2}""),REGEXEXTRACT(G146,""[0-9]{1}""))"),"quest_main_rik_hard_11")</f>
        <v>quest_main_rik_hard_11</v>
      </c>
      <c r="G146" s="424" t="s">
        <v>2546</v>
      </c>
      <c r="H146" s="46" t="s">
        <v>2529</v>
      </c>
      <c r="I146" s="425" t="str">
        <f t="shared" si="1"/>
        <v>hard_rik_00001</v>
      </c>
      <c r="J146" s="425" t="s">
        <v>2610</v>
      </c>
      <c r="K146" s="425"/>
      <c r="L146" s="425"/>
      <c r="M146" s="426"/>
      <c r="N146" s="426"/>
      <c r="O146" s="45"/>
      <c r="P146" s="54"/>
      <c r="Q146" s="54"/>
      <c r="R146" s="56"/>
    </row>
    <row r="147">
      <c r="A147" s="24" t="s">
        <v>75</v>
      </c>
      <c r="B147" s="90" t="str">
        <f t="array" ref="B147">iferror(INDEX('作品'!D:D,MATCH(left(A147,3),'作品'!A:A,0),0),"error")</f>
        <v>トマトイプーのリコピン</v>
      </c>
      <c r="C147" s="46" t="s">
        <v>2555</v>
      </c>
      <c r="D147" s="401" t="s">
        <v>2447</v>
      </c>
      <c r="E147" s="400" t="s">
        <v>2446</v>
      </c>
      <c r="F147" s="423" t="str">
        <f>IFERROR(__xludf.DUMMYFUNCTION("CONCATENATE(""quest_"",D147,""_"",A147,""_"",C147,""_"")&amp;IFERROR(REGEXEXTRACT(G147,""[0-9]{2}""),REGEXEXTRACT(G147,""[0-9]{1}""))"),"quest_main_rik_hard_11")</f>
        <v>quest_main_rik_hard_11</v>
      </c>
      <c r="G147" s="424" t="s">
        <v>2546</v>
      </c>
      <c r="H147" s="46" t="s">
        <v>2530</v>
      </c>
      <c r="I147" s="425" t="str">
        <f t="shared" si="1"/>
        <v>hard_rik_00002</v>
      </c>
      <c r="J147" s="59" t="s">
        <v>2611</v>
      </c>
      <c r="K147" s="59"/>
      <c r="L147" s="59"/>
      <c r="M147" s="427"/>
      <c r="N147" s="427"/>
      <c r="O147" s="45"/>
      <c r="P147" s="54"/>
      <c r="Q147" s="54"/>
      <c r="R147" s="56"/>
    </row>
    <row r="148">
      <c r="A148" s="24" t="s">
        <v>75</v>
      </c>
      <c r="B148" s="90" t="str">
        <f t="array" ref="B148">iferror(INDEX('作品'!D:D,MATCH(left(A148,3),'作品'!A:A,0),0),"error")</f>
        <v>トマトイプーのリコピン</v>
      </c>
      <c r="C148" s="46" t="s">
        <v>2555</v>
      </c>
      <c r="D148" s="401" t="s">
        <v>2447</v>
      </c>
      <c r="E148" s="400" t="s">
        <v>2446</v>
      </c>
      <c r="F148" s="423" t="str">
        <f>IFERROR(__xludf.DUMMYFUNCTION("CONCATENATE(""quest_"",D148,""_"",A148,""_"",C148,""_"")&amp;IFERROR(REGEXEXTRACT(G148,""[0-9]{2}""),REGEXEXTRACT(G148,""[0-9]{1}""))"),"quest_main_rik_hard_11")</f>
        <v>quest_main_rik_hard_11</v>
      </c>
      <c r="G148" s="424" t="s">
        <v>2546</v>
      </c>
      <c r="H148" s="46" t="s">
        <v>2531</v>
      </c>
      <c r="I148" s="425" t="str">
        <f t="shared" si="1"/>
        <v>hard_rik_00003</v>
      </c>
      <c r="J148" s="59" t="s">
        <v>2612</v>
      </c>
      <c r="K148" s="59"/>
      <c r="L148" s="59"/>
      <c r="M148" s="427"/>
      <c r="N148" s="427"/>
      <c r="O148" s="45"/>
      <c r="P148" s="54"/>
      <c r="Q148" s="54"/>
      <c r="R148" s="56"/>
    </row>
    <row r="149">
      <c r="A149" s="25" t="s">
        <v>2547</v>
      </c>
      <c r="B149" s="90" t="str">
        <f t="array" ref="B149">iferror(INDEX('作品'!D:D,MATCH(left(A149,3),'作品'!A:A,0),0),"error")</f>
        <v>GLOW</v>
      </c>
      <c r="C149" s="46" t="s">
        <v>2555</v>
      </c>
      <c r="D149" s="401" t="s">
        <v>2447</v>
      </c>
      <c r="E149" s="400" t="s">
        <v>2446</v>
      </c>
      <c r="F149" s="423" t="str">
        <f>IFERROR(__xludf.DUMMYFUNCTION("CONCATENATE(""quest_"",D149,""_"",A149,""_"",C149,""_"")&amp;IFERROR(REGEXEXTRACT(G149,""[0-9]{2}""),REGEXEXTRACT(G149,""[0-9]{1}""))"),"quest_main_glo3_hard_12")</f>
        <v>quest_main_glo3_hard_12</v>
      </c>
      <c r="G149" s="424" t="s">
        <v>2548</v>
      </c>
      <c r="H149" s="46" t="s">
        <v>2529</v>
      </c>
      <c r="I149" s="425" t="str">
        <f t="shared" si="1"/>
        <v>hard_glo3_00001</v>
      </c>
      <c r="J149" s="425" t="s">
        <v>2613</v>
      </c>
      <c r="K149" s="425"/>
      <c r="L149" s="425"/>
      <c r="M149" s="426"/>
      <c r="N149" s="426"/>
      <c r="O149" s="45"/>
      <c r="P149" s="54"/>
      <c r="Q149" s="54"/>
      <c r="R149" s="56"/>
    </row>
    <row r="150">
      <c r="A150" s="25" t="s">
        <v>2547</v>
      </c>
      <c r="B150" s="90" t="str">
        <f t="array" ref="B150">iferror(INDEX('作品'!D:D,MATCH(left(A150,3),'作品'!A:A,0),0),"error")</f>
        <v>GLOW</v>
      </c>
      <c r="C150" s="46" t="s">
        <v>2555</v>
      </c>
      <c r="D150" s="401" t="s">
        <v>2447</v>
      </c>
      <c r="E150" s="400" t="s">
        <v>2446</v>
      </c>
      <c r="F150" s="423" t="str">
        <f>IFERROR(__xludf.DUMMYFUNCTION("CONCATENATE(""quest_"",D150,""_"",A150,""_"",C150,""_"")&amp;IFERROR(REGEXEXTRACT(G150,""[0-9]{2}""),REGEXEXTRACT(G150,""[0-9]{1}""))"),"quest_main_glo3_hard_12")</f>
        <v>quest_main_glo3_hard_12</v>
      </c>
      <c r="G150" s="424" t="s">
        <v>2548</v>
      </c>
      <c r="H150" s="46" t="s">
        <v>2530</v>
      </c>
      <c r="I150" s="425" t="str">
        <f t="shared" si="1"/>
        <v>hard_glo3_00002</v>
      </c>
      <c r="J150" s="59" t="s">
        <v>2614</v>
      </c>
      <c r="K150" s="59"/>
      <c r="L150" s="59"/>
      <c r="M150" s="427"/>
      <c r="N150" s="427"/>
      <c r="O150" s="45"/>
      <c r="P150" s="54"/>
      <c r="Q150" s="54"/>
      <c r="R150" s="56"/>
    </row>
    <row r="151">
      <c r="A151" s="25" t="s">
        <v>2547</v>
      </c>
      <c r="B151" s="90" t="str">
        <f t="array" ref="B151">iferror(INDEX('作品'!D:D,MATCH(left(A151,3),'作品'!A:A,0),0),"error")</f>
        <v>GLOW</v>
      </c>
      <c r="C151" s="46" t="s">
        <v>2555</v>
      </c>
      <c r="D151" s="401" t="s">
        <v>2447</v>
      </c>
      <c r="E151" s="400" t="s">
        <v>2446</v>
      </c>
      <c r="F151" s="423" t="str">
        <f>IFERROR(__xludf.DUMMYFUNCTION("CONCATENATE(""quest_"",D151,""_"",A151,""_"",C151,""_"")&amp;IFERROR(REGEXEXTRACT(G151,""[0-9]{2}""),REGEXEXTRACT(G151,""[0-9]{1}""))"),"quest_main_glo3_hard_12")</f>
        <v>quest_main_glo3_hard_12</v>
      </c>
      <c r="G151" s="424" t="s">
        <v>2548</v>
      </c>
      <c r="H151" s="46" t="s">
        <v>2531</v>
      </c>
      <c r="I151" s="425" t="str">
        <f t="shared" si="1"/>
        <v>hard_glo3_00003</v>
      </c>
      <c r="J151" s="59" t="s">
        <v>2615</v>
      </c>
      <c r="K151" s="59"/>
      <c r="L151" s="59"/>
      <c r="M151" s="427"/>
      <c r="N151" s="427"/>
      <c r="O151" s="45"/>
      <c r="P151" s="54"/>
      <c r="Q151" s="54"/>
      <c r="R151" s="56"/>
    </row>
    <row r="152">
      <c r="A152" s="25" t="s">
        <v>2547</v>
      </c>
      <c r="B152" s="90" t="str">
        <f t="array" ref="B152">iferror(INDEX('作品'!D:D,MATCH(left(A152,3),'作品'!A:A,0),0),"error")</f>
        <v>GLOW</v>
      </c>
      <c r="C152" s="46" t="s">
        <v>2555</v>
      </c>
      <c r="D152" s="401" t="s">
        <v>2447</v>
      </c>
      <c r="E152" s="400" t="s">
        <v>2446</v>
      </c>
      <c r="F152" s="423" t="str">
        <f>IFERROR(__xludf.DUMMYFUNCTION("CONCATENATE(""quest_"",D152,""_"",A152,""_"",C152,""_"")&amp;IFERROR(REGEXEXTRACT(G152,""[0-9]{2}""),REGEXEXTRACT(G152,""[0-9]{1}""))"),"quest_main_glo3_hard_12")</f>
        <v>quest_main_glo3_hard_12</v>
      </c>
      <c r="G152" s="424" t="s">
        <v>2548</v>
      </c>
      <c r="H152" s="46" t="s">
        <v>2532</v>
      </c>
      <c r="I152" s="425" t="str">
        <f t="shared" si="1"/>
        <v>hard_glo3_00004</v>
      </c>
      <c r="J152" s="425" t="s">
        <v>2616</v>
      </c>
      <c r="K152" s="425"/>
      <c r="L152" s="425"/>
      <c r="M152" s="426"/>
      <c r="N152" s="426"/>
      <c r="O152" s="45"/>
      <c r="P152" s="54"/>
      <c r="Q152" s="54"/>
      <c r="R152" s="56"/>
    </row>
    <row r="153">
      <c r="A153" s="25" t="s">
        <v>2547</v>
      </c>
      <c r="B153" s="90" t="str">
        <f t="array" ref="B153">iferror(INDEX('作品'!D:D,MATCH(left(A153,3),'作品'!A:A,0),0),"error")</f>
        <v>GLOW</v>
      </c>
      <c r="C153" s="46" t="s">
        <v>2555</v>
      </c>
      <c r="D153" s="401" t="s">
        <v>2447</v>
      </c>
      <c r="E153" s="400" t="s">
        <v>2446</v>
      </c>
      <c r="F153" s="423" t="str">
        <f>IFERROR(__xludf.DUMMYFUNCTION("CONCATENATE(""quest_"",D153,""_"",A153,""_"",C153,""_"")&amp;IFERROR(REGEXEXTRACT(G153,""[0-9]{2}""),REGEXEXTRACT(G153,""[0-9]{1}""))"),"quest_main_glo3_hard_12")</f>
        <v>quest_main_glo3_hard_12</v>
      </c>
      <c r="G153" s="424" t="s">
        <v>2548</v>
      </c>
      <c r="H153" s="46" t="s">
        <v>2533</v>
      </c>
      <c r="I153" s="425" t="str">
        <f t="shared" si="1"/>
        <v>hard_glo3_00005</v>
      </c>
      <c r="J153" s="59" t="s">
        <v>2617</v>
      </c>
      <c r="K153" s="59"/>
      <c r="L153" s="59"/>
      <c r="M153" s="427"/>
      <c r="N153" s="427"/>
      <c r="O153" s="45"/>
      <c r="P153" s="54"/>
      <c r="Q153" s="54"/>
      <c r="R153" s="56"/>
    </row>
    <row r="154">
      <c r="A154" s="25" t="s">
        <v>2547</v>
      </c>
      <c r="B154" s="90" t="str">
        <f t="array" ref="B154">iferror(INDEX('作品'!D:D,MATCH(left(A154,3),'作品'!A:A,0),0),"error")</f>
        <v>GLOW</v>
      </c>
      <c r="C154" s="46" t="s">
        <v>2555</v>
      </c>
      <c r="D154" s="401" t="s">
        <v>2447</v>
      </c>
      <c r="E154" s="400" t="s">
        <v>2446</v>
      </c>
      <c r="F154" s="423" t="str">
        <f>IFERROR(__xludf.DUMMYFUNCTION("CONCATENATE(""quest_"",D154,""_"",A154,""_"",C154,""_"")&amp;IFERROR(REGEXEXTRACT(G154,""[0-9]{2}""),REGEXEXTRACT(G154,""[0-9]{1}""))"),"quest_main_glo3_hard_12")</f>
        <v>quest_main_glo3_hard_12</v>
      </c>
      <c r="G154" s="424" t="s">
        <v>2548</v>
      </c>
      <c r="H154" s="46" t="s">
        <v>2534</v>
      </c>
      <c r="I154" s="425" t="str">
        <f t="shared" si="1"/>
        <v>hard_glo3_00006</v>
      </c>
      <c r="J154" s="59" t="s">
        <v>2618</v>
      </c>
      <c r="K154" s="59"/>
      <c r="L154" s="59"/>
      <c r="M154" s="427"/>
      <c r="N154" s="427"/>
      <c r="O154" s="45"/>
      <c r="P154" s="54"/>
      <c r="Q154" s="54"/>
      <c r="R154" s="56"/>
    </row>
    <row r="155">
      <c r="A155" s="45" t="s">
        <v>98</v>
      </c>
      <c r="B155" s="90" t="str">
        <f t="array" ref="B155">iferror(INDEX('作品'!D:D,MATCH(left(A155,3),'作品'!A:A,0),0),"error")</f>
        <v>株式会社マジルミエ</v>
      </c>
      <c r="C155" s="46" t="s">
        <v>2555</v>
      </c>
      <c r="D155" s="401" t="s">
        <v>2447</v>
      </c>
      <c r="E155" s="400" t="s">
        <v>2446</v>
      </c>
      <c r="F155" s="423" t="str">
        <f>IFERROR(__xludf.DUMMYFUNCTION("CONCATENATE(""quest_"",D155,""_"",A155,""_"",C155,""_"")&amp;IFERROR(REGEXEXTRACT(G155,""[0-9]{2}""),REGEXEXTRACT(G155,""[0-9]{1}""))"),"quest_main_mag_hard_13")</f>
        <v>quest_main_mag_hard_13</v>
      </c>
      <c r="G155" s="424" t="s">
        <v>2549</v>
      </c>
      <c r="H155" s="46" t="s">
        <v>2529</v>
      </c>
      <c r="I155" s="425" t="str">
        <f t="shared" si="1"/>
        <v>hard_mag_00001</v>
      </c>
      <c r="J155" s="425" t="s">
        <v>2619</v>
      </c>
      <c r="K155" s="425"/>
      <c r="L155" s="425"/>
      <c r="M155" s="426"/>
      <c r="N155" s="426"/>
      <c r="O155" s="45"/>
      <c r="P155" s="54"/>
      <c r="Q155" s="54"/>
      <c r="R155" s="56"/>
    </row>
    <row r="156">
      <c r="A156" s="45" t="s">
        <v>98</v>
      </c>
      <c r="B156" s="90" t="str">
        <f t="array" ref="B156">iferror(INDEX('作品'!D:D,MATCH(left(A156,3),'作品'!A:A,0),0),"error")</f>
        <v>株式会社マジルミエ</v>
      </c>
      <c r="C156" s="46" t="s">
        <v>2555</v>
      </c>
      <c r="D156" s="401" t="s">
        <v>2447</v>
      </c>
      <c r="E156" s="400" t="s">
        <v>2446</v>
      </c>
      <c r="F156" s="423" t="str">
        <f>IFERROR(__xludf.DUMMYFUNCTION("CONCATENATE(""quest_"",D156,""_"",A156,""_"",C156,""_"")&amp;IFERROR(REGEXEXTRACT(G156,""[0-9]{2}""),REGEXEXTRACT(G156,""[0-9]{1}""))"),"quest_main_mag_hard_13")</f>
        <v>quest_main_mag_hard_13</v>
      </c>
      <c r="G156" s="424" t="s">
        <v>2549</v>
      </c>
      <c r="H156" s="46" t="s">
        <v>2530</v>
      </c>
      <c r="I156" s="425" t="str">
        <f t="shared" si="1"/>
        <v>hard_mag_00002</v>
      </c>
      <c r="J156" s="59" t="s">
        <v>2620</v>
      </c>
      <c r="K156" s="59"/>
      <c r="L156" s="59"/>
      <c r="M156" s="427"/>
      <c r="N156" s="427"/>
      <c r="O156" s="45"/>
      <c r="P156" s="54"/>
      <c r="Q156" s="54"/>
      <c r="R156" s="56"/>
    </row>
    <row r="157">
      <c r="A157" s="45" t="s">
        <v>98</v>
      </c>
      <c r="B157" s="90" t="str">
        <f t="array" ref="B157">iferror(INDEX('作品'!D:D,MATCH(left(A157,3),'作品'!A:A,0),0),"error")</f>
        <v>株式会社マジルミエ</v>
      </c>
      <c r="C157" s="46" t="s">
        <v>2555</v>
      </c>
      <c r="D157" s="401" t="s">
        <v>2447</v>
      </c>
      <c r="E157" s="400" t="s">
        <v>2446</v>
      </c>
      <c r="F157" s="423" t="str">
        <f>IFERROR(__xludf.DUMMYFUNCTION("CONCATENATE(""quest_"",D157,""_"",A157,""_"",C157,""_"")&amp;IFERROR(REGEXEXTRACT(G157,""[0-9]{2}""),REGEXEXTRACT(G157,""[0-9]{1}""))"),"quest_main_mag_hard_13")</f>
        <v>quest_main_mag_hard_13</v>
      </c>
      <c r="G157" s="424" t="s">
        <v>2549</v>
      </c>
      <c r="H157" s="46" t="s">
        <v>2531</v>
      </c>
      <c r="I157" s="425" t="str">
        <f t="shared" si="1"/>
        <v>hard_mag_00003</v>
      </c>
      <c r="J157" s="59" t="s">
        <v>2621</v>
      </c>
      <c r="K157" s="59"/>
      <c r="L157" s="59"/>
      <c r="M157" s="427"/>
      <c r="N157" s="427"/>
      <c r="O157" s="45"/>
      <c r="P157" s="54"/>
      <c r="Q157" s="54"/>
      <c r="R157" s="56"/>
    </row>
    <row r="158">
      <c r="A158" s="45" t="s">
        <v>98</v>
      </c>
      <c r="B158" s="90" t="str">
        <f t="array" ref="B158">iferror(INDEX('作品'!D:D,MATCH(left(A158,3),'作品'!A:A,0),0),"error")</f>
        <v>株式会社マジルミエ</v>
      </c>
      <c r="C158" s="46" t="s">
        <v>2555</v>
      </c>
      <c r="D158" s="401" t="s">
        <v>2447</v>
      </c>
      <c r="E158" s="400" t="s">
        <v>2446</v>
      </c>
      <c r="F158" s="423" t="str">
        <f>IFERROR(__xludf.DUMMYFUNCTION("CONCATENATE(""quest_"",D158,""_"",A158,""_"",C158,""_"")&amp;IFERROR(REGEXEXTRACT(G158,""[0-9]{2}""),REGEXEXTRACT(G158,""[0-9]{1}""))"),"quest_main_mag_hard_13")</f>
        <v>quest_main_mag_hard_13</v>
      </c>
      <c r="G158" s="424" t="s">
        <v>2549</v>
      </c>
      <c r="H158" s="46" t="s">
        <v>2532</v>
      </c>
      <c r="I158" s="425" t="str">
        <f t="shared" si="1"/>
        <v>hard_mag_00004</v>
      </c>
      <c r="J158" s="425" t="s">
        <v>2622</v>
      </c>
      <c r="K158" s="425"/>
      <c r="L158" s="425"/>
      <c r="M158" s="426"/>
      <c r="N158" s="426"/>
      <c r="O158" s="45"/>
      <c r="P158" s="54"/>
      <c r="Q158" s="54"/>
      <c r="R158" s="56"/>
    </row>
    <row r="159">
      <c r="A159" s="45" t="s">
        <v>98</v>
      </c>
      <c r="B159" s="90" t="str">
        <f t="array" ref="B159">iferror(INDEX('作品'!D:D,MATCH(left(A159,3),'作品'!A:A,0),0),"error")</f>
        <v>株式会社マジルミエ</v>
      </c>
      <c r="C159" s="46" t="s">
        <v>2555</v>
      </c>
      <c r="D159" s="401" t="s">
        <v>2447</v>
      </c>
      <c r="E159" s="400" t="s">
        <v>2446</v>
      </c>
      <c r="F159" s="423" t="str">
        <f>IFERROR(__xludf.DUMMYFUNCTION("CONCATENATE(""quest_"",D159,""_"",A159,""_"",C159,""_"")&amp;IFERROR(REGEXEXTRACT(G159,""[0-9]{2}""),REGEXEXTRACT(G159,""[0-9]{1}""))"),"quest_main_mag_hard_13")</f>
        <v>quest_main_mag_hard_13</v>
      </c>
      <c r="G159" s="424" t="s">
        <v>2549</v>
      </c>
      <c r="H159" s="46" t="s">
        <v>2533</v>
      </c>
      <c r="I159" s="425" t="str">
        <f t="shared" si="1"/>
        <v>hard_mag_00005</v>
      </c>
      <c r="J159" s="59" t="s">
        <v>2623</v>
      </c>
      <c r="K159" s="59"/>
      <c r="L159" s="59"/>
      <c r="M159" s="427"/>
      <c r="N159" s="427"/>
      <c r="O159" s="45"/>
      <c r="P159" s="54"/>
      <c r="Q159" s="54"/>
      <c r="R159" s="56"/>
    </row>
    <row r="160">
      <c r="A160" s="45" t="s">
        <v>98</v>
      </c>
      <c r="B160" s="90" t="str">
        <f t="array" ref="B160">iferror(INDEX('作品'!D:D,MATCH(left(A160,3),'作品'!A:A,0),0),"error")</f>
        <v>株式会社マジルミエ</v>
      </c>
      <c r="C160" s="46" t="s">
        <v>2555</v>
      </c>
      <c r="D160" s="401" t="s">
        <v>2447</v>
      </c>
      <c r="E160" s="400" t="s">
        <v>2446</v>
      </c>
      <c r="F160" s="423" t="str">
        <f>IFERROR(__xludf.DUMMYFUNCTION("CONCATENATE(""quest_"",D160,""_"",A160,""_"",C160,""_"")&amp;IFERROR(REGEXEXTRACT(G160,""[0-9]{2}""),REGEXEXTRACT(G160,""[0-9]{1}""))"),"quest_main_mag_hard_13")</f>
        <v>quest_main_mag_hard_13</v>
      </c>
      <c r="G160" s="424" t="s">
        <v>2549</v>
      </c>
      <c r="H160" s="46" t="s">
        <v>2534</v>
      </c>
      <c r="I160" s="425" t="str">
        <f t="shared" si="1"/>
        <v>hard_mag_00006</v>
      </c>
      <c r="J160" s="59" t="s">
        <v>2624</v>
      </c>
      <c r="K160" s="59"/>
      <c r="L160" s="59"/>
      <c r="M160" s="427"/>
      <c r="N160" s="427"/>
      <c r="O160" s="45"/>
      <c r="P160" s="54"/>
      <c r="Q160" s="54"/>
      <c r="R160" s="56"/>
    </row>
    <row r="161">
      <c r="A161" s="24" t="s">
        <v>143</v>
      </c>
      <c r="B161" s="90" t="str">
        <f t="array" ref="B161">iferror(INDEX('作品'!D:D,MATCH(left(A161,3),'作品'!A:A,0),0),"error")</f>
        <v>サマータイムレンダ</v>
      </c>
      <c r="C161" s="46" t="s">
        <v>2555</v>
      </c>
      <c r="D161" s="401" t="s">
        <v>2447</v>
      </c>
      <c r="E161" s="400" t="s">
        <v>2446</v>
      </c>
      <c r="F161" s="423" t="str">
        <f>IFERROR(__xludf.DUMMYFUNCTION("CONCATENATE(""quest_"",D161,""_"",A161,""_"",C161,""_"")&amp;IFERROR(REGEXEXTRACT(G161,""[0-9]{2}""),REGEXEXTRACT(G161,""[0-9]{1}""))"),"quest_main_sum_hard_14")</f>
        <v>quest_main_sum_hard_14</v>
      </c>
      <c r="G161" s="424" t="s">
        <v>2550</v>
      </c>
      <c r="H161" s="46" t="s">
        <v>2529</v>
      </c>
      <c r="I161" s="425" t="str">
        <f t="shared" si="1"/>
        <v>hard_sum_00001</v>
      </c>
      <c r="J161" s="425" t="s">
        <v>2625</v>
      </c>
      <c r="K161" s="425"/>
      <c r="L161" s="425"/>
      <c r="M161" s="426"/>
      <c r="N161" s="426"/>
      <c r="O161" s="45"/>
      <c r="P161" s="54"/>
      <c r="Q161" s="54"/>
      <c r="R161" s="56"/>
    </row>
    <row r="162">
      <c r="A162" s="24" t="s">
        <v>143</v>
      </c>
      <c r="B162" s="90" t="str">
        <f t="array" ref="B162">iferror(INDEX('作品'!D:D,MATCH(left(A162,3),'作品'!A:A,0),0),"error")</f>
        <v>サマータイムレンダ</v>
      </c>
      <c r="C162" s="46" t="s">
        <v>2555</v>
      </c>
      <c r="D162" s="401" t="s">
        <v>2447</v>
      </c>
      <c r="E162" s="400" t="s">
        <v>2446</v>
      </c>
      <c r="F162" s="423" t="str">
        <f>IFERROR(__xludf.DUMMYFUNCTION("CONCATENATE(""quest_"",D162,""_"",A162,""_"",C162,""_"")&amp;IFERROR(REGEXEXTRACT(G162,""[0-9]{2}""),REGEXEXTRACT(G162,""[0-9]{1}""))"),"quest_main_sum_hard_14")</f>
        <v>quest_main_sum_hard_14</v>
      </c>
      <c r="G162" s="424" t="s">
        <v>2550</v>
      </c>
      <c r="H162" s="46" t="s">
        <v>2530</v>
      </c>
      <c r="I162" s="425" t="str">
        <f t="shared" si="1"/>
        <v>hard_sum_00002</v>
      </c>
      <c r="J162" s="59" t="s">
        <v>2626</v>
      </c>
      <c r="K162" s="59"/>
      <c r="L162" s="59"/>
      <c r="M162" s="427"/>
      <c r="N162" s="427"/>
      <c r="O162" s="45"/>
      <c r="P162" s="54"/>
      <c r="Q162" s="54"/>
      <c r="R162" s="56"/>
    </row>
    <row r="163">
      <c r="A163" s="24" t="s">
        <v>143</v>
      </c>
      <c r="B163" s="90" t="str">
        <f t="array" ref="B163">iferror(INDEX('作品'!D:D,MATCH(left(A163,3),'作品'!A:A,0),0),"error")</f>
        <v>サマータイムレンダ</v>
      </c>
      <c r="C163" s="46" t="s">
        <v>2555</v>
      </c>
      <c r="D163" s="401" t="s">
        <v>2447</v>
      </c>
      <c r="E163" s="400" t="s">
        <v>2446</v>
      </c>
      <c r="F163" s="423" t="str">
        <f>IFERROR(__xludf.DUMMYFUNCTION("CONCATENATE(""quest_"",D163,""_"",A163,""_"",C163,""_"")&amp;IFERROR(REGEXEXTRACT(G163,""[0-9]{2}""),REGEXEXTRACT(G163,""[0-9]{1}""))"),"quest_main_sum_hard_14")</f>
        <v>quest_main_sum_hard_14</v>
      </c>
      <c r="G163" s="424" t="s">
        <v>2550</v>
      </c>
      <c r="H163" s="46" t="s">
        <v>2531</v>
      </c>
      <c r="I163" s="425" t="str">
        <f t="shared" si="1"/>
        <v>hard_sum_00003</v>
      </c>
      <c r="J163" s="59" t="s">
        <v>2627</v>
      </c>
      <c r="K163" s="59"/>
      <c r="L163" s="59"/>
      <c r="M163" s="427"/>
      <c r="N163" s="427"/>
      <c r="O163" s="45"/>
      <c r="P163" s="54"/>
      <c r="Q163" s="54"/>
      <c r="R163" s="56"/>
    </row>
    <row r="164">
      <c r="A164" s="24" t="s">
        <v>143</v>
      </c>
      <c r="B164" s="90" t="str">
        <f t="array" ref="B164">iferror(INDEX('作品'!D:D,MATCH(left(A164,3),'作品'!A:A,0),0),"error")</f>
        <v>サマータイムレンダ</v>
      </c>
      <c r="C164" s="46" t="s">
        <v>2555</v>
      </c>
      <c r="D164" s="401" t="s">
        <v>2447</v>
      </c>
      <c r="E164" s="400" t="s">
        <v>2446</v>
      </c>
      <c r="F164" s="423" t="str">
        <f>IFERROR(__xludf.DUMMYFUNCTION("CONCATENATE(""quest_"",D164,""_"",A164,""_"",C164,""_"")&amp;IFERROR(REGEXEXTRACT(G164,""[0-9]{2}""),REGEXEXTRACT(G164,""[0-9]{1}""))"),"quest_main_sum_hard_14")</f>
        <v>quest_main_sum_hard_14</v>
      </c>
      <c r="G164" s="424" t="s">
        <v>2550</v>
      </c>
      <c r="H164" s="46" t="s">
        <v>2532</v>
      </c>
      <c r="I164" s="425" t="str">
        <f t="shared" si="1"/>
        <v>hard_sum_00004</v>
      </c>
      <c r="J164" s="425" t="s">
        <v>2628</v>
      </c>
      <c r="K164" s="425"/>
      <c r="L164" s="425"/>
      <c r="M164" s="426"/>
      <c r="N164" s="426"/>
      <c r="O164" s="45"/>
      <c r="P164" s="54"/>
      <c r="Q164" s="54"/>
      <c r="R164" s="56"/>
    </row>
    <row r="165">
      <c r="A165" s="24" t="s">
        <v>143</v>
      </c>
      <c r="B165" s="90" t="str">
        <f t="array" ref="B165">iferror(INDEX('作品'!D:D,MATCH(left(A165,3),'作品'!A:A,0),0),"error")</f>
        <v>サマータイムレンダ</v>
      </c>
      <c r="C165" s="46" t="s">
        <v>2555</v>
      </c>
      <c r="D165" s="401" t="s">
        <v>2447</v>
      </c>
      <c r="E165" s="400" t="s">
        <v>2446</v>
      </c>
      <c r="F165" s="423" t="str">
        <f>IFERROR(__xludf.DUMMYFUNCTION("CONCATENATE(""quest_"",D165,""_"",A165,""_"",C165,""_"")&amp;IFERROR(REGEXEXTRACT(G165,""[0-9]{2}""),REGEXEXTRACT(G165,""[0-9]{1}""))"),"quest_main_sum_hard_14")</f>
        <v>quest_main_sum_hard_14</v>
      </c>
      <c r="G165" s="424" t="s">
        <v>2550</v>
      </c>
      <c r="H165" s="46" t="s">
        <v>2533</v>
      </c>
      <c r="I165" s="425" t="str">
        <f t="shared" si="1"/>
        <v>hard_sum_00005</v>
      </c>
      <c r="J165" s="59" t="s">
        <v>2629</v>
      </c>
      <c r="K165" s="59"/>
      <c r="L165" s="59"/>
      <c r="M165" s="427"/>
      <c r="N165" s="427"/>
      <c r="O165" s="45"/>
      <c r="P165" s="54"/>
      <c r="Q165" s="54"/>
      <c r="R165" s="56"/>
    </row>
    <row r="166">
      <c r="A166" s="24" t="s">
        <v>143</v>
      </c>
      <c r="B166" s="90" t="str">
        <f t="array" ref="B166">iferror(INDEX('作品'!D:D,MATCH(left(A166,3),'作品'!A:A,0),0),"error")</f>
        <v>サマータイムレンダ</v>
      </c>
      <c r="C166" s="46" t="s">
        <v>2555</v>
      </c>
      <c r="D166" s="401" t="s">
        <v>2447</v>
      </c>
      <c r="E166" s="400" t="s">
        <v>2446</v>
      </c>
      <c r="F166" s="423" t="str">
        <f>IFERROR(__xludf.DUMMYFUNCTION("CONCATENATE(""quest_"",D166,""_"",A166,""_"",C166,""_"")&amp;IFERROR(REGEXEXTRACT(G166,""[0-9]{2}""),REGEXEXTRACT(G166,""[0-9]{1}""))"),"quest_main_sum_hard_14")</f>
        <v>quest_main_sum_hard_14</v>
      </c>
      <c r="G166" s="424" t="s">
        <v>2550</v>
      </c>
      <c r="H166" s="46" t="s">
        <v>2534</v>
      </c>
      <c r="I166" s="425" t="str">
        <f t="shared" si="1"/>
        <v>hard_sum_00006</v>
      </c>
      <c r="J166" s="59" t="s">
        <v>2630</v>
      </c>
      <c r="K166" s="59"/>
      <c r="L166" s="59"/>
      <c r="M166" s="427"/>
      <c r="N166" s="427"/>
      <c r="O166" s="45"/>
      <c r="P166" s="54"/>
      <c r="Q166" s="54"/>
      <c r="R166" s="56"/>
    </row>
    <row r="167">
      <c r="A167" s="45" t="s">
        <v>115</v>
      </c>
      <c r="B167" s="90" t="str">
        <f t="array" ref="B167">iferror(INDEX('作品'!D:D,MATCH(left(A167,3),'作品'!A:A,0),0),"error")</f>
        <v>怪獣８号</v>
      </c>
      <c r="C167" s="46" t="s">
        <v>2555</v>
      </c>
      <c r="D167" s="401" t="s">
        <v>2447</v>
      </c>
      <c r="E167" s="400" t="s">
        <v>2446</v>
      </c>
      <c r="F167" s="423" t="str">
        <f>IFERROR(__xludf.DUMMYFUNCTION("CONCATENATE(""quest_"",D167,""_"",A167,""_"",C167,""_"")&amp;IFERROR(REGEXEXTRACT(G167,""[0-9]{2}""),REGEXEXTRACT(G167,""[0-9]{1}""))"),"quest_main_kai_hard_15")</f>
        <v>quest_main_kai_hard_15</v>
      </c>
      <c r="G167" s="424" t="s">
        <v>2551</v>
      </c>
      <c r="H167" s="46" t="s">
        <v>2529</v>
      </c>
      <c r="I167" s="425" t="str">
        <f t="shared" si="1"/>
        <v>hard_kai_00001</v>
      </c>
      <c r="J167" s="425" t="s">
        <v>2631</v>
      </c>
      <c r="K167" s="425"/>
      <c r="L167" s="425"/>
      <c r="M167" s="426"/>
      <c r="N167" s="426"/>
      <c r="O167" s="45"/>
      <c r="P167" s="54"/>
      <c r="Q167" s="54"/>
      <c r="R167" s="56"/>
    </row>
    <row r="168">
      <c r="A168" s="45" t="s">
        <v>115</v>
      </c>
      <c r="B168" s="90" t="str">
        <f t="array" ref="B168">iferror(INDEX('作品'!D:D,MATCH(left(A168,3),'作品'!A:A,0),0),"error")</f>
        <v>怪獣８号</v>
      </c>
      <c r="C168" s="46" t="s">
        <v>2555</v>
      </c>
      <c r="D168" s="401" t="s">
        <v>2447</v>
      </c>
      <c r="E168" s="400" t="s">
        <v>2446</v>
      </c>
      <c r="F168" s="423" t="str">
        <f>IFERROR(__xludf.DUMMYFUNCTION("CONCATENATE(""quest_"",D168,""_"",A168,""_"",C168,""_"")&amp;IFERROR(REGEXEXTRACT(G168,""[0-9]{2}""),REGEXEXTRACT(G168,""[0-9]{1}""))"),"quest_main_kai_hard_15")</f>
        <v>quest_main_kai_hard_15</v>
      </c>
      <c r="G168" s="424" t="s">
        <v>2551</v>
      </c>
      <c r="H168" s="46" t="s">
        <v>2530</v>
      </c>
      <c r="I168" s="425" t="str">
        <f t="shared" si="1"/>
        <v>hard_kai_00002</v>
      </c>
      <c r="J168" s="59" t="s">
        <v>2632</v>
      </c>
      <c r="K168" s="59"/>
      <c r="L168" s="59"/>
      <c r="M168" s="427"/>
      <c r="N168" s="427"/>
      <c r="O168" s="45"/>
      <c r="P168" s="54"/>
      <c r="Q168" s="54"/>
      <c r="R168" s="56"/>
    </row>
    <row r="169">
      <c r="A169" s="45" t="s">
        <v>115</v>
      </c>
      <c r="B169" s="90" t="str">
        <f t="array" ref="B169">iferror(INDEX('作品'!D:D,MATCH(left(A169,3),'作品'!A:A,0),0),"error")</f>
        <v>怪獣８号</v>
      </c>
      <c r="C169" s="46" t="s">
        <v>2555</v>
      </c>
      <c r="D169" s="401" t="s">
        <v>2447</v>
      </c>
      <c r="E169" s="400" t="s">
        <v>2446</v>
      </c>
      <c r="F169" s="423" t="str">
        <f>IFERROR(__xludf.DUMMYFUNCTION("CONCATENATE(""quest_"",D169,""_"",A169,""_"",C169,""_"")&amp;IFERROR(REGEXEXTRACT(G169,""[0-9]{2}""),REGEXEXTRACT(G169,""[0-9]{1}""))"),"quest_main_kai_hard_15")</f>
        <v>quest_main_kai_hard_15</v>
      </c>
      <c r="G169" s="424" t="s">
        <v>2551</v>
      </c>
      <c r="H169" s="46" t="s">
        <v>2531</v>
      </c>
      <c r="I169" s="425" t="str">
        <f t="shared" si="1"/>
        <v>hard_kai_00003</v>
      </c>
      <c r="J169" s="59" t="s">
        <v>2633</v>
      </c>
      <c r="K169" s="59"/>
      <c r="L169" s="59"/>
      <c r="M169" s="427"/>
      <c r="N169" s="427"/>
      <c r="O169" s="45"/>
      <c r="P169" s="54"/>
      <c r="Q169" s="54"/>
      <c r="R169" s="56"/>
    </row>
    <row r="170">
      <c r="A170" s="45" t="s">
        <v>115</v>
      </c>
      <c r="B170" s="90" t="str">
        <f t="array" ref="B170">iferror(INDEX('作品'!D:D,MATCH(left(A170,3),'作品'!A:A,0),0),"error")</f>
        <v>怪獣８号</v>
      </c>
      <c r="C170" s="46" t="s">
        <v>2555</v>
      </c>
      <c r="D170" s="46" t="s">
        <v>2447</v>
      </c>
      <c r="E170" s="400" t="s">
        <v>2446</v>
      </c>
      <c r="F170" s="423" t="str">
        <f>IFERROR(__xludf.DUMMYFUNCTION("CONCATENATE(""quest_"",D170,""_"",A170,""_"",C170,""_"")&amp;IFERROR(REGEXEXTRACT(G170,""[0-9]{2}""),REGEXEXTRACT(G170,""[0-9]{1}""))"),"quest_main_kai_hard_15")</f>
        <v>quest_main_kai_hard_15</v>
      </c>
      <c r="G170" s="424" t="s">
        <v>2551</v>
      </c>
      <c r="H170" s="46" t="s">
        <v>2532</v>
      </c>
      <c r="I170" s="425" t="str">
        <f t="shared" si="1"/>
        <v>hard_kai_00004</v>
      </c>
      <c r="J170" s="59" t="s">
        <v>2634</v>
      </c>
      <c r="K170" s="59"/>
      <c r="L170" s="59"/>
      <c r="M170" s="427"/>
      <c r="N170" s="427"/>
      <c r="O170" s="45"/>
      <c r="P170" s="54"/>
      <c r="Q170" s="54"/>
      <c r="R170" s="56"/>
    </row>
    <row r="171">
      <c r="A171" s="45" t="s">
        <v>115</v>
      </c>
      <c r="B171" s="90" t="str">
        <f t="array" ref="B171">iferror(INDEX('作品'!D:D,MATCH(left(A171,3),'作品'!A:A,0),0),"error")</f>
        <v>怪獣８号</v>
      </c>
      <c r="C171" s="46" t="s">
        <v>2555</v>
      </c>
      <c r="D171" s="401" t="s">
        <v>2447</v>
      </c>
      <c r="E171" s="400" t="s">
        <v>2446</v>
      </c>
      <c r="F171" s="423" t="str">
        <f>IFERROR(__xludf.DUMMYFUNCTION("CONCATENATE(""quest_"",D171,""_"",A171,""_"",C171,""_"")&amp;IFERROR(REGEXEXTRACT(G171,""[0-9]{2}""),REGEXEXTRACT(G171,""[0-9]{1}""))"),"quest_main_kai_hard_15")</f>
        <v>quest_main_kai_hard_15</v>
      </c>
      <c r="G171" s="424" t="s">
        <v>2551</v>
      </c>
      <c r="H171" s="46" t="s">
        <v>2533</v>
      </c>
      <c r="I171" s="425" t="str">
        <f t="shared" si="1"/>
        <v>hard_kai_00005</v>
      </c>
      <c r="J171" s="59" t="s">
        <v>2635</v>
      </c>
      <c r="K171" s="59"/>
      <c r="L171" s="59"/>
      <c r="M171" s="427"/>
      <c r="N171" s="427"/>
      <c r="O171" s="45"/>
      <c r="P171" s="54"/>
      <c r="Q171" s="54"/>
      <c r="R171" s="56"/>
    </row>
    <row r="172">
      <c r="A172" s="45" t="s">
        <v>115</v>
      </c>
      <c r="B172" s="90" t="str">
        <f t="array" ref="B172">iferror(INDEX('作品'!D:D,MATCH(left(A172,3),'作品'!A:A,0),0),"error")</f>
        <v>怪獣８号</v>
      </c>
      <c r="C172" s="46" t="s">
        <v>2555</v>
      </c>
      <c r="D172" s="46" t="s">
        <v>2447</v>
      </c>
      <c r="E172" s="400" t="s">
        <v>2446</v>
      </c>
      <c r="F172" s="423" t="str">
        <f>IFERROR(__xludf.DUMMYFUNCTION("CONCATENATE(""quest_"",D172,""_"",A172,""_"",C172,""_"")&amp;IFERROR(REGEXEXTRACT(G172,""[0-9]{2}""),REGEXEXTRACT(G172,""[0-9]{1}""))"),"quest_main_kai_hard_15")</f>
        <v>quest_main_kai_hard_15</v>
      </c>
      <c r="G172" s="424" t="s">
        <v>2551</v>
      </c>
      <c r="H172" s="46" t="s">
        <v>2534</v>
      </c>
      <c r="I172" s="425" t="str">
        <f t="shared" si="1"/>
        <v>hard_kai_00006</v>
      </c>
      <c r="J172" s="59" t="s">
        <v>2636</v>
      </c>
      <c r="K172" s="59"/>
      <c r="L172" s="59"/>
      <c r="M172" s="427"/>
      <c r="N172" s="427"/>
      <c r="O172" s="45"/>
      <c r="P172" s="54"/>
      <c r="Q172" s="54"/>
      <c r="R172" s="56"/>
    </row>
    <row r="173">
      <c r="A173" s="25" t="s">
        <v>2552</v>
      </c>
      <c r="B173" s="90" t="str">
        <f t="array" ref="B173">iferror(INDEX('作品'!D:D,MATCH(left(A173,3),'作品'!A:A,0),0),"error")</f>
        <v>GLOW</v>
      </c>
      <c r="C173" s="46" t="s">
        <v>2555</v>
      </c>
      <c r="D173" s="401" t="s">
        <v>2447</v>
      </c>
      <c r="E173" s="400" t="s">
        <v>2446</v>
      </c>
      <c r="F173" s="423" t="str">
        <f>IFERROR(__xludf.DUMMYFUNCTION("CONCATENATE(""quest_"",D173,""_"",A173,""_"",C173,""_"")&amp;IFERROR(REGEXEXTRACT(G173,""[0-9]{2}""),REGEXEXTRACT(G173,""[0-9]{1}""))"),"quest_main_glo4_hard_16")</f>
        <v>quest_main_glo4_hard_16</v>
      </c>
      <c r="G173" s="424" t="s">
        <v>2553</v>
      </c>
      <c r="H173" s="46" t="s">
        <v>2529</v>
      </c>
      <c r="I173" s="425" t="str">
        <f t="shared" si="1"/>
        <v>hard_glo4_00001</v>
      </c>
      <c r="J173" s="425" t="s">
        <v>2637</v>
      </c>
      <c r="K173" s="425"/>
      <c r="L173" s="425"/>
      <c r="M173" s="426"/>
      <c r="N173" s="426"/>
      <c r="O173" s="45"/>
      <c r="P173" s="54"/>
      <c r="Q173" s="54"/>
      <c r="R173" s="56"/>
    </row>
    <row r="174">
      <c r="A174" s="25" t="s">
        <v>2552</v>
      </c>
      <c r="B174" s="90" t="str">
        <f t="array" ref="B174">iferror(INDEX('作品'!D:D,MATCH(left(A174,3),'作品'!A:A,0),0),"error")</f>
        <v>GLOW</v>
      </c>
      <c r="C174" s="46" t="s">
        <v>2555</v>
      </c>
      <c r="D174" s="401" t="s">
        <v>2447</v>
      </c>
      <c r="E174" s="400" t="s">
        <v>2446</v>
      </c>
      <c r="F174" s="423" t="str">
        <f>IFERROR(__xludf.DUMMYFUNCTION("CONCATENATE(""quest_"",D174,""_"",A174,""_"",C174,""_"")&amp;IFERROR(REGEXEXTRACT(G174,""[0-9]{2}""),REGEXEXTRACT(G174,""[0-9]{1}""))"),"quest_main_glo4_hard_16")</f>
        <v>quest_main_glo4_hard_16</v>
      </c>
      <c r="G174" s="424" t="s">
        <v>2553</v>
      </c>
      <c r="H174" s="46" t="s">
        <v>2530</v>
      </c>
      <c r="I174" s="425" t="str">
        <f t="shared" si="1"/>
        <v>hard_glo4_00002</v>
      </c>
      <c r="J174" s="59" t="s">
        <v>2638</v>
      </c>
      <c r="K174" s="59"/>
      <c r="L174" s="59"/>
      <c r="M174" s="427"/>
      <c r="N174" s="427"/>
      <c r="O174" s="45"/>
      <c r="P174" s="54"/>
      <c r="Q174" s="54"/>
      <c r="R174" s="56"/>
    </row>
    <row r="175">
      <c r="A175" s="25" t="s">
        <v>2552</v>
      </c>
      <c r="B175" s="90" t="str">
        <f t="array" ref="B175">iferror(INDEX('作品'!D:D,MATCH(left(A175,3),'作品'!A:A,0),0),"error")</f>
        <v>GLOW</v>
      </c>
      <c r="C175" s="46" t="s">
        <v>2555</v>
      </c>
      <c r="D175" s="401" t="s">
        <v>2447</v>
      </c>
      <c r="E175" s="400" t="s">
        <v>2446</v>
      </c>
      <c r="F175" s="423" t="str">
        <f>IFERROR(__xludf.DUMMYFUNCTION("CONCATENATE(""quest_"",D175,""_"",A175,""_"",C175,""_"")&amp;IFERROR(REGEXEXTRACT(G175,""[0-9]{2}""),REGEXEXTRACT(G175,""[0-9]{1}""))"),"quest_main_glo4_hard_16")</f>
        <v>quest_main_glo4_hard_16</v>
      </c>
      <c r="G175" s="424" t="s">
        <v>2553</v>
      </c>
      <c r="H175" s="46" t="s">
        <v>2531</v>
      </c>
      <c r="I175" s="425" t="str">
        <f t="shared" si="1"/>
        <v>hard_glo4_00003</v>
      </c>
      <c r="J175" s="59" t="s">
        <v>2639</v>
      </c>
      <c r="K175" s="59"/>
      <c r="L175" s="59"/>
      <c r="M175" s="427"/>
      <c r="N175" s="427"/>
      <c r="O175" s="45"/>
      <c r="P175" s="54"/>
      <c r="Q175" s="54"/>
      <c r="R175" s="56"/>
    </row>
    <row r="176">
      <c r="A176" s="25" t="s">
        <v>2552</v>
      </c>
      <c r="B176" s="90" t="str">
        <f t="array" ref="B176">iferror(INDEX('作品'!D:D,MATCH(left(A176,3),'作品'!A:A,0),0),"error")</f>
        <v>GLOW</v>
      </c>
      <c r="C176" s="46" t="s">
        <v>2555</v>
      </c>
      <c r="D176" s="401" t="s">
        <v>2447</v>
      </c>
      <c r="E176" s="400" t="s">
        <v>2446</v>
      </c>
      <c r="F176" s="423" t="str">
        <f>IFERROR(__xludf.DUMMYFUNCTION("CONCATENATE(""quest_"",D176,""_"",A176,""_"",C176,""_"")&amp;IFERROR(REGEXEXTRACT(G176,""[0-9]{2}""),REGEXEXTRACT(G176,""[0-9]{1}""))"),"quest_main_glo4_hard_16")</f>
        <v>quest_main_glo4_hard_16</v>
      </c>
      <c r="G176" s="424" t="s">
        <v>2553</v>
      </c>
      <c r="H176" s="46" t="s">
        <v>2532</v>
      </c>
      <c r="I176" s="425" t="str">
        <f t="shared" si="1"/>
        <v>hard_glo4_00004</v>
      </c>
      <c r="J176" s="425" t="s">
        <v>2640</v>
      </c>
      <c r="K176" s="425"/>
      <c r="L176" s="425"/>
      <c r="M176" s="426"/>
      <c r="N176" s="426"/>
      <c r="O176" s="45"/>
      <c r="P176" s="54"/>
      <c r="Q176" s="54"/>
      <c r="R176" s="56"/>
    </row>
    <row r="177">
      <c r="A177" s="25" t="s">
        <v>2552</v>
      </c>
      <c r="B177" s="90" t="str">
        <f t="array" ref="B177">iferror(INDEX('作品'!D:D,MATCH(left(A177,3),'作品'!A:A,0),0),"error")</f>
        <v>GLOW</v>
      </c>
      <c r="C177" s="46" t="s">
        <v>2555</v>
      </c>
      <c r="D177" s="401" t="s">
        <v>2447</v>
      </c>
      <c r="E177" s="400" t="s">
        <v>2446</v>
      </c>
      <c r="F177" s="423" t="str">
        <f>IFERROR(__xludf.DUMMYFUNCTION("CONCATENATE(""quest_"",D177,""_"",A177,""_"",C177,""_"")&amp;IFERROR(REGEXEXTRACT(G177,""[0-9]{2}""),REGEXEXTRACT(G177,""[0-9]{1}""))"),"quest_main_glo4_hard_16")</f>
        <v>quest_main_glo4_hard_16</v>
      </c>
      <c r="G177" s="424" t="s">
        <v>2553</v>
      </c>
      <c r="H177" s="46" t="s">
        <v>2533</v>
      </c>
      <c r="I177" s="425" t="str">
        <f t="shared" si="1"/>
        <v>hard_glo4_00005</v>
      </c>
      <c r="J177" s="59" t="s">
        <v>2641</v>
      </c>
      <c r="K177" s="59"/>
      <c r="L177" s="59"/>
      <c r="M177" s="427"/>
      <c r="N177" s="427"/>
      <c r="O177" s="45"/>
      <c r="P177" s="54"/>
      <c r="Q177" s="54"/>
      <c r="R177" s="56"/>
    </row>
    <row r="178">
      <c r="A178" s="25" t="s">
        <v>2552</v>
      </c>
      <c r="B178" s="90" t="str">
        <f t="array" ref="B178">iferror(INDEX('作品'!D:D,MATCH(left(A178,3),'作品'!A:A,0),0),"error")</f>
        <v>GLOW</v>
      </c>
      <c r="C178" s="46" t="s">
        <v>2555</v>
      </c>
      <c r="D178" s="401" t="s">
        <v>2447</v>
      </c>
      <c r="E178" s="400" t="s">
        <v>2446</v>
      </c>
      <c r="F178" s="423" t="str">
        <f>IFERROR(__xludf.DUMMYFUNCTION("CONCATENATE(""quest_"",D178,""_"",A178,""_"",C178,""_"")&amp;IFERROR(REGEXEXTRACT(G178,""[0-9]{2}""),REGEXEXTRACT(G178,""[0-9]{1}""))"),"quest_main_glo4_hard_16")</f>
        <v>quest_main_glo4_hard_16</v>
      </c>
      <c r="G178" s="424" t="s">
        <v>2553</v>
      </c>
      <c r="H178" s="46" t="s">
        <v>2534</v>
      </c>
      <c r="I178" s="425" t="str">
        <f t="shared" si="1"/>
        <v>hard_glo4_00006</v>
      </c>
      <c r="J178" s="59" t="s">
        <v>2642</v>
      </c>
      <c r="K178" s="59"/>
      <c r="L178" s="59"/>
      <c r="M178" s="427"/>
      <c r="N178" s="427"/>
      <c r="O178" s="45"/>
      <c r="P178" s="54"/>
      <c r="Q178" s="54"/>
      <c r="R178" s="56"/>
    </row>
    <row r="179">
      <c r="A179" s="25" t="s">
        <v>158</v>
      </c>
      <c r="B179" s="90" t="str">
        <f t="array" ref="B179">iferror(INDEX('作品'!D:D,MATCH(left(A179,3),'作品'!A:A,0),0),"error")</f>
        <v>【推しの子】</v>
      </c>
      <c r="C179" s="46" t="s">
        <v>2555</v>
      </c>
      <c r="D179" s="401" t="s">
        <v>2447</v>
      </c>
      <c r="E179" s="400" t="s">
        <v>2446</v>
      </c>
      <c r="F179" s="423" t="str">
        <f>IFERROR(__xludf.DUMMYFUNCTION("CONCATENATE(""quest_"",D179,""_"",A179,""_"",C179,""_"")&amp;IFERROR(REGEXEXTRACT(G179,""[0-9]{2}""),REGEXEXTRACT(G179,""[0-9]{1}""))"),"quest_main_osh_hard_17")</f>
        <v>quest_main_osh_hard_17</v>
      </c>
      <c r="G179" s="424" t="s">
        <v>2554</v>
      </c>
      <c r="H179" s="46" t="s">
        <v>2529</v>
      </c>
      <c r="I179" s="425" t="str">
        <f t="shared" si="1"/>
        <v>hard_osh_00001</v>
      </c>
      <c r="J179" s="59" t="s">
        <v>2637</v>
      </c>
      <c r="K179" s="59"/>
      <c r="L179" s="59"/>
      <c r="M179" s="427"/>
      <c r="N179" s="427"/>
      <c r="O179" s="45"/>
      <c r="P179" s="54"/>
      <c r="Q179" s="54"/>
      <c r="R179" s="56"/>
    </row>
    <row r="180">
      <c r="A180" s="25" t="s">
        <v>158</v>
      </c>
      <c r="B180" s="90" t="str">
        <f t="array" ref="B180">iferror(INDEX('作品'!D:D,MATCH(left(A180,3),'作品'!A:A,0),0),"error")</f>
        <v>【推しの子】</v>
      </c>
      <c r="C180" s="46" t="s">
        <v>2555</v>
      </c>
      <c r="D180" s="401" t="s">
        <v>2447</v>
      </c>
      <c r="E180" s="400" t="s">
        <v>2446</v>
      </c>
      <c r="F180" s="423" t="str">
        <f>IFERROR(__xludf.DUMMYFUNCTION("CONCATENATE(""quest_"",D180,""_"",A180,""_"",C180,""_"")&amp;IFERROR(REGEXEXTRACT(G180,""[0-9]{2}""),REGEXEXTRACT(G180,""[0-9]{1}""))"),"quest_main_osh_hard_17")</f>
        <v>quest_main_osh_hard_17</v>
      </c>
      <c r="G180" s="424" t="s">
        <v>2554</v>
      </c>
      <c r="H180" s="46" t="s">
        <v>2530</v>
      </c>
      <c r="I180" s="425" t="str">
        <f t="shared" si="1"/>
        <v>hard_osh_00002</v>
      </c>
      <c r="J180" s="59" t="s">
        <v>2638</v>
      </c>
      <c r="K180" s="59"/>
      <c r="L180" s="59"/>
      <c r="M180" s="427"/>
      <c r="N180" s="427"/>
      <c r="O180" s="45"/>
      <c r="P180" s="54"/>
      <c r="Q180" s="54"/>
      <c r="R180" s="56"/>
    </row>
    <row r="181">
      <c r="A181" s="25" t="s">
        <v>158</v>
      </c>
      <c r="B181" s="90" t="str">
        <f t="array" ref="B181">iferror(INDEX('作品'!D:D,MATCH(left(A181,3),'作品'!A:A,0),0),"error")</f>
        <v>【推しの子】</v>
      </c>
      <c r="C181" s="46" t="s">
        <v>2555</v>
      </c>
      <c r="D181" s="401" t="s">
        <v>2447</v>
      </c>
      <c r="E181" s="400" t="s">
        <v>2446</v>
      </c>
      <c r="F181" s="423" t="str">
        <f>IFERROR(__xludf.DUMMYFUNCTION("CONCATENATE(""quest_"",D181,""_"",A181,""_"",C181,""_"")&amp;IFERROR(REGEXEXTRACT(G181,""[0-9]{2}""),REGEXEXTRACT(G181,""[0-9]{1}""))"),"quest_main_osh_hard_17")</f>
        <v>quest_main_osh_hard_17</v>
      </c>
      <c r="G181" s="424" t="s">
        <v>2554</v>
      </c>
      <c r="H181" s="46" t="s">
        <v>2531</v>
      </c>
      <c r="I181" s="425" t="str">
        <f t="shared" si="1"/>
        <v>hard_osh_00003</v>
      </c>
      <c r="J181" s="59" t="s">
        <v>2639</v>
      </c>
      <c r="K181" s="59"/>
      <c r="L181" s="59"/>
      <c r="M181" s="427"/>
      <c r="N181" s="427"/>
      <c r="O181" s="45"/>
      <c r="P181" s="54"/>
      <c r="Q181" s="54"/>
      <c r="R181" s="56"/>
    </row>
    <row r="182">
      <c r="A182" s="45" t="s">
        <v>60</v>
      </c>
      <c r="B182" s="90" t="str">
        <f t="array" ref="B182">iferror(INDEX('作品'!D:D,MATCH(left(A182,3),'作品'!A:A,0),0),"error")</f>
        <v>SPY×FAMILY</v>
      </c>
      <c r="C182" s="46" t="s">
        <v>2643</v>
      </c>
      <c r="D182" s="401" t="s">
        <v>2447</v>
      </c>
      <c r="E182" s="400" t="s">
        <v>2446</v>
      </c>
      <c r="F182" s="423" t="str">
        <f>IFERROR(__xludf.DUMMYFUNCTION("CONCATENATE(""quest_"",D182,""_"",A182,""_"",C182,""_"")&amp;IFERROR(REGEXEXTRACT(G182,""[0-9]{2}""),REGEXEXTRACT(G182,""[0-9]{1}""))"),"quest_main_spy_veryhard_1")</f>
        <v>quest_main_spy_veryhard_1</v>
      </c>
      <c r="G182" s="424" t="s">
        <v>2528</v>
      </c>
      <c r="H182" s="46" t="s">
        <v>2529</v>
      </c>
      <c r="I182" s="425" t="str">
        <f t="shared" si="1"/>
        <v>veryhard_spy_00001</v>
      </c>
      <c r="J182" s="425" t="s">
        <v>2556</v>
      </c>
      <c r="K182" s="425"/>
      <c r="L182" s="425"/>
      <c r="M182" s="426"/>
      <c r="N182" s="426"/>
      <c r="O182" s="45"/>
      <c r="P182" s="54"/>
      <c r="Q182" s="54"/>
      <c r="R182" s="56"/>
    </row>
    <row r="183">
      <c r="A183" s="45" t="s">
        <v>60</v>
      </c>
      <c r="B183" s="90" t="str">
        <f t="array" ref="B183">iferror(INDEX('作品'!D:D,MATCH(left(A183,3),'作品'!A:A,0),0),"error")</f>
        <v>SPY×FAMILY</v>
      </c>
      <c r="C183" s="46" t="s">
        <v>2643</v>
      </c>
      <c r="D183" s="401" t="s">
        <v>2447</v>
      </c>
      <c r="E183" s="400" t="s">
        <v>2446</v>
      </c>
      <c r="F183" s="423" t="str">
        <f>IFERROR(__xludf.DUMMYFUNCTION("CONCATENATE(""quest_"",D183,""_"",A183,""_"",C183,""_"")&amp;IFERROR(REGEXEXTRACT(G183,""[0-9]{2}""),REGEXEXTRACT(G183,""[0-9]{1}""))"),"quest_main_spy_veryhard_1")</f>
        <v>quest_main_spy_veryhard_1</v>
      </c>
      <c r="G183" s="424" t="s">
        <v>2528</v>
      </c>
      <c r="H183" s="46" t="s">
        <v>2530</v>
      </c>
      <c r="I183" s="425" t="str">
        <f t="shared" si="1"/>
        <v>veryhard_spy_00002</v>
      </c>
      <c r="J183" s="59" t="s">
        <v>2557</v>
      </c>
      <c r="K183" s="59"/>
      <c r="L183" s="59"/>
      <c r="M183" s="427"/>
      <c r="N183" s="427"/>
      <c r="O183" s="45"/>
      <c r="P183" s="54"/>
      <c r="Q183" s="54"/>
      <c r="R183" s="56"/>
    </row>
    <row r="184">
      <c r="A184" s="45" t="s">
        <v>60</v>
      </c>
      <c r="B184" s="90" t="str">
        <f t="array" ref="B184">iferror(INDEX('作品'!D:D,MATCH(left(A184,3),'作品'!A:A,0),0),"error")</f>
        <v>SPY×FAMILY</v>
      </c>
      <c r="C184" s="46" t="s">
        <v>2643</v>
      </c>
      <c r="D184" s="401" t="s">
        <v>2447</v>
      </c>
      <c r="E184" s="400" t="s">
        <v>2446</v>
      </c>
      <c r="F184" s="423" t="str">
        <f>IFERROR(__xludf.DUMMYFUNCTION("CONCATENATE(""quest_"",D184,""_"",A184,""_"",C184,""_"")&amp;IFERROR(REGEXEXTRACT(G184,""[0-9]{2}""),REGEXEXTRACT(G184,""[0-9]{1}""))"),"quest_main_spy_veryhard_1")</f>
        <v>quest_main_spy_veryhard_1</v>
      </c>
      <c r="G184" s="424" t="s">
        <v>2528</v>
      </c>
      <c r="H184" s="46" t="s">
        <v>2531</v>
      </c>
      <c r="I184" s="425" t="str">
        <f t="shared" si="1"/>
        <v>veryhard_spy_00003</v>
      </c>
      <c r="J184" s="59" t="s">
        <v>2558</v>
      </c>
      <c r="K184" s="59"/>
      <c r="L184" s="59"/>
      <c r="M184" s="427"/>
      <c r="N184" s="427"/>
      <c r="O184" s="45"/>
      <c r="P184" s="54"/>
      <c r="Q184" s="54"/>
      <c r="R184" s="56"/>
    </row>
    <row r="185">
      <c r="A185" s="45" t="s">
        <v>60</v>
      </c>
      <c r="B185" s="90" t="str">
        <f t="array" ref="B185">iferror(INDEX('作品'!D:D,MATCH(left(A185,3),'作品'!A:A,0),0),"error")</f>
        <v>SPY×FAMILY</v>
      </c>
      <c r="C185" s="46" t="s">
        <v>2643</v>
      </c>
      <c r="D185" s="401" t="s">
        <v>2447</v>
      </c>
      <c r="E185" s="400" t="s">
        <v>2446</v>
      </c>
      <c r="F185" s="423" t="str">
        <f>IFERROR(__xludf.DUMMYFUNCTION("CONCATENATE(""quest_"",D185,""_"",A185,""_"",C185,""_"")&amp;IFERROR(REGEXEXTRACT(G185,""[0-9]{2}""),REGEXEXTRACT(G185,""[0-9]{1}""))"),"quest_main_spy_veryhard_1")</f>
        <v>quest_main_spy_veryhard_1</v>
      </c>
      <c r="G185" s="424" t="s">
        <v>2528</v>
      </c>
      <c r="H185" s="46" t="s">
        <v>2532</v>
      </c>
      <c r="I185" s="425" t="str">
        <f t="shared" si="1"/>
        <v>veryhard_spy_00004</v>
      </c>
      <c r="J185" s="59" t="s">
        <v>2559</v>
      </c>
      <c r="K185" s="59"/>
      <c r="L185" s="59"/>
      <c r="M185" s="427"/>
      <c r="N185" s="427"/>
      <c r="O185" s="45"/>
      <c r="P185" s="54"/>
      <c r="Q185" s="54"/>
      <c r="R185" s="56"/>
    </row>
    <row r="186">
      <c r="A186" s="45" t="s">
        <v>60</v>
      </c>
      <c r="B186" s="90" t="str">
        <f t="array" ref="B186">iferror(INDEX('作品'!D:D,MATCH(left(A186,3),'作品'!A:A,0),0),"error")</f>
        <v>SPY×FAMILY</v>
      </c>
      <c r="C186" s="46" t="s">
        <v>2643</v>
      </c>
      <c r="D186" s="401" t="s">
        <v>2447</v>
      </c>
      <c r="E186" s="400" t="s">
        <v>2446</v>
      </c>
      <c r="F186" s="423" t="str">
        <f>IFERROR(__xludf.DUMMYFUNCTION("CONCATENATE(""quest_"",D186,""_"",A186,""_"",C186,""_"")&amp;IFERROR(REGEXEXTRACT(G186,""[0-9]{2}""),REGEXEXTRACT(G186,""[0-9]{1}""))"),"quest_main_spy_veryhard_1")</f>
        <v>quest_main_spy_veryhard_1</v>
      </c>
      <c r="G186" s="424" t="s">
        <v>2528</v>
      </c>
      <c r="H186" s="46" t="s">
        <v>2533</v>
      </c>
      <c r="I186" s="425" t="str">
        <f t="shared" si="1"/>
        <v>veryhard_spy_00005</v>
      </c>
      <c r="J186" s="59" t="s">
        <v>2560</v>
      </c>
      <c r="K186" s="59"/>
      <c r="L186" s="59"/>
      <c r="M186" s="427"/>
      <c r="N186" s="427"/>
      <c r="O186" s="45"/>
      <c r="P186" s="54"/>
      <c r="Q186" s="54"/>
      <c r="R186" s="56"/>
    </row>
    <row r="187">
      <c r="A187" s="45" t="s">
        <v>60</v>
      </c>
      <c r="B187" s="90" t="str">
        <f t="array" ref="B187">iferror(INDEX('作品'!D:D,MATCH(left(A187,3),'作品'!A:A,0),0),"error")</f>
        <v>SPY×FAMILY</v>
      </c>
      <c r="C187" s="46" t="s">
        <v>2643</v>
      </c>
      <c r="D187" s="401" t="s">
        <v>2447</v>
      </c>
      <c r="E187" s="400" t="s">
        <v>2446</v>
      </c>
      <c r="F187" s="423" t="str">
        <f>IFERROR(__xludf.DUMMYFUNCTION("CONCATENATE(""quest_"",D187,""_"",A187,""_"",C187,""_"")&amp;IFERROR(REGEXEXTRACT(G187,""[0-9]{2}""),REGEXEXTRACT(G187,""[0-9]{1}""))"),"quest_main_spy_veryhard_1")</f>
        <v>quest_main_spy_veryhard_1</v>
      </c>
      <c r="G187" s="424" t="s">
        <v>2528</v>
      </c>
      <c r="H187" s="46" t="s">
        <v>2534</v>
      </c>
      <c r="I187" s="425" t="str">
        <f t="shared" si="1"/>
        <v>veryhard_spy_00006</v>
      </c>
      <c r="J187" s="59" t="s">
        <v>2561</v>
      </c>
      <c r="K187" s="59"/>
      <c r="L187" s="59"/>
      <c r="M187" s="427"/>
      <c r="N187" s="427"/>
      <c r="O187" s="45"/>
      <c r="P187" s="54"/>
      <c r="Q187" s="54"/>
      <c r="R187" s="56"/>
    </row>
    <row r="188">
      <c r="A188" s="24" t="s">
        <v>87</v>
      </c>
      <c r="B188" s="90" t="str">
        <f t="array" ref="B188">iferror(INDEX('作品'!D:D,MATCH(left(A188,3),'作品'!A:A,0),0),"error")</f>
        <v>姫様“拷問”の時間です</v>
      </c>
      <c r="C188" s="46" t="s">
        <v>2643</v>
      </c>
      <c r="D188" s="401" t="s">
        <v>2447</v>
      </c>
      <c r="E188" s="400" t="s">
        <v>2446</v>
      </c>
      <c r="F188" s="423" t="str">
        <f>IFERROR(__xludf.DUMMYFUNCTION("CONCATENATE(""quest_"",D188,""_"",A188,""_"",C188,""_"")&amp;IFERROR(REGEXEXTRACT(G188,""[0-9]{2}""),REGEXEXTRACT(G188,""[0-9]{1}""))"),"quest_main_gom_veryhard_2")</f>
        <v>quest_main_gom_veryhard_2</v>
      </c>
      <c r="G188" s="424" t="s">
        <v>2535</v>
      </c>
      <c r="H188" s="46" t="s">
        <v>2529</v>
      </c>
      <c r="I188" s="425" t="str">
        <f t="shared" si="1"/>
        <v>veryhard_gom_00001</v>
      </c>
      <c r="J188" s="425" t="s">
        <v>2562</v>
      </c>
      <c r="K188" s="425"/>
      <c r="L188" s="425"/>
      <c r="M188" s="426"/>
      <c r="N188" s="426"/>
      <c r="O188" s="45"/>
      <c r="P188" s="54"/>
      <c r="Q188" s="54"/>
      <c r="R188" s="56"/>
    </row>
    <row r="189">
      <c r="A189" s="24" t="s">
        <v>87</v>
      </c>
      <c r="B189" s="90" t="str">
        <f t="array" ref="B189">iferror(INDEX('作品'!D:D,MATCH(left(A189,3),'作品'!A:A,0),0),"error")</f>
        <v>姫様“拷問”の時間です</v>
      </c>
      <c r="C189" s="46" t="s">
        <v>2643</v>
      </c>
      <c r="D189" s="401" t="s">
        <v>2447</v>
      </c>
      <c r="E189" s="400" t="s">
        <v>2446</v>
      </c>
      <c r="F189" s="423" t="str">
        <f>IFERROR(__xludf.DUMMYFUNCTION("CONCATENATE(""quest_"",D189,""_"",A189,""_"",C189,""_"")&amp;IFERROR(REGEXEXTRACT(G189,""[0-9]{2}""),REGEXEXTRACT(G189,""[0-9]{1}""))"),"quest_main_gom_veryhard_2")</f>
        <v>quest_main_gom_veryhard_2</v>
      </c>
      <c r="G189" s="424" t="s">
        <v>2535</v>
      </c>
      <c r="H189" s="46" t="s">
        <v>2530</v>
      </c>
      <c r="I189" s="425" t="str">
        <f t="shared" si="1"/>
        <v>veryhard_gom_00002</v>
      </c>
      <c r="J189" s="59" t="s">
        <v>2563</v>
      </c>
      <c r="K189" s="59"/>
      <c r="L189" s="59"/>
      <c r="M189" s="427"/>
      <c r="N189" s="427"/>
      <c r="O189" s="45"/>
      <c r="P189" s="54"/>
      <c r="Q189" s="54"/>
      <c r="R189" s="56"/>
    </row>
    <row r="190">
      <c r="A190" s="24" t="s">
        <v>87</v>
      </c>
      <c r="B190" s="90" t="str">
        <f t="array" ref="B190">iferror(INDEX('作品'!D:D,MATCH(left(A190,3),'作品'!A:A,0),0),"error")</f>
        <v>姫様“拷問”の時間です</v>
      </c>
      <c r="C190" s="46" t="s">
        <v>2643</v>
      </c>
      <c r="D190" s="401" t="s">
        <v>2447</v>
      </c>
      <c r="E190" s="400" t="s">
        <v>2446</v>
      </c>
      <c r="F190" s="423" t="str">
        <f>IFERROR(__xludf.DUMMYFUNCTION("CONCATENATE(""quest_"",D190,""_"",A190,""_"",C190,""_"")&amp;IFERROR(REGEXEXTRACT(G190,""[0-9]{2}""),REGEXEXTRACT(G190,""[0-9]{1}""))"),"quest_main_gom_veryhard_2")</f>
        <v>quest_main_gom_veryhard_2</v>
      </c>
      <c r="G190" s="424" t="s">
        <v>2535</v>
      </c>
      <c r="H190" s="46" t="s">
        <v>2531</v>
      </c>
      <c r="I190" s="425" t="str">
        <f t="shared" si="1"/>
        <v>veryhard_gom_00003</v>
      </c>
      <c r="J190" s="425" t="s">
        <v>2564</v>
      </c>
      <c r="K190" s="425"/>
      <c r="L190" s="425"/>
      <c r="M190" s="426"/>
      <c r="N190" s="426"/>
      <c r="O190" s="45"/>
      <c r="P190" s="54"/>
      <c r="Q190" s="54"/>
      <c r="R190" s="56"/>
    </row>
    <row r="191">
      <c r="A191" s="24" t="s">
        <v>87</v>
      </c>
      <c r="B191" s="90" t="str">
        <f t="array" ref="B191">iferror(INDEX('作品'!D:D,MATCH(left(A191,3),'作品'!A:A,0),0),"error")</f>
        <v>姫様“拷問”の時間です</v>
      </c>
      <c r="C191" s="46" t="s">
        <v>2643</v>
      </c>
      <c r="D191" s="401" t="s">
        <v>2447</v>
      </c>
      <c r="E191" s="400" t="s">
        <v>2446</v>
      </c>
      <c r="F191" s="423" t="str">
        <f>IFERROR(__xludf.DUMMYFUNCTION("CONCATENATE(""quest_"",D191,""_"",A191,""_"",C191,""_"")&amp;IFERROR(REGEXEXTRACT(G191,""[0-9]{2}""),REGEXEXTRACT(G191,""[0-9]{1}""))"),"quest_main_gom_veryhard_2")</f>
        <v>quest_main_gom_veryhard_2</v>
      </c>
      <c r="G191" s="424" t="s">
        <v>2535</v>
      </c>
      <c r="H191" s="46" t="s">
        <v>2532</v>
      </c>
      <c r="I191" s="425" t="str">
        <f t="shared" si="1"/>
        <v>veryhard_gom_00004</v>
      </c>
      <c r="J191" s="59" t="s">
        <v>2565</v>
      </c>
      <c r="K191" s="59"/>
      <c r="L191" s="59"/>
      <c r="M191" s="427"/>
      <c r="N191" s="427"/>
      <c r="O191" s="45"/>
      <c r="P191" s="54"/>
      <c r="Q191" s="54"/>
      <c r="R191" s="56"/>
    </row>
    <row r="192">
      <c r="A192" s="24" t="s">
        <v>87</v>
      </c>
      <c r="B192" s="90" t="str">
        <f t="array" ref="B192">iferror(INDEX('作品'!D:D,MATCH(left(A192,3),'作品'!A:A,0),0),"error")</f>
        <v>姫様“拷問”の時間です</v>
      </c>
      <c r="C192" s="46" t="s">
        <v>2643</v>
      </c>
      <c r="D192" s="401" t="s">
        <v>2447</v>
      </c>
      <c r="E192" s="400" t="s">
        <v>2446</v>
      </c>
      <c r="F192" s="423" t="str">
        <f>IFERROR(__xludf.DUMMYFUNCTION("CONCATENATE(""quest_"",D192,""_"",A192,""_"",C192,""_"")&amp;IFERROR(REGEXEXTRACT(G192,""[0-9]{2}""),REGEXEXTRACT(G192,""[0-9]{1}""))"),"quest_main_gom_veryhard_2")</f>
        <v>quest_main_gom_veryhard_2</v>
      </c>
      <c r="G192" s="424" t="s">
        <v>2535</v>
      </c>
      <c r="H192" s="46" t="s">
        <v>2533</v>
      </c>
      <c r="I192" s="425" t="str">
        <f t="shared" si="1"/>
        <v>veryhard_gom_00005</v>
      </c>
      <c r="J192" s="425" t="s">
        <v>2566</v>
      </c>
      <c r="K192" s="425"/>
      <c r="L192" s="425"/>
      <c r="M192" s="426"/>
      <c r="N192" s="426"/>
      <c r="O192" s="45"/>
      <c r="P192" s="54"/>
      <c r="Q192" s="54"/>
      <c r="R192" s="56"/>
    </row>
    <row r="193">
      <c r="A193" s="24" t="s">
        <v>87</v>
      </c>
      <c r="B193" s="90" t="str">
        <f t="array" ref="B193">iferror(INDEX('作品'!D:D,MATCH(left(A193,3),'作品'!A:A,0),0),"error")</f>
        <v>姫様“拷問”の時間です</v>
      </c>
      <c r="C193" s="46" t="s">
        <v>2643</v>
      </c>
      <c r="D193" s="401" t="s">
        <v>2447</v>
      </c>
      <c r="E193" s="400" t="s">
        <v>2446</v>
      </c>
      <c r="F193" s="423" t="str">
        <f>IFERROR(__xludf.DUMMYFUNCTION("CONCATENATE(""quest_"",D193,""_"",A193,""_"",C193,""_"")&amp;IFERROR(REGEXEXTRACT(G193,""[0-9]{2}""),REGEXEXTRACT(G193,""[0-9]{1}""))"),"quest_main_gom_veryhard_2")</f>
        <v>quest_main_gom_veryhard_2</v>
      </c>
      <c r="G193" s="424" t="s">
        <v>2535</v>
      </c>
      <c r="H193" s="46" t="s">
        <v>2534</v>
      </c>
      <c r="I193" s="425" t="str">
        <f t="shared" si="1"/>
        <v>veryhard_gom_00006</v>
      </c>
      <c r="J193" s="59" t="s">
        <v>2567</v>
      </c>
      <c r="K193" s="59"/>
      <c r="L193" s="59"/>
      <c r="M193" s="427"/>
      <c r="N193" s="427"/>
      <c r="O193" s="45"/>
      <c r="P193" s="54"/>
      <c r="Q193" s="54"/>
      <c r="R193" s="56"/>
    </row>
    <row r="194">
      <c r="A194" s="45" t="s">
        <v>68</v>
      </c>
      <c r="B194" s="90" t="str">
        <f t="array" ref="B194">iferror(INDEX('作品'!D:D,MATCH(left(A194,3),'作品'!A:A,0),0),"error")</f>
        <v>ラーメン赤猫</v>
      </c>
      <c r="C194" s="46" t="s">
        <v>2643</v>
      </c>
      <c r="D194" s="401" t="s">
        <v>2447</v>
      </c>
      <c r="E194" s="400" t="s">
        <v>2446</v>
      </c>
      <c r="F194" s="423" t="str">
        <f>IFERROR(__xludf.DUMMYFUNCTION("CONCATENATE(""quest_"",D194,""_"",A194,""_"",C194,""_"")&amp;IFERROR(REGEXEXTRACT(G194,""[0-9]{2}""),REGEXEXTRACT(G194,""[0-9]{1}""))"),"quest_main_aka_veryhard_3")</f>
        <v>quest_main_aka_veryhard_3</v>
      </c>
      <c r="G194" s="424" t="s">
        <v>2536</v>
      </c>
      <c r="H194" s="46" t="s">
        <v>2529</v>
      </c>
      <c r="I194" s="425" t="str">
        <f t="shared" si="1"/>
        <v>veryhard_aka_00001</v>
      </c>
      <c r="J194" s="425" t="s">
        <v>2568</v>
      </c>
      <c r="K194" s="425"/>
      <c r="L194" s="425"/>
      <c r="M194" s="426"/>
      <c r="N194" s="426"/>
      <c r="O194" s="45"/>
      <c r="P194" s="54"/>
      <c r="Q194" s="54"/>
      <c r="R194" s="56"/>
    </row>
    <row r="195">
      <c r="A195" s="45" t="s">
        <v>68</v>
      </c>
      <c r="B195" s="90" t="str">
        <f t="array" ref="B195">iferror(INDEX('作品'!D:D,MATCH(left(A195,3),'作品'!A:A,0),0),"error")</f>
        <v>ラーメン赤猫</v>
      </c>
      <c r="C195" s="46" t="s">
        <v>2643</v>
      </c>
      <c r="D195" s="401" t="s">
        <v>2447</v>
      </c>
      <c r="E195" s="400" t="s">
        <v>2446</v>
      </c>
      <c r="F195" s="423" t="str">
        <f>IFERROR(__xludf.DUMMYFUNCTION("CONCATENATE(""quest_"",D195,""_"",A195,""_"",C195,""_"")&amp;IFERROR(REGEXEXTRACT(G195,""[0-9]{2}""),REGEXEXTRACT(G195,""[0-9]{1}""))"),"quest_main_aka_veryhard_3")</f>
        <v>quest_main_aka_veryhard_3</v>
      </c>
      <c r="G195" s="424" t="s">
        <v>2536</v>
      </c>
      <c r="H195" s="46" t="s">
        <v>2530</v>
      </c>
      <c r="I195" s="425" t="str">
        <f t="shared" si="1"/>
        <v>veryhard_aka_00002</v>
      </c>
      <c r="J195" s="59" t="s">
        <v>2569</v>
      </c>
      <c r="K195" s="59"/>
      <c r="L195" s="59"/>
      <c r="M195" s="427"/>
      <c r="N195" s="427"/>
      <c r="O195" s="45"/>
      <c r="P195" s="54"/>
      <c r="Q195" s="54"/>
      <c r="R195" s="56"/>
    </row>
    <row r="196">
      <c r="A196" s="45" t="s">
        <v>68</v>
      </c>
      <c r="B196" s="90" t="str">
        <f t="array" ref="B196">iferror(INDEX('作品'!D:D,MATCH(left(A196,3),'作品'!A:A,0),0),"error")</f>
        <v>ラーメン赤猫</v>
      </c>
      <c r="C196" s="46" t="s">
        <v>2643</v>
      </c>
      <c r="D196" s="401" t="s">
        <v>2447</v>
      </c>
      <c r="E196" s="400" t="s">
        <v>2446</v>
      </c>
      <c r="F196" s="423" t="str">
        <f>IFERROR(__xludf.DUMMYFUNCTION("CONCATENATE(""quest_"",D196,""_"",A196,""_"",C196,""_"")&amp;IFERROR(REGEXEXTRACT(G196,""[0-9]{2}""),REGEXEXTRACT(G196,""[0-9]{1}""))"),"quest_main_aka_veryhard_3")</f>
        <v>quest_main_aka_veryhard_3</v>
      </c>
      <c r="G196" s="424" t="s">
        <v>2536</v>
      </c>
      <c r="H196" s="46" t="s">
        <v>2531</v>
      </c>
      <c r="I196" s="425" t="str">
        <f t="shared" si="1"/>
        <v>veryhard_aka_00003</v>
      </c>
      <c r="J196" s="59" t="s">
        <v>2570</v>
      </c>
      <c r="K196" s="59"/>
      <c r="L196" s="59"/>
      <c r="M196" s="427"/>
      <c r="N196" s="427"/>
      <c r="O196" s="45"/>
      <c r="P196" s="54"/>
      <c r="Q196" s="54"/>
      <c r="R196" s="56"/>
    </row>
    <row r="197">
      <c r="A197" s="25" t="s">
        <v>2537</v>
      </c>
      <c r="B197" s="90" t="str">
        <f t="array" ref="B197">iferror(INDEX('作品'!D:D,MATCH(left(A197,3),'作品'!A:A,0),0),"error")</f>
        <v>GLOW</v>
      </c>
      <c r="C197" s="46" t="s">
        <v>2643</v>
      </c>
      <c r="D197" s="401" t="s">
        <v>2447</v>
      </c>
      <c r="E197" s="400" t="s">
        <v>2446</v>
      </c>
      <c r="F197" s="423" t="str">
        <f>IFERROR(__xludf.DUMMYFUNCTION("CONCATENATE(""quest_"",D197,""_"",A197,""_"",C197,""_"")&amp;IFERROR(REGEXEXTRACT(G197,""[0-9]{2}""),REGEXEXTRACT(G197,""[0-9]{1}""))"),"quest_main_glo1_veryhard_4")</f>
        <v>quest_main_glo1_veryhard_4</v>
      </c>
      <c r="G197" s="424" t="s">
        <v>2538</v>
      </c>
      <c r="H197" s="46" t="s">
        <v>2529</v>
      </c>
      <c r="I197" s="425" t="str">
        <f t="shared" si="1"/>
        <v>veryhard_glo1_00001</v>
      </c>
      <c r="J197" s="425" t="s">
        <v>2571</v>
      </c>
      <c r="K197" s="425"/>
      <c r="L197" s="425"/>
      <c r="M197" s="426"/>
      <c r="N197" s="426"/>
      <c r="O197" s="45"/>
      <c r="P197" s="54"/>
      <c r="Q197" s="54"/>
      <c r="R197" s="56"/>
    </row>
    <row r="198">
      <c r="A198" s="25" t="s">
        <v>2537</v>
      </c>
      <c r="B198" s="90" t="str">
        <f t="array" ref="B198">iferror(INDEX('作品'!D:D,MATCH(left(A198,3),'作品'!A:A,0),0),"error")</f>
        <v>GLOW</v>
      </c>
      <c r="C198" s="46" t="s">
        <v>2643</v>
      </c>
      <c r="D198" s="401" t="s">
        <v>2447</v>
      </c>
      <c r="E198" s="400" t="s">
        <v>2446</v>
      </c>
      <c r="F198" s="423" t="str">
        <f>IFERROR(__xludf.DUMMYFUNCTION("CONCATENATE(""quest_"",D198,""_"",A198,""_"",C198,""_"")&amp;IFERROR(REGEXEXTRACT(G198,""[0-9]{2}""),REGEXEXTRACT(G198,""[0-9]{1}""))"),"quest_main_glo1_veryhard_4")</f>
        <v>quest_main_glo1_veryhard_4</v>
      </c>
      <c r="G198" s="424" t="s">
        <v>2538</v>
      </c>
      <c r="H198" s="46" t="s">
        <v>2530</v>
      </c>
      <c r="I198" s="425" t="str">
        <f t="shared" si="1"/>
        <v>veryhard_glo1_00002</v>
      </c>
      <c r="J198" s="59" t="s">
        <v>2572</v>
      </c>
      <c r="K198" s="59"/>
      <c r="L198" s="59"/>
      <c r="M198" s="427"/>
      <c r="N198" s="427"/>
      <c r="O198" s="45"/>
      <c r="P198" s="54"/>
      <c r="Q198" s="54"/>
      <c r="R198" s="56"/>
    </row>
    <row r="199">
      <c r="A199" s="25" t="s">
        <v>2537</v>
      </c>
      <c r="B199" s="90" t="str">
        <f t="array" ref="B199">iferror(INDEX('作品'!D:D,MATCH(left(A199,3),'作品'!A:A,0),0),"error")</f>
        <v>GLOW</v>
      </c>
      <c r="C199" s="46" t="s">
        <v>2643</v>
      </c>
      <c r="D199" s="401" t="s">
        <v>2447</v>
      </c>
      <c r="E199" s="400" t="s">
        <v>2446</v>
      </c>
      <c r="F199" s="423" t="str">
        <f>IFERROR(__xludf.DUMMYFUNCTION("CONCATENATE(""quest_"",D199,""_"",A199,""_"",C199,""_"")&amp;IFERROR(REGEXEXTRACT(G199,""[0-9]{2}""),REGEXEXTRACT(G199,""[0-9]{1}""))"),"quest_main_glo1_veryhard_4")</f>
        <v>quest_main_glo1_veryhard_4</v>
      </c>
      <c r="G199" s="424" t="s">
        <v>2538</v>
      </c>
      <c r="H199" s="46" t="s">
        <v>2531</v>
      </c>
      <c r="I199" s="425" t="str">
        <f t="shared" si="1"/>
        <v>veryhard_glo1_00003</v>
      </c>
      <c r="J199" s="59" t="s">
        <v>2573</v>
      </c>
      <c r="K199" s="59"/>
      <c r="L199" s="59"/>
      <c r="M199" s="427"/>
      <c r="N199" s="427"/>
      <c r="O199" s="45"/>
      <c r="P199" s="54"/>
      <c r="Q199" s="54"/>
      <c r="R199" s="56"/>
    </row>
    <row r="200">
      <c r="A200" s="25" t="s">
        <v>2537</v>
      </c>
      <c r="B200" s="90" t="str">
        <f t="array" ref="B200">iferror(INDEX('作品'!D:D,MATCH(left(A200,3),'作品'!A:A,0),0),"error")</f>
        <v>GLOW</v>
      </c>
      <c r="C200" s="46" t="s">
        <v>2643</v>
      </c>
      <c r="D200" s="401" t="s">
        <v>2447</v>
      </c>
      <c r="E200" s="400" t="s">
        <v>2446</v>
      </c>
      <c r="F200" s="423" t="str">
        <f>IFERROR(__xludf.DUMMYFUNCTION("CONCATENATE(""quest_"",D200,""_"",A200,""_"",C200,""_"")&amp;IFERROR(REGEXEXTRACT(G200,""[0-9]{2}""),REGEXEXTRACT(G200,""[0-9]{1}""))"),"quest_main_glo1_veryhard_4")</f>
        <v>quest_main_glo1_veryhard_4</v>
      </c>
      <c r="G200" s="424" t="s">
        <v>2538</v>
      </c>
      <c r="H200" s="46" t="s">
        <v>2532</v>
      </c>
      <c r="I200" s="425" t="str">
        <f t="shared" si="1"/>
        <v>veryhard_glo1_00004</v>
      </c>
      <c r="J200" s="425" t="s">
        <v>2574</v>
      </c>
      <c r="K200" s="425"/>
      <c r="L200" s="425"/>
      <c r="M200" s="426"/>
      <c r="N200" s="426"/>
      <c r="O200" s="45"/>
      <c r="P200" s="54"/>
      <c r="Q200" s="54"/>
      <c r="R200" s="56"/>
    </row>
    <row r="201">
      <c r="A201" s="25" t="s">
        <v>2537</v>
      </c>
      <c r="B201" s="90" t="str">
        <f t="array" ref="B201">iferror(INDEX('作品'!D:D,MATCH(left(A201,3),'作品'!A:A,0),0),"error")</f>
        <v>GLOW</v>
      </c>
      <c r="C201" s="46" t="s">
        <v>2643</v>
      </c>
      <c r="D201" s="401" t="s">
        <v>2447</v>
      </c>
      <c r="E201" s="400" t="s">
        <v>2446</v>
      </c>
      <c r="F201" s="423" t="str">
        <f>IFERROR(__xludf.DUMMYFUNCTION("CONCATENATE(""quest_"",D201,""_"",A201,""_"",C201,""_"")&amp;IFERROR(REGEXEXTRACT(G201,""[0-9]{2}""),REGEXEXTRACT(G201,""[0-9]{1}""))"),"quest_main_glo1_veryhard_4")</f>
        <v>quest_main_glo1_veryhard_4</v>
      </c>
      <c r="G201" s="424" t="s">
        <v>2538</v>
      </c>
      <c r="H201" s="46" t="s">
        <v>2533</v>
      </c>
      <c r="I201" s="425" t="str">
        <f t="shared" si="1"/>
        <v>veryhard_glo1_00005</v>
      </c>
      <c r="J201" s="59" t="s">
        <v>2575</v>
      </c>
      <c r="K201" s="59"/>
      <c r="L201" s="59"/>
      <c r="M201" s="427"/>
      <c r="N201" s="427"/>
      <c r="O201" s="45"/>
      <c r="P201" s="54"/>
      <c r="Q201" s="54"/>
      <c r="R201" s="56"/>
    </row>
    <row r="202">
      <c r="A202" s="25" t="s">
        <v>2537</v>
      </c>
      <c r="B202" s="90" t="str">
        <f t="array" ref="B202">iferror(INDEX('作品'!D:D,MATCH(left(A202,3),'作品'!A:A,0),0),"error")</f>
        <v>GLOW</v>
      </c>
      <c r="C202" s="46" t="s">
        <v>2643</v>
      </c>
      <c r="D202" s="401" t="s">
        <v>2447</v>
      </c>
      <c r="E202" s="400" t="s">
        <v>2446</v>
      </c>
      <c r="F202" s="423" t="str">
        <f>IFERROR(__xludf.DUMMYFUNCTION("CONCATENATE(""quest_"",D202,""_"",A202,""_"",C202,""_"")&amp;IFERROR(REGEXEXTRACT(G202,""[0-9]{2}""),REGEXEXTRACT(G202,""[0-9]{1}""))"),"quest_main_glo1_veryhard_4")</f>
        <v>quest_main_glo1_veryhard_4</v>
      </c>
      <c r="G202" s="424" t="s">
        <v>2538</v>
      </c>
      <c r="H202" s="46" t="s">
        <v>2534</v>
      </c>
      <c r="I202" s="425" t="str">
        <f t="shared" si="1"/>
        <v>veryhard_glo1_00006</v>
      </c>
      <c r="J202" s="59" t="s">
        <v>2576</v>
      </c>
      <c r="K202" s="59"/>
      <c r="L202" s="59"/>
      <c r="M202" s="427"/>
      <c r="N202" s="427"/>
      <c r="O202" s="45"/>
      <c r="P202" s="54"/>
      <c r="Q202" s="54"/>
      <c r="R202" s="56"/>
    </row>
    <row r="203">
      <c r="A203" s="24" t="s">
        <v>80</v>
      </c>
      <c r="B203" s="90" t="str">
        <f t="array" ref="B203">iferror(INDEX('作品'!D:D,MATCH(left(A203,3),'作品'!A:A,0),0),"error")</f>
        <v>ダンダダン</v>
      </c>
      <c r="C203" s="46" t="s">
        <v>2643</v>
      </c>
      <c r="D203" s="401" t="s">
        <v>2447</v>
      </c>
      <c r="E203" s="400" t="s">
        <v>2446</v>
      </c>
      <c r="F203" s="423" t="str">
        <f>IFERROR(__xludf.DUMMYFUNCTION("CONCATENATE(""quest_"",D203,""_"",A203,""_"",C203,""_"")&amp;IFERROR(REGEXEXTRACT(G203,""[0-9]{2}""),REGEXEXTRACT(G203,""[0-9]{1}""))"),"quest_main_dan_veryhard_5")</f>
        <v>quest_main_dan_veryhard_5</v>
      </c>
      <c r="G203" s="424" t="s">
        <v>2539</v>
      </c>
      <c r="H203" s="46" t="s">
        <v>2529</v>
      </c>
      <c r="I203" s="425" t="str">
        <f t="shared" si="1"/>
        <v>veryhard_dan_00001</v>
      </c>
      <c r="J203" s="59" t="s">
        <v>2577</v>
      </c>
      <c r="K203" s="59"/>
      <c r="L203" s="59"/>
      <c r="M203" s="427"/>
      <c r="N203" s="427"/>
      <c r="O203" s="45"/>
      <c r="P203" s="54"/>
      <c r="Q203" s="54"/>
      <c r="R203" s="56"/>
    </row>
    <row r="204">
      <c r="A204" s="24" t="s">
        <v>80</v>
      </c>
      <c r="B204" s="90" t="str">
        <f t="array" ref="B204">iferror(INDEX('作品'!D:D,MATCH(left(A204,3),'作品'!A:A,0),0),"error")</f>
        <v>ダンダダン</v>
      </c>
      <c r="C204" s="46" t="s">
        <v>2643</v>
      </c>
      <c r="D204" s="401" t="s">
        <v>2447</v>
      </c>
      <c r="E204" s="400" t="s">
        <v>2446</v>
      </c>
      <c r="F204" s="423" t="str">
        <f>IFERROR(__xludf.DUMMYFUNCTION("CONCATENATE(""quest_"",D204,""_"",A204,""_"",C204,""_"")&amp;IFERROR(REGEXEXTRACT(G204,""[0-9]{2}""),REGEXEXTRACT(G204,""[0-9]{1}""))"),"quest_main_dan_veryhard_5")</f>
        <v>quest_main_dan_veryhard_5</v>
      </c>
      <c r="G204" s="424" t="s">
        <v>2539</v>
      </c>
      <c r="H204" s="46" t="s">
        <v>2530</v>
      </c>
      <c r="I204" s="425" t="str">
        <f t="shared" si="1"/>
        <v>veryhard_dan_00002</v>
      </c>
      <c r="J204" s="59" t="s">
        <v>2578</v>
      </c>
      <c r="K204" s="59"/>
      <c r="L204" s="59"/>
      <c r="M204" s="427"/>
      <c r="N204" s="427"/>
      <c r="O204" s="45"/>
      <c r="P204" s="54"/>
      <c r="Q204" s="54"/>
      <c r="R204" s="56"/>
    </row>
    <row r="205">
      <c r="A205" s="24" t="s">
        <v>80</v>
      </c>
      <c r="B205" s="90" t="str">
        <f t="array" ref="B205">iferror(INDEX('作品'!D:D,MATCH(left(A205,3),'作品'!A:A,0),0),"error")</f>
        <v>ダンダダン</v>
      </c>
      <c r="C205" s="46" t="s">
        <v>2643</v>
      </c>
      <c r="D205" s="401" t="s">
        <v>2447</v>
      </c>
      <c r="E205" s="400" t="s">
        <v>2446</v>
      </c>
      <c r="F205" s="423" t="str">
        <f>IFERROR(__xludf.DUMMYFUNCTION("CONCATENATE(""quest_"",D205,""_"",A205,""_"",C205,""_"")&amp;IFERROR(REGEXEXTRACT(G205,""[0-9]{2}""),REGEXEXTRACT(G205,""[0-9]{1}""))"),"quest_main_dan_veryhard_5")</f>
        <v>quest_main_dan_veryhard_5</v>
      </c>
      <c r="G205" s="424" t="s">
        <v>2539</v>
      </c>
      <c r="H205" s="46" t="s">
        <v>2531</v>
      </c>
      <c r="I205" s="425" t="str">
        <f t="shared" si="1"/>
        <v>veryhard_dan_00003</v>
      </c>
      <c r="J205" s="59" t="s">
        <v>2579</v>
      </c>
      <c r="K205" s="59"/>
      <c r="L205" s="59"/>
      <c r="M205" s="427"/>
      <c r="N205" s="427"/>
      <c r="O205" s="45"/>
      <c r="P205" s="54"/>
      <c r="Q205" s="54"/>
      <c r="R205" s="56"/>
    </row>
    <row r="206">
      <c r="A206" s="24" t="s">
        <v>80</v>
      </c>
      <c r="B206" s="90" t="str">
        <f t="array" ref="B206">iferror(INDEX('作品'!D:D,MATCH(left(A206,3),'作品'!A:A,0),0),"error")</f>
        <v>ダンダダン</v>
      </c>
      <c r="C206" s="46" t="s">
        <v>2643</v>
      </c>
      <c r="D206" s="401" t="s">
        <v>2447</v>
      </c>
      <c r="E206" s="400" t="s">
        <v>2446</v>
      </c>
      <c r="F206" s="423" t="str">
        <f>IFERROR(__xludf.DUMMYFUNCTION("CONCATENATE(""quest_"",D206,""_"",A206,""_"",C206,""_"")&amp;IFERROR(REGEXEXTRACT(G206,""[0-9]{2}""),REGEXEXTRACT(G206,""[0-9]{1}""))"),"quest_main_dan_veryhard_5")</f>
        <v>quest_main_dan_veryhard_5</v>
      </c>
      <c r="G206" s="424" t="s">
        <v>2539</v>
      </c>
      <c r="H206" s="46" t="s">
        <v>2532</v>
      </c>
      <c r="I206" s="425" t="str">
        <f t="shared" si="1"/>
        <v>veryhard_dan_00004</v>
      </c>
      <c r="J206" s="59" t="s">
        <v>2580</v>
      </c>
      <c r="K206" s="59"/>
      <c r="L206" s="59"/>
      <c r="M206" s="427"/>
      <c r="N206" s="427"/>
      <c r="O206" s="45"/>
      <c r="P206" s="54"/>
      <c r="Q206" s="54"/>
      <c r="R206" s="56"/>
    </row>
    <row r="207">
      <c r="A207" s="24" t="s">
        <v>80</v>
      </c>
      <c r="B207" s="90" t="str">
        <f t="array" ref="B207">iferror(INDEX('作品'!D:D,MATCH(left(A207,3),'作品'!A:A,0),0),"error")</f>
        <v>ダンダダン</v>
      </c>
      <c r="C207" s="46" t="s">
        <v>2643</v>
      </c>
      <c r="D207" s="401" t="s">
        <v>2447</v>
      </c>
      <c r="E207" s="400" t="s">
        <v>2446</v>
      </c>
      <c r="F207" s="423" t="str">
        <f>IFERROR(__xludf.DUMMYFUNCTION("CONCATENATE(""quest_"",D207,""_"",A207,""_"",C207,""_"")&amp;IFERROR(REGEXEXTRACT(G207,""[0-9]{2}""),REGEXEXTRACT(G207,""[0-9]{1}""))"),"quest_main_dan_veryhard_5")</f>
        <v>quest_main_dan_veryhard_5</v>
      </c>
      <c r="G207" s="424" t="s">
        <v>2539</v>
      </c>
      <c r="H207" s="46" t="s">
        <v>2533</v>
      </c>
      <c r="I207" s="425" t="str">
        <f t="shared" si="1"/>
        <v>veryhard_dan_00005</v>
      </c>
      <c r="J207" s="59" t="s">
        <v>2581</v>
      </c>
      <c r="K207" s="59"/>
      <c r="L207" s="59"/>
      <c r="M207" s="427"/>
      <c r="N207" s="427"/>
      <c r="O207" s="45"/>
      <c r="P207" s="54"/>
      <c r="Q207" s="54"/>
      <c r="R207" s="56"/>
    </row>
    <row r="208">
      <c r="A208" s="24" t="s">
        <v>80</v>
      </c>
      <c r="B208" s="90" t="str">
        <f t="array" ref="B208">iferror(INDEX('作品'!D:D,MATCH(left(A208,3),'作品'!A:A,0),0),"error")</f>
        <v>ダンダダン</v>
      </c>
      <c r="C208" s="46" t="s">
        <v>2643</v>
      </c>
      <c r="D208" s="401" t="s">
        <v>2447</v>
      </c>
      <c r="E208" s="400" t="s">
        <v>2446</v>
      </c>
      <c r="F208" s="423" t="str">
        <f>IFERROR(__xludf.DUMMYFUNCTION("CONCATENATE(""quest_"",D208,""_"",A208,""_"",C208,""_"")&amp;IFERROR(REGEXEXTRACT(G208,""[0-9]{2}""),REGEXEXTRACT(G208,""[0-9]{1}""))"),"quest_main_dan_veryhard_5")</f>
        <v>quest_main_dan_veryhard_5</v>
      </c>
      <c r="G208" s="424" t="s">
        <v>2539</v>
      </c>
      <c r="H208" s="46" t="s">
        <v>2534</v>
      </c>
      <c r="I208" s="425" t="str">
        <f t="shared" si="1"/>
        <v>veryhard_dan_00006</v>
      </c>
      <c r="J208" s="59" t="s">
        <v>2582</v>
      </c>
      <c r="K208" s="59"/>
      <c r="L208" s="59"/>
      <c r="M208" s="427"/>
      <c r="N208" s="427"/>
      <c r="O208" s="45"/>
      <c r="P208" s="54"/>
      <c r="Q208" s="54"/>
      <c r="R208" s="56"/>
    </row>
    <row r="209">
      <c r="A209" s="24" t="s">
        <v>148</v>
      </c>
      <c r="B209" s="90" t="str">
        <f t="array" ref="B209">iferror(INDEX('作品'!D:D,MATCH(left(A209,3),'作品'!A:A,0),0),"error")</f>
        <v>地獄楽</v>
      </c>
      <c r="C209" s="46" t="s">
        <v>2643</v>
      </c>
      <c r="D209" s="401" t="s">
        <v>2447</v>
      </c>
      <c r="E209" s="400" t="s">
        <v>2446</v>
      </c>
      <c r="F209" s="423" t="str">
        <f>IFERROR(__xludf.DUMMYFUNCTION("CONCATENATE(""quest_"",D209,""_"",A209,""_"",C209,""_"")&amp;IFERROR(REGEXEXTRACT(G209,""[0-9]{2}""),REGEXEXTRACT(G209,""[0-9]{1}""))"),"quest_main_jig_veryhard_6")</f>
        <v>quest_main_jig_veryhard_6</v>
      </c>
      <c r="G209" s="424" t="s">
        <v>2540</v>
      </c>
      <c r="H209" s="46" t="s">
        <v>2529</v>
      </c>
      <c r="I209" s="425" t="str">
        <f t="shared" si="1"/>
        <v>veryhard_jig_00001</v>
      </c>
      <c r="J209" s="425" t="s">
        <v>2583</v>
      </c>
      <c r="K209" s="425"/>
      <c r="L209" s="425"/>
      <c r="M209" s="426"/>
      <c r="N209" s="426"/>
      <c r="O209" s="45"/>
      <c r="P209" s="54"/>
      <c r="Q209" s="54"/>
      <c r="R209" s="56"/>
    </row>
    <row r="210">
      <c r="A210" s="24" t="s">
        <v>148</v>
      </c>
      <c r="B210" s="90" t="str">
        <f t="array" ref="B210">iferror(INDEX('作品'!D:D,MATCH(left(A210,3),'作品'!A:A,0),0),"error")</f>
        <v>地獄楽</v>
      </c>
      <c r="C210" s="46" t="s">
        <v>2643</v>
      </c>
      <c r="D210" s="401" t="s">
        <v>2447</v>
      </c>
      <c r="E210" s="400" t="s">
        <v>2446</v>
      </c>
      <c r="F210" s="423" t="str">
        <f>IFERROR(__xludf.DUMMYFUNCTION("CONCATENATE(""quest_"",D210,""_"",A210,""_"",C210,""_"")&amp;IFERROR(REGEXEXTRACT(G210,""[0-9]{2}""),REGEXEXTRACT(G210,""[0-9]{1}""))"),"quest_main_jig_veryhard_6")</f>
        <v>quest_main_jig_veryhard_6</v>
      </c>
      <c r="G210" s="424" t="s">
        <v>2540</v>
      </c>
      <c r="H210" s="46" t="s">
        <v>2530</v>
      </c>
      <c r="I210" s="425" t="str">
        <f t="shared" si="1"/>
        <v>veryhard_jig_00002</v>
      </c>
      <c r="J210" s="59" t="s">
        <v>2584</v>
      </c>
      <c r="K210" s="59"/>
      <c r="L210" s="59"/>
      <c r="M210" s="427"/>
      <c r="N210" s="427"/>
      <c r="O210" s="45"/>
      <c r="P210" s="54"/>
      <c r="Q210" s="54"/>
      <c r="R210" s="56"/>
    </row>
    <row r="211">
      <c r="A211" s="24" t="s">
        <v>148</v>
      </c>
      <c r="B211" s="90" t="str">
        <f t="array" ref="B211">iferror(INDEX('作品'!D:D,MATCH(left(A211,3),'作品'!A:A,0),0),"error")</f>
        <v>地獄楽</v>
      </c>
      <c r="C211" s="46" t="s">
        <v>2643</v>
      </c>
      <c r="D211" s="401" t="s">
        <v>2447</v>
      </c>
      <c r="E211" s="400" t="s">
        <v>2446</v>
      </c>
      <c r="F211" s="423" t="str">
        <f>IFERROR(__xludf.DUMMYFUNCTION("CONCATENATE(""quest_"",D211,""_"",A211,""_"",C211,""_"")&amp;IFERROR(REGEXEXTRACT(G211,""[0-9]{2}""),REGEXEXTRACT(G211,""[0-9]{1}""))"),"quest_main_jig_veryhard_6")</f>
        <v>quest_main_jig_veryhard_6</v>
      </c>
      <c r="G211" s="424" t="s">
        <v>2540</v>
      </c>
      <c r="H211" s="46" t="s">
        <v>2531</v>
      </c>
      <c r="I211" s="425" t="str">
        <f t="shared" si="1"/>
        <v>veryhard_jig_00003</v>
      </c>
      <c r="J211" s="59" t="s">
        <v>2585</v>
      </c>
      <c r="K211" s="59"/>
      <c r="L211" s="59"/>
      <c r="M211" s="427"/>
      <c r="N211" s="427"/>
      <c r="O211" s="45"/>
      <c r="P211" s="54"/>
      <c r="Q211" s="54"/>
      <c r="R211" s="56"/>
    </row>
    <row r="212">
      <c r="A212" s="24" t="s">
        <v>148</v>
      </c>
      <c r="B212" s="90" t="str">
        <f t="array" ref="B212">iferror(INDEX('作品'!D:D,MATCH(left(A212,3),'作品'!A:A,0),0),"error")</f>
        <v>地獄楽</v>
      </c>
      <c r="C212" s="46" t="s">
        <v>2643</v>
      </c>
      <c r="D212" s="401" t="s">
        <v>2447</v>
      </c>
      <c r="E212" s="400" t="s">
        <v>2446</v>
      </c>
      <c r="F212" s="423" t="str">
        <f>IFERROR(__xludf.DUMMYFUNCTION("CONCATENATE(""quest_"",D212,""_"",A212,""_"",C212,""_"")&amp;IFERROR(REGEXEXTRACT(G212,""[0-9]{2}""),REGEXEXTRACT(G212,""[0-9]{1}""))"),"quest_main_jig_veryhard_6")</f>
        <v>quest_main_jig_veryhard_6</v>
      </c>
      <c r="G212" s="424" t="s">
        <v>2540</v>
      </c>
      <c r="H212" s="46" t="s">
        <v>2532</v>
      </c>
      <c r="I212" s="425" t="str">
        <f t="shared" si="1"/>
        <v>veryhard_jig_00004</v>
      </c>
      <c r="J212" s="425" t="s">
        <v>2586</v>
      </c>
      <c r="K212" s="425"/>
      <c r="L212" s="425"/>
      <c r="M212" s="426"/>
      <c r="N212" s="426"/>
      <c r="O212" s="45"/>
      <c r="P212" s="54"/>
      <c r="Q212" s="54"/>
      <c r="R212" s="56"/>
    </row>
    <row r="213">
      <c r="A213" s="24" t="s">
        <v>148</v>
      </c>
      <c r="B213" s="90" t="str">
        <f t="array" ref="B213">iferror(INDEX('作品'!D:D,MATCH(left(A213,3),'作品'!A:A,0),0),"error")</f>
        <v>地獄楽</v>
      </c>
      <c r="C213" s="46" t="s">
        <v>2643</v>
      </c>
      <c r="D213" s="401" t="s">
        <v>2447</v>
      </c>
      <c r="E213" s="400" t="s">
        <v>2446</v>
      </c>
      <c r="F213" s="423" t="str">
        <f>IFERROR(__xludf.DUMMYFUNCTION("CONCATENATE(""quest_"",D213,""_"",A213,""_"",C213,""_"")&amp;IFERROR(REGEXEXTRACT(G213,""[0-9]{2}""),REGEXEXTRACT(G213,""[0-9]{1}""))"),"quest_main_jig_veryhard_6")</f>
        <v>quest_main_jig_veryhard_6</v>
      </c>
      <c r="G213" s="424" t="s">
        <v>2540</v>
      </c>
      <c r="H213" s="46" t="s">
        <v>2533</v>
      </c>
      <c r="I213" s="425" t="str">
        <f t="shared" si="1"/>
        <v>veryhard_jig_00005</v>
      </c>
      <c r="J213" s="59" t="s">
        <v>2587</v>
      </c>
      <c r="K213" s="59"/>
      <c r="L213" s="59"/>
      <c r="M213" s="427"/>
      <c r="N213" s="427"/>
      <c r="O213" s="45"/>
      <c r="P213" s="54"/>
      <c r="Q213" s="54"/>
      <c r="R213" s="56"/>
    </row>
    <row r="214">
      <c r="A214" s="24" t="s">
        <v>148</v>
      </c>
      <c r="B214" s="90" t="str">
        <f t="array" ref="B214">iferror(INDEX('作品'!D:D,MATCH(left(A214,3),'作品'!A:A,0),0),"error")</f>
        <v>地獄楽</v>
      </c>
      <c r="C214" s="46" t="s">
        <v>2643</v>
      </c>
      <c r="D214" s="401" t="s">
        <v>2447</v>
      </c>
      <c r="E214" s="400" t="s">
        <v>2446</v>
      </c>
      <c r="F214" s="423" t="str">
        <f>IFERROR(__xludf.DUMMYFUNCTION("CONCATENATE(""quest_"",D214,""_"",A214,""_"",C214,""_"")&amp;IFERROR(REGEXEXTRACT(G214,""[0-9]{2}""),REGEXEXTRACT(G214,""[0-9]{1}""))"),"quest_main_jig_veryhard_6")</f>
        <v>quest_main_jig_veryhard_6</v>
      </c>
      <c r="G214" s="424" t="s">
        <v>2540</v>
      </c>
      <c r="H214" s="46" t="s">
        <v>2534</v>
      </c>
      <c r="I214" s="425" t="str">
        <f t="shared" si="1"/>
        <v>veryhard_jig_00006</v>
      </c>
      <c r="J214" s="59" t="s">
        <v>2588</v>
      </c>
      <c r="K214" s="59"/>
      <c r="L214" s="59"/>
      <c r="M214" s="427"/>
      <c r="N214" s="427"/>
      <c r="O214" s="45"/>
      <c r="P214" s="54"/>
      <c r="Q214" s="54"/>
      <c r="R214" s="56"/>
    </row>
    <row r="215">
      <c r="A215" s="25" t="s">
        <v>153</v>
      </c>
      <c r="B215" s="90" t="str">
        <f t="array" ref="B215">iferror(INDEX('作品'!D:D,MATCH(left(A215,3),'作品'!A:A,0),0),"error")</f>
        <v>タコピーの原罪</v>
      </c>
      <c r="C215" s="46" t="s">
        <v>2643</v>
      </c>
      <c r="D215" s="401" t="s">
        <v>2447</v>
      </c>
      <c r="E215" s="400" t="s">
        <v>2446</v>
      </c>
      <c r="F215" s="423" t="str">
        <f>IFERROR(__xludf.DUMMYFUNCTION("CONCATENATE(""quest_"",D215,""_"",A215,""_"",C215,""_"")&amp;IFERROR(REGEXEXTRACT(G215,""[0-9]{2}""),REGEXEXTRACT(G215,""[0-9]{1}""))"),"quest_main_tak_veryhard_7")</f>
        <v>quest_main_tak_veryhard_7</v>
      </c>
      <c r="G215" s="424" t="s">
        <v>2541</v>
      </c>
      <c r="H215" s="46" t="s">
        <v>2529</v>
      </c>
      <c r="I215" s="425" t="str">
        <f t="shared" si="1"/>
        <v>veryhard_tak_00001</v>
      </c>
      <c r="J215" s="425" t="s">
        <v>2589</v>
      </c>
      <c r="K215" s="425"/>
      <c r="L215" s="425"/>
      <c r="M215" s="426"/>
      <c r="N215" s="426"/>
      <c r="O215" s="45"/>
      <c r="P215" s="54"/>
      <c r="Q215" s="54"/>
      <c r="R215" s="56"/>
    </row>
    <row r="216">
      <c r="A216" s="25" t="s">
        <v>153</v>
      </c>
      <c r="B216" s="90" t="str">
        <f t="array" ref="B216">iferror(INDEX('作品'!D:D,MATCH(left(A216,3),'作品'!A:A,0),0),"error")</f>
        <v>タコピーの原罪</v>
      </c>
      <c r="C216" s="46" t="s">
        <v>2643</v>
      </c>
      <c r="D216" s="401" t="s">
        <v>2447</v>
      </c>
      <c r="E216" s="400" t="s">
        <v>2446</v>
      </c>
      <c r="F216" s="423" t="str">
        <f>IFERROR(__xludf.DUMMYFUNCTION("CONCATENATE(""quest_"",D216,""_"",A216,""_"",C216,""_"")&amp;IFERROR(REGEXEXTRACT(G216,""[0-9]{2}""),REGEXEXTRACT(G216,""[0-9]{1}""))"),"quest_main_tak_veryhard_7")</f>
        <v>quest_main_tak_veryhard_7</v>
      </c>
      <c r="G216" s="424" t="s">
        <v>2541</v>
      </c>
      <c r="H216" s="46" t="s">
        <v>2530</v>
      </c>
      <c r="I216" s="425" t="str">
        <f t="shared" si="1"/>
        <v>veryhard_tak_00002</v>
      </c>
      <c r="J216" s="59" t="s">
        <v>2590</v>
      </c>
      <c r="K216" s="59"/>
      <c r="L216" s="59"/>
      <c r="M216" s="427"/>
      <c r="N216" s="427"/>
      <c r="O216" s="45"/>
      <c r="P216" s="54"/>
      <c r="Q216" s="54"/>
      <c r="R216" s="56"/>
    </row>
    <row r="217">
      <c r="A217" s="25" t="s">
        <v>153</v>
      </c>
      <c r="B217" s="90" t="str">
        <f t="array" ref="B217">iferror(INDEX('作品'!D:D,MATCH(left(A217,3),'作品'!A:A,0),0),"error")</f>
        <v>タコピーの原罪</v>
      </c>
      <c r="C217" s="46" t="s">
        <v>2643</v>
      </c>
      <c r="D217" s="401" t="s">
        <v>2447</v>
      </c>
      <c r="E217" s="400" t="s">
        <v>2446</v>
      </c>
      <c r="F217" s="423" t="str">
        <f>IFERROR(__xludf.DUMMYFUNCTION("CONCATENATE(""quest_"",D217,""_"",A217,""_"",C217,""_"")&amp;IFERROR(REGEXEXTRACT(G217,""[0-9]{2}""),REGEXEXTRACT(G217,""[0-9]{1}""))"),"quest_main_tak_veryhard_7")</f>
        <v>quest_main_tak_veryhard_7</v>
      </c>
      <c r="G217" s="424" t="s">
        <v>2541</v>
      </c>
      <c r="H217" s="46" t="s">
        <v>2531</v>
      </c>
      <c r="I217" s="425" t="str">
        <f t="shared" si="1"/>
        <v>veryhard_tak_00003</v>
      </c>
      <c r="J217" s="59" t="s">
        <v>2591</v>
      </c>
      <c r="K217" s="59"/>
      <c r="L217" s="59"/>
      <c r="M217" s="427"/>
      <c r="N217" s="427"/>
      <c r="O217" s="45"/>
      <c r="P217" s="54"/>
      <c r="Q217" s="54"/>
      <c r="R217" s="56"/>
    </row>
    <row r="218">
      <c r="A218" s="25" t="s">
        <v>2542</v>
      </c>
      <c r="B218" s="90" t="str">
        <f t="array" ref="B218">iferror(INDEX('作品'!D:D,MATCH(left(A218,3),'作品'!A:A,0),0),"error")</f>
        <v>GLOW</v>
      </c>
      <c r="C218" s="46" t="s">
        <v>2643</v>
      </c>
      <c r="D218" s="401" t="s">
        <v>2447</v>
      </c>
      <c r="E218" s="400" t="s">
        <v>2446</v>
      </c>
      <c r="F218" s="423" t="str">
        <f>IFERROR(__xludf.DUMMYFUNCTION("CONCATENATE(""quest_"",D218,""_"",A218,""_"",C218,""_"")&amp;IFERROR(REGEXEXTRACT(G218,""[0-9]{2}""),REGEXEXTRACT(G218,""[0-9]{1}""))"),"quest_main_glo2_veryhard_8")</f>
        <v>quest_main_glo2_veryhard_8</v>
      </c>
      <c r="G218" s="424" t="s">
        <v>2543</v>
      </c>
      <c r="H218" s="46" t="s">
        <v>2529</v>
      </c>
      <c r="I218" s="425" t="str">
        <f t="shared" si="1"/>
        <v>veryhard_glo2_00001</v>
      </c>
      <c r="J218" s="425" t="s">
        <v>2592</v>
      </c>
      <c r="K218" s="425"/>
      <c r="L218" s="425"/>
      <c r="M218" s="426"/>
      <c r="N218" s="426"/>
      <c r="O218" s="45"/>
      <c r="P218" s="54"/>
      <c r="Q218" s="54"/>
      <c r="R218" s="56"/>
    </row>
    <row r="219">
      <c r="A219" s="25" t="s">
        <v>2542</v>
      </c>
      <c r="B219" s="90" t="str">
        <f t="array" ref="B219">iferror(INDEX('作品'!D:D,MATCH(left(A219,3),'作品'!A:A,0),0),"error")</f>
        <v>GLOW</v>
      </c>
      <c r="C219" s="46" t="s">
        <v>2643</v>
      </c>
      <c r="D219" s="401" t="s">
        <v>2447</v>
      </c>
      <c r="E219" s="400" t="s">
        <v>2446</v>
      </c>
      <c r="F219" s="423" t="str">
        <f>IFERROR(__xludf.DUMMYFUNCTION("CONCATENATE(""quest_"",D219,""_"",A219,""_"",C219,""_"")&amp;IFERROR(REGEXEXTRACT(G219,""[0-9]{2}""),REGEXEXTRACT(G219,""[0-9]{1}""))"),"quest_main_glo2_veryhard_8")</f>
        <v>quest_main_glo2_veryhard_8</v>
      </c>
      <c r="G219" s="424" t="s">
        <v>2543</v>
      </c>
      <c r="H219" s="46" t="s">
        <v>2530</v>
      </c>
      <c r="I219" s="425" t="str">
        <f t="shared" si="1"/>
        <v>veryhard_glo2_00002</v>
      </c>
      <c r="J219" s="59" t="s">
        <v>2593</v>
      </c>
      <c r="K219" s="59"/>
      <c r="L219" s="59"/>
      <c r="M219" s="427"/>
      <c r="N219" s="427"/>
      <c r="O219" s="45"/>
      <c r="P219" s="54"/>
      <c r="Q219" s="54"/>
      <c r="R219" s="56"/>
    </row>
    <row r="220">
      <c r="A220" s="25" t="s">
        <v>2542</v>
      </c>
      <c r="B220" s="90" t="str">
        <f t="array" ref="B220">iferror(INDEX('作品'!D:D,MATCH(left(A220,3),'作品'!A:A,0),0),"error")</f>
        <v>GLOW</v>
      </c>
      <c r="C220" s="46" t="s">
        <v>2643</v>
      </c>
      <c r="D220" s="401" t="s">
        <v>2447</v>
      </c>
      <c r="E220" s="400" t="s">
        <v>2446</v>
      </c>
      <c r="F220" s="423" t="str">
        <f>IFERROR(__xludf.DUMMYFUNCTION("CONCATENATE(""quest_"",D220,""_"",A220,""_"",C220,""_"")&amp;IFERROR(REGEXEXTRACT(G220,""[0-9]{2}""),REGEXEXTRACT(G220,""[0-9]{1}""))"),"quest_main_glo2_veryhard_8")</f>
        <v>quest_main_glo2_veryhard_8</v>
      </c>
      <c r="G220" s="424" t="s">
        <v>2543</v>
      </c>
      <c r="H220" s="46" t="s">
        <v>2531</v>
      </c>
      <c r="I220" s="425" t="str">
        <f t="shared" si="1"/>
        <v>veryhard_glo2_00003</v>
      </c>
      <c r="J220" s="59" t="s">
        <v>2594</v>
      </c>
      <c r="K220" s="59"/>
      <c r="L220" s="59"/>
      <c r="M220" s="427"/>
      <c r="N220" s="427"/>
      <c r="O220" s="45"/>
      <c r="P220" s="54"/>
      <c r="Q220" s="54"/>
      <c r="R220" s="56"/>
    </row>
    <row r="221">
      <c r="A221" s="25" t="s">
        <v>2542</v>
      </c>
      <c r="B221" s="90" t="str">
        <f t="array" ref="B221">iferror(INDEX('作品'!D:D,MATCH(left(A221,3),'作品'!A:A,0),0),"error")</f>
        <v>GLOW</v>
      </c>
      <c r="C221" s="46" t="s">
        <v>2643</v>
      </c>
      <c r="D221" s="401" t="s">
        <v>2447</v>
      </c>
      <c r="E221" s="400" t="s">
        <v>2446</v>
      </c>
      <c r="F221" s="423" t="str">
        <f>IFERROR(__xludf.DUMMYFUNCTION("CONCATENATE(""quest_"",D221,""_"",A221,""_"",C221,""_"")&amp;IFERROR(REGEXEXTRACT(G221,""[0-9]{2}""),REGEXEXTRACT(G221,""[0-9]{1}""))"),"quest_main_glo2_veryhard_8")</f>
        <v>quest_main_glo2_veryhard_8</v>
      </c>
      <c r="G221" s="424" t="s">
        <v>2543</v>
      </c>
      <c r="H221" s="46" t="s">
        <v>2532</v>
      </c>
      <c r="I221" s="425" t="str">
        <f t="shared" si="1"/>
        <v>veryhard_glo2_00004</v>
      </c>
      <c r="J221" s="425" t="s">
        <v>2595</v>
      </c>
      <c r="K221" s="425"/>
      <c r="L221" s="425"/>
      <c r="M221" s="426"/>
      <c r="N221" s="426"/>
      <c r="O221" s="45"/>
      <c r="P221" s="54"/>
      <c r="Q221" s="54"/>
      <c r="R221" s="56"/>
    </row>
    <row r="222">
      <c r="A222" s="25" t="s">
        <v>2542</v>
      </c>
      <c r="B222" s="90" t="str">
        <f t="array" ref="B222">iferror(INDEX('作品'!D:D,MATCH(left(A222,3),'作品'!A:A,0),0),"error")</f>
        <v>GLOW</v>
      </c>
      <c r="C222" s="46" t="s">
        <v>2643</v>
      </c>
      <c r="D222" s="401" t="s">
        <v>2447</v>
      </c>
      <c r="E222" s="400" t="s">
        <v>2446</v>
      </c>
      <c r="F222" s="423" t="str">
        <f>IFERROR(__xludf.DUMMYFUNCTION("CONCATENATE(""quest_"",D222,""_"",A222,""_"",C222,""_"")&amp;IFERROR(REGEXEXTRACT(G222,""[0-9]{2}""),REGEXEXTRACT(G222,""[0-9]{1}""))"),"quest_main_glo2_veryhard_8")</f>
        <v>quest_main_glo2_veryhard_8</v>
      </c>
      <c r="G222" s="424" t="s">
        <v>2543</v>
      </c>
      <c r="H222" s="46" t="s">
        <v>2533</v>
      </c>
      <c r="I222" s="425" t="str">
        <f t="shared" si="1"/>
        <v>veryhard_glo2_00005</v>
      </c>
      <c r="J222" s="59" t="s">
        <v>2596</v>
      </c>
      <c r="K222" s="59"/>
      <c r="L222" s="59"/>
      <c r="M222" s="427"/>
      <c r="N222" s="427"/>
      <c r="O222" s="45"/>
      <c r="P222" s="54"/>
      <c r="Q222" s="54"/>
      <c r="R222" s="56"/>
    </row>
    <row r="223">
      <c r="A223" s="25" t="s">
        <v>2542</v>
      </c>
      <c r="B223" s="90" t="str">
        <f t="array" ref="B223">iferror(INDEX('作品'!D:D,MATCH(left(A223,3),'作品'!A:A,0),0),"error")</f>
        <v>GLOW</v>
      </c>
      <c r="C223" s="46" t="s">
        <v>2643</v>
      </c>
      <c r="D223" s="401" t="s">
        <v>2447</v>
      </c>
      <c r="E223" s="400" t="s">
        <v>2446</v>
      </c>
      <c r="F223" s="423" t="str">
        <f>IFERROR(__xludf.DUMMYFUNCTION("CONCATENATE(""quest_"",D223,""_"",A223,""_"",C223,""_"")&amp;IFERROR(REGEXEXTRACT(G223,""[0-9]{2}""),REGEXEXTRACT(G223,""[0-9]{1}""))"),"quest_main_glo2_veryhard_8")</f>
        <v>quest_main_glo2_veryhard_8</v>
      </c>
      <c r="G223" s="424" t="s">
        <v>2543</v>
      </c>
      <c r="H223" s="46" t="s">
        <v>2534</v>
      </c>
      <c r="I223" s="425" t="str">
        <f t="shared" si="1"/>
        <v>veryhard_glo2_00006</v>
      </c>
      <c r="J223" s="59" t="s">
        <v>2597</v>
      </c>
      <c r="K223" s="59"/>
      <c r="L223" s="59"/>
      <c r="M223" s="427"/>
      <c r="N223" s="427"/>
      <c r="O223" s="45"/>
      <c r="P223" s="54"/>
      <c r="Q223" s="54"/>
      <c r="R223" s="56"/>
    </row>
    <row r="224">
      <c r="A224" s="24" t="s">
        <v>92</v>
      </c>
      <c r="B224" s="90" t="str">
        <f t="array" ref="B224">iferror(INDEX('作品'!D:D,MATCH(left(A224,3),'作品'!A:A,0),0),"error")</f>
        <v>チェンソーマン</v>
      </c>
      <c r="C224" s="46" t="s">
        <v>2643</v>
      </c>
      <c r="D224" s="401" t="s">
        <v>2447</v>
      </c>
      <c r="E224" s="400" t="s">
        <v>2446</v>
      </c>
      <c r="F224" s="423" t="str">
        <f>IFERROR(__xludf.DUMMYFUNCTION("CONCATENATE(""quest_"",D224,""_"",A224,""_"",C224,""_"")&amp;IFERROR(REGEXEXTRACT(G224,""[0-9]{2}""),REGEXEXTRACT(G224,""[0-9]{1}""))"),"quest_main_chi_veryhard_9")</f>
        <v>quest_main_chi_veryhard_9</v>
      </c>
      <c r="G224" s="428" t="s">
        <v>2544</v>
      </c>
      <c r="H224" s="46" t="s">
        <v>2529</v>
      </c>
      <c r="I224" s="425" t="str">
        <f t="shared" si="1"/>
        <v>veryhard_chi_00001</v>
      </c>
      <c r="J224" s="425" t="s">
        <v>2598</v>
      </c>
      <c r="K224" s="425"/>
      <c r="L224" s="425"/>
      <c r="M224" s="426"/>
      <c r="N224" s="426"/>
      <c r="O224" s="45"/>
      <c r="P224" s="54"/>
      <c r="Q224" s="54"/>
      <c r="R224" s="56"/>
    </row>
    <row r="225">
      <c r="A225" s="24" t="s">
        <v>92</v>
      </c>
      <c r="B225" s="90" t="str">
        <f t="array" ref="B225">iferror(INDEX('作品'!D:D,MATCH(left(A225,3),'作品'!A:A,0),0),"error")</f>
        <v>チェンソーマン</v>
      </c>
      <c r="C225" s="46" t="s">
        <v>2643</v>
      </c>
      <c r="D225" s="401" t="s">
        <v>2447</v>
      </c>
      <c r="E225" s="400" t="s">
        <v>2446</v>
      </c>
      <c r="F225" s="423" t="str">
        <f>IFERROR(__xludf.DUMMYFUNCTION("CONCATENATE(""quest_"",D225,""_"",A225,""_"",C225,""_"")&amp;IFERROR(REGEXEXTRACT(G225,""[0-9]{2}""),REGEXEXTRACT(G225,""[0-9]{1}""))"),"quest_main_chi_veryhard_9")</f>
        <v>quest_main_chi_veryhard_9</v>
      </c>
      <c r="G225" s="428" t="s">
        <v>2544</v>
      </c>
      <c r="H225" s="46" t="s">
        <v>2530</v>
      </c>
      <c r="I225" s="425" t="str">
        <f t="shared" si="1"/>
        <v>veryhard_chi_00002</v>
      </c>
      <c r="J225" s="59" t="s">
        <v>2599</v>
      </c>
      <c r="K225" s="59"/>
      <c r="L225" s="59"/>
      <c r="M225" s="427"/>
      <c r="N225" s="427"/>
      <c r="O225" s="45"/>
      <c r="P225" s="54"/>
      <c r="Q225" s="54"/>
      <c r="R225" s="56"/>
    </row>
    <row r="226">
      <c r="A226" s="24" t="s">
        <v>92</v>
      </c>
      <c r="B226" s="90" t="str">
        <f t="array" ref="B226">iferror(INDEX('作品'!D:D,MATCH(left(A226,3),'作品'!A:A,0),0),"error")</f>
        <v>チェンソーマン</v>
      </c>
      <c r="C226" s="46" t="s">
        <v>2643</v>
      </c>
      <c r="D226" s="401" t="s">
        <v>2447</v>
      </c>
      <c r="E226" s="400" t="s">
        <v>2446</v>
      </c>
      <c r="F226" s="423" t="str">
        <f>IFERROR(__xludf.DUMMYFUNCTION("CONCATENATE(""quest_"",D226,""_"",A226,""_"",C226,""_"")&amp;IFERROR(REGEXEXTRACT(G226,""[0-9]{2}""),REGEXEXTRACT(G226,""[0-9]{1}""))"),"quest_main_chi_veryhard_9")</f>
        <v>quest_main_chi_veryhard_9</v>
      </c>
      <c r="G226" s="428" t="s">
        <v>2544</v>
      </c>
      <c r="H226" s="46" t="s">
        <v>2531</v>
      </c>
      <c r="I226" s="425" t="str">
        <f t="shared" si="1"/>
        <v>veryhard_chi_00003</v>
      </c>
      <c r="J226" s="59" t="s">
        <v>2600</v>
      </c>
      <c r="K226" s="59"/>
      <c r="L226" s="59"/>
      <c r="M226" s="427"/>
      <c r="N226" s="427"/>
      <c r="O226" s="45"/>
      <c r="P226" s="54"/>
      <c r="Q226" s="54"/>
      <c r="R226" s="56"/>
    </row>
    <row r="227">
      <c r="A227" s="24" t="s">
        <v>92</v>
      </c>
      <c r="B227" s="90" t="str">
        <f t="array" ref="B227">iferror(INDEX('作品'!D:D,MATCH(left(A227,3),'作品'!A:A,0),0),"error")</f>
        <v>チェンソーマン</v>
      </c>
      <c r="C227" s="46" t="s">
        <v>2643</v>
      </c>
      <c r="D227" s="401" t="s">
        <v>2447</v>
      </c>
      <c r="E227" s="400" t="s">
        <v>2446</v>
      </c>
      <c r="F227" s="423" t="str">
        <f>IFERROR(__xludf.DUMMYFUNCTION("CONCATENATE(""quest_"",D227,""_"",A227,""_"",C227,""_"")&amp;IFERROR(REGEXEXTRACT(G227,""[0-9]{2}""),REGEXEXTRACT(G227,""[0-9]{1}""))"),"quest_main_chi_veryhard_9")</f>
        <v>quest_main_chi_veryhard_9</v>
      </c>
      <c r="G227" s="428" t="s">
        <v>2544</v>
      </c>
      <c r="H227" s="46" t="s">
        <v>2532</v>
      </c>
      <c r="I227" s="425" t="str">
        <f t="shared" si="1"/>
        <v>veryhard_chi_00004</v>
      </c>
      <c r="J227" s="425" t="s">
        <v>2601</v>
      </c>
      <c r="K227" s="425"/>
      <c r="L227" s="425"/>
      <c r="M227" s="426"/>
      <c r="N227" s="426"/>
      <c r="O227" s="45"/>
      <c r="P227" s="54"/>
      <c r="Q227" s="54"/>
      <c r="R227" s="56"/>
    </row>
    <row r="228">
      <c r="A228" s="24" t="s">
        <v>92</v>
      </c>
      <c r="B228" s="90" t="str">
        <f t="array" ref="B228">iferror(INDEX('作品'!D:D,MATCH(left(A228,3),'作品'!A:A,0),0),"error")</f>
        <v>チェンソーマン</v>
      </c>
      <c r="C228" s="46" t="s">
        <v>2643</v>
      </c>
      <c r="D228" s="401" t="s">
        <v>2447</v>
      </c>
      <c r="E228" s="400" t="s">
        <v>2446</v>
      </c>
      <c r="F228" s="423" t="str">
        <f>IFERROR(__xludf.DUMMYFUNCTION("CONCATENATE(""quest_"",D228,""_"",A228,""_"",C228,""_"")&amp;IFERROR(REGEXEXTRACT(G228,""[0-9]{2}""),REGEXEXTRACT(G228,""[0-9]{1}""))"),"quest_main_chi_veryhard_9")</f>
        <v>quest_main_chi_veryhard_9</v>
      </c>
      <c r="G228" s="428" t="s">
        <v>2544</v>
      </c>
      <c r="H228" s="46" t="s">
        <v>2533</v>
      </c>
      <c r="I228" s="425" t="str">
        <f t="shared" si="1"/>
        <v>veryhard_chi_00005</v>
      </c>
      <c r="J228" s="59" t="s">
        <v>2602</v>
      </c>
      <c r="K228" s="59"/>
      <c r="L228" s="59"/>
      <c r="M228" s="427"/>
      <c r="N228" s="427"/>
      <c r="O228" s="45"/>
      <c r="P228" s="54"/>
      <c r="Q228" s="54"/>
      <c r="R228" s="56"/>
    </row>
    <row r="229">
      <c r="A229" s="24" t="s">
        <v>92</v>
      </c>
      <c r="B229" s="90" t="str">
        <f t="array" ref="B229">iferror(INDEX('作品'!D:D,MATCH(left(A229,3),'作品'!A:A,0),0),"error")</f>
        <v>チェンソーマン</v>
      </c>
      <c r="C229" s="46" t="s">
        <v>2643</v>
      </c>
      <c r="D229" s="401" t="s">
        <v>2447</v>
      </c>
      <c r="E229" s="400" t="s">
        <v>2446</v>
      </c>
      <c r="F229" s="423" t="str">
        <f>IFERROR(__xludf.DUMMYFUNCTION("CONCATENATE(""quest_"",D229,""_"",A229,""_"",C229,""_"")&amp;IFERROR(REGEXEXTRACT(G229,""[0-9]{2}""),REGEXEXTRACT(G229,""[0-9]{1}""))"),"quest_main_chi_veryhard_9")</f>
        <v>quest_main_chi_veryhard_9</v>
      </c>
      <c r="G229" s="428" t="s">
        <v>2544</v>
      </c>
      <c r="H229" s="46" t="s">
        <v>2534</v>
      </c>
      <c r="I229" s="425" t="str">
        <f t="shared" si="1"/>
        <v>veryhard_chi_00006</v>
      </c>
      <c r="J229" s="59" t="s">
        <v>2603</v>
      </c>
      <c r="K229" s="59"/>
      <c r="L229" s="59"/>
      <c r="M229" s="427"/>
      <c r="N229" s="427"/>
      <c r="O229" s="45"/>
      <c r="P229" s="54"/>
      <c r="Q229" s="54"/>
      <c r="R229" s="56"/>
    </row>
    <row r="230">
      <c r="A230" s="24" t="s">
        <v>127</v>
      </c>
      <c r="B230" s="90" t="str">
        <f t="array" ref="B230">iferror(INDEX('作品'!D:D,MATCH(left(A230,3),'作品'!A:A,0),0),"error")</f>
        <v>魔都精兵のスレイブ</v>
      </c>
      <c r="C230" s="46" t="s">
        <v>2643</v>
      </c>
      <c r="D230" s="401" t="s">
        <v>2447</v>
      </c>
      <c r="E230" s="400" t="s">
        <v>2446</v>
      </c>
      <c r="F230" s="423" t="str">
        <f>IFERROR(__xludf.DUMMYFUNCTION("CONCATENATE(""quest_"",D230,""_"",A230,""_"",C230,""_"")&amp;IFERROR(REGEXEXTRACT(G230,""[0-9]{2}""),REGEXEXTRACT(G230,""[0-9]{1}""))"),"quest_main_sur_veryhard_10")</f>
        <v>quest_main_sur_veryhard_10</v>
      </c>
      <c r="G230" s="424" t="s">
        <v>2545</v>
      </c>
      <c r="H230" s="46" t="s">
        <v>2529</v>
      </c>
      <c r="I230" s="425" t="str">
        <f t="shared" si="1"/>
        <v>veryhard_sur_00001</v>
      </c>
      <c r="J230" s="425" t="s">
        <v>2604</v>
      </c>
      <c r="K230" s="425"/>
      <c r="L230" s="425"/>
      <c r="M230" s="426"/>
      <c r="N230" s="426"/>
      <c r="O230" s="45"/>
      <c r="P230" s="54"/>
      <c r="Q230" s="54"/>
      <c r="R230" s="56"/>
    </row>
    <row r="231">
      <c r="A231" s="24" t="s">
        <v>127</v>
      </c>
      <c r="B231" s="90" t="str">
        <f t="array" ref="B231">iferror(INDEX('作品'!D:D,MATCH(left(A231,3),'作品'!A:A,0),0),"error")</f>
        <v>魔都精兵のスレイブ</v>
      </c>
      <c r="C231" s="46" t="s">
        <v>2643</v>
      </c>
      <c r="D231" s="401" t="s">
        <v>2447</v>
      </c>
      <c r="E231" s="400" t="s">
        <v>2446</v>
      </c>
      <c r="F231" s="423" t="str">
        <f>IFERROR(__xludf.DUMMYFUNCTION("CONCATENATE(""quest_"",D231,""_"",A231,""_"",C231,""_"")&amp;IFERROR(REGEXEXTRACT(G231,""[0-9]{2}""),REGEXEXTRACT(G231,""[0-9]{1}""))"),"quest_main_sur_veryhard_10")</f>
        <v>quest_main_sur_veryhard_10</v>
      </c>
      <c r="G231" s="424" t="s">
        <v>2545</v>
      </c>
      <c r="H231" s="46" t="s">
        <v>2530</v>
      </c>
      <c r="I231" s="425" t="str">
        <f t="shared" si="1"/>
        <v>veryhard_sur_00002</v>
      </c>
      <c r="J231" s="59" t="s">
        <v>2605</v>
      </c>
      <c r="K231" s="59"/>
      <c r="L231" s="59"/>
      <c r="M231" s="427"/>
      <c r="N231" s="427"/>
      <c r="O231" s="45"/>
      <c r="P231" s="54"/>
      <c r="Q231" s="54"/>
      <c r="R231" s="56"/>
    </row>
    <row r="232">
      <c r="A232" s="24" t="s">
        <v>127</v>
      </c>
      <c r="B232" s="90" t="str">
        <f t="array" ref="B232">iferror(INDEX('作品'!D:D,MATCH(left(A232,3),'作品'!A:A,0),0),"error")</f>
        <v>魔都精兵のスレイブ</v>
      </c>
      <c r="C232" s="46" t="s">
        <v>2643</v>
      </c>
      <c r="D232" s="401" t="s">
        <v>2447</v>
      </c>
      <c r="E232" s="400" t="s">
        <v>2446</v>
      </c>
      <c r="F232" s="423" t="str">
        <f>IFERROR(__xludf.DUMMYFUNCTION("CONCATENATE(""quest_"",D232,""_"",A232,""_"",C232,""_"")&amp;IFERROR(REGEXEXTRACT(G232,""[0-9]{2}""),REGEXEXTRACT(G232,""[0-9]{1}""))"),"quest_main_sur_veryhard_10")</f>
        <v>quest_main_sur_veryhard_10</v>
      </c>
      <c r="G232" s="424" t="s">
        <v>2545</v>
      </c>
      <c r="H232" s="46" t="s">
        <v>2531</v>
      </c>
      <c r="I232" s="425" t="str">
        <f t="shared" si="1"/>
        <v>veryhard_sur_00003</v>
      </c>
      <c r="J232" s="59" t="s">
        <v>2606</v>
      </c>
      <c r="K232" s="59"/>
      <c r="L232" s="59"/>
      <c r="M232" s="427"/>
      <c r="N232" s="427"/>
      <c r="O232" s="45"/>
      <c r="P232" s="54"/>
      <c r="Q232" s="54"/>
      <c r="R232" s="56"/>
    </row>
    <row r="233">
      <c r="A233" s="24" t="s">
        <v>127</v>
      </c>
      <c r="B233" s="90" t="str">
        <f t="array" ref="B233">iferror(INDEX('作品'!D:D,MATCH(left(A233,3),'作品'!A:A,0),0),"error")</f>
        <v>魔都精兵のスレイブ</v>
      </c>
      <c r="C233" s="46" t="s">
        <v>2643</v>
      </c>
      <c r="D233" s="401" t="s">
        <v>2447</v>
      </c>
      <c r="E233" s="400" t="s">
        <v>2446</v>
      </c>
      <c r="F233" s="423" t="str">
        <f>IFERROR(__xludf.DUMMYFUNCTION("CONCATENATE(""quest_"",D233,""_"",A233,""_"",C233,""_"")&amp;IFERROR(REGEXEXTRACT(G233,""[0-9]{2}""),REGEXEXTRACT(G233,""[0-9]{1}""))"),"quest_main_sur_veryhard_10")</f>
        <v>quest_main_sur_veryhard_10</v>
      </c>
      <c r="G233" s="424" t="s">
        <v>2545</v>
      </c>
      <c r="H233" s="46" t="s">
        <v>2532</v>
      </c>
      <c r="I233" s="425" t="str">
        <f t="shared" si="1"/>
        <v>veryhard_sur_00004</v>
      </c>
      <c r="J233" s="59" t="s">
        <v>2607</v>
      </c>
      <c r="K233" s="59"/>
      <c r="L233" s="59"/>
      <c r="M233" s="427"/>
      <c r="N233" s="427"/>
      <c r="O233" s="45"/>
      <c r="P233" s="54"/>
      <c r="Q233" s="54"/>
      <c r="R233" s="56"/>
    </row>
    <row r="234">
      <c r="A234" s="24" t="s">
        <v>127</v>
      </c>
      <c r="B234" s="90" t="str">
        <f t="array" ref="B234">iferror(INDEX('作品'!D:D,MATCH(left(A234,3),'作品'!A:A,0),0),"error")</f>
        <v>魔都精兵のスレイブ</v>
      </c>
      <c r="C234" s="46" t="s">
        <v>2643</v>
      </c>
      <c r="D234" s="401" t="s">
        <v>2447</v>
      </c>
      <c r="E234" s="400" t="s">
        <v>2446</v>
      </c>
      <c r="F234" s="423" t="str">
        <f>IFERROR(__xludf.DUMMYFUNCTION("CONCATENATE(""quest_"",D234,""_"",A234,""_"",C234,""_"")&amp;IFERROR(REGEXEXTRACT(G234,""[0-9]{2}""),REGEXEXTRACT(G234,""[0-9]{1}""))"),"quest_main_sur_veryhard_10")</f>
        <v>quest_main_sur_veryhard_10</v>
      </c>
      <c r="G234" s="424" t="s">
        <v>2545</v>
      </c>
      <c r="H234" s="46" t="s">
        <v>2533</v>
      </c>
      <c r="I234" s="425" t="str">
        <f t="shared" si="1"/>
        <v>veryhard_sur_00005</v>
      </c>
      <c r="J234" s="59" t="s">
        <v>2608</v>
      </c>
      <c r="K234" s="59"/>
      <c r="L234" s="59"/>
      <c r="M234" s="427"/>
      <c r="N234" s="427"/>
      <c r="O234" s="45"/>
      <c r="P234" s="54"/>
      <c r="Q234" s="54"/>
      <c r="R234" s="56"/>
    </row>
    <row r="235">
      <c r="A235" s="24" t="s">
        <v>127</v>
      </c>
      <c r="B235" s="90" t="str">
        <f t="array" ref="B235">iferror(INDEX('作品'!D:D,MATCH(left(A235,3),'作品'!A:A,0),0),"error")</f>
        <v>魔都精兵のスレイブ</v>
      </c>
      <c r="C235" s="46" t="s">
        <v>2643</v>
      </c>
      <c r="D235" s="401" t="s">
        <v>2447</v>
      </c>
      <c r="E235" s="400" t="s">
        <v>2446</v>
      </c>
      <c r="F235" s="423" t="str">
        <f>IFERROR(__xludf.DUMMYFUNCTION("CONCATENATE(""quest_"",D235,""_"",A235,""_"",C235,""_"")&amp;IFERROR(REGEXEXTRACT(G235,""[0-9]{2}""),REGEXEXTRACT(G235,""[0-9]{1}""))"),"quest_main_sur_veryhard_10")</f>
        <v>quest_main_sur_veryhard_10</v>
      </c>
      <c r="G235" s="424" t="s">
        <v>2545</v>
      </c>
      <c r="H235" s="46" t="s">
        <v>2534</v>
      </c>
      <c r="I235" s="425" t="str">
        <f t="shared" si="1"/>
        <v>veryhard_sur_00006</v>
      </c>
      <c r="J235" s="59" t="s">
        <v>2609</v>
      </c>
      <c r="K235" s="59"/>
      <c r="L235" s="59"/>
      <c r="M235" s="427"/>
      <c r="N235" s="427"/>
      <c r="O235" s="45"/>
      <c r="P235" s="54"/>
      <c r="Q235" s="54"/>
      <c r="R235" s="56"/>
    </row>
    <row r="236">
      <c r="A236" s="24" t="s">
        <v>75</v>
      </c>
      <c r="B236" s="90" t="str">
        <f t="array" ref="B236">iferror(INDEX('作品'!D:D,MATCH(left(A236,3),'作品'!A:A,0),0),"error")</f>
        <v>トマトイプーのリコピン</v>
      </c>
      <c r="C236" s="46" t="s">
        <v>2643</v>
      </c>
      <c r="D236" s="401" t="s">
        <v>2447</v>
      </c>
      <c r="E236" s="400" t="s">
        <v>2446</v>
      </c>
      <c r="F236" s="423" t="str">
        <f>IFERROR(__xludf.DUMMYFUNCTION("CONCATENATE(""quest_"",D236,""_"",A236,""_"",C236,""_"")&amp;IFERROR(REGEXEXTRACT(G236,""[0-9]{2}""),REGEXEXTRACT(G236,""[0-9]{1}""))"),"quest_main_rik_veryhard_11")</f>
        <v>quest_main_rik_veryhard_11</v>
      </c>
      <c r="G236" s="424" t="s">
        <v>2546</v>
      </c>
      <c r="H236" s="46" t="s">
        <v>2529</v>
      </c>
      <c r="I236" s="425" t="str">
        <f t="shared" si="1"/>
        <v>veryhard_rik_00001</v>
      </c>
      <c r="J236" s="425" t="s">
        <v>2610</v>
      </c>
      <c r="K236" s="425"/>
      <c r="L236" s="425"/>
      <c r="M236" s="426"/>
      <c r="N236" s="426"/>
      <c r="O236" s="45"/>
      <c r="P236" s="54"/>
      <c r="Q236" s="54"/>
      <c r="R236" s="56"/>
    </row>
    <row r="237">
      <c r="A237" s="24" t="s">
        <v>75</v>
      </c>
      <c r="B237" s="90" t="str">
        <f t="array" ref="B237">iferror(INDEX('作品'!D:D,MATCH(left(A237,3),'作品'!A:A,0),0),"error")</f>
        <v>トマトイプーのリコピン</v>
      </c>
      <c r="C237" s="46" t="s">
        <v>2643</v>
      </c>
      <c r="D237" s="401" t="s">
        <v>2447</v>
      </c>
      <c r="E237" s="400" t="s">
        <v>2446</v>
      </c>
      <c r="F237" s="423" t="str">
        <f>IFERROR(__xludf.DUMMYFUNCTION("CONCATENATE(""quest_"",D237,""_"",A237,""_"",C237,""_"")&amp;IFERROR(REGEXEXTRACT(G237,""[0-9]{2}""),REGEXEXTRACT(G237,""[0-9]{1}""))"),"quest_main_rik_veryhard_11")</f>
        <v>quest_main_rik_veryhard_11</v>
      </c>
      <c r="G237" s="424" t="s">
        <v>2546</v>
      </c>
      <c r="H237" s="46" t="s">
        <v>2530</v>
      </c>
      <c r="I237" s="425" t="str">
        <f t="shared" si="1"/>
        <v>veryhard_rik_00002</v>
      </c>
      <c r="J237" s="59" t="s">
        <v>2611</v>
      </c>
      <c r="K237" s="59"/>
      <c r="L237" s="59"/>
      <c r="M237" s="427"/>
      <c r="N237" s="427"/>
      <c r="O237" s="45"/>
      <c r="P237" s="54"/>
      <c r="Q237" s="54"/>
      <c r="R237" s="56"/>
    </row>
    <row r="238">
      <c r="A238" s="24" t="s">
        <v>75</v>
      </c>
      <c r="B238" s="90" t="str">
        <f t="array" ref="B238">iferror(INDEX('作品'!D:D,MATCH(left(A238,3),'作品'!A:A,0),0),"error")</f>
        <v>トマトイプーのリコピン</v>
      </c>
      <c r="C238" s="46" t="s">
        <v>2643</v>
      </c>
      <c r="D238" s="401" t="s">
        <v>2447</v>
      </c>
      <c r="E238" s="400" t="s">
        <v>2446</v>
      </c>
      <c r="F238" s="423" t="str">
        <f>IFERROR(__xludf.DUMMYFUNCTION("CONCATENATE(""quest_"",D238,""_"",A238,""_"",C238,""_"")&amp;IFERROR(REGEXEXTRACT(G238,""[0-9]{2}""),REGEXEXTRACT(G238,""[0-9]{1}""))"),"quest_main_rik_veryhard_11")</f>
        <v>quest_main_rik_veryhard_11</v>
      </c>
      <c r="G238" s="424" t="s">
        <v>2546</v>
      </c>
      <c r="H238" s="46" t="s">
        <v>2531</v>
      </c>
      <c r="I238" s="425" t="str">
        <f t="shared" si="1"/>
        <v>veryhard_rik_00003</v>
      </c>
      <c r="J238" s="59" t="s">
        <v>2612</v>
      </c>
      <c r="K238" s="59"/>
      <c r="L238" s="59"/>
      <c r="M238" s="427"/>
      <c r="N238" s="427"/>
      <c r="O238" s="45"/>
      <c r="P238" s="54"/>
      <c r="Q238" s="54"/>
      <c r="R238" s="56"/>
    </row>
    <row r="239">
      <c r="A239" s="25" t="s">
        <v>2547</v>
      </c>
      <c r="B239" s="90" t="str">
        <f t="array" ref="B239">iferror(INDEX('作品'!D:D,MATCH(left(A239,3),'作品'!A:A,0),0),"error")</f>
        <v>GLOW</v>
      </c>
      <c r="C239" s="46" t="s">
        <v>2643</v>
      </c>
      <c r="D239" s="401" t="s">
        <v>2447</v>
      </c>
      <c r="E239" s="400" t="s">
        <v>2446</v>
      </c>
      <c r="F239" s="423" t="str">
        <f>IFERROR(__xludf.DUMMYFUNCTION("CONCATENATE(""quest_"",D239,""_"",A239,""_"",C239,""_"")&amp;IFERROR(REGEXEXTRACT(G239,""[0-9]{2}""),REGEXEXTRACT(G239,""[0-9]{1}""))"),"quest_main_glo3_veryhard_12")</f>
        <v>quest_main_glo3_veryhard_12</v>
      </c>
      <c r="G239" s="424" t="s">
        <v>2548</v>
      </c>
      <c r="H239" s="46" t="s">
        <v>2529</v>
      </c>
      <c r="I239" s="425" t="str">
        <f t="shared" si="1"/>
        <v>veryhard_glo3_00001</v>
      </c>
      <c r="J239" s="425" t="s">
        <v>2613</v>
      </c>
      <c r="K239" s="425"/>
      <c r="L239" s="425"/>
      <c r="M239" s="426"/>
      <c r="N239" s="426"/>
      <c r="O239" s="45"/>
      <c r="P239" s="54"/>
      <c r="Q239" s="54"/>
      <c r="R239" s="56"/>
    </row>
    <row r="240">
      <c r="A240" s="25" t="s">
        <v>2547</v>
      </c>
      <c r="B240" s="90" t="str">
        <f t="array" ref="B240">iferror(INDEX('作品'!D:D,MATCH(left(A240,3),'作品'!A:A,0),0),"error")</f>
        <v>GLOW</v>
      </c>
      <c r="C240" s="46" t="s">
        <v>2643</v>
      </c>
      <c r="D240" s="401" t="s">
        <v>2447</v>
      </c>
      <c r="E240" s="400" t="s">
        <v>2446</v>
      </c>
      <c r="F240" s="423" t="str">
        <f>IFERROR(__xludf.DUMMYFUNCTION("CONCATENATE(""quest_"",D240,""_"",A240,""_"",C240,""_"")&amp;IFERROR(REGEXEXTRACT(G240,""[0-9]{2}""),REGEXEXTRACT(G240,""[0-9]{1}""))"),"quest_main_glo3_veryhard_12")</f>
        <v>quest_main_glo3_veryhard_12</v>
      </c>
      <c r="G240" s="424" t="s">
        <v>2548</v>
      </c>
      <c r="H240" s="46" t="s">
        <v>2530</v>
      </c>
      <c r="I240" s="425" t="str">
        <f t="shared" si="1"/>
        <v>veryhard_glo3_00002</v>
      </c>
      <c r="J240" s="59" t="s">
        <v>2614</v>
      </c>
      <c r="K240" s="59"/>
      <c r="L240" s="59"/>
      <c r="M240" s="427"/>
      <c r="N240" s="427"/>
      <c r="O240" s="45"/>
      <c r="P240" s="54"/>
      <c r="Q240" s="54"/>
      <c r="R240" s="56"/>
    </row>
    <row r="241">
      <c r="A241" s="25" t="s">
        <v>2547</v>
      </c>
      <c r="B241" s="90" t="str">
        <f t="array" ref="B241">iferror(INDEX('作品'!D:D,MATCH(left(A241,3),'作品'!A:A,0),0),"error")</f>
        <v>GLOW</v>
      </c>
      <c r="C241" s="46" t="s">
        <v>2643</v>
      </c>
      <c r="D241" s="401" t="s">
        <v>2447</v>
      </c>
      <c r="E241" s="400" t="s">
        <v>2446</v>
      </c>
      <c r="F241" s="423" t="str">
        <f>IFERROR(__xludf.DUMMYFUNCTION("CONCATENATE(""quest_"",D241,""_"",A241,""_"",C241,""_"")&amp;IFERROR(REGEXEXTRACT(G241,""[0-9]{2}""),REGEXEXTRACT(G241,""[0-9]{1}""))"),"quest_main_glo3_veryhard_12")</f>
        <v>quest_main_glo3_veryhard_12</v>
      </c>
      <c r="G241" s="424" t="s">
        <v>2548</v>
      </c>
      <c r="H241" s="46" t="s">
        <v>2531</v>
      </c>
      <c r="I241" s="425" t="str">
        <f t="shared" si="1"/>
        <v>veryhard_glo3_00003</v>
      </c>
      <c r="J241" s="59" t="s">
        <v>2615</v>
      </c>
      <c r="K241" s="59"/>
      <c r="L241" s="59"/>
      <c r="M241" s="427"/>
      <c r="N241" s="427"/>
      <c r="O241" s="45"/>
      <c r="P241" s="54"/>
      <c r="Q241" s="54"/>
      <c r="R241" s="56"/>
    </row>
    <row r="242">
      <c r="A242" s="25" t="s">
        <v>2547</v>
      </c>
      <c r="B242" s="90" t="str">
        <f t="array" ref="B242">iferror(INDEX('作品'!D:D,MATCH(left(A242,3),'作品'!A:A,0),0),"error")</f>
        <v>GLOW</v>
      </c>
      <c r="C242" s="46" t="s">
        <v>2643</v>
      </c>
      <c r="D242" s="401" t="s">
        <v>2447</v>
      </c>
      <c r="E242" s="400" t="s">
        <v>2446</v>
      </c>
      <c r="F242" s="423" t="str">
        <f>IFERROR(__xludf.DUMMYFUNCTION("CONCATENATE(""quest_"",D242,""_"",A242,""_"",C242,""_"")&amp;IFERROR(REGEXEXTRACT(G242,""[0-9]{2}""),REGEXEXTRACT(G242,""[0-9]{1}""))"),"quest_main_glo3_veryhard_12")</f>
        <v>quest_main_glo3_veryhard_12</v>
      </c>
      <c r="G242" s="424" t="s">
        <v>2548</v>
      </c>
      <c r="H242" s="46" t="s">
        <v>2532</v>
      </c>
      <c r="I242" s="425" t="str">
        <f t="shared" si="1"/>
        <v>veryhard_glo3_00004</v>
      </c>
      <c r="J242" s="425" t="s">
        <v>2616</v>
      </c>
      <c r="K242" s="425"/>
      <c r="L242" s="425"/>
      <c r="M242" s="426"/>
      <c r="N242" s="426"/>
      <c r="O242" s="45"/>
      <c r="P242" s="54"/>
      <c r="Q242" s="54"/>
      <c r="R242" s="56"/>
    </row>
    <row r="243">
      <c r="A243" s="25" t="s">
        <v>2547</v>
      </c>
      <c r="B243" s="90" t="str">
        <f t="array" ref="B243">iferror(INDEX('作品'!D:D,MATCH(left(A243,3),'作品'!A:A,0),0),"error")</f>
        <v>GLOW</v>
      </c>
      <c r="C243" s="46" t="s">
        <v>2643</v>
      </c>
      <c r="D243" s="401" t="s">
        <v>2447</v>
      </c>
      <c r="E243" s="400" t="s">
        <v>2446</v>
      </c>
      <c r="F243" s="423" t="str">
        <f>IFERROR(__xludf.DUMMYFUNCTION("CONCATENATE(""quest_"",D243,""_"",A243,""_"",C243,""_"")&amp;IFERROR(REGEXEXTRACT(G243,""[0-9]{2}""),REGEXEXTRACT(G243,""[0-9]{1}""))"),"quest_main_glo3_veryhard_12")</f>
        <v>quest_main_glo3_veryhard_12</v>
      </c>
      <c r="G243" s="424" t="s">
        <v>2548</v>
      </c>
      <c r="H243" s="46" t="s">
        <v>2533</v>
      </c>
      <c r="I243" s="425" t="str">
        <f t="shared" si="1"/>
        <v>veryhard_glo3_00005</v>
      </c>
      <c r="J243" s="59" t="s">
        <v>2617</v>
      </c>
      <c r="K243" s="59"/>
      <c r="L243" s="59"/>
      <c r="M243" s="427"/>
      <c r="N243" s="427"/>
      <c r="O243" s="45"/>
      <c r="P243" s="54"/>
      <c r="Q243" s="54"/>
      <c r="R243" s="56"/>
    </row>
    <row r="244">
      <c r="A244" s="25" t="s">
        <v>2547</v>
      </c>
      <c r="B244" s="90" t="str">
        <f t="array" ref="B244">iferror(INDEX('作品'!D:D,MATCH(left(A244,3),'作品'!A:A,0),0),"error")</f>
        <v>GLOW</v>
      </c>
      <c r="C244" s="46" t="s">
        <v>2643</v>
      </c>
      <c r="D244" s="401" t="s">
        <v>2447</v>
      </c>
      <c r="E244" s="400" t="s">
        <v>2446</v>
      </c>
      <c r="F244" s="423" t="str">
        <f>IFERROR(__xludf.DUMMYFUNCTION("CONCATENATE(""quest_"",D244,""_"",A244,""_"",C244,""_"")&amp;IFERROR(REGEXEXTRACT(G244,""[0-9]{2}""),REGEXEXTRACT(G244,""[0-9]{1}""))"),"quest_main_glo3_veryhard_12")</f>
        <v>quest_main_glo3_veryhard_12</v>
      </c>
      <c r="G244" s="424" t="s">
        <v>2548</v>
      </c>
      <c r="H244" s="46" t="s">
        <v>2534</v>
      </c>
      <c r="I244" s="425" t="str">
        <f t="shared" si="1"/>
        <v>veryhard_glo3_00006</v>
      </c>
      <c r="J244" s="59" t="s">
        <v>2618</v>
      </c>
      <c r="K244" s="59"/>
      <c r="L244" s="59"/>
      <c r="M244" s="427"/>
      <c r="N244" s="427"/>
      <c r="O244" s="45"/>
      <c r="P244" s="54"/>
      <c r="Q244" s="54"/>
      <c r="R244" s="56"/>
    </row>
    <row r="245">
      <c r="A245" s="45" t="s">
        <v>98</v>
      </c>
      <c r="B245" s="90" t="str">
        <f t="array" ref="B245">iferror(INDEX('作品'!D:D,MATCH(left(A245,3),'作品'!A:A,0),0),"error")</f>
        <v>株式会社マジルミエ</v>
      </c>
      <c r="C245" s="46" t="s">
        <v>2643</v>
      </c>
      <c r="D245" s="401" t="s">
        <v>2447</v>
      </c>
      <c r="E245" s="400" t="s">
        <v>2446</v>
      </c>
      <c r="F245" s="423" t="str">
        <f>IFERROR(__xludf.DUMMYFUNCTION("CONCATENATE(""quest_"",D245,""_"",A245,""_"",C245,""_"")&amp;IFERROR(REGEXEXTRACT(G245,""[0-9]{2}""),REGEXEXTRACT(G245,""[0-9]{1}""))"),"quest_main_mag_veryhard_13")</f>
        <v>quest_main_mag_veryhard_13</v>
      </c>
      <c r="G245" s="424" t="s">
        <v>2549</v>
      </c>
      <c r="H245" s="46" t="s">
        <v>2529</v>
      </c>
      <c r="I245" s="425" t="str">
        <f t="shared" si="1"/>
        <v>veryhard_mag_00001</v>
      </c>
      <c r="J245" s="425" t="s">
        <v>2619</v>
      </c>
      <c r="K245" s="425"/>
      <c r="L245" s="425"/>
      <c r="M245" s="426"/>
      <c r="N245" s="426"/>
      <c r="O245" s="45"/>
      <c r="P245" s="54"/>
      <c r="Q245" s="54"/>
      <c r="R245" s="56"/>
    </row>
    <row r="246">
      <c r="A246" s="45" t="s">
        <v>98</v>
      </c>
      <c r="B246" s="90" t="str">
        <f t="array" ref="B246">iferror(INDEX('作品'!D:D,MATCH(left(A246,3),'作品'!A:A,0),0),"error")</f>
        <v>株式会社マジルミエ</v>
      </c>
      <c r="C246" s="46" t="s">
        <v>2643</v>
      </c>
      <c r="D246" s="401" t="s">
        <v>2447</v>
      </c>
      <c r="E246" s="400" t="s">
        <v>2446</v>
      </c>
      <c r="F246" s="423" t="str">
        <f>IFERROR(__xludf.DUMMYFUNCTION("CONCATENATE(""quest_"",D246,""_"",A246,""_"",C246,""_"")&amp;IFERROR(REGEXEXTRACT(G246,""[0-9]{2}""),REGEXEXTRACT(G246,""[0-9]{1}""))"),"quest_main_mag_veryhard_13")</f>
        <v>quest_main_mag_veryhard_13</v>
      </c>
      <c r="G246" s="424" t="s">
        <v>2549</v>
      </c>
      <c r="H246" s="46" t="s">
        <v>2530</v>
      </c>
      <c r="I246" s="425" t="str">
        <f t="shared" si="1"/>
        <v>veryhard_mag_00002</v>
      </c>
      <c r="J246" s="59" t="s">
        <v>2620</v>
      </c>
      <c r="K246" s="59"/>
      <c r="L246" s="59"/>
      <c r="M246" s="427"/>
      <c r="N246" s="427"/>
      <c r="O246" s="45"/>
      <c r="P246" s="54"/>
      <c r="Q246" s="54"/>
      <c r="R246" s="56"/>
    </row>
    <row r="247">
      <c r="A247" s="45" t="s">
        <v>98</v>
      </c>
      <c r="B247" s="90" t="str">
        <f t="array" ref="B247">iferror(INDEX('作品'!D:D,MATCH(left(A247,3),'作品'!A:A,0),0),"error")</f>
        <v>株式会社マジルミエ</v>
      </c>
      <c r="C247" s="46" t="s">
        <v>2643</v>
      </c>
      <c r="D247" s="401" t="s">
        <v>2447</v>
      </c>
      <c r="E247" s="400" t="s">
        <v>2446</v>
      </c>
      <c r="F247" s="423" t="str">
        <f>IFERROR(__xludf.DUMMYFUNCTION("CONCATENATE(""quest_"",D247,""_"",A247,""_"",C247,""_"")&amp;IFERROR(REGEXEXTRACT(G247,""[0-9]{2}""),REGEXEXTRACT(G247,""[0-9]{1}""))"),"quest_main_mag_veryhard_13")</f>
        <v>quest_main_mag_veryhard_13</v>
      </c>
      <c r="G247" s="424" t="s">
        <v>2549</v>
      </c>
      <c r="H247" s="46" t="s">
        <v>2531</v>
      </c>
      <c r="I247" s="425" t="str">
        <f t="shared" si="1"/>
        <v>veryhard_mag_00003</v>
      </c>
      <c r="J247" s="59" t="s">
        <v>2621</v>
      </c>
      <c r="K247" s="59"/>
      <c r="L247" s="59"/>
      <c r="M247" s="427"/>
      <c r="N247" s="427"/>
      <c r="O247" s="45"/>
      <c r="P247" s="54"/>
      <c r="Q247" s="54"/>
      <c r="R247" s="56"/>
    </row>
    <row r="248">
      <c r="A248" s="45" t="s">
        <v>98</v>
      </c>
      <c r="B248" s="90" t="str">
        <f t="array" ref="B248">iferror(INDEX('作品'!D:D,MATCH(left(A248,3),'作品'!A:A,0),0),"error")</f>
        <v>株式会社マジルミエ</v>
      </c>
      <c r="C248" s="46" t="s">
        <v>2643</v>
      </c>
      <c r="D248" s="401" t="s">
        <v>2447</v>
      </c>
      <c r="E248" s="400" t="s">
        <v>2446</v>
      </c>
      <c r="F248" s="423" t="str">
        <f>IFERROR(__xludf.DUMMYFUNCTION("CONCATENATE(""quest_"",D248,""_"",A248,""_"",C248,""_"")&amp;IFERROR(REGEXEXTRACT(G248,""[0-9]{2}""),REGEXEXTRACT(G248,""[0-9]{1}""))"),"quest_main_mag_veryhard_13")</f>
        <v>quest_main_mag_veryhard_13</v>
      </c>
      <c r="G248" s="424" t="s">
        <v>2549</v>
      </c>
      <c r="H248" s="46" t="s">
        <v>2532</v>
      </c>
      <c r="I248" s="425" t="str">
        <f t="shared" si="1"/>
        <v>veryhard_mag_00004</v>
      </c>
      <c r="J248" s="425" t="s">
        <v>2622</v>
      </c>
      <c r="K248" s="425"/>
      <c r="L248" s="425"/>
      <c r="M248" s="426"/>
      <c r="N248" s="426"/>
      <c r="O248" s="45"/>
      <c r="P248" s="54"/>
      <c r="Q248" s="54"/>
      <c r="R248" s="56"/>
    </row>
    <row r="249">
      <c r="A249" s="45" t="s">
        <v>98</v>
      </c>
      <c r="B249" s="90" t="str">
        <f t="array" ref="B249">iferror(INDEX('作品'!D:D,MATCH(left(A249,3),'作品'!A:A,0),0),"error")</f>
        <v>株式会社マジルミエ</v>
      </c>
      <c r="C249" s="46" t="s">
        <v>2643</v>
      </c>
      <c r="D249" s="401" t="s">
        <v>2447</v>
      </c>
      <c r="E249" s="400" t="s">
        <v>2446</v>
      </c>
      <c r="F249" s="423" t="str">
        <f>IFERROR(__xludf.DUMMYFUNCTION("CONCATENATE(""quest_"",D249,""_"",A249,""_"",C249,""_"")&amp;IFERROR(REGEXEXTRACT(G249,""[0-9]{2}""),REGEXEXTRACT(G249,""[0-9]{1}""))"),"quest_main_mag_veryhard_13")</f>
        <v>quest_main_mag_veryhard_13</v>
      </c>
      <c r="G249" s="424" t="s">
        <v>2549</v>
      </c>
      <c r="H249" s="46" t="s">
        <v>2533</v>
      </c>
      <c r="I249" s="425" t="str">
        <f t="shared" si="1"/>
        <v>veryhard_mag_00005</v>
      </c>
      <c r="J249" s="59" t="s">
        <v>2623</v>
      </c>
      <c r="K249" s="59"/>
      <c r="L249" s="59"/>
      <c r="M249" s="427"/>
      <c r="N249" s="427"/>
      <c r="O249" s="45"/>
      <c r="P249" s="54"/>
      <c r="Q249" s="54"/>
      <c r="R249" s="56"/>
    </row>
    <row r="250">
      <c r="A250" s="45" t="s">
        <v>98</v>
      </c>
      <c r="B250" s="90" t="str">
        <f t="array" ref="B250">iferror(INDEX('作品'!D:D,MATCH(left(A250,3),'作品'!A:A,0),0),"error")</f>
        <v>株式会社マジルミエ</v>
      </c>
      <c r="C250" s="46" t="s">
        <v>2643</v>
      </c>
      <c r="D250" s="401" t="s">
        <v>2447</v>
      </c>
      <c r="E250" s="400" t="s">
        <v>2446</v>
      </c>
      <c r="F250" s="423" t="str">
        <f>IFERROR(__xludf.DUMMYFUNCTION("CONCATENATE(""quest_"",D250,""_"",A250,""_"",C250,""_"")&amp;IFERROR(REGEXEXTRACT(G250,""[0-9]{2}""),REGEXEXTRACT(G250,""[0-9]{1}""))"),"quest_main_mag_veryhard_13")</f>
        <v>quest_main_mag_veryhard_13</v>
      </c>
      <c r="G250" s="424" t="s">
        <v>2549</v>
      </c>
      <c r="H250" s="46" t="s">
        <v>2534</v>
      </c>
      <c r="I250" s="425" t="str">
        <f t="shared" si="1"/>
        <v>veryhard_mag_00006</v>
      </c>
      <c r="J250" s="59" t="s">
        <v>2624</v>
      </c>
      <c r="K250" s="59"/>
      <c r="L250" s="59"/>
      <c r="M250" s="427"/>
      <c r="N250" s="427"/>
      <c r="O250" s="45"/>
      <c r="P250" s="54"/>
      <c r="Q250" s="54"/>
      <c r="R250" s="56"/>
    </row>
    <row r="251">
      <c r="A251" s="24" t="s">
        <v>143</v>
      </c>
      <c r="B251" s="90" t="str">
        <f t="array" ref="B251">iferror(INDEX('作品'!D:D,MATCH(left(A251,3),'作品'!A:A,0),0),"error")</f>
        <v>サマータイムレンダ</v>
      </c>
      <c r="C251" s="46" t="s">
        <v>2643</v>
      </c>
      <c r="D251" s="401" t="s">
        <v>2447</v>
      </c>
      <c r="E251" s="400" t="s">
        <v>2446</v>
      </c>
      <c r="F251" s="423" t="str">
        <f>IFERROR(__xludf.DUMMYFUNCTION("CONCATENATE(""quest_"",D251,""_"",A251,""_"",C251,""_"")&amp;IFERROR(REGEXEXTRACT(G251,""[0-9]{2}""),REGEXEXTRACT(G251,""[0-9]{1}""))"),"quest_main_sum_veryhard_14")</f>
        <v>quest_main_sum_veryhard_14</v>
      </c>
      <c r="G251" s="424" t="s">
        <v>2550</v>
      </c>
      <c r="H251" s="46" t="s">
        <v>2529</v>
      </c>
      <c r="I251" s="425" t="str">
        <f t="shared" si="1"/>
        <v>veryhard_sum_00001</v>
      </c>
      <c r="J251" s="425" t="s">
        <v>2625</v>
      </c>
      <c r="K251" s="425"/>
      <c r="L251" s="425"/>
      <c r="M251" s="426"/>
      <c r="N251" s="426"/>
      <c r="O251" s="45"/>
      <c r="P251" s="54"/>
      <c r="Q251" s="54"/>
      <c r="R251" s="56"/>
    </row>
    <row r="252">
      <c r="A252" s="24" t="s">
        <v>143</v>
      </c>
      <c r="B252" s="90" t="str">
        <f t="array" ref="B252">iferror(INDEX('作品'!D:D,MATCH(left(A252,3),'作品'!A:A,0),0),"error")</f>
        <v>サマータイムレンダ</v>
      </c>
      <c r="C252" s="46" t="s">
        <v>2643</v>
      </c>
      <c r="D252" s="401" t="s">
        <v>2447</v>
      </c>
      <c r="E252" s="400" t="s">
        <v>2446</v>
      </c>
      <c r="F252" s="423" t="str">
        <f>IFERROR(__xludf.DUMMYFUNCTION("CONCATENATE(""quest_"",D252,""_"",A252,""_"",C252,""_"")&amp;IFERROR(REGEXEXTRACT(G252,""[0-9]{2}""),REGEXEXTRACT(G252,""[0-9]{1}""))"),"quest_main_sum_veryhard_14")</f>
        <v>quest_main_sum_veryhard_14</v>
      </c>
      <c r="G252" s="424" t="s">
        <v>2550</v>
      </c>
      <c r="H252" s="46" t="s">
        <v>2530</v>
      </c>
      <c r="I252" s="425" t="str">
        <f t="shared" si="1"/>
        <v>veryhard_sum_00002</v>
      </c>
      <c r="J252" s="59" t="s">
        <v>2626</v>
      </c>
      <c r="K252" s="59"/>
      <c r="L252" s="59"/>
      <c r="M252" s="427"/>
      <c r="N252" s="427"/>
      <c r="O252" s="45"/>
      <c r="P252" s="54"/>
      <c r="Q252" s="54"/>
      <c r="R252" s="56"/>
    </row>
    <row r="253">
      <c r="A253" s="24" t="s">
        <v>143</v>
      </c>
      <c r="B253" s="90" t="str">
        <f t="array" ref="B253">iferror(INDEX('作品'!D:D,MATCH(left(A253,3),'作品'!A:A,0),0),"error")</f>
        <v>サマータイムレンダ</v>
      </c>
      <c r="C253" s="46" t="s">
        <v>2643</v>
      </c>
      <c r="D253" s="401" t="s">
        <v>2447</v>
      </c>
      <c r="E253" s="400" t="s">
        <v>2446</v>
      </c>
      <c r="F253" s="423" t="str">
        <f>IFERROR(__xludf.DUMMYFUNCTION("CONCATENATE(""quest_"",D253,""_"",A253,""_"",C253,""_"")&amp;IFERROR(REGEXEXTRACT(G253,""[0-9]{2}""),REGEXEXTRACT(G253,""[0-9]{1}""))"),"quest_main_sum_veryhard_14")</f>
        <v>quest_main_sum_veryhard_14</v>
      </c>
      <c r="G253" s="424" t="s">
        <v>2550</v>
      </c>
      <c r="H253" s="46" t="s">
        <v>2531</v>
      </c>
      <c r="I253" s="425" t="str">
        <f t="shared" si="1"/>
        <v>veryhard_sum_00003</v>
      </c>
      <c r="J253" s="59" t="s">
        <v>2627</v>
      </c>
      <c r="K253" s="59"/>
      <c r="L253" s="59"/>
      <c r="M253" s="427"/>
      <c r="N253" s="427"/>
      <c r="O253" s="45"/>
      <c r="P253" s="54"/>
      <c r="Q253" s="54"/>
      <c r="R253" s="56"/>
    </row>
    <row r="254">
      <c r="A254" s="24" t="s">
        <v>143</v>
      </c>
      <c r="B254" s="90" t="str">
        <f t="array" ref="B254">iferror(INDEX('作品'!D:D,MATCH(left(A254,3),'作品'!A:A,0),0),"error")</f>
        <v>サマータイムレンダ</v>
      </c>
      <c r="C254" s="46" t="s">
        <v>2643</v>
      </c>
      <c r="D254" s="401" t="s">
        <v>2447</v>
      </c>
      <c r="E254" s="400" t="s">
        <v>2446</v>
      </c>
      <c r="F254" s="423" t="str">
        <f>IFERROR(__xludf.DUMMYFUNCTION("CONCATENATE(""quest_"",D254,""_"",A254,""_"",C254,""_"")&amp;IFERROR(REGEXEXTRACT(G254,""[0-9]{2}""),REGEXEXTRACT(G254,""[0-9]{1}""))"),"quest_main_sum_veryhard_14")</f>
        <v>quest_main_sum_veryhard_14</v>
      </c>
      <c r="G254" s="424" t="s">
        <v>2550</v>
      </c>
      <c r="H254" s="46" t="s">
        <v>2532</v>
      </c>
      <c r="I254" s="425" t="str">
        <f t="shared" si="1"/>
        <v>veryhard_sum_00004</v>
      </c>
      <c r="J254" s="425" t="s">
        <v>2628</v>
      </c>
      <c r="K254" s="425"/>
      <c r="L254" s="425"/>
      <c r="M254" s="426"/>
      <c r="N254" s="426"/>
      <c r="O254" s="45"/>
      <c r="P254" s="54"/>
      <c r="Q254" s="54"/>
      <c r="R254" s="56"/>
    </row>
    <row r="255">
      <c r="A255" s="24" t="s">
        <v>143</v>
      </c>
      <c r="B255" s="90" t="str">
        <f t="array" ref="B255">iferror(INDEX('作品'!D:D,MATCH(left(A255,3),'作品'!A:A,0),0),"error")</f>
        <v>サマータイムレンダ</v>
      </c>
      <c r="C255" s="46" t="s">
        <v>2643</v>
      </c>
      <c r="D255" s="401" t="s">
        <v>2447</v>
      </c>
      <c r="E255" s="400" t="s">
        <v>2446</v>
      </c>
      <c r="F255" s="423" t="str">
        <f>IFERROR(__xludf.DUMMYFUNCTION("CONCATENATE(""quest_"",D255,""_"",A255,""_"",C255,""_"")&amp;IFERROR(REGEXEXTRACT(G255,""[0-9]{2}""),REGEXEXTRACT(G255,""[0-9]{1}""))"),"quest_main_sum_veryhard_14")</f>
        <v>quest_main_sum_veryhard_14</v>
      </c>
      <c r="G255" s="424" t="s">
        <v>2550</v>
      </c>
      <c r="H255" s="46" t="s">
        <v>2533</v>
      </c>
      <c r="I255" s="425" t="str">
        <f t="shared" si="1"/>
        <v>veryhard_sum_00005</v>
      </c>
      <c r="J255" s="59" t="s">
        <v>2629</v>
      </c>
      <c r="K255" s="59"/>
      <c r="L255" s="59"/>
      <c r="M255" s="427"/>
      <c r="N255" s="427"/>
      <c r="O255" s="45"/>
      <c r="P255" s="54"/>
      <c r="Q255" s="54"/>
      <c r="R255" s="56"/>
    </row>
    <row r="256">
      <c r="A256" s="24" t="s">
        <v>143</v>
      </c>
      <c r="B256" s="90" t="str">
        <f t="array" ref="B256">iferror(INDEX('作品'!D:D,MATCH(left(A256,3),'作品'!A:A,0),0),"error")</f>
        <v>サマータイムレンダ</v>
      </c>
      <c r="C256" s="46" t="s">
        <v>2643</v>
      </c>
      <c r="D256" s="401" t="s">
        <v>2447</v>
      </c>
      <c r="E256" s="400" t="s">
        <v>2446</v>
      </c>
      <c r="F256" s="423" t="str">
        <f>IFERROR(__xludf.DUMMYFUNCTION("CONCATENATE(""quest_"",D256,""_"",A256,""_"",C256,""_"")&amp;IFERROR(REGEXEXTRACT(G256,""[0-9]{2}""),REGEXEXTRACT(G256,""[0-9]{1}""))"),"quest_main_sum_veryhard_14")</f>
        <v>quest_main_sum_veryhard_14</v>
      </c>
      <c r="G256" s="424" t="s">
        <v>2550</v>
      </c>
      <c r="H256" s="46" t="s">
        <v>2534</v>
      </c>
      <c r="I256" s="425" t="str">
        <f t="shared" si="1"/>
        <v>veryhard_sum_00006</v>
      </c>
      <c r="J256" s="59" t="s">
        <v>2630</v>
      </c>
      <c r="K256" s="59"/>
      <c r="L256" s="59"/>
      <c r="M256" s="427"/>
      <c r="N256" s="427"/>
      <c r="O256" s="45"/>
      <c r="P256" s="54"/>
      <c r="Q256" s="54"/>
      <c r="R256" s="56"/>
    </row>
    <row r="257">
      <c r="A257" s="45" t="s">
        <v>115</v>
      </c>
      <c r="B257" s="90" t="str">
        <f t="array" ref="B257">iferror(INDEX('作品'!D:D,MATCH(left(A257,3),'作品'!A:A,0),0),"error")</f>
        <v>怪獣８号</v>
      </c>
      <c r="C257" s="46" t="s">
        <v>2643</v>
      </c>
      <c r="D257" s="401" t="s">
        <v>2447</v>
      </c>
      <c r="E257" s="400" t="s">
        <v>2446</v>
      </c>
      <c r="F257" s="423" t="str">
        <f>IFERROR(__xludf.DUMMYFUNCTION("CONCATENATE(""quest_"",D257,""_"",A257,""_"",C257,""_"")&amp;IFERROR(REGEXEXTRACT(G257,""[0-9]{2}""),REGEXEXTRACT(G257,""[0-9]{1}""))"),"quest_main_kai_veryhard_15")</f>
        <v>quest_main_kai_veryhard_15</v>
      </c>
      <c r="G257" s="424" t="s">
        <v>2551</v>
      </c>
      <c r="H257" s="46" t="s">
        <v>2529</v>
      </c>
      <c r="I257" s="425" t="str">
        <f t="shared" si="1"/>
        <v>veryhard_kai_00001</v>
      </c>
      <c r="J257" s="425" t="s">
        <v>2631</v>
      </c>
      <c r="K257" s="425"/>
      <c r="L257" s="425"/>
      <c r="M257" s="426"/>
      <c r="N257" s="426"/>
      <c r="O257" s="45"/>
      <c r="P257" s="54"/>
      <c r="Q257" s="54"/>
      <c r="R257" s="56"/>
    </row>
    <row r="258">
      <c r="A258" s="45" t="s">
        <v>115</v>
      </c>
      <c r="B258" s="90" t="str">
        <f t="array" ref="B258">iferror(INDEX('作品'!D:D,MATCH(left(A258,3),'作品'!A:A,0),0),"error")</f>
        <v>怪獣８号</v>
      </c>
      <c r="C258" s="46" t="s">
        <v>2643</v>
      </c>
      <c r="D258" s="401" t="s">
        <v>2447</v>
      </c>
      <c r="E258" s="400" t="s">
        <v>2446</v>
      </c>
      <c r="F258" s="423" t="str">
        <f>IFERROR(__xludf.DUMMYFUNCTION("CONCATENATE(""quest_"",D258,""_"",A258,""_"",C258,""_"")&amp;IFERROR(REGEXEXTRACT(G258,""[0-9]{2}""),REGEXEXTRACT(G258,""[0-9]{1}""))"),"quest_main_kai_veryhard_15")</f>
        <v>quest_main_kai_veryhard_15</v>
      </c>
      <c r="G258" s="424" t="s">
        <v>2551</v>
      </c>
      <c r="H258" s="46" t="s">
        <v>2530</v>
      </c>
      <c r="I258" s="425" t="str">
        <f t="shared" si="1"/>
        <v>veryhard_kai_00002</v>
      </c>
      <c r="J258" s="59" t="s">
        <v>2632</v>
      </c>
      <c r="K258" s="59"/>
      <c r="L258" s="59"/>
      <c r="M258" s="427"/>
      <c r="N258" s="427"/>
      <c r="O258" s="45"/>
      <c r="P258" s="54"/>
      <c r="Q258" s="54"/>
      <c r="R258" s="56"/>
    </row>
    <row r="259">
      <c r="A259" s="45" t="s">
        <v>115</v>
      </c>
      <c r="B259" s="90" t="str">
        <f t="array" ref="B259">iferror(INDEX('作品'!D:D,MATCH(left(A259,3),'作品'!A:A,0),0),"error")</f>
        <v>怪獣８号</v>
      </c>
      <c r="C259" s="46" t="s">
        <v>2643</v>
      </c>
      <c r="D259" s="401" t="s">
        <v>2447</v>
      </c>
      <c r="E259" s="400" t="s">
        <v>2446</v>
      </c>
      <c r="F259" s="423" t="str">
        <f>IFERROR(__xludf.DUMMYFUNCTION("CONCATENATE(""quest_"",D259,""_"",A259,""_"",C259,""_"")&amp;IFERROR(REGEXEXTRACT(G259,""[0-9]{2}""),REGEXEXTRACT(G259,""[0-9]{1}""))"),"quest_main_kai_veryhard_15")</f>
        <v>quest_main_kai_veryhard_15</v>
      </c>
      <c r="G259" s="424" t="s">
        <v>2551</v>
      </c>
      <c r="H259" s="46" t="s">
        <v>2531</v>
      </c>
      <c r="I259" s="425" t="str">
        <f t="shared" si="1"/>
        <v>veryhard_kai_00003</v>
      </c>
      <c r="J259" s="59" t="s">
        <v>2633</v>
      </c>
      <c r="K259" s="59"/>
      <c r="L259" s="59"/>
      <c r="M259" s="427"/>
      <c r="N259" s="427"/>
      <c r="O259" s="45"/>
      <c r="P259" s="54"/>
      <c r="Q259" s="54"/>
      <c r="R259" s="56"/>
    </row>
    <row r="260">
      <c r="A260" s="45" t="s">
        <v>115</v>
      </c>
      <c r="B260" s="90" t="str">
        <f t="array" ref="B260">iferror(INDEX('作品'!D:D,MATCH(left(A260,3),'作品'!A:A,0),0),"error")</f>
        <v>怪獣８号</v>
      </c>
      <c r="C260" s="46" t="s">
        <v>2643</v>
      </c>
      <c r="D260" s="46" t="s">
        <v>2447</v>
      </c>
      <c r="E260" s="400" t="s">
        <v>2446</v>
      </c>
      <c r="F260" s="423" t="str">
        <f>IFERROR(__xludf.DUMMYFUNCTION("CONCATENATE(""quest_"",D260,""_"",A260,""_"",C260,""_"")&amp;IFERROR(REGEXEXTRACT(G260,""[0-9]{2}""),REGEXEXTRACT(G260,""[0-9]{1}""))"),"quest_main_kai_veryhard_15")</f>
        <v>quest_main_kai_veryhard_15</v>
      </c>
      <c r="G260" s="424" t="s">
        <v>2551</v>
      </c>
      <c r="H260" s="46" t="s">
        <v>2532</v>
      </c>
      <c r="I260" s="425" t="str">
        <f t="shared" si="1"/>
        <v>veryhard_kai_00004</v>
      </c>
      <c r="J260" s="59" t="s">
        <v>2634</v>
      </c>
      <c r="K260" s="59"/>
      <c r="L260" s="59"/>
      <c r="M260" s="427"/>
      <c r="N260" s="427"/>
      <c r="O260" s="45"/>
      <c r="P260" s="54"/>
      <c r="Q260" s="54"/>
      <c r="R260" s="56"/>
    </row>
    <row r="261">
      <c r="A261" s="45" t="s">
        <v>115</v>
      </c>
      <c r="B261" s="90" t="str">
        <f t="array" ref="B261">iferror(INDEX('作品'!D:D,MATCH(left(A261,3),'作品'!A:A,0),0),"error")</f>
        <v>怪獣８号</v>
      </c>
      <c r="C261" s="46" t="s">
        <v>2643</v>
      </c>
      <c r="D261" s="401" t="s">
        <v>2447</v>
      </c>
      <c r="E261" s="400" t="s">
        <v>2446</v>
      </c>
      <c r="F261" s="423" t="str">
        <f>IFERROR(__xludf.DUMMYFUNCTION("CONCATENATE(""quest_"",D261,""_"",A261,""_"",C261,""_"")&amp;IFERROR(REGEXEXTRACT(G261,""[0-9]{2}""),REGEXEXTRACT(G261,""[0-9]{1}""))"),"quest_main_kai_veryhard_15")</f>
        <v>quest_main_kai_veryhard_15</v>
      </c>
      <c r="G261" s="424" t="s">
        <v>2551</v>
      </c>
      <c r="H261" s="46" t="s">
        <v>2533</v>
      </c>
      <c r="I261" s="425" t="str">
        <f t="shared" si="1"/>
        <v>veryhard_kai_00005</v>
      </c>
      <c r="J261" s="59" t="s">
        <v>2635</v>
      </c>
      <c r="K261" s="59"/>
      <c r="L261" s="59"/>
      <c r="M261" s="427"/>
      <c r="N261" s="427"/>
      <c r="O261" s="45"/>
      <c r="P261" s="54"/>
      <c r="Q261" s="54"/>
      <c r="R261" s="56"/>
    </row>
    <row r="262">
      <c r="A262" s="45" t="s">
        <v>115</v>
      </c>
      <c r="B262" s="90" t="str">
        <f t="array" ref="B262">iferror(INDEX('作品'!D:D,MATCH(left(A262,3),'作品'!A:A,0),0),"error")</f>
        <v>怪獣８号</v>
      </c>
      <c r="C262" s="46" t="s">
        <v>2643</v>
      </c>
      <c r="D262" s="46" t="s">
        <v>2447</v>
      </c>
      <c r="E262" s="400" t="s">
        <v>2446</v>
      </c>
      <c r="F262" s="423" t="str">
        <f>IFERROR(__xludf.DUMMYFUNCTION("CONCATENATE(""quest_"",D262,""_"",A262,""_"",C262,""_"")&amp;IFERROR(REGEXEXTRACT(G262,""[0-9]{2}""),REGEXEXTRACT(G262,""[0-9]{1}""))"),"quest_main_kai_veryhard_15")</f>
        <v>quest_main_kai_veryhard_15</v>
      </c>
      <c r="G262" s="424" t="s">
        <v>2551</v>
      </c>
      <c r="H262" s="46" t="s">
        <v>2534</v>
      </c>
      <c r="I262" s="425" t="str">
        <f t="shared" si="1"/>
        <v>veryhard_kai_00006</v>
      </c>
      <c r="J262" s="59" t="s">
        <v>2636</v>
      </c>
      <c r="K262" s="59"/>
      <c r="L262" s="59"/>
      <c r="M262" s="427"/>
      <c r="N262" s="427"/>
      <c r="O262" s="45"/>
      <c r="P262" s="54"/>
      <c r="Q262" s="54"/>
      <c r="R262" s="56"/>
    </row>
    <row r="263">
      <c r="A263" s="25" t="s">
        <v>2552</v>
      </c>
      <c r="B263" s="90" t="str">
        <f t="array" ref="B263">iferror(INDEX('作品'!D:D,MATCH(left(A263,3),'作品'!A:A,0),0),"error")</f>
        <v>GLOW</v>
      </c>
      <c r="C263" s="46" t="s">
        <v>2643</v>
      </c>
      <c r="D263" s="401" t="s">
        <v>2447</v>
      </c>
      <c r="E263" s="400" t="s">
        <v>2446</v>
      </c>
      <c r="F263" s="423" t="str">
        <f>IFERROR(__xludf.DUMMYFUNCTION("CONCATENATE(""quest_"",D263,""_"",A263,""_"",C263,""_"")&amp;IFERROR(REGEXEXTRACT(G263,""[0-9]{2}""),REGEXEXTRACT(G263,""[0-9]{1}""))"),"quest_main_glo4_veryhard_16")</f>
        <v>quest_main_glo4_veryhard_16</v>
      </c>
      <c r="G263" s="424" t="s">
        <v>2553</v>
      </c>
      <c r="H263" s="46" t="s">
        <v>2529</v>
      </c>
      <c r="I263" s="425" t="str">
        <f t="shared" si="1"/>
        <v>veryhard_glo4_00001</v>
      </c>
      <c r="J263" s="425" t="s">
        <v>2637</v>
      </c>
      <c r="K263" s="425"/>
      <c r="L263" s="425"/>
      <c r="M263" s="426"/>
      <c r="N263" s="426"/>
      <c r="O263" s="45"/>
      <c r="P263" s="54"/>
      <c r="Q263" s="54"/>
      <c r="R263" s="56"/>
    </row>
    <row r="264">
      <c r="A264" s="25" t="s">
        <v>2552</v>
      </c>
      <c r="B264" s="90" t="str">
        <f t="array" ref="B264">iferror(INDEX('作品'!D:D,MATCH(left(A264,3),'作品'!A:A,0),0),"error")</f>
        <v>GLOW</v>
      </c>
      <c r="C264" s="46" t="s">
        <v>2643</v>
      </c>
      <c r="D264" s="401" t="s">
        <v>2447</v>
      </c>
      <c r="E264" s="400" t="s">
        <v>2446</v>
      </c>
      <c r="F264" s="423" t="str">
        <f>IFERROR(__xludf.DUMMYFUNCTION("CONCATENATE(""quest_"",D264,""_"",A264,""_"",C264,""_"")&amp;IFERROR(REGEXEXTRACT(G264,""[0-9]{2}""),REGEXEXTRACT(G264,""[0-9]{1}""))"),"quest_main_glo4_veryhard_16")</f>
        <v>quest_main_glo4_veryhard_16</v>
      </c>
      <c r="G264" s="424" t="s">
        <v>2553</v>
      </c>
      <c r="H264" s="46" t="s">
        <v>2530</v>
      </c>
      <c r="I264" s="425" t="str">
        <f t="shared" si="1"/>
        <v>veryhard_glo4_00002</v>
      </c>
      <c r="J264" s="59" t="s">
        <v>2638</v>
      </c>
      <c r="K264" s="59"/>
      <c r="L264" s="59"/>
      <c r="M264" s="427"/>
      <c r="N264" s="427"/>
      <c r="O264" s="45"/>
      <c r="P264" s="54"/>
      <c r="Q264" s="54"/>
      <c r="R264" s="56"/>
    </row>
    <row r="265">
      <c r="A265" s="25" t="s">
        <v>2552</v>
      </c>
      <c r="B265" s="90" t="str">
        <f t="array" ref="B265">iferror(INDEX('作品'!D:D,MATCH(left(A265,3),'作品'!A:A,0),0),"error")</f>
        <v>GLOW</v>
      </c>
      <c r="C265" s="46" t="s">
        <v>2643</v>
      </c>
      <c r="D265" s="401" t="s">
        <v>2447</v>
      </c>
      <c r="E265" s="400" t="s">
        <v>2446</v>
      </c>
      <c r="F265" s="423" t="str">
        <f>IFERROR(__xludf.DUMMYFUNCTION("CONCATENATE(""quest_"",D265,""_"",A265,""_"",C265,""_"")&amp;IFERROR(REGEXEXTRACT(G265,""[0-9]{2}""),REGEXEXTRACT(G265,""[0-9]{1}""))"),"quest_main_glo4_veryhard_16")</f>
        <v>quest_main_glo4_veryhard_16</v>
      </c>
      <c r="G265" s="424" t="s">
        <v>2553</v>
      </c>
      <c r="H265" s="46" t="s">
        <v>2531</v>
      </c>
      <c r="I265" s="425" t="str">
        <f t="shared" si="1"/>
        <v>veryhard_glo4_00003</v>
      </c>
      <c r="J265" s="59" t="s">
        <v>2639</v>
      </c>
      <c r="K265" s="59"/>
      <c r="L265" s="59"/>
      <c r="M265" s="427"/>
      <c r="N265" s="427"/>
      <c r="O265" s="45"/>
      <c r="P265" s="54"/>
      <c r="Q265" s="54"/>
      <c r="R265" s="56"/>
    </row>
    <row r="266">
      <c r="A266" s="25" t="s">
        <v>2552</v>
      </c>
      <c r="B266" s="90" t="str">
        <f t="array" ref="B266">iferror(INDEX('作品'!D:D,MATCH(left(A266,3),'作品'!A:A,0),0),"error")</f>
        <v>GLOW</v>
      </c>
      <c r="C266" s="46" t="s">
        <v>2643</v>
      </c>
      <c r="D266" s="401" t="s">
        <v>2447</v>
      </c>
      <c r="E266" s="400" t="s">
        <v>2446</v>
      </c>
      <c r="F266" s="423" t="str">
        <f>IFERROR(__xludf.DUMMYFUNCTION("CONCATENATE(""quest_"",D266,""_"",A266,""_"",C266,""_"")&amp;IFERROR(REGEXEXTRACT(G266,""[0-9]{2}""),REGEXEXTRACT(G266,""[0-9]{1}""))"),"quest_main_glo4_veryhard_16")</f>
        <v>quest_main_glo4_veryhard_16</v>
      </c>
      <c r="G266" s="424" t="s">
        <v>2553</v>
      </c>
      <c r="H266" s="46" t="s">
        <v>2532</v>
      </c>
      <c r="I266" s="425" t="str">
        <f t="shared" si="1"/>
        <v>veryhard_glo4_00004</v>
      </c>
      <c r="J266" s="425" t="s">
        <v>2640</v>
      </c>
      <c r="K266" s="425"/>
      <c r="L266" s="425"/>
      <c r="M266" s="426"/>
      <c r="N266" s="426"/>
      <c r="O266" s="45"/>
      <c r="P266" s="54"/>
      <c r="Q266" s="54"/>
      <c r="R266" s="56"/>
    </row>
    <row r="267">
      <c r="A267" s="25" t="s">
        <v>2552</v>
      </c>
      <c r="B267" s="90" t="str">
        <f t="array" ref="B267">iferror(INDEX('作品'!D:D,MATCH(left(A267,3),'作品'!A:A,0),0),"error")</f>
        <v>GLOW</v>
      </c>
      <c r="C267" s="46" t="s">
        <v>2643</v>
      </c>
      <c r="D267" s="401" t="s">
        <v>2447</v>
      </c>
      <c r="E267" s="400" t="s">
        <v>2446</v>
      </c>
      <c r="F267" s="423" t="str">
        <f>IFERROR(__xludf.DUMMYFUNCTION("CONCATENATE(""quest_"",D267,""_"",A267,""_"",C267,""_"")&amp;IFERROR(REGEXEXTRACT(G267,""[0-9]{2}""),REGEXEXTRACT(G267,""[0-9]{1}""))"),"quest_main_glo4_veryhard_16")</f>
        <v>quest_main_glo4_veryhard_16</v>
      </c>
      <c r="G267" s="424" t="s">
        <v>2553</v>
      </c>
      <c r="H267" s="46" t="s">
        <v>2533</v>
      </c>
      <c r="I267" s="425" t="str">
        <f t="shared" si="1"/>
        <v>veryhard_glo4_00005</v>
      </c>
      <c r="J267" s="59" t="s">
        <v>2641</v>
      </c>
      <c r="K267" s="59"/>
      <c r="L267" s="59"/>
      <c r="M267" s="427"/>
      <c r="N267" s="427"/>
      <c r="O267" s="45"/>
      <c r="P267" s="54"/>
      <c r="Q267" s="54"/>
      <c r="R267" s="56"/>
    </row>
    <row r="268">
      <c r="A268" s="25" t="s">
        <v>2552</v>
      </c>
      <c r="B268" s="90" t="str">
        <f t="array" ref="B268">iferror(INDEX('作品'!D:D,MATCH(left(A268,3),'作品'!A:A,0),0),"error")</f>
        <v>GLOW</v>
      </c>
      <c r="C268" s="46" t="s">
        <v>2643</v>
      </c>
      <c r="D268" s="401" t="s">
        <v>2447</v>
      </c>
      <c r="E268" s="400" t="s">
        <v>2446</v>
      </c>
      <c r="F268" s="423" t="str">
        <f>IFERROR(__xludf.DUMMYFUNCTION("CONCATENATE(""quest_"",D268,""_"",A268,""_"",C268,""_"")&amp;IFERROR(REGEXEXTRACT(G268,""[0-9]{2}""),REGEXEXTRACT(G268,""[0-9]{1}""))"),"quest_main_glo4_veryhard_16")</f>
        <v>quest_main_glo4_veryhard_16</v>
      </c>
      <c r="G268" s="424" t="s">
        <v>2553</v>
      </c>
      <c r="H268" s="46" t="s">
        <v>2534</v>
      </c>
      <c r="I268" s="425" t="str">
        <f t="shared" si="1"/>
        <v>veryhard_glo4_00006</v>
      </c>
      <c r="J268" s="59" t="s">
        <v>2642</v>
      </c>
      <c r="K268" s="59"/>
      <c r="L268" s="59"/>
      <c r="M268" s="427"/>
      <c r="N268" s="427"/>
      <c r="O268" s="45"/>
      <c r="P268" s="54"/>
      <c r="Q268" s="54"/>
      <c r="R268" s="56"/>
    </row>
    <row r="269">
      <c r="A269" s="25" t="s">
        <v>158</v>
      </c>
      <c r="B269" s="90" t="str">
        <f t="array" ref="B269">iferror(INDEX('作品'!D:D,MATCH(left(A269,3),'作品'!A:A,0),0),"error")</f>
        <v>【推しの子】</v>
      </c>
      <c r="C269" s="46" t="s">
        <v>2643</v>
      </c>
      <c r="D269" s="401" t="s">
        <v>2447</v>
      </c>
      <c r="E269" s="400" t="s">
        <v>2446</v>
      </c>
      <c r="F269" s="423" t="str">
        <f>IFERROR(__xludf.DUMMYFUNCTION("CONCATENATE(""quest_"",D269,""_"",A269,""_"",C269,""_"")&amp;IFERROR(REGEXEXTRACT(G269,""[0-9]{2}""),REGEXEXTRACT(G269,""[0-9]{1}""))"),"quest_main_osh_veryhard_17")</f>
        <v>quest_main_osh_veryhard_17</v>
      </c>
      <c r="G269" s="424" t="s">
        <v>2554</v>
      </c>
      <c r="H269" s="46" t="s">
        <v>2529</v>
      </c>
      <c r="I269" s="425" t="str">
        <f t="shared" si="1"/>
        <v>veryhard_osh_00001</v>
      </c>
      <c r="J269" s="59" t="s">
        <v>2644</v>
      </c>
      <c r="K269" s="59"/>
      <c r="L269" s="59"/>
      <c r="M269" s="427"/>
      <c r="N269" s="427"/>
      <c r="O269" s="45"/>
      <c r="P269" s="54"/>
      <c r="Q269" s="54"/>
      <c r="R269" s="56"/>
    </row>
    <row r="270">
      <c r="A270" s="25" t="s">
        <v>158</v>
      </c>
      <c r="B270" s="90" t="str">
        <f t="array" ref="B270">iferror(INDEX('作品'!D:D,MATCH(left(A270,3),'作品'!A:A,0),0),"error")</f>
        <v>【推しの子】</v>
      </c>
      <c r="C270" s="46" t="s">
        <v>2643</v>
      </c>
      <c r="D270" s="401" t="s">
        <v>2447</v>
      </c>
      <c r="E270" s="400" t="s">
        <v>2446</v>
      </c>
      <c r="F270" s="423" t="str">
        <f>IFERROR(__xludf.DUMMYFUNCTION("CONCATENATE(""quest_"",D270,""_"",A270,""_"",C270,""_"")&amp;IFERROR(REGEXEXTRACT(G270,""[0-9]{2}""),REGEXEXTRACT(G270,""[0-9]{1}""))"),"quest_main_osh_veryhard_17")</f>
        <v>quest_main_osh_veryhard_17</v>
      </c>
      <c r="G270" s="424" t="s">
        <v>2554</v>
      </c>
      <c r="H270" s="46" t="s">
        <v>2530</v>
      </c>
      <c r="I270" s="425" t="str">
        <f t="shared" si="1"/>
        <v>veryhard_osh_00002</v>
      </c>
      <c r="J270" s="59" t="s">
        <v>2645</v>
      </c>
      <c r="K270" s="59"/>
      <c r="L270" s="59"/>
      <c r="M270" s="427"/>
      <c r="N270" s="427"/>
      <c r="O270" s="45"/>
      <c r="P270" s="54"/>
      <c r="Q270" s="54"/>
      <c r="R270" s="56"/>
    </row>
    <row r="271">
      <c r="A271" s="25" t="s">
        <v>158</v>
      </c>
      <c r="B271" s="90" t="str">
        <f t="array" ref="B271">iferror(INDEX('作品'!D:D,MATCH(left(A271,3),'作品'!A:A,0),0),"error")</f>
        <v>【推しの子】</v>
      </c>
      <c r="C271" s="46" t="s">
        <v>2643</v>
      </c>
      <c r="D271" s="401" t="s">
        <v>2447</v>
      </c>
      <c r="E271" s="400" t="s">
        <v>2446</v>
      </c>
      <c r="F271" s="423" t="str">
        <f>IFERROR(__xludf.DUMMYFUNCTION("CONCATENATE(""quest_"",D271,""_"",A271,""_"",C271,""_"")&amp;IFERROR(REGEXEXTRACT(G271,""[0-9]{2}""),REGEXEXTRACT(G271,""[0-9]{1}""))"),"quest_main_osh_veryhard_17")</f>
        <v>quest_main_osh_veryhard_17</v>
      </c>
      <c r="G271" s="424" t="s">
        <v>2554</v>
      </c>
      <c r="H271" s="46" t="s">
        <v>2531</v>
      </c>
      <c r="I271" s="425" t="str">
        <f t="shared" si="1"/>
        <v>veryhard_osh_00003</v>
      </c>
      <c r="J271" s="59" t="s">
        <v>2646</v>
      </c>
      <c r="K271" s="59"/>
      <c r="L271" s="59"/>
      <c r="M271" s="427"/>
      <c r="N271" s="427"/>
      <c r="O271" s="45"/>
      <c r="P271" s="54"/>
      <c r="Q271" s="54"/>
      <c r="R271" s="56"/>
    </row>
    <row r="272">
      <c r="A272" s="59"/>
      <c r="B272" s="90"/>
      <c r="C272" s="46"/>
      <c r="D272" s="401"/>
      <c r="E272" s="400"/>
      <c r="F272" s="125"/>
      <c r="G272" s="424"/>
      <c r="H272" s="46"/>
      <c r="I272" s="425"/>
      <c r="J272" s="59"/>
      <c r="K272" s="59"/>
      <c r="L272" s="59"/>
      <c r="M272" s="427"/>
      <c r="N272" s="427"/>
      <c r="O272" s="45"/>
      <c r="P272" s="54"/>
      <c r="Q272" s="54"/>
      <c r="R272" s="56"/>
    </row>
    <row r="273">
      <c r="A273" s="59"/>
      <c r="B273" s="90"/>
      <c r="C273" s="46"/>
      <c r="D273" s="401"/>
      <c r="E273" s="400"/>
      <c r="F273" s="125"/>
      <c r="G273" s="424"/>
      <c r="H273" s="46"/>
      <c r="I273" s="425"/>
      <c r="J273" s="59"/>
      <c r="K273" s="59"/>
      <c r="L273" s="59"/>
      <c r="M273" s="427"/>
      <c r="N273" s="427"/>
      <c r="O273" s="45"/>
      <c r="P273" s="54"/>
      <c r="Q273" s="54"/>
      <c r="R273" s="56"/>
    </row>
    <row r="274">
      <c r="A274" s="59"/>
      <c r="B274" s="90"/>
      <c r="C274" s="46"/>
      <c r="D274" s="401"/>
      <c r="E274" s="400"/>
      <c r="F274" s="125"/>
      <c r="G274" s="424"/>
      <c r="H274" s="46"/>
      <c r="I274" s="425"/>
      <c r="J274" s="59"/>
      <c r="K274" s="59"/>
      <c r="L274" s="59"/>
      <c r="M274" s="427"/>
      <c r="N274" s="427"/>
      <c r="O274" s="45"/>
      <c r="P274" s="54"/>
      <c r="Q274" s="54"/>
      <c r="R274" s="56"/>
    </row>
    <row r="275">
      <c r="A275" s="59"/>
      <c r="B275" s="90"/>
      <c r="C275" s="46"/>
      <c r="D275" s="401"/>
      <c r="E275" s="400"/>
      <c r="F275" s="125"/>
      <c r="G275" s="424"/>
      <c r="H275" s="46"/>
      <c r="I275" s="425"/>
      <c r="J275" s="59"/>
      <c r="K275" s="59"/>
      <c r="L275" s="59"/>
      <c r="M275" s="427"/>
      <c r="N275" s="427"/>
      <c r="O275" s="45"/>
      <c r="P275" s="54"/>
      <c r="Q275" s="54"/>
      <c r="R275" s="56"/>
    </row>
    <row r="276">
      <c r="A276" s="45"/>
      <c r="B276" s="90"/>
      <c r="C276" s="46"/>
      <c r="D276" s="46"/>
      <c r="E276" s="142"/>
      <c r="F276" s="125"/>
      <c r="G276" s="45"/>
      <c r="H276" s="46"/>
      <c r="I276" s="425"/>
      <c r="J276" s="59"/>
      <c r="K276" s="59"/>
      <c r="L276" s="59"/>
      <c r="M276" s="427"/>
      <c r="N276" s="427"/>
      <c r="O276" s="45"/>
      <c r="P276" s="54"/>
      <c r="Q276" s="54"/>
      <c r="R276" s="56"/>
    </row>
    <row r="277" ht="9.0" customHeight="1">
      <c r="A277" s="429"/>
      <c r="B277" s="429"/>
      <c r="C277" s="429"/>
      <c r="D277" s="429"/>
      <c r="E277" s="429"/>
      <c r="F277" s="429"/>
      <c r="G277" s="429"/>
      <c r="H277" s="429"/>
      <c r="I277" s="429"/>
      <c r="J277" s="429"/>
      <c r="K277" s="429"/>
      <c r="L277" s="429"/>
      <c r="M277" s="429"/>
      <c r="N277" s="429"/>
      <c r="O277" s="429"/>
      <c r="P277" s="429"/>
      <c r="Q277" s="429"/>
      <c r="R277" s="56"/>
    </row>
    <row r="278">
      <c r="A278" s="45" t="s">
        <v>283</v>
      </c>
      <c r="B278" s="90" t="str">
        <f t="array" ref="B278">iferror(INDEX('作品'!D:D,MATCH(A278,'作品'!A:A,0),0),"error")</f>
        <v>GLOW</v>
      </c>
      <c r="C278" s="142" t="s">
        <v>2647</v>
      </c>
      <c r="D278" s="142" t="s">
        <v>2050</v>
      </c>
      <c r="E278" s="46" t="s">
        <v>2450</v>
      </c>
      <c r="F278" s="125" t="s">
        <v>2648</v>
      </c>
      <c r="G278" s="45" t="s">
        <v>2649</v>
      </c>
      <c r="H278" s="125"/>
      <c r="I278" s="45" t="s">
        <v>2650</v>
      </c>
      <c r="J278" s="45" t="s">
        <v>2651</v>
      </c>
      <c r="K278" s="45"/>
      <c r="L278" s="45"/>
      <c r="M278" s="115"/>
      <c r="N278" s="115" t="s">
        <v>64</v>
      </c>
      <c r="O278" s="45" t="s">
        <v>64</v>
      </c>
      <c r="P278" s="210" t="s">
        <v>64</v>
      </c>
      <c r="Q278" s="210"/>
      <c r="R278" s="56"/>
    </row>
    <row r="279">
      <c r="A279" s="45" t="s">
        <v>283</v>
      </c>
      <c r="B279" s="90" t="str">
        <f t="array" ref="B279">iferror(INDEX('作品'!D:D,MATCH(A279,'作品'!A:A,0),0),"error")</f>
        <v>GLOW</v>
      </c>
      <c r="C279" s="142" t="s">
        <v>2652</v>
      </c>
      <c r="D279" s="142" t="s">
        <v>2653</v>
      </c>
      <c r="E279" s="46" t="s">
        <v>2654</v>
      </c>
      <c r="F279" s="125" t="s">
        <v>2655</v>
      </c>
      <c r="G279" s="45" t="s">
        <v>2654</v>
      </c>
      <c r="H279" s="125" t="s">
        <v>2529</v>
      </c>
      <c r="I279" s="45" t="s">
        <v>2656</v>
      </c>
      <c r="J279" s="45" t="s">
        <v>2657</v>
      </c>
      <c r="K279" s="45"/>
      <c r="L279" s="45"/>
      <c r="M279" s="115"/>
      <c r="N279" s="115"/>
      <c r="O279" s="45"/>
      <c r="P279" s="210"/>
      <c r="Q279" s="210"/>
      <c r="R279" s="56"/>
    </row>
    <row r="280">
      <c r="A280" s="45" t="s">
        <v>283</v>
      </c>
      <c r="B280" s="90" t="str">
        <f t="array" ref="B280">iferror(INDEX('作品'!D:D,MATCH(A280,'作品'!A:A,0),0),"error")</f>
        <v>GLOW</v>
      </c>
      <c r="C280" s="142" t="s">
        <v>2652</v>
      </c>
      <c r="D280" s="142" t="s">
        <v>2653</v>
      </c>
      <c r="E280" s="46" t="s">
        <v>2654</v>
      </c>
      <c r="F280" s="125" t="s">
        <v>2655</v>
      </c>
      <c r="G280" s="45" t="s">
        <v>2654</v>
      </c>
      <c r="H280" s="125" t="s">
        <v>2530</v>
      </c>
      <c r="I280" s="45" t="s">
        <v>2658</v>
      </c>
      <c r="J280" s="45" t="s">
        <v>2657</v>
      </c>
      <c r="K280" s="45"/>
      <c r="L280" s="45"/>
      <c r="M280" s="115"/>
      <c r="N280" s="115"/>
      <c r="O280" s="45"/>
      <c r="P280" s="210"/>
      <c r="Q280" s="210"/>
      <c r="R280" s="56"/>
    </row>
    <row r="281">
      <c r="A281" s="45" t="s">
        <v>283</v>
      </c>
      <c r="B281" s="90" t="str">
        <f t="array" ref="B281">iferror(INDEX('作品'!D:D,MATCH(A281,'作品'!A:A,0),0),"error")</f>
        <v>GLOW</v>
      </c>
      <c r="C281" s="142" t="s">
        <v>2652</v>
      </c>
      <c r="D281" s="142" t="s">
        <v>2653</v>
      </c>
      <c r="E281" s="46" t="s">
        <v>2654</v>
      </c>
      <c r="F281" s="125" t="s">
        <v>2655</v>
      </c>
      <c r="G281" s="45" t="s">
        <v>2654</v>
      </c>
      <c r="H281" s="125" t="s">
        <v>2531</v>
      </c>
      <c r="I281" s="45" t="s">
        <v>2659</v>
      </c>
      <c r="J281" s="45" t="s">
        <v>2657</v>
      </c>
      <c r="K281" s="45"/>
      <c r="L281" s="45"/>
      <c r="M281" s="115"/>
      <c r="N281" s="115"/>
      <c r="O281" s="45"/>
      <c r="P281" s="210"/>
      <c r="Q281" s="210"/>
      <c r="R281" s="56"/>
    </row>
    <row r="282">
      <c r="A282" s="45"/>
      <c r="B282" s="90"/>
      <c r="C282" s="142"/>
      <c r="D282" s="142"/>
      <c r="E282" s="46"/>
      <c r="F282" s="125"/>
      <c r="G282" s="45"/>
      <c r="H282" s="125"/>
      <c r="I282" s="45"/>
      <c r="J282" s="45"/>
      <c r="K282" s="45"/>
      <c r="L282" s="45"/>
      <c r="M282" s="115"/>
      <c r="N282" s="115"/>
      <c r="O282" s="45"/>
      <c r="P282" s="210"/>
      <c r="Q282" s="210"/>
      <c r="R282" s="56"/>
    </row>
    <row r="283" ht="14.25" customHeight="1">
      <c r="A283" s="430" t="s">
        <v>522</v>
      </c>
      <c r="B283" s="429"/>
      <c r="C283" s="429"/>
      <c r="D283" s="429"/>
      <c r="E283" s="429"/>
      <c r="F283" s="429"/>
      <c r="G283" s="429"/>
      <c r="H283" s="429"/>
      <c r="I283" s="429"/>
      <c r="J283" s="429"/>
      <c r="K283" s="429"/>
      <c r="L283" s="429"/>
      <c r="M283" s="429"/>
      <c r="N283" s="429"/>
      <c r="O283" s="429"/>
      <c r="P283" s="429"/>
      <c r="Q283" s="429"/>
      <c r="R283" s="56"/>
    </row>
    <row r="284">
      <c r="A284" s="45" t="s">
        <v>2660</v>
      </c>
      <c r="B284" s="90" t="str">
        <f t="array" ref="B284">iferror(INDEX('作品'!D:D,MATCH(left(A284,3),'作品'!A:A,0),0),"error")</f>
        <v>怪獣８号</v>
      </c>
      <c r="C284" s="142" t="s">
        <v>2449</v>
      </c>
      <c r="D284" s="142" t="s">
        <v>2459</v>
      </c>
      <c r="E284" s="46" t="s">
        <v>2458</v>
      </c>
      <c r="F284" s="423" t="str">
        <f t="shared" ref="F284:F503" si="3">CONCATENATE("quest_",D284,"_",A284,"_",C284)</f>
        <v>quest_event_kai1_1day</v>
      </c>
      <c r="G284" s="45" t="s">
        <v>2661</v>
      </c>
      <c r="H284" s="125" t="s">
        <v>2529</v>
      </c>
      <c r="I284" s="431" t="str">
        <f t="shared" ref="I284:I503" si="4">CONCATENATE(D284,"_",A284,"_",C284,"_","000",H284)</f>
        <v>event_kai1_1day_00001</v>
      </c>
      <c r="J284" s="432"/>
      <c r="K284" s="433"/>
      <c r="L284" s="45"/>
      <c r="M284" s="115"/>
      <c r="N284" s="115"/>
      <c r="O284" s="45"/>
      <c r="P284" s="210"/>
      <c r="Q284" s="210"/>
      <c r="R284" s="56"/>
    </row>
    <row r="285">
      <c r="A285" s="45" t="s">
        <v>2660</v>
      </c>
      <c r="B285" s="90" t="str">
        <f t="array" ref="B285">iferror(INDEX('作品'!D:D,MATCH(left(A285,3),'作品'!A:A,0),0),"error")</f>
        <v>怪獣８号</v>
      </c>
      <c r="C285" s="142" t="s">
        <v>2662</v>
      </c>
      <c r="D285" s="142" t="s">
        <v>2459</v>
      </c>
      <c r="E285" s="46" t="s">
        <v>2458</v>
      </c>
      <c r="F285" s="423" t="str">
        <f t="shared" si="3"/>
        <v>quest_event_kai1_charaget01</v>
      </c>
      <c r="G285" s="45" t="s">
        <v>2663</v>
      </c>
      <c r="H285" s="125" t="s">
        <v>2529</v>
      </c>
      <c r="I285" s="431" t="str">
        <f t="shared" si="4"/>
        <v>event_kai1_charaget01_00001</v>
      </c>
      <c r="J285" s="432"/>
      <c r="K285" s="433"/>
      <c r="L285" s="45"/>
      <c r="M285" s="115"/>
      <c r="N285" s="115"/>
      <c r="O285" s="45"/>
      <c r="P285" s="210"/>
      <c r="Q285" s="210"/>
      <c r="R285" s="56"/>
    </row>
    <row r="286">
      <c r="A286" s="45" t="s">
        <v>2660</v>
      </c>
      <c r="B286" s="90" t="str">
        <f t="array" ref="B286">iferror(INDEX('作品'!D:D,MATCH(left(A286,3),'作品'!A:A,0),0),"error")</f>
        <v>怪獣８号</v>
      </c>
      <c r="C286" s="142" t="s">
        <v>2662</v>
      </c>
      <c r="D286" s="142" t="s">
        <v>2459</v>
      </c>
      <c r="E286" s="46" t="s">
        <v>2458</v>
      </c>
      <c r="F286" s="423" t="str">
        <f t="shared" si="3"/>
        <v>quest_event_kai1_charaget01</v>
      </c>
      <c r="G286" s="45" t="s">
        <v>2663</v>
      </c>
      <c r="H286" s="125" t="s">
        <v>2530</v>
      </c>
      <c r="I286" s="431" t="str">
        <f t="shared" si="4"/>
        <v>event_kai1_charaget01_00002</v>
      </c>
      <c r="J286" s="432"/>
      <c r="K286" s="433"/>
      <c r="L286" s="45"/>
      <c r="M286" s="115"/>
      <c r="N286" s="115"/>
      <c r="O286" s="45"/>
      <c r="P286" s="210"/>
      <c r="Q286" s="210"/>
      <c r="R286" s="56"/>
    </row>
    <row r="287">
      <c r="A287" s="45" t="s">
        <v>2660</v>
      </c>
      <c r="B287" s="90" t="str">
        <f t="array" ref="B287">iferror(INDEX('作品'!D:D,MATCH(left(A287,3),'作品'!A:A,0),0),"error")</f>
        <v>怪獣８号</v>
      </c>
      <c r="C287" s="142" t="s">
        <v>2662</v>
      </c>
      <c r="D287" s="142" t="s">
        <v>2459</v>
      </c>
      <c r="E287" s="46" t="s">
        <v>2458</v>
      </c>
      <c r="F287" s="423" t="str">
        <f t="shared" si="3"/>
        <v>quest_event_kai1_charaget01</v>
      </c>
      <c r="G287" s="45" t="s">
        <v>2663</v>
      </c>
      <c r="H287" s="125" t="s">
        <v>2531</v>
      </c>
      <c r="I287" s="431" t="str">
        <f t="shared" si="4"/>
        <v>event_kai1_charaget01_00003</v>
      </c>
      <c r="J287" s="432"/>
      <c r="K287" s="433"/>
      <c r="L287" s="45"/>
      <c r="M287" s="115"/>
      <c r="N287" s="115"/>
      <c r="O287" s="45"/>
      <c r="P287" s="210"/>
      <c r="Q287" s="210"/>
      <c r="R287" s="56"/>
    </row>
    <row r="288">
      <c r="A288" s="45" t="s">
        <v>2660</v>
      </c>
      <c r="B288" s="90" t="str">
        <f t="array" ref="B288">iferror(INDEX('作品'!D:D,MATCH(left(A288,3),'作品'!A:A,0),0),"error")</f>
        <v>怪獣８号</v>
      </c>
      <c r="C288" s="142" t="s">
        <v>2662</v>
      </c>
      <c r="D288" s="142" t="s">
        <v>2459</v>
      </c>
      <c r="E288" s="46" t="s">
        <v>2458</v>
      </c>
      <c r="F288" s="423" t="str">
        <f t="shared" si="3"/>
        <v>quest_event_kai1_charaget01</v>
      </c>
      <c r="G288" s="45" t="s">
        <v>2663</v>
      </c>
      <c r="H288" s="125" t="s">
        <v>2532</v>
      </c>
      <c r="I288" s="431" t="str">
        <f t="shared" si="4"/>
        <v>event_kai1_charaget01_00004</v>
      </c>
      <c r="J288" s="432"/>
      <c r="K288" s="433"/>
      <c r="L288" s="45"/>
      <c r="M288" s="115"/>
      <c r="N288" s="115"/>
      <c r="O288" s="45"/>
      <c r="P288" s="210"/>
      <c r="Q288" s="210"/>
      <c r="R288" s="56"/>
    </row>
    <row r="289">
      <c r="A289" s="45" t="s">
        <v>2660</v>
      </c>
      <c r="B289" s="90" t="str">
        <f t="array" ref="B289">iferror(INDEX('作品'!D:D,MATCH(left(A289,3),'作品'!A:A,0),0),"error")</f>
        <v>怪獣８号</v>
      </c>
      <c r="C289" s="142" t="s">
        <v>2662</v>
      </c>
      <c r="D289" s="142" t="s">
        <v>2459</v>
      </c>
      <c r="E289" s="46" t="s">
        <v>2458</v>
      </c>
      <c r="F289" s="423" t="str">
        <f t="shared" si="3"/>
        <v>quest_event_kai1_charaget01</v>
      </c>
      <c r="G289" s="45" t="s">
        <v>2663</v>
      </c>
      <c r="H289" s="125" t="s">
        <v>2533</v>
      </c>
      <c r="I289" s="431" t="str">
        <f t="shared" si="4"/>
        <v>event_kai1_charaget01_00005</v>
      </c>
      <c r="J289" s="432"/>
      <c r="K289" s="433"/>
      <c r="L289" s="45"/>
      <c r="M289" s="115"/>
      <c r="N289" s="115"/>
      <c r="O289" s="45"/>
      <c r="P289" s="210"/>
      <c r="Q289" s="210"/>
      <c r="R289" s="56"/>
    </row>
    <row r="290">
      <c r="A290" s="45" t="s">
        <v>2660</v>
      </c>
      <c r="B290" s="90" t="str">
        <f t="array" ref="B290">iferror(INDEX('作品'!D:D,MATCH(left(A290,3),'作品'!A:A,0),0),"error")</f>
        <v>怪獣８号</v>
      </c>
      <c r="C290" s="142" t="s">
        <v>2662</v>
      </c>
      <c r="D290" s="142" t="s">
        <v>2459</v>
      </c>
      <c r="E290" s="46" t="s">
        <v>2458</v>
      </c>
      <c r="F290" s="423" t="str">
        <f t="shared" si="3"/>
        <v>quest_event_kai1_charaget01</v>
      </c>
      <c r="G290" s="45" t="s">
        <v>2663</v>
      </c>
      <c r="H290" s="125" t="s">
        <v>2534</v>
      </c>
      <c r="I290" s="431" t="str">
        <f t="shared" si="4"/>
        <v>event_kai1_charaget01_00006</v>
      </c>
      <c r="J290" s="432"/>
      <c r="K290" s="433"/>
      <c r="L290" s="45"/>
      <c r="M290" s="115"/>
      <c r="N290" s="115"/>
      <c r="O290" s="45"/>
      <c r="P290" s="210"/>
      <c r="Q290" s="210"/>
      <c r="R290" s="56"/>
    </row>
    <row r="291">
      <c r="A291" s="45" t="s">
        <v>2660</v>
      </c>
      <c r="B291" s="90" t="str">
        <f t="array" ref="B291">iferror(INDEX('作品'!D:D,MATCH(left(A291,3),'作品'!A:A,0),0),"error")</f>
        <v>怪獣８号</v>
      </c>
      <c r="C291" s="142" t="s">
        <v>2662</v>
      </c>
      <c r="D291" s="142" t="s">
        <v>2459</v>
      </c>
      <c r="E291" s="46" t="s">
        <v>2458</v>
      </c>
      <c r="F291" s="423" t="str">
        <f t="shared" si="3"/>
        <v>quest_event_kai1_charaget01</v>
      </c>
      <c r="G291" s="45" t="s">
        <v>2663</v>
      </c>
      <c r="H291" s="125" t="s">
        <v>2664</v>
      </c>
      <c r="I291" s="431" t="str">
        <f t="shared" si="4"/>
        <v>event_kai1_charaget01_00007</v>
      </c>
      <c r="J291" s="432"/>
      <c r="K291" s="433"/>
      <c r="L291" s="45"/>
      <c r="M291" s="115"/>
      <c r="N291" s="115"/>
      <c r="O291" s="45"/>
      <c r="P291" s="210"/>
      <c r="Q291" s="210"/>
      <c r="R291" s="56"/>
    </row>
    <row r="292">
      <c r="A292" s="45" t="s">
        <v>2660</v>
      </c>
      <c r="B292" s="90" t="str">
        <f t="array" ref="B292">iferror(INDEX('作品'!D:D,MATCH(left(A292,3),'作品'!A:A,0),0),"error")</f>
        <v>怪獣８号</v>
      </c>
      <c r="C292" s="142" t="s">
        <v>2662</v>
      </c>
      <c r="D292" s="142" t="s">
        <v>2459</v>
      </c>
      <c r="E292" s="46" t="s">
        <v>2458</v>
      </c>
      <c r="F292" s="423" t="str">
        <f t="shared" si="3"/>
        <v>quest_event_kai1_charaget01</v>
      </c>
      <c r="G292" s="45" t="s">
        <v>2663</v>
      </c>
      <c r="H292" s="125" t="s">
        <v>2665</v>
      </c>
      <c r="I292" s="431" t="str">
        <f t="shared" si="4"/>
        <v>event_kai1_charaget01_00008</v>
      </c>
      <c r="J292" s="432"/>
      <c r="K292" s="433"/>
      <c r="L292" s="45"/>
      <c r="M292" s="115"/>
      <c r="N292" s="115"/>
      <c r="O292" s="45"/>
      <c r="P292" s="210"/>
      <c r="Q292" s="210"/>
      <c r="R292" s="56"/>
    </row>
    <row r="293">
      <c r="A293" s="45" t="s">
        <v>2660</v>
      </c>
      <c r="B293" s="90" t="str">
        <f t="array" ref="B293">iferror(INDEX('作品'!D:D,MATCH(left(A293,3),'作品'!A:A,0),0),"error")</f>
        <v>怪獣８号</v>
      </c>
      <c r="C293" s="142" t="s">
        <v>2666</v>
      </c>
      <c r="D293" s="142" t="s">
        <v>2459</v>
      </c>
      <c r="E293" s="46" t="s">
        <v>2458</v>
      </c>
      <c r="F293" s="423" t="str">
        <f t="shared" si="3"/>
        <v>quest_event_kai1_charaget02</v>
      </c>
      <c r="G293" s="45" t="s">
        <v>2667</v>
      </c>
      <c r="H293" s="125" t="s">
        <v>2529</v>
      </c>
      <c r="I293" s="431" t="str">
        <f t="shared" si="4"/>
        <v>event_kai1_charaget02_00001</v>
      </c>
      <c r="J293" s="432"/>
      <c r="K293" s="433"/>
      <c r="L293" s="45"/>
      <c r="M293" s="115"/>
      <c r="N293" s="115"/>
      <c r="O293" s="45"/>
      <c r="P293" s="210"/>
      <c r="Q293" s="210"/>
      <c r="R293" s="56"/>
    </row>
    <row r="294">
      <c r="A294" s="45" t="s">
        <v>2660</v>
      </c>
      <c r="B294" s="90" t="str">
        <f t="array" ref="B294">iferror(INDEX('作品'!D:D,MATCH(left(A294,3),'作品'!A:A,0),0),"error")</f>
        <v>怪獣８号</v>
      </c>
      <c r="C294" s="142" t="s">
        <v>2666</v>
      </c>
      <c r="D294" s="142" t="s">
        <v>2459</v>
      </c>
      <c r="E294" s="46" t="s">
        <v>2458</v>
      </c>
      <c r="F294" s="423" t="str">
        <f t="shared" si="3"/>
        <v>quest_event_kai1_charaget02</v>
      </c>
      <c r="G294" s="45" t="s">
        <v>2667</v>
      </c>
      <c r="H294" s="125" t="s">
        <v>2530</v>
      </c>
      <c r="I294" s="431" t="str">
        <f t="shared" si="4"/>
        <v>event_kai1_charaget02_00002</v>
      </c>
      <c r="J294" s="432"/>
      <c r="K294" s="433"/>
      <c r="L294" s="45"/>
      <c r="M294" s="115"/>
      <c r="N294" s="115"/>
      <c r="O294" s="45"/>
      <c r="P294" s="210"/>
      <c r="Q294" s="210"/>
      <c r="R294" s="56"/>
    </row>
    <row r="295">
      <c r="A295" s="45" t="s">
        <v>2660</v>
      </c>
      <c r="B295" s="90" t="str">
        <f t="array" ref="B295">iferror(INDEX('作品'!D:D,MATCH(left(A295,3),'作品'!A:A,0),0),"error")</f>
        <v>怪獣８号</v>
      </c>
      <c r="C295" s="142" t="s">
        <v>2666</v>
      </c>
      <c r="D295" s="142" t="s">
        <v>2459</v>
      </c>
      <c r="E295" s="46" t="s">
        <v>2458</v>
      </c>
      <c r="F295" s="423" t="str">
        <f t="shared" si="3"/>
        <v>quest_event_kai1_charaget02</v>
      </c>
      <c r="G295" s="45" t="s">
        <v>2667</v>
      </c>
      <c r="H295" s="125" t="s">
        <v>2531</v>
      </c>
      <c r="I295" s="431" t="str">
        <f t="shared" si="4"/>
        <v>event_kai1_charaget02_00003</v>
      </c>
      <c r="J295" s="432"/>
      <c r="K295" s="433"/>
      <c r="L295" s="45"/>
      <c r="M295" s="115"/>
      <c r="N295" s="115"/>
      <c r="O295" s="45"/>
      <c r="P295" s="210"/>
      <c r="Q295" s="210"/>
      <c r="R295" s="56"/>
    </row>
    <row r="296">
      <c r="A296" s="45" t="s">
        <v>2660</v>
      </c>
      <c r="B296" s="90" t="str">
        <f t="array" ref="B296">iferror(INDEX('作品'!D:D,MATCH(left(A296,3),'作品'!A:A,0),0),"error")</f>
        <v>怪獣８号</v>
      </c>
      <c r="C296" s="142" t="s">
        <v>2666</v>
      </c>
      <c r="D296" s="142" t="s">
        <v>2459</v>
      </c>
      <c r="E296" s="46" t="s">
        <v>2458</v>
      </c>
      <c r="F296" s="423" t="str">
        <f t="shared" si="3"/>
        <v>quest_event_kai1_charaget02</v>
      </c>
      <c r="G296" s="45" t="s">
        <v>2667</v>
      </c>
      <c r="H296" s="125" t="s">
        <v>2532</v>
      </c>
      <c r="I296" s="431" t="str">
        <f t="shared" si="4"/>
        <v>event_kai1_charaget02_00004</v>
      </c>
      <c r="J296" s="432"/>
      <c r="K296" s="433"/>
      <c r="L296" s="45"/>
      <c r="M296" s="115"/>
      <c r="N296" s="115"/>
      <c r="O296" s="45"/>
      <c r="P296" s="210"/>
      <c r="Q296" s="210"/>
      <c r="R296" s="56"/>
    </row>
    <row r="297">
      <c r="A297" s="45" t="s">
        <v>2660</v>
      </c>
      <c r="B297" s="90" t="str">
        <f t="array" ref="B297">iferror(INDEX('作品'!D:D,MATCH(left(A297,3),'作品'!A:A,0),0),"error")</f>
        <v>怪獣８号</v>
      </c>
      <c r="C297" s="142" t="s">
        <v>2666</v>
      </c>
      <c r="D297" s="142" t="s">
        <v>2459</v>
      </c>
      <c r="E297" s="46" t="s">
        <v>2458</v>
      </c>
      <c r="F297" s="423" t="str">
        <f t="shared" si="3"/>
        <v>quest_event_kai1_charaget02</v>
      </c>
      <c r="G297" s="45" t="s">
        <v>2667</v>
      </c>
      <c r="H297" s="125" t="s">
        <v>2533</v>
      </c>
      <c r="I297" s="431" t="str">
        <f t="shared" si="4"/>
        <v>event_kai1_charaget02_00005</v>
      </c>
      <c r="J297" s="432"/>
      <c r="K297" s="433"/>
      <c r="L297" s="45"/>
      <c r="M297" s="115"/>
      <c r="N297" s="115"/>
      <c r="O297" s="45"/>
      <c r="P297" s="210"/>
      <c r="Q297" s="210"/>
      <c r="R297" s="56"/>
    </row>
    <row r="298">
      <c r="A298" s="45" t="s">
        <v>2660</v>
      </c>
      <c r="B298" s="90" t="str">
        <f t="array" ref="B298">iferror(INDEX('作品'!D:D,MATCH(left(A298,3),'作品'!A:A,0),0),"error")</f>
        <v>怪獣８号</v>
      </c>
      <c r="C298" s="142" t="s">
        <v>2666</v>
      </c>
      <c r="D298" s="142" t="s">
        <v>2459</v>
      </c>
      <c r="E298" s="46" t="s">
        <v>2458</v>
      </c>
      <c r="F298" s="423" t="str">
        <f t="shared" si="3"/>
        <v>quest_event_kai1_charaget02</v>
      </c>
      <c r="G298" s="45" t="s">
        <v>2667</v>
      </c>
      <c r="H298" s="125" t="s">
        <v>2534</v>
      </c>
      <c r="I298" s="431" t="str">
        <f t="shared" si="4"/>
        <v>event_kai1_charaget02_00006</v>
      </c>
      <c r="J298" s="432"/>
      <c r="K298" s="433"/>
      <c r="L298" s="45"/>
      <c r="M298" s="115"/>
      <c r="N298" s="115"/>
      <c r="O298" s="45"/>
      <c r="P298" s="210"/>
      <c r="Q298" s="210"/>
      <c r="R298" s="56"/>
    </row>
    <row r="299">
      <c r="A299" s="45" t="s">
        <v>2660</v>
      </c>
      <c r="B299" s="90" t="str">
        <f t="array" ref="B299">iferror(INDEX('作品'!D:D,MATCH(left(A299,3),'作品'!A:A,0),0),"error")</f>
        <v>怪獣８号</v>
      </c>
      <c r="C299" s="142" t="s">
        <v>2666</v>
      </c>
      <c r="D299" s="142" t="s">
        <v>2459</v>
      </c>
      <c r="E299" s="46" t="s">
        <v>2458</v>
      </c>
      <c r="F299" s="423" t="str">
        <f t="shared" si="3"/>
        <v>quest_event_kai1_charaget02</v>
      </c>
      <c r="G299" s="45" t="s">
        <v>2667</v>
      </c>
      <c r="H299" s="125" t="s">
        <v>2664</v>
      </c>
      <c r="I299" s="431" t="str">
        <f t="shared" si="4"/>
        <v>event_kai1_charaget02_00007</v>
      </c>
      <c r="J299" s="432"/>
      <c r="K299" s="433"/>
      <c r="L299" s="45"/>
      <c r="M299" s="115"/>
      <c r="N299" s="115"/>
      <c r="O299" s="45"/>
      <c r="P299" s="210"/>
      <c r="Q299" s="210"/>
      <c r="R299" s="56"/>
    </row>
    <row r="300">
      <c r="A300" s="45" t="s">
        <v>2660</v>
      </c>
      <c r="B300" s="90" t="str">
        <f t="array" ref="B300">iferror(INDEX('作品'!D:D,MATCH(left(A300,3),'作品'!A:A,0),0),"error")</f>
        <v>怪獣８号</v>
      </c>
      <c r="C300" s="142" t="s">
        <v>2666</v>
      </c>
      <c r="D300" s="142" t="s">
        <v>2459</v>
      </c>
      <c r="E300" s="46" t="s">
        <v>2458</v>
      </c>
      <c r="F300" s="423" t="str">
        <f t="shared" si="3"/>
        <v>quest_event_kai1_charaget02</v>
      </c>
      <c r="G300" s="45" t="s">
        <v>2667</v>
      </c>
      <c r="H300" s="125" t="s">
        <v>2665</v>
      </c>
      <c r="I300" s="431" t="str">
        <f t="shared" si="4"/>
        <v>event_kai1_charaget02_00008</v>
      </c>
      <c r="J300" s="432"/>
      <c r="K300" s="433"/>
      <c r="L300" s="45"/>
      <c r="M300" s="115"/>
      <c r="N300" s="115"/>
      <c r="O300" s="45"/>
      <c r="P300" s="210"/>
      <c r="Q300" s="210"/>
      <c r="R300" s="56"/>
    </row>
    <row r="301">
      <c r="A301" s="45" t="s">
        <v>2660</v>
      </c>
      <c r="B301" s="90" t="str">
        <f t="array" ref="B301">iferror(INDEX('作品'!D:D,MATCH(left(A301,3),'作品'!A:A,0),0),"error")</f>
        <v>怪獣８号</v>
      </c>
      <c r="C301" s="142" t="s">
        <v>2668</v>
      </c>
      <c r="D301" s="142" t="s">
        <v>2459</v>
      </c>
      <c r="E301" s="46" t="s">
        <v>2458</v>
      </c>
      <c r="F301" s="423" t="str">
        <f t="shared" si="3"/>
        <v>quest_event_kai1_challenge01</v>
      </c>
      <c r="G301" s="45" t="s">
        <v>2669</v>
      </c>
      <c r="H301" s="125" t="s">
        <v>2529</v>
      </c>
      <c r="I301" s="431" t="str">
        <f t="shared" si="4"/>
        <v>event_kai1_challenge01_00001</v>
      </c>
      <c r="J301" s="432"/>
      <c r="K301" s="433"/>
      <c r="L301" s="45"/>
      <c r="M301" s="115"/>
      <c r="N301" s="115"/>
      <c r="O301" s="45"/>
      <c r="P301" s="210"/>
      <c r="Q301" s="210"/>
      <c r="R301" s="56"/>
    </row>
    <row r="302">
      <c r="A302" s="45" t="s">
        <v>2660</v>
      </c>
      <c r="B302" s="90" t="str">
        <f t="array" ref="B302">iferror(INDEX('作品'!D:D,MATCH(left(A302,3),'作品'!A:A,0),0),"error")</f>
        <v>怪獣８号</v>
      </c>
      <c r="C302" s="142" t="s">
        <v>2668</v>
      </c>
      <c r="D302" s="142" t="s">
        <v>2459</v>
      </c>
      <c r="E302" s="46" t="s">
        <v>2458</v>
      </c>
      <c r="F302" s="423" t="str">
        <f t="shared" si="3"/>
        <v>quest_event_kai1_challenge01</v>
      </c>
      <c r="G302" s="45" t="s">
        <v>2669</v>
      </c>
      <c r="H302" s="125" t="s">
        <v>2530</v>
      </c>
      <c r="I302" s="431" t="str">
        <f t="shared" si="4"/>
        <v>event_kai1_challenge01_00002</v>
      </c>
      <c r="J302" s="432"/>
      <c r="K302" s="433"/>
      <c r="L302" s="45"/>
      <c r="M302" s="115"/>
      <c r="N302" s="115"/>
      <c r="O302" s="45"/>
      <c r="P302" s="210"/>
      <c r="Q302" s="210"/>
      <c r="R302" s="56"/>
    </row>
    <row r="303">
      <c r="A303" s="45" t="s">
        <v>2660</v>
      </c>
      <c r="B303" s="90" t="str">
        <f t="array" ref="B303">iferror(INDEX('作品'!D:D,MATCH(left(A303,3),'作品'!A:A,0),0),"error")</f>
        <v>怪獣８号</v>
      </c>
      <c r="C303" s="142" t="s">
        <v>2668</v>
      </c>
      <c r="D303" s="142" t="s">
        <v>2459</v>
      </c>
      <c r="E303" s="46" t="s">
        <v>2458</v>
      </c>
      <c r="F303" s="423" t="str">
        <f t="shared" si="3"/>
        <v>quest_event_kai1_challenge01</v>
      </c>
      <c r="G303" s="45" t="s">
        <v>2669</v>
      </c>
      <c r="H303" s="125" t="s">
        <v>2531</v>
      </c>
      <c r="I303" s="431" t="str">
        <f t="shared" si="4"/>
        <v>event_kai1_challenge01_00003</v>
      </c>
      <c r="J303" s="432"/>
      <c r="K303" s="433"/>
      <c r="L303" s="45"/>
      <c r="M303" s="115"/>
      <c r="N303" s="115"/>
      <c r="O303" s="45"/>
      <c r="P303" s="210"/>
      <c r="Q303" s="210"/>
      <c r="R303" s="56"/>
    </row>
    <row r="304">
      <c r="A304" s="45" t="s">
        <v>2660</v>
      </c>
      <c r="B304" s="90" t="str">
        <f t="array" ref="B304">iferror(INDEX('作品'!D:D,MATCH(left(A304,3),'作品'!A:A,0),0),"error")</f>
        <v>怪獣８号</v>
      </c>
      <c r="C304" s="142" t="s">
        <v>2668</v>
      </c>
      <c r="D304" s="142" t="s">
        <v>2459</v>
      </c>
      <c r="E304" s="46" t="s">
        <v>2458</v>
      </c>
      <c r="F304" s="423" t="str">
        <f t="shared" si="3"/>
        <v>quest_event_kai1_challenge01</v>
      </c>
      <c r="G304" s="45" t="s">
        <v>2669</v>
      </c>
      <c r="H304" s="125" t="s">
        <v>2532</v>
      </c>
      <c r="I304" s="431" t="str">
        <f t="shared" si="4"/>
        <v>event_kai1_challenge01_00004</v>
      </c>
      <c r="J304" s="432"/>
      <c r="K304" s="433"/>
      <c r="L304" s="45"/>
      <c r="M304" s="115"/>
      <c r="N304" s="115"/>
      <c r="O304" s="45"/>
      <c r="P304" s="210"/>
      <c r="Q304" s="210"/>
      <c r="R304" s="56"/>
    </row>
    <row r="305">
      <c r="A305" s="45" t="s">
        <v>2660</v>
      </c>
      <c r="B305" s="90" t="str">
        <f t="array" ref="B305">iferror(INDEX('作品'!D:D,MATCH(left(A305,3),'作品'!A:A,0),0),"error")</f>
        <v>怪獣８号</v>
      </c>
      <c r="C305" s="142" t="s">
        <v>2464</v>
      </c>
      <c r="D305" s="142" t="s">
        <v>2459</v>
      </c>
      <c r="E305" s="46" t="s">
        <v>2458</v>
      </c>
      <c r="F305" s="423" t="str">
        <f t="shared" si="3"/>
        <v>quest_event_kai1_savage</v>
      </c>
      <c r="G305" s="45" t="s">
        <v>2670</v>
      </c>
      <c r="H305" s="125" t="s">
        <v>2529</v>
      </c>
      <c r="I305" s="431" t="str">
        <f t="shared" si="4"/>
        <v>event_kai1_savage_00001</v>
      </c>
      <c r="J305" s="432"/>
      <c r="K305" s="433"/>
      <c r="L305" s="45"/>
      <c r="M305" s="115"/>
      <c r="N305" s="115"/>
      <c r="O305" s="45"/>
      <c r="P305" s="210"/>
      <c r="Q305" s="210"/>
      <c r="R305" s="56"/>
    </row>
    <row r="306">
      <c r="A306" s="434" t="s">
        <v>2660</v>
      </c>
      <c r="B306" s="435" t="str">
        <f t="array" ref="B306">iferror(INDEX('作品'!D:D,MATCH(left(A306,3),'作品'!A:A,0),0),"error")</f>
        <v>怪獣８号</v>
      </c>
      <c r="C306" s="436" t="s">
        <v>2464</v>
      </c>
      <c r="D306" s="436" t="s">
        <v>2459</v>
      </c>
      <c r="E306" s="437" t="s">
        <v>2458</v>
      </c>
      <c r="F306" s="438" t="str">
        <f t="shared" si="3"/>
        <v>quest_event_kai1_savage</v>
      </c>
      <c r="G306" s="434" t="s">
        <v>2670</v>
      </c>
      <c r="H306" s="439" t="s">
        <v>2530</v>
      </c>
      <c r="I306" s="440" t="str">
        <f t="shared" si="4"/>
        <v>event_kai1_savage_00002</v>
      </c>
      <c r="J306" s="441"/>
      <c r="K306" s="442"/>
      <c r="L306" s="434"/>
      <c r="M306" s="443"/>
      <c r="N306" s="443"/>
      <c r="O306" s="434"/>
      <c r="P306" s="444"/>
      <c r="Q306" s="444"/>
      <c r="R306" s="445"/>
    </row>
    <row r="307">
      <c r="A307" s="71" t="s">
        <v>2671</v>
      </c>
      <c r="B307" s="446" t="str">
        <f t="array" ref="B307">iferror(INDEX('作品'!D:D,MATCH(left(A307,3),'作品'!A:A,0),0),"error")</f>
        <v>SPY×FAMILY</v>
      </c>
      <c r="C307" s="447" t="s">
        <v>2449</v>
      </c>
      <c r="D307" s="447" t="s">
        <v>2459</v>
      </c>
      <c r="E307" s="448" t="s">
        <v>2458</v>
      </c>
      <c r="F307" s="423" t="str">
        <f t="shared" si="3"/>
        <v>quest_event_spy1_1day</v>
      </c>
      <c r="G307" s="71" t="s">
        <v>2672</v>
      </c>
      <c r="H307" s="125" t="s">
        <v>2529</v>
      </c>
      <c r="I307" s="449" t="str">
        <f t="shared" si="4"/>
        <v>event_spy1_1day_00001</v>
      </c>
      <c r="J307" s="450"/>
      <c r="K307" s="451"/>
      <c r="L307" s="71"/>
      <c r="M307" s="452"/>
      <c r="N307" s="452"/>
      <c r="O307" s="71"/>
      <c r="P307" s="453"/>
      <c r="Q307" s="453"/>
      <c r="R307" s="56"/>
    </row>
    <row r="308">
      <c r="A308" s="45" t="s">
        <v>2671</v>
      </c>
      <c r="B308" s="90" t="str">
        <f t="array" ref="B308">iferror(INDEX('作品'!D:D,MATCH(left(A308,3),'作品'!A:A,0),0),"error")</f>
        <v>SPY×FAMILY</v>
      </c>
      <c r="C308" s="142" t="s">
        <v>2662</v>
      </c>
      <c r="D308" s="142" t="s">
        <v>2459</v>
      </c>
      <c r="E308" s="46" t="s">
        <v>2458</v>
      </c>
      <c r="F308" s="423" t="str">
        <f t="shared" si="3"/>
        <v>quest_event_spy1_charaget01</v>
      </c>
      <c r="G308" s="45" t="s">
        <v>2673</v>
      </c>
      <c r="H308" s="125" t="s">
        <v>2529</v>
      </c>
      <c r="I308" s="431" t="str">
        <f t="shared" si="4"/>
        <v>event_spy1_charaget01_00001</v>
      </c>
      <c r="J308" s="432"/>
      <c r="K308" s="433"/>
      <c r="L308" s="45"/>
      <c r="M308" s="115"/>
      <c r="N308" s="115"/>
      <c r="O308" s="45"/>
      <c r="P308" s="210"/>
      <c r="Q308" s="210"/>
      <c r="R308" s="56"/>
    </row>
    <row r="309">
      <c r="A309" s="45" t="s">
        <v>2671</v>
      </c>
      <c r="B309" s="90" t="str">
        <f t="array" ref="B309">iferror(INDEX('作品'!D:D,MATCH(left(A309,3),'作品'!A:A,0),0),"error")</f>
        <v>SPY×FAMILY</v>
      </c>
      <c r="C309" s="142" t="s">
        <v>2662</v>
      </c>
      <c r="D309" s="142" t="s">
        <v>2459</v>
      </c>
      <c r="E309" s="46" t="s">
        <v>2458</v>
      </c>
      <c r="F309" s="423" t="str">
        <f t="shared" si="3"/>
        <v>quest_event_spy1_charaget01</v>
      </c>
      <c r="G309" s="45" t="s">
        <v>2673</v>
      </c>
      <c r="H309" s="125" t="s">
        <v>2530</v>
      </c>
      <c r="I309" s="431" t="str">
        <f t="shared" si="4"/>
        <v>event_spy1_charaget01_00002</v>
      </c>
      <c r="J309" s="432"/>
      <c r="K309" s="433"/>
      <c r="L309" s="45"/>
      <c r="M309" s="115"/>
      <c r="N309" s="115"/>
      <c r="O309" s="45"/>
      <c r="P309" s="210"/>
      <c r="Q309" s="210"/>
      <c r="R309" s="56"/>
    </row>
    <row r="310">
      <c r="A310" s="45" t="s">
        <v>2671</v>
      </c>
      <c r="B310" s="90" t="str">
        <f t="array" ref="B310">iferror(INDEX('作品'!D:D,MATCH(left(A310,3),'作品'!A:A,0),0),"error")</f>
        <v>SPY×FAMILY</v>
      </c>
      <c r="C310" s="142" t="s">
        <v>2662</v>
      </c>
      <c r="D310" s="142" t="s">
        <v>2459</v>
      </c>
      <c r="E310" s="46" t="s">
        <v>2458</v>
      </c>
      <c r="F310" s="423" t="str">
        <f t="shared" si="3"/>
        <v>quest_event_spy1_charaget01</v>
      </c>
      <c r="G310" s="45" t="s">
        <v>2673</v>
      </c>
      <c r="H310" s="125" t="s">
        <v>2531</v>
      </c>
      <c r="I310" s="431" t="str">
        <f t="shared" si="4"/>
        <v>event_spy1_charaget01_00003</v>
      </c>
      <c r="J310" s="432"/>
      <c r="K310" s="433"/>
      <c r="L310" s="45"/>
      <c r="M310" s="115"/>
      <c r="N310" s="115"/>
      <c r="O310" s="45"/>
      <c r="P310" s="210"/>
      <c r="Q310" s="210"/>
      <c r="R310" s="56"/>
    </row>
    <row r="311">
      <c r="A311" s="45" t="s">
        <v>2671</v>
      </c>
      <c r="B311" s="90" t="str">
        <f t="array" ref="B311">iferror(INDEX('作品'!D:D,MATCH(left(A311,3),'作品'!A:A,0),0),"error")</f>
        <v>SPY×FAMILY</v>
      </c>
      <c r="C311" s="142" t="s">
        <v>2662</v>
      </c>
      <c r="D311" s="142" t="s">
        <v>2459</v>
      </c>
      <c r="E311" s="46" t="s">
        <v>2458</v>
      </c>
      <c r="F311" s="423" t="str">
        <f t="shared" si="3"/>
        <v>quest_event_spy1_charaget01</v>
      </c>
      <c r="G311" s="45" t="s">
        <v>2673</v>
      </c>
      <c r="H311" s="125" t="s">
        <v>2532</v>
      </c>
      <c r="I311" s="431" t="str">
        <f t="shared" si="4"/>
        <v>event_spy1_charaget01_00004</v>
      </c>
      <c r="J311" s="432"/>
      <c r="K311" s="433"/>
      <c r="L311" s="45"/>
      <c r="M311" s="115"/>
      <c r="N311" s="115"/>
      <c r="O311" s="45"/>
      <c r="P311" s="210"/>
      <c r="Q311" s="210"/>
      <c r="R311" s="56"/>
    </row>
    <row r="312">
      <c r="A312" s="45" t="s">
        <v>2671</v>
      </c>
      <c r="B312" s="90" t="str">
        <f t="array" ref="B312">iferror(INDEX('作品'!D:D,MATCH(left(A312,3),'作品'!A:A,0),0),"error")</f>
        <v>SPY×FAMILY</v>
      </c>
      <c r="C312" s="142" t="s">
        <v>2662</v>
      </c>
      <c r="D312" s="142" t="s">
        <v>2459</v>
      </c>
      <c r="E312" s="46" t="s">
        <v>2458</v>
      </c>
      <c r="F312" s="423" t="str">
        <f t="shared" si="3"/>
        <v>quest_event_spy1_charaget01</v>
      </c>
      <c r="G312" s="45" t="s">
        <v>2673</v>
      </c>
      <c r="H312" s="125" t="s">
        <v>2533</v>
      </c>
      <c r="I312" s="431" t="str">
        <f t="shared" si="4"/>
        <v>event_spy1_charaget01_00005</v>
      </c>
      <c r="J312" s="432"/>
      <c r="K312" s="433"/>
      <c r="L312" s="45"/>
      <c r="M312" s="115"/>
      <c r="N312" s="115"/>
      <c r="O312" s="45"/>
      <c r="P312" s="210"/>
      <c r="Q312" s="210"/>
      <c r="R312" s="56"/>
    </row>
    <row r="313">
      <c r="A313" s="45" t="s">
        <v>2671</v>
      </c>
      <c r="B313" s="90" t="str">
        <f t="array" ref="B313">iferror(INDEX('作品'!D:D,MATCH(left(A313,3),'作品'!A:A,0),0),"error")</f>
        <v>SPY×FAMILY</v>
      </c>
      <c r="C313" s="142" t="s">
        <v>2662</v>
      </c>
      <c r="D313" s="142" t="s">
        <v>2459</v>
      </c>
      <c r="E313" s="46" t="s">
        <v>2458</v>
      </c>
      <c r="F313" s="423" t="str">
        <f t="shared" si="3"/>
        <v>quest_event_spy1_charaget01</v>
      </c>
      <c r="G313" s="45" t="s">
        <v>2673</v>
      </c>
      <c r="H313" s="125" t="s">
        <v>2534</v>
      </c>
      <c r="I313" s="431" t="str">
        <f t="shared" si="4"/>
        <v>event_spy1_charaget01_00006</v>
      </c>
      <c r="J313" s="432"/>
      <c r="K313" s="433"/>
      <c r="L313" s="45"/>
      <c r="M313" s="115"/>
      <c r="N313" s="115"/>
      <c r="O313" s="45"/>
      <c r="P313" s="210"/>
      <c r="Q313" s="210"/>
      <c r="R313" s="56"/>
    </row>
    <row r="314">
      <c r="A314" s="45" t="s">
        <v>2671</v>
      </c>
      <c r="B314" s="90" t="str">
        <f t="array" ref="B314">iferror(INDEX('作品'!D:D,MATCH(left(A314,3),'作品'!A:A,0),0),"error")</f>
        <v>SPY×FAMILY</v>
      </c>
      <c r="C314" s="142" t="s">
        <v>2662</v>
      </c>
      <c r="D314" s="142" t="s">
        <v>2459</v>
      </c>
      <c r="E314" s="46" t="s">
        <v>2458</v>
      </c>
      <c r="F314" s="423" t="str">
        <f t="shared" si="3"/>
        <v>quest_event_spy1_charaget01</v>
      </c>
      <c r="G314" s="45" t="s">
        <v>2673</v>
      </c>
      <c r="H314" s="125" t="s">
        <v>2664</v>
      </c>
      <c r="I314" s="431" t="str">
        <f t="shared" si="4"/>
        <v>event_spy1_charaget01_00007</v>
      </c>
      <c r="J314" s="432"/>
      <c r="K314" s="433"/>
      <c r="L314" s="45"/>
      <c r="M314" s="115"/>
      <c r="N314" s="115"/>
      <c r="O314" s="45"/>
      <c r="P314" s="210"/>
      <c r="Q314" s="210"/>
      <c r="R314" s="56"/>
    </row>
    <row r="315">
      <c r="A315" s="45" t="s">
        <v>2671</v>
      </c>
      <c r="B315" s="90" t="str">
        <f t="array" ref="B315">iferror(INDEX('作品'!D:D,MATCH(left(A315,3),'作品'!A:A,0),0),"error")</f>
        <v>SPY×FAMILY</v>
      </c>
      <c r="C315" s="142" t="s">
        <v>2662</v>
      </c>
      <c r="D315" s="142" t="s">
        <v>2459</v>
      </c>
      <c r="E315" s="46" t="s">
        <v>2458</v>
      </c>
      <c r="F315" s="423" t="str">
        <f t="shared" si="3"/>
        <v>quest_event_spy1_charaget01</v>
      </c>
      <c r="G315" s="45" t="s">
        <v>2673</v>
      </c>
      <c r="H315" s="125" t="s">
        <v>2665</v>
      </c>
      <c r="I315" s="431" t="str">
        <f t="shared" si="4"/>
        <v>event_spy1_charaget01_00008</v>
      </c>
      <c r="J315" s="432"/>
      <c r="K315" s="433"/>
      <c r="L315" s="45"/>
      <c r="M315" s="115"/>
      <c r="N315" s="115"/>
      <c r="O315" s="45"/>
      <c r="P315" s="210"/>
      <c r="Q315" s="210"/>
      <c r="R315" s="56"/>
    </row>
    <row r="316">
      <c r="A316" s="45" t="s">
        <v>2671</v>
      </c>
      <c r="B316" s="90" t="str">
        <f t="array" ref="B316">iferror(INDEX('作品'!D:D,MATCH(left(A316,3),'作品'!A:A,0),0),"error")</f>
        <v>SPY×FAMILY</v>
      </c>
      <c r="C316" s="142" t="s">
        <v>2666</v>
      </c>
      <c r="D316" s="142" t="s">
        <v>2459</v>
      </c>
      <c r="E316" s="46" t="s">
        <v>2458</v>
      </c>
      <c r="F316" s="423" t="str">
        <f t="shared" si="3"/>
        <v>quest_event_spy1_charaget02</v>
      </c>
      <c r="G316" s="45" t="s">
        <v>2674</v>
      </c>
      <c r="H316" s="125" t="s">
        <v>2529</v>
      </c>
      <c r="I316" s="431" t="str">
        <f t="shared" si="4"/>
        <v>event_spy1_charaget02_00001</v>
      </c>
      <c r="J316" s="432"/>
      <c r="K316" s="433"/>
      <c r="L316" s="45"/>
      <c r="M316" s="115"/>
      <c r="N316" s="115"/>
      <c r="O316" s="45"/>
      <c r="P316" s="210"/>
      <c r="Q316" s="210"/>
      <c r="R316" s="56"/>
    </row>
    <row r="317">
      <c r="A317" s="45" t="s">
        <v>2671</v>
      </c>
      <c r="B317" s="90" t="str">
        <f t="array" ref="B317">iferror(INDEX('作品'!D:D,MATCH(left(A317,3),'作品'!A:A,0),0),"error")</f>
        <v>SPY×FAMILY</v>
      </c>
      <c r="C317" s="142" t="s">
        <v>2666</v>
      </c>
      <c r="D317" s="142" t="s">
        <v>2459</v>
      </c>
      <c r="E317" s="46" t="s">
        <v>2458</v>
      </c>
      <c r="F317" s="423" t="str">
        <f t="shared" si="3"/>
        <v>quest_event_spy1_charaget02</v>
      </c>
      <c r="G317" s="45" t="s">
        <v>2674</v>
      </c>
      <c r="H317" s="125" t="s">
        <v>2530</v>
      </c>
      <c r="I317" s="431" t="str">
        <f t="shared" si="4"/>
        <v>event_spy1_charaget02_00002</v>
      </c>
      <c r="J317" s="432"/>
      <c r="K317" s="433"/>
      <c r="L317" s="45"/>
      <c r="M317" s="115"/>
      <c r="N317" s="115"/>
      <c r="O317" s="45"/>
      <c r="P317" s="210"/>
      <c r="Q317" s="210"/>
      <c r="R317" s="56"/>
    </row>
    <row r="318">
      <c r="A318" s="45" t="s">
        <v>2671</v>
      </c>
      <c r="B318" s="90" t="str">
        <f t="array" ref="B318">iferror(INDEX('作品'!D:D,MATCH(left(A318,3),'作品'!A:A,0),0),"error")</f>
        <v>SPY×FAMILY</v>
      </c>
      <c r="C318" s="142" t="s">
        <v>2666</v>
      </c>
      <c r="D318" s="142" t="s">
        <v>2459</v>
      </c>
      <c r="E318" s="46" t="s">
        <v>2458</v>
      </c>
      <c r="F318" s="423" t="str">
        <f t="shared" si="3"/>
        <v>quest_event_spy1_charaget02</v>
      </c>
      <c r="G318" s="45" t="s">
        <v>2674</v>
      </c>
      <c r="H318" s="125" t="s">
        <v>2531</v>
      </c>
      <c r="I318" s="431" t="str">
        <f t="shared" si="4"/>
        <v>event_spy1_charaget02_00003</v>
      </c>
      <c r="J318" s="432"/>
      <c r="K318" s="433"/>
      <c r="L318" s="45"/>
      <c r="M318" s="115"/>
      <c r="N318" s="115"/>
      <c r="O318" s="45"/>
      <c r="P318" s="210"/>
      <c r="Q318" s="210"/>
      <c r="R318" s="56"/>
    </row>
    <row r="319">
      <c r="A319" s="45" t="s">
        <v>2671</v>
      </c>
      <c r="B319" s="90" t="str">
        <f t="array" ref="B319">iferror(INDEX('作品'!D:D,MATCH(left(A319,3),'作品'!A:A,0),0),"error")</f>
        <v>SPY×FAMILY</v>
      </c>
      <c r="C319" s="142" t="s">
        <v>2666</v>
      </c>
      <c r="D319" s="142" t="s">
        <v>2459</v>
      </c>
      <c r="E319" s="46" t="s">
        <v>2458</v>
      </c>
      <c r="F319" s="423" t="str">
        <f t="shared" si="3"/>
        <v>quest_event_spy1_charaget02</v>
      </c>
      <c r="G319" s="45" t="s">
        <v>2674</v>
      </c>
      <c r="H319" s="125" t="s">
        <v>2532</v>
      </c>
      <c r="I319" s="431" t="str">
        <f t="shared" si="4"/>
        <v>event_spy1_charaget02_00004</v>
      </c>
      <c r="J319" s="432"/>
      <c r="K319" s="433"/>
      <c r="L319" s="45"/>
      <c r="M319" s="115"/>
      <c r="N319" s="115"/>
      <c r="O319" s="45"/>
      <c r="P319" s="210"/>
      <c r="Q319" s="210"/>
      <c r="R319" s="56"/>
    </row>
    <row r="320">
      <c r="A320" s="45" t="s">
        <v>2671</v>
      </c>
      <c r="B320" s="90" t="str">
        <f t="array" ref="B320">iferror(INDEX('作品'!D:D,MATCH(left(A320,3),'作品'!A:A,0),0),"error")</f>
        <v>SPY×FAMILY</v>
      </c>
      <c r="C320" s="142" t="s">
        <v>2666</v>
      </c>
      <c r="D320" s="142" t="s">
        <v>2459</v>
      </c>
      <c r="E320" s="46" t="s">
        <v>2458</v>
      </c>
      <c r="F320" s="423" t="str">
        <f t="shared" si="3"/>
        <v>quest_event_spy1_charaget02</v>
      </c>
      <c r="G320" s="45" t="s">
        <v>2674</v>
      </c>
      <c r="H320" s="125" t="s">
        <v>2533</v>
      </c>
      <c r="I320" s="431" t="str">
        <f t="shared" si="4"/>
        <v>event_spy1_charaget02_00005</v>
      </c>
      <c r="J320" s="432"/>
      <c r="K320" s="433"/>
      <c r="L320" s="45"/>
      <c r="M320" s="115"/>
      <c r="N320" s="115"/>
      <c r="O320" s="45"/>
      <c r="P320" s="210"/>
      <c r="Q320" s="210"/>
      <c r="R320" s="56"/>
    </row>
    <row r="321">
      <c r="A321" s="45" t="s">
        <v>2671</v>
      </c>
      <c r="B321" s="90" t="str">
        <f t="array" ref="B321">iferror(INDEX('作品'!D:D,MATCH(left(A321,3),'作品'!A:A,0),0),"error")</f>
        <v>SPY×FAMILY</v>
      </c>
      <c r="C321" s="142" t="s">
        <v>2666</v>
      </c>
      <c r="D321" s="142" t="s">
        <v>2459</v>
      </c>
      <c r="E321" s="46" t="s">
        <v>2458</v>
      </c>
      <c r="F321" s="423" t="str">
        <f t="shared" si="3"/>
        <v>quest_event_spy1_charaget02</v>
      </c>
      <c r="G321" s="45" t="s">
        <v>2674</v>
      </c>
      <c r="H321" s="125" t="s">
        <v>2534</v>
      </c>
      <c r="I321" s="431" t="str">
        <f t="shared" si="4"/>
        <v>event_spy1_charaget02_00006</v>
      </c>
      <c r="J321" s="432"/>
      <c r="K321" s="433"/>
      <c r="L321" s="45"/>
      <c r="M321" s="115"/>
      <c r="N321" s="115"/>
      <c r="O321" s="45"/>
      <c r="P321" s="210"/>
      <c r="Q321" s="210"/>
      <c r="R321" s="56"/>
    </row>
    <row r="322">
      <c r="A322" s="45" t="s">
        <v>2671</v>
      </c>
      <c r="B322" s="90" t="str">
        <f t="array" ref="B322">iferror(INDEX('作品'!D:D,MATCH(left(A322,3),'作品'!A:A,0),0),"error")</f>
        <v>SPY×FAMILY</v>
      </c>
      <c r="C322" s="142" t="s">
        <v>2666</v>
      </c>
      <c r="D322" s="142" t="s">
        <v>2459</v>
      </c>
      <c r="E322" s="46" t="s">
        <v>2458</v>
      </c>
      <c r="F322" s="423" t="str">
        <f t="shared" si="3"/>
        <v>quest_event_spy1_charaget02</v>
      </c>
      <c r="G322" s="45" t="s">
        <v>2674</v>
      </c>
      <c r="H322" s="125" t="s">
        <v>2664</v>
      </c>
      <c r="I322" s="431" t="str">
        <f t="shared" si="4"/>
        <v>event_spy1_charaget02_00007</v>
      </c>
      <c r="J322" s="432"/>
      <c r="K322" s="433"/>
      <c r="L322" s="45"/>
      <c r="M322" s="115"/>
      <c r="N322" s="115"/>
      <c r="O322" s="45"/>
      <c r="P322" s="210"/>
      <c r="Q322" s="210"/>
      <c r="R322" s="56"/>
    </row>
    <row r="323">
      <c r="A323" s="45" t="s">
        <v>2671</v>
      </c>
      <c r="B323" s="90" t="str">
        <f t="array" ref="B323">iferror(INDEX('作品'!D:D,MATCH(left(A323,3),'作品'!A:A,0),0),"error")</f>
        <v>SPY×FAMILY</v>
      </c>
      <c r="C323" s="142" t="s">
        <v>2666</v>
      </c>
      <c r="D323" s="142" t="s">
        <v>2459</v>
      </c>
      <c r="E323" s="46" t="s">
        <v>2458</v>
      </c>
      <c r="F323" s="423" t="str">
        <f t="shared" si="3"/>
        <v>quest_event_spy1_charaget02</v>
      </c>
      <c r="G323" s="45" t="s">
        <v>2674</v>
      </c>
      <c r="H323" s="125" t="s">
        <v>2665</v>
      </c>
      <c r="I323" s="431" t="str">
        <f t="shared" si="4"/>
        <v>event_spy1_charaget02_00008</v>
      </c>
      <c r="J323" s="432"/>
      <c r="K323" s="433"/>
      <c r="L323" s="45"/>
      <c r="M323" s="115"/>
      <c r="N323" s="115"/>
      <c r="O323" s="45"/>
      <c r="P323" s="210"/>
      <c r="Q323" s="210"/>
      <c r="R323" s="56"/>
    </row>
    <row r="324">
      <c r="A324" s="45" t="s">
        <v>2671</v>
      </c>
      <c r="B324" s="90" t="str">
        <f t="array" ref="B324">iferror(INDEX('作品'!D:D,MATCH(left(A324,3),'作品'!A:A,0),0),"error")</f>
        <v>SPY×FAMILY</v>
      </c>
      <c r="C324" s="142" t="s">
        <v>2668</v>
      </c>
      <c r="D324" s="142" t="s">
        <v>2459</v>
      </c>
      <c r="E324" s="46" t="s">
        <v>2458</v>
      </c>
      <c r="F324" s="423" t="str">
        <f t="shared" si="3"/>
        <v>quest_event_spy1_challenge01</v>
      </c>
      <c r="G324" s="45" t="s">
        <v>2675</v>
      </c>
      <c r="H324" s="125" t="s">
        <v>2529</v>
      </c>
      <c r="I324" s="431" t="str">
        <f t="shared" si="4"/>
        <v>event_spy1_challenge01_00001</v>
      </c>
      <c r="J324" s="432"/>
      <c r="K324" s="433"/>
      <c r="L324" s="45"/>
      <c r="M324" s="115"/>
      <c r="N324" s="115"/>
      <c r="O324" s="45"/>
      <c r="P324" s="210"/>
      <c r="Q324" s="210"/>
      <c r="R324" s="56"/>
    </row>
    <row r="325">
      <c r="A325" s="45" t="s">
        <v>2671</v>
      </c>
      <c r="B325" s="90" t="str">
        <f t="array" ref="B325">iferror(INDEX('作品'!D:D,MATCH(left(A325,3),'作品'!A:A,0),0),"error")</f>
        <v>SPY×FAMILY</v>
      </c>
      <c r="C325" s="142" t="s">
        <v>2668</v>
      </c>
      <c r="D325" s="142" t="s">
        <v>2459</v>
      </c>
      <c r="E325" s="46" t="s">
        <v>2458</v>
      </c>
      <c r="F325" s="423" t="str">
        <f t="shared" si="3"/>
        <v>quest_event_spy1_challenge01</v>
      </c>
      <c r="G325" s="45" t="s">
        <v>2675</v>
      </c>
      <c r="H325" s="125" t="s">
        <v>2530</v>
      </c>
      <c r="I325" s="431" t="str">
        <f t="shared" si="4"/>
        <v>event_spy1_challenge01_00002</v>
      </c>
      <c r="J325" s="432"/>
      <c r="K325" s="433"/>
      <c r="L325" s="45"/>
      <c r="M325" s="115"/>
      <c r="N325" s="115"/>
      <c r="O325" s="45"/>
      <c r="P325" s="210"/>
      <c r="Q325" s="210"/>
      <c r="R325" s="56"/>
    </row>
    <row r="326">
      <c r="A326" s="45" t="s">
        <v>2671</v>
      </c>
      <c r="B326" s="90" t="str">
        <f t="array" ref="B326">iferror(INDEX('作品'!D:D,MATCH(left(A326,3),'作品'!A:A,0),0),"error")</f>
        <v>SPY×FAMILY</v>
      </c>
      <c r="C326" s="142" t="s">
        <v>2668</v>
      </c>
      <c r="D326" s="142" t="s">
        <v>2459</v>
      </c>
      <c r="E326" s="46" t="s">
        <v>2458</v>
      </c>
      <c r="F326" s="423" t="str">
        <f t="shared" si="3"/>
        <v>quest_event_spy1_challenge01</v>
      </c>
      <c r="G326" s="45" t="s">
        <v>2675</v>
      </c>
      <c r="H326" s="125" t="s">
        <v>2531</v>
      </c>
      <c r="I326" s="431" t="str">
        <f t="shared" si="4"/>
        <v>event_spy1_challenge01_00003</v>
      </c>
      <c r="J326" s="432"/>
      <c r="K326" s="433"/>
      <c r="L326" s="45"/>
      <c r="M326" s="115"/>
      <c r="N326" s="115"/>
      <c r="O326" s="45"/>
      <c r="P326" s="210"/>
      <c r="Q326" s="210"/>
      <c r="R326" s="56"/>
    </row>
    <row r="327">
      <c r="A327" s="45" t="s">
        <v>2671</v>
      </c>
      <c r="B327" s="90" t="str">
        <f t="array" ref="B327">iferror(INDEX('作品'!D:D,MATCH(left(A327,3),'作品'!A:A,0),0),"error")</f>
        <v>SPY×FAMILY</v>
      </c>
      <c r="C327" s="142" t="s">
        <v>2668</v>
      </c>
      <c r="D327" s="142" t="s">
        <v>2459</v>
      </c>
      <c r="E327" s="46" t="s">
        <v>2458</v>
      </c>
      <c r="F327" s="423" t="str">
        <f t="shared" si="3"/>
        <v>quest_event_spy1_challenge01</v>
      </c>
      <c r="G327" s="45" t="s">
        <v>2675</v>
      </c>
      <c r="H327" s="125" t="s">
        <v>2532</v>
      </c>
      <c r="I327" s="431" t="str">
        <f t="shared" si="4"/>
        <v>event_spy1_challenge01_00004</v>
      </c>
      <c r="J327" s="432"/>
      <c r="K327" s="433"/>
      <c r="L327" s="45"/>
      <c r="M327" s="115"/>
      <c r="N327" s="115"/>
      <c r="O327" s="45"/>
      <c r="P327" s="210"/>
      <c r="Q327" s="210"/>
      <c r="R327" s="56"/>
    </row>
    <row r="328">
      <c r="A328" s="45" t="s">
        <v>2671</v>
      </c>
      <c r="B328" s="90" t="str">
        <f t="array" ref="B328">iferror(INDEX('作品'!D:D,MATCH(left(A328,3),'作品'!A:A,0),0),"error")</f>
        <v>SPY×FAMILY</v>
      </c>
      <c r="C328" s="142" t="s">
        <v>2464</v>
      </c>
      <c r="D328" s="142" t="s">
        <v>2459</v>
      </c>
      <c r="E328" s="46" t="s">
        <v>2458</v>
      </c>
      <c r="F328" s="423" t="str">
        <f t="shared" si="3"/>
        <v>quest_event_spy1_savage</v>
      </c>
      <c r="G328" s="45" t="s">
        <v>2676</v>
      </c>
      <c r="H328" s="125" t="s">
        <v>2529</v>
      </c>
      <c r="I328" s="431" t="str">
        <f t="shared" si="4"/>
        <v>event_spy1_savage_00001</v>
      </c>
      <c r="J328" s="432"/>
      <c r="K328" s="433"/>
      <c r="L328" s="45"/>
      <c r="M328" s="115"/>
      <c r="N328" s="115"/>
      <c r="O328" s="45"/>
      <c r="P328" s="210"/>
      <c r="Q328" s="210"/>
      <c r="R328" s="56"/>
    </row>
    <row r="329">
      <c r="A329" s="434" t="s">
        <v>2671</v>
      </c>
      <c r="B329" s="435" t="str">
        <f t="array" ref="B329">iferror(INDEX('作品'!D:D,MATCH(left(A329,3),'作品'!A:A,0),0),"error")</f>
        <v>SPY×FAMILY</v>
      </c>
      <c r="C329" s="436" t="s">
        <v>2464</v>
      </c>
      <c r="D329" s="436" t="s">
        <v>2459</v>
      </c>
      <c r="E329" s="437" t="s">
        <v>2458</v>
      </c>
      <c r="F329" s="438" t="str">
        <f t="shared" si="3"/>
        <v>quest_event_spy1_savage</v>
      </c>
      <c r="G329" s="434" t="s">
        <v>2676</v>
      </c>
      <c r="H329" s="439" t="s">
        <v>2530</v>
      </c>
      <c r="I329" s="440" t="str">
        <f t="shared" si="4"/>
        <v>event_spy1_savage_00002</v>
      </c>
      <c r="J329" s="441"/>
      <c r="K329" s="442"/>
      <c r="L329" s="434"/>
      <c r="M329" s="443"/>
      <c r="N329" s="443"/>
      <c r="O329" s="434"/>
      <c r="P329" s="444"/>
      <c r="Q329" s="444"/>
      <c r="R329" s="445"/>
    </row>
    <row r="330">
      <c r="A330" s="71" t="s">
        <v>2677</v>
      </c>
      <c r="B330" s="446" t="str">
        <f t="array" ref="B330">iferror(INDEX('作品'!D:D,MATCH(left(A330,3),'作品'!A:A,0),0),"error")</f>
        <v>ダンダダン</v>
      </c>
      <c r="C330" s="447" t="s">
        <v>2449</v>
      </c>
      <c r="D330" s="447" t="s">
        <v>2459</v>
      </c>
      <c r="E330" s="448" t="s">
        <v>2458</v>
      </c>
      <c r="F330" s="423" t="str">
        <f t="shared" si="3"/>
        <v>quest_event_dan1_1day</v>
      </c>
      <c r="G330" s="71" t="s">
        <v>2672</v>
      </c>
      <c r="H330" s="125" t="s">
        <v>2529</v>
      </c>
      <c r="I330" s="449" t="str">
        <f t="shared" si="4"/>
        <v>event_dan1_1day_00001</v>
      </c>
      <c r="J330" s="450"/>
      <c r="K330" s="451"/>
      <c r="L330" s="71"/>
      <c r="M330" s="452"/>
      <c r="N330" s="452"/>
      <c r="O330" s="71"/>
      <c r="P330" s="453"/>
      <c r="Q330" s="453"/>
      <c r="R330" s="56"/>
    </row>
    <row r="331">
      <c r="A331" s="45" t="s">
        <v>2677</v>
      </c>
      <c r="B331" s="90" t="str">
        <f t="array" ref="B331">iferror(INDEX('作品'!D:D,MATCH(left(A331,3),'作品'!A:A,0),0),"error")</f>
        <v>ダンダダン</v>
      </c>
      <c r="C331" s="142" t="s">
        <v>2662</v>
      </c>
      <c r="D331" s="142" t="s">
        <v>2459</v>
      </c>
      <c r="E331" s="46" t="s">
        <v>2458</v>
      </c>
      <c r="F331" s="423" t="str">
        <f t="shared" si="3"/>
        <v>quest_event_dan1_charaget01</v>
      </c>
      <c r="G331" s="45" t="s">
        <v>2673</v>
      </c>
      <c r="H331" s="125" t="s">
        <v>2529</v>
      </c>
      <c r="I331" s="431" t="str">
        <f t="shared" si="4"/>
        <v>event_dan1_charaget01_00001</v>
      </c>
      <c r="J331" s="432"/>
      <c r="K331" s="433"/>
      <c r="L331" s="45"/>
      <c r="M331" s="115"/>
      <c r="N331" s="115"/>
      <c r="O331" s="45"/>
      <c r="P331" s="210"/>
      <c r="Q331" s="210"/>
      <c r="R331" s="56"/>
    </row>
    <row r="332">
      <c r="A332" s="45" t="s">
        <v>2677</v>
      </c>
      <c r="B332" s="90" t="str">
        <f t="array" ref="B332">iferror(INDEX('作品'!D:D,MATCH(left(A332,3),'作品'!A:A,0),0),"error")</f>
        <v>ダンダダン</v>
      </c>
      <c r="C332" s="142" t="s">
        <v>2662</v>
      </c>
      <c r="D332" s="142" t="s">
        <v>2459</v>
      </c>
      <c r="E332" s="46" t="s">
        <v>2458</v>
      </c>
      <c r="F332" s="423" t="str">
        <f t="shared" si="3"/>
        <v>quest_event_dan1_charaget01</v>
      </c>
      <c r="G332" s="45" t="s">
        <v>2673</v>
      </c>
      <c r="H332" s="125" t="s">
        <v>2530</v>
      </c>
      <c r="I332" s="431" t="str">
        <f t="shared" si="4"/>
        <v>event_dan1_charaget01_00002</v>
      </c>
      <c r="J332" s="432"/>
      <c r="K332" s="433"/>
      <c r="L332" s="45"/>
      <c r="M332" s="115"/>
      <c r="N332" s="115"/>
      <c r="O332" s="45"/>
      <c r="P332" s="210"/>
      <c r="Q332" s="210"/>
      <c r="R332" s="56"/>
    </row>
    <row r="333">
      <c r="A333" s="45" t="s">
        <v>2677</v>
      </c>
      <c r="B333" s="90" t="str">
        <f t="array" ref="B333">iferror(INDEX('作品'!D:D,MATCH(left(A333,3),'作品'!A:A,0),0),"error")</f>
        <v>ダンダダン</v>
      </c>
      <c r="C333" s="142" t="s">
        <v>2662</v>
      </c>
      <c r="D333" s="142" t="s">
        <v>2459</v>
      </c>
      <c r="E333" s="46" t="s">
        <v>2458</v>
      </c>
      <c r="F333" s="423" t="str">
        <f t="shared" si="3"/>
        <v>quest_event_dan1_charaget01</v>
      </c>
      <c r="G333" s="45" t="s">
        <v>2673</v>
      </c>
      <c r="H333" s="125" t="s">
        <v>2531</v>
      </c>
      <c r="I333" s="431" t="str">
        <f t="shared" si="4"/>
        <v>event_dan1_charaget01_00003</v>
      </c>
      <c r="J333" s="432"/>
      <c r="K333" s="433"/>
      <c r="L333" s="45"/>
      <c r="M333" s="115"/>
      <c r="N333" s="115"/>
      <c r="O333" s="45"/>
      <c r="P333" s="210"/>
      <c r="Q333" s="210"/>
      <c r="R333" s="56"/>
    </row>
    <row r="334">
      <c r="A334" s="45" t="s">
        <v>2677</v>
      </c>
      <c r="B334" s="90" t="str">
        <f t="array" ref="B334">iferror(INDEX('作品'!D:D,MATCH(left(A334,3),'作品'!A:A,0),0),"error")</f>
        <v>ダンダダン</v>
      </c>
      <c r="C334" s="142" t="s">
        <v>2662</v>
      </c>
      <c r="D334" s="142" t="s">
        <v>2459</v>
      </c>
      <c r="E334" s="46" t="s">
        <v>2458</v>
      </c>
      <c r="F334" s="423" t="str">
        <f t="shared" si="3"/>
        <v>quest_event_dan1_charaget01</v>
      </c>
      <c r="G334" s="45" t="s">
        <v>2673</v>
      </c>
      <c r="H334" s="125" t="s">
        <v>2532</v>
      </c>
      <c r="I334" s="431" t="str">
        <f t="shared" si="4"/>
        <v>event_dan1_charaget01_00004</v>
      </c>
      <c r="J334" s="432"/>
      <c r="K334" s="433"/>
      <c r="L334" s="45"/>
      <c r="M334" s="115"/>
      <c r="N334" s="115"/>
      <c r="O334" s="45"/>
      <c r="P334" s="210"/>
      <c r="Q334" s="210"/>
      <c r="R334" s="56"/>
    </row>
    <row r="335">
      <c r="A335" s="45" t="s">
        <v>2677</v>
      </c>
      <c r="B335" s="90" t="str">
        <f t="array" ref="B335">iferror(INDEX('作品'!D:D,MATCH(left(A335,3),'作品'!A:A,0),0),"error")</f>
        <v>ダンダダン</v>
      </c>
      <c r="C335" s="142" t="s">
        <v>2662</v>
      </c>
      <c r="D335" s="142" t="s">
        <v>2459</v>
      </c>
      <c r="E335" s="46" t="s">
        <v>2458</v>
      </c>
      <c r="F335" s="423" t="str">
        <f t="shared" si="3"/>
        <v>quest_event_dan1_charaget01</v>
      </c>
      <c r="G335" s="45" t="s">
        <v>2673</v>
      </c>
      <c r="H335" s="125" t="s">
        <v>2533</v>
      </c>
      <c r="I335" s="431" t="str">
        <f t="shared" si="4"/>
        <v>event_dan1_charaget01_00005</v>
      </c>
      <c r="J335" s="432"/>
      <c r="K335" s="433"/>
      <c r="L335" s="45"/>
      <c r="M335" s="115"/>
      <c r="N335" s="115"/>
      <c r="O335" s="45"/>
      <c r="P335" s="210"/>
      <c r="Q335" s="210"/>
      <c r="R335" s="56"/>
    </row>
    <row r="336">
      <c r="A336" s="45" t="s">
        <v>2677</v>
      </c>
      <c r="B336" s="90" t="str">
        <f t="array" ref="B336">iferror(INDEX('作品'!D:D,MATCH(left(A336,3),'作品'!A:A,0),0),"error")</f>
        <v>ダンダダン</v>
      </c>
      <c r="C336" s="142" t="s">
        <v>2662</v>
      </c>
      <c r="D336" s="142" t="s">
        <v>2459</v>
      </c>
      <c r="E336" s="46" t="s">
        <v>2458</v>
      </c>
      <c r="F336" s="423" t="str">
        <f t="shared" si="3"/>
        <v>quest_event_dan1_charaget01</v>
      </c>
      <c r="G336" s="45" t="s">
        <v>2673</v>
      </c>
      <c r="H336" s="125" t="s">
        <v>2534</v>
      </c>
      <c r="I336" s="431" t="str">
        <f t="shared" si="4"/>
        <v>event_dan1_charaget01_00006</v>
      </c>
      <c r="J336" s="432"/>
      <c r="K336" s="433"/>
      <c r="L336" s="45"/>
      <c r="M336" s="115"/>
      <c r="N336" s="115"/>
      <c r="O336" s="45"/>
      <c r="P336" s="210"/>
      <c r="Q336" s="210"/>
      <c r="R336" s="56"/>
    </row>
    <row r="337">
      <c r="A337" s="45" t="s">
        <v>2677</v>
      </c>
      <c r="B337" s="90" t="str">
        <f t="array" ref="B337">iferror(INDEX('作品'!D:D,MATCH(left(A337,3),'作品'!A:A,0),0),"error")</f>
        <v>ダンダダン</v>
      </c>
      <c r="C337" s="142" t="s">
        <v>2662</v>
      </c>
      <c r="D337" s="142" t="s">
        <v>2459</v>
      </c>
      <c r="E337" s="46" t="s">
        <v>2458</v>
      </c>
      <c r="F337" s="423" t="str">
        <f t="shared" si="3"/>
        <v>quest_event_dan1_charaget01</v>
      </c>
      <c r="G337" s="45" t="s">
        <v>2673</v>
      </c>
      <c r="H337" s="125" t="s">
        <v>2664</v>
      </c>
      <c r="I337" s="431" t="str">
        <f t="shared" si="4"/>
        <v>event_dan1_charaget01_00007</v>
      </c>
      <c r="J337" s="432"/>
      <c r="K337" s="433"/>
      <c r="L337" s="45"/>
      <c r="M337" s="115"/>
      <c r="N337" s="115"/>
      <c r="O337" s="45"/>
      <c r="P337" s="210"/>
      <c r="Q337" s="210"/>
      <c r="R337" s="56"/>
    </row>
    <row r="338">
      <c r="A338" s="45" t="s">
        <v>2677</v>
      </c>
      <c r="B338" s="90" t="str">
        <f t="array" ref="B338">iferror(INDEX('作品'!D:D,MATCH(left(A338,3),'作品'!A:A,0),0),"error")</f>
        <v>ダンダダン</v>
      </c>
      <c r="C338" s="142" t="s">
        <v>2662</v>
      </c>
      <c r="D338" s="142" t="s">
        <v>2459</v>
      </c>
      <c r="E338" s="46" t="s">
        <v>2458</v>
      </c>
      <c r="F338" s="423" t="str">
        <f t="shared" si="3"/>
        <v>quest_event_dan1_charaget01</v>
      </c>
      <c r="G338" s="45" t="s">
        <v>2673</v>
      </c>
      <c r="H338" s="125" t="s">
        <v>2665</v>
      </c>
      <c r="I338" s="431" t="str">
        <f t="shared" si="4"/>
        <v>event_dan1_charaget01_00008</v>
      </c>
      <c r="J338" s="432"/>
      <c r="K338" s="433"/>
      <c r="L338" s="45"/>
      <c r="M338" s="115"/>
      <c r="N338" s="115"/>
      <c r="O338" s="45"/>
      <c r="P338" s="210"/>
      <c r="Q338" s="210"/>
      <c r="R338" s="56"/>
    </row>
    <row r="339">
      <c r="A339" s="45" t="s">
        <v>2677</v>
      </c>
      <c r="B339" s="90" t="str">
        <f t="array" ref="B339">iferror(INDEX('作品'!D:D,MATCH(left(A339,3),'作品'!A:A,0),0),"error")</f>
        <v>ダンダダン</v>
      </c>
      <c r="C339" s="142" t="s">
        <v>2666</v>
      </c>
      <c r="D339" s="142" t="s">
        <v>2459</v>
      </c>
      <c r="E339" s="46" t="s">
        <v>2458</v>
      </c>
      <c r="F339" s="423" t="str">
        <f t="shared" si="3"/>
        <v>quest_event_dan1_charaget02</v>
      </c>
      <c r="G339" s="45" t="s">
        <v>2674</v>
      </c>
      <c r="H339" s="125" t="s">
        <v>2529</v>
      </c>
      <c r="I339" s="431" t="str">
        <f t="shared" si="4"/>
        <v>event_dan1_charaget02_00001</v>
      </c>
      <c r="J339" s="432"/>
      <c r="K339" s="433"/>
      <c r="L339" s="45"/>
      <c r="M339" s="115"/>
      <c r="N339" s="115"/>
      <c r="O339" s="45"/>
      <c r="P339" s="210"/>
      <c r="Q339" s="210"/>
      <c r="R339" s="56"/>
    </row>
    <row r="340">
      <c r="A340" s="45" t="s">
        <v>2677</v>
      </c>
      <c r="B340" s="90" t="str">
        <f t="array" ref="B340">iferror(INDEX('作品'!D:D,MATCH(left(A340,3),'作品'!A:A,0),0),"error")</f>
        <v>ダンダダン</v>
      </c>
      <c r="C340" s="142" t="s">
        <v>2666</v>
      </c>
      <c r="D340" s="142" t="s">
        <v>2459</v>
      </c>
      <c r="E340" s="46" t="s">
        <v>2458</v>
      </c>
      <c r="F340" s="423" t="str">
        <f t="shared" si="3"/>
        <v>quest_event_dan1_charaget02</v>
      </c>
      <c r="G340" s="45" t="s">
        <v>2674</v>
      </c>
      <c r="H340" s="125" t="s">
        <v>2530</v>
      </c>
      <c r="I340" s="431" t="str">
        <f t="shared" si="4"/>
        <v>event_dan1_charaget02_00002</v>
      </c>
      <c r="J340" s="432"/>
      <c r="K340" s="433"/>
      <c r="L340" s="45"/>
      <c r="M340" s="115"/>
      <c r="N340" s="115"/>
      <c r="O340" s="45"/>
      <c r="P340" s="210"/>
      <c r="Q340" s="210"/>
      <c r="R340" s="56"/>
    </row>
    <row r="341">
      <c r="A341" s="45" t="s">
        <v>2677</v>
      </c>
      <c r="B341" s="90" t="str">
        <f t="array" ref="B341">iferror(INDEX('作品'!D:D,MATCH(left(A341,3),'作品'!A:A,0),0),"error")</f>
        <v>ダンダダン</v>
      </c>
      <c r="C341" s="142" t="s">
        <v>2666</v>
      </c>
      <c r="D341" s="142" t="s">
        <v>2459</v>
      </c>
      <c r="E341" s="46" t="s">
        <v>2458</v>
      </c>
      <c r="F341" s="423" t="str">
        <f t="shared" si="3"/>
        <v>quest_event_dan1_charaget02</v>
      </c>
      <c r="G341" s="45" t="s">
        <v>2674</v>
      </c>
      <c r="H341" s="125" t="s">
        <v>2531</v>
      </c>
      <c r="I341" s="431" t="str">
        <f t="shared" si="4"/>
        <v>event_dan1_charaget02_00003</v>
      </c>
      <c r="J341" s="432"/>
      <c r="K341" s="433"/>
      <c r="L341" s="45"/>
      <c r="M341" s="115"/>
      <c r="N341" s="115"/>
      <c r="O341" s="45"/>
      <c r="P341" s="210"/>
      <c r="Q341" s="210"/>
      <c r="R341" s="56"/>
    </row>
    <row r="342">
      <c r="A342" s="45" t="s">
        <v>2677</v>
      </c>
      <c r="B342" s="90" t="str">
        <f t="array" ref="B342">iferror(INDEX('作品'!D:D,MATCH(left(A342,3),'作品'!A:A,0),0),"error")</f>
        <v>ダンダダン</v>
      </c>
      <c r="C342" s="142" t="s">
        <v>2666</v>
      </c>
      <c r="D342" s="142" t="s">
        <v>2459</v>
      </c>
      <c r="E342" s="46" t="s">
        <v>2458</v>
      </c>
      <c r="F342" s="423" t="str">
        <f t="shared" si="3"/>
        <v>quest_event_dan1_charaget02</v>
      </c>
      <c r="G342" s="45" t="s">
        <v>2674</v>
      </c>
      <c r="H342" s="125" t="s">
        <v>2532</v>
      </c>
      <c r="I342" s="431" t="str">
        <f t="shared" si="4"/>
        <v>event_dan1_charaget02_00004</v>
      </c>
      <c r="J342" s="432"/>
      <c r="K342" s="433"/>
      <c r="L342" s="45"/>
      <c r="M342" s="115"/>
      <c r="N342" s="115"/>
      <c r="O342" s="45"/>
      <c r="P342" s="210"/>
      <c r="Q342" s="210"/>
      <c r="R342" s="56"/>
    </row>
    <row r="343">
      <c r="A343" s="45" t="s">
        <v>2677</v>
      </c>
      <c r="B343" s="90" t="str">
        <f t="array" ref="B343">iferror(INDEX('作品'!D:D,MATCH(left(A343,3),'作品'!A:A,0),0),"error")</f>
        <v>ダンダダン</v>
      </c>
      <c r="C343" s="142" t="s">
        <v>2666</v>
      </c>
      <c r="D343" s="142" t="s">
        <v>2459</v>
      </c>
      <c r="E343" s="46" t="s">
        <v>2458</v>
      </c>
      <c r="F343" s="423" t="str">
        <f t="shared" si="3"/>
        <v>quest_event_dan1_charaget02</v>
      </c>
      <c r="G343" s="45" t="s">
        <v>2674</v>
      </c>
      <c r="H343" s="125" t="s">
        <v>2533</v>
      </c>
      <c r="I343" s="431" t="str">
        <f t="shared" si="4"/>
        <v>event_dan1_charaget02_00005</v>
      </c>
      <c r="J343" s="432"/>
      <c r="K343" s="433"/>
      <c r="L343" s="45"/>
      <c r="M343" s="115"/>
      <c r="N343" s="115"/>
      <c r="O343" s="45"/>
      <c r="P343" s="210"/>
      <c r="Q343" s="210"/>
      <c r="R343" s="56"/>
    </row>
    <row r="344">
      <c r="A344" s="45" t="s">
        <v>2677</v>
      </c>
      <c r="B344" s="90" t="str">
        <f t="array" ref="B344">iferror(INDEX('作品'!D:D,MATCH(left(A344,3),'作品'!A:A,0),0),"error")</f>
        <v>ダンダダン</v>
      </c>
      <c r="C344" s="142" t="s">
        <v>2666</v>
      </c>
      <c r="D344" s="142" t="s">
        <v>2459</v>
      </c>
      <c r="E344" s="46" t="s">
        <v>2458</v>
      </c>
      <c r="F344" s="423" t="str">
        <f t="shared" si="3"/>
        <v>quest_event_dan1_charaget02</v>
      </c>
      <c r="G344" s="45" t="s">
        <v>2674</v>
      </c>
      <c r="H344" s="125" t="s">
        <v>2534</v>
      </c>
      <c r="I344" s="431" t="str">
        <f t="shared" si="4"/>
        <v>event_dan1_charaget02_00006</v>
      </c>
      <c r="J344" s="432"/>
      <c r="K344" s="433"/>
      <c r="L344" s="45"/>
      <c r="M344" s="115"/>
      <c r="N344" s="115"/>
      <c r="O344" s="45"/>
      <c r="P344" s="210"/>
      <c r="Q344" s="210"/>
      <c r="R344" s="56"/>
    </row>
    <row r="345">
      <c r="A345" s="45" t="s">
        <v>2677</v>
      </c>
      <c r="B345" s="90" t="str">
        <f t="array" ref="B345">iferror(INDEX('作品'!D:D,MATCH(left(A345,3),'作品'!A:A,0),0),"error")</f>
        <v>ダンダダン</v>
      </c>
      <c r="C345" s="142" t="s">
        <v>2666</v>
      </c>
      <c r="D345" s="142" t="s">
        <v>2459</v>
      </c>
      <c r="E345" s="46" t="s">
        <v>2458</v>
      </c>
      <c r="F345" s="423" t="str">
        <f t="shared" si="3"/>
        <v>quest_event_dan1_charaget02</v>
      </c>
      <c r="G345" s="45" t="s">
        <v>2674</v>
      </c>
      <c r="H345" s="125" t="s">
        <v>2664</v>
      </c>
      <c r="I345" s="431" t="str">
        <f t="shared" si="4"/>
        <v>event_dan1_charaget02_00007</v>
      </c>
      <c r="J345" s="432"/>
      <c r="K345" s="433"/>
      <c r="L345" s="45"/>
      <c r="M345" s="115"/>
      <c r="N345" s="115"/>
      <c r="O345" s="45"/>
      <c r="P345" s="210"/>
      <c r="Q345" s="210"/>
      <c r="R345" s="56"/>
    </row>
    <row r="346">
      <c r="A346" s="45" t="s">
        <v>2677</v>
      </c>
      <c r="B346" s="90" t="str">
        <f t="array" ref="B346">iferror(INDEX('作品'!D:D,MATCH(left(A346,3),'作品'!A:A,0),0),"error")</f>
        <v>ダンダダン</v>
      </c>
      <c r="C346" s="142" t="s">
        <v>2666</v>
      </c>
      <c r="D346" s="142" t="s">
        <v>2459</v>
      </c>
      <c r="E346" s="46" t="s">
        <v>2458</v>
      </c>
      <c r="F346" s="423" t="str">
        <f t="shared" si="3"/>
        <v>quest_event_dan1_charaget02</v>
      </c>
      <c r="G346" s="45" t="s">
        <v>2674</v>
      </c>
      <c r="H346" s="125" t="s">
        <v>2665</v>
      </c>
      <c r="I346" s="431" t="str">
        <f t="shared" si="4"/>
        <v>event_dan1_charaget02_00008</v>
      </c>
      <c r="J346" s="432"/>
      <c r="K346" s="433"/>
      <c r="L346" s="45"/>
      <c r="M346" s="115"/>
      <c r="N346" s="115"/>
      <c r="O346" s="45"/>
      <c r="P346" s="210"/>
      <c r="Q346" s="210"/>
      <c r="R346" s="56"/>
    </row>
    <row r="347">
      <c r="A347" s="45" t="s">
        <v>2677</v>
      </c>
      <c r="B347" s="90" t="str">
        <f t="array" ref="B347">iferror(INDEX('作品'!D:D,MATCH(left(A347,3),'作品'!A:A,0),0),"error")</f>
        <v>ダンダダン</v>
      </c>
      <c r="C347" s="142" t="s">
        <v>2668</v>
      </c>
      <c r="D347" s="142" t="s">
        <v>2459</v>
      </c>
      <c r="E347" s="46" t="s">
        <v>2458</v>
      </c>
      <c r="F347" s="423" t="str">
        <f t="shared" si="3"/>
        <v>quest_event_dan1_challenge01</v>
      </c>
      <c r="G347" s="45" t="s">
        <v>2675</v>
      </c>
      <c r="H347" s="125" t="s">
        <v>2529</v>
      </c>
      <c r="I347" s="431" t="str">
        <f t="shared" si="4"/>
        <v>event_dan1_challenge01_00001</v>
      </c>
      <c r="J347" s="432"/>
      <c r="K347" s="433"/>
      <c r="L347" s="45"/>
      <c r="M347" s="115"/>
      <c r="N347" s="115"/>
      <c r="O347" s="45"/>
      <c r="P347" s="210"/>
      <c r="Q347" s="210"/>
      <c r="R347" s="56"/>
    </row>
    <row r="348">
      <c r="A348" s="45" t="s">
        <v>2677</v>
      </c>
      <c r="B348" s="90" t="str">
        <f t="array" ref="B348">iferror(INDEX('作品'!D:D,MATCH(left(A348,3),'作品'!A:A,0),0),"error")</f>
        <v>ダンダダン</v>
      </c>
      <c r="C348" s="142" t="s">
        <v>2668</v>
      </c>
      <c r="D348" s="142" t="s">
        <v>2459</v>
      </c>
      <c r="E348" s="46" t="s">
        <v>2458</v>
      </c>
      <c r="F348" s="423" t="str">
        <f t="shared" si="3"/>
        <v>quest_event_dan1_challenge01</v>
      </c>
      <c r="G348" s="45" t="s">
        <v>2675</v>
      </c>
      <c r="H348" s="125" t="s">
        <v>2530</v>
      </c>
      <c r="I348" s="431" t="str">
        <f t="shared" si="4"/>
        <v>event_dan1_challenge01_00002</v>
      </c>
      <c r="J348" s="432"/>
      <c r="K348" s="433"/>
      <c r="L348" s="45"/>
      <c r="M348" s="115"/>
      <c r="N348" s="115"/>
      <c r="O348" s="45"/>
      <c r="P348" s="210"/>
      <c r="Q348" s="210"/>
      <c r="R348" s="56"/>
    </row>
    <row r="349">
      <c r="A349" s="45" t="s">
        <v>2677</v>
      </c>
      <c r="B349" s="90" t="str">
        <f t="array" ref="B349">iferror(INDEX('作品'!D:D,MATCH(left(A349,3),'作品'!A:A,0),0),"error")</f>
        <v>ダンダダン</v>
      </c>
      <c r="C349" s="142" t="s">
        <v>2668</v>
      </c>
      <c r="D349" s="142" t="s">
        <v>2459</v>
      </c>
      <c r="E349" s="46" t="s">
        <v>2458</v>
      </c>
      <c r="F349" s="423" t="str">
        <f t="shared" si="3"/>
        <v>quest_event_dan1_challenge01</v>
      </c>
      <c r="G349" s="45" t="s">
        <v>2675</v>
      </c>
      <c r="H349" s="125" t="s">
        <v>2531</v>
      </c>
      <c r="I349" s="431" t="str">
        <f t="shared" si="4"/>
        <v>event_dan1_challenge01_00003</v>
      </c>
      <c r="J349" s="432"/>
      <c r="K349" s="433"/>
      <c r="L349" s="45"/>
      <c r="M349" s="115"/>
      <c r="N349" s="115"/>
      <c r="O349" s="45"/>
      <c r="P349" s="210"/>
      <c r="Q349" s="210"/>
      <c r="R349" s="56"/>
    </row>
    <row r="350">
      <c r="A350" s="45" t="s">
        <v>2677</v>
      </c>
      <c r="B350" s="90" t="str">
        <f t="array" ref="B350">iferror(INDEX('作品'!D:D,MATCH(left(A350,3),'作品'!A:A,0),0),"error")</f>
        <v>ダンダダン</v>
      </c>
      <c r="C350" s="142" t="s">
        <v>2668</v>
      </c>
      <c r="D350" s="142" t="s">
        <v>2459</v>
      </c>
      <c r="E350" s="46" t="s">
        <v>2458</v>
      </c>
      <c r="F350" s="423" t="str">
        <f t="shared" si="3"/>
        <v>quest_event_dan1_challenge01</v>
      </c>
      <c r="G350" s="45" t="s">
        <v>2675</v>
      </c>
      <c r="H350" s="125" t="s">
        <v>2532</v>
      </c>
      <c r="I350" s="431" t="str">
        <f t="shared" si="4"/>
        <v>event_dan1_challenge01_00004</v>
      </c>
      <c r="J350" s="432"/>
      <c r="K350" s="433"/>
      <c r="L350" s="45"/>
      <c r="M350" s="115"/>
      <c r="N350" s="115"/>
      <c r="O350" s="45"/>
      <c r="P350" s="210"/>
      <c r="Q350" s="210"/>
      <c r="R350" s="56"/>
    </row>
    <row r="351">
      <c r="A351" s="45" t="s">
        <v>2677</v>
      </c>
      <c r="B351" s="90" t="str">
        <f t="array" ref="B351">iferror(INDEX('作品'!D:D,MATCH(left(A351,3),'作品'!A:A,0),0),"error")</f>
        <v>ダンダダン</v>
      </c>
      <c r="C351" s="142" t="s">
        <v>2464</v>
      </c>
      <c r="D351" s="142" t="s">
        <v>2459</v>
      </c>
      <c r="E351" s="46" t="s">
        <v>2458</v>
      </c>
      <c r="F351" s="423" t="str">
        <f t="shared" si="3"/>
        <v>quest_event_dan1_savage</v>
      </c>
      <c r="G351" s="45" t="s">
        <v>2676</v>
      </c>
      <c r="H351" s="125" t="s">
        <v>2529</v>
      </c>
      <c r="I351" s="431" t="str">
        <f t="shared" si="4"/>
        <v>event_dan1_savage_00001</v>
      </c>
      <c r="J351" s="432"/>
      <c r="K351" s="433"/>
      <c r="L351" s="45"/>
      <c r="M351" s="115"/>
      <c r="N351" s="115"/>
      <c r="O351" s="45"/>
      <c r="P351" s="210"/>
      <c r="Q351" s="210"/>
      <c r="R351" s="56"/>
    </row>
    <row r="352">
      <c r="A352" s="434" t="s">
        <v>2677</v>
      </c>
      <c r="B352" s="435" t="str">
        <f t="array" ref="B352">iferror(INDEX('作品'!D:D,MATCH(left(A352,3),'作品'!A:A,0),0),"error")</f>
        <v>ダンダダン</v>
      </c>
      <c r="C352" s="436" t="s">
        <v>2464</v>
      </c>
      <c r="D352" s="436" t="s">
        <v>2459</v>
      </c>
      <c r="E352" s="437" t="s">
        <v>2458</v>
      </c>
      <c r="F352" s="438" t="str">
        <f t="shared" si="3"/>
        <v>quest_event_dan1_savage</v>
      </c>
      <c r="G352" s="434" t="s">
        <v>2676</v>
      </c>
      <c r="H352" s="439" t="s">
        <v>2530</v>
      </c>
      <c r="I352" s="440" t="str">
        <f t="shared" si="4"/>
        <v>event_dan1_savage_00002</v>
      </c>
      <c r="J352" s="441"/>
      <c r="K352" s="442"/>
      <c r="L352" s="434"/>
      <c r="M352" s="443"/>
      <c r="N352" s="443"/>
      <c r="O352" s="434"/>
      <c r="P352" s="444"/>
      <c r="Q352" s="444"/>
      <c r="R352" s="445"/>
    </row>
    <row r="353">
      <c r="A353" s="71" t="s">
        <v>2678</v>
      </c>
      <c r="B353" s="446" t="str">
        <f t="array" ref="B353">iferror(INDEX('作品'!D:D,MATCH(left(A353,3),'作品'!A:A,0),0),"error")</f>
        <v>株式会社マジルミエ</v>
      </c>
      <c r="C353" s="447" t="s">
        <v>2449</v>
      </c>
      <c r="D353" s="447" t="s">
        <v>2459</v>
      </c>
      <c r="E353" s="448" t="s">
        <v>2458</v>
      </c>
      <c r="F353" s="423" t="str">
        <f t="shared" si="3"/>
        <v>quest_event_mag1_1day</v>
      </c>
      <c r="G353" s="71" t="s">
        <v>2679</v>
      </c>
      <c r="H353" s="125" t="s">
        <v>2529</v>
      </c>
      <c r="I353" s="449" t="str">
        <f t="shared" si="4"/>
        <v>event_mag1_1day_00001</v>
      </c>
      <c r="J353" s="450"/>
      <c r="K353" s="451"/>
      <c r="L353" s="71"/>
      <c r="M353" s="452"/>
      <c r="N353" s="452"/>
      <c r="O353" s="71"/>
      <c r="P353" s="453"/>
      <c r="Q353" s="453"/>
      <c r="R353" s="56"/>
    </row>
    <row r="354">
      <c r="A354" s="45" t="s">
        <v>2678</v>
      </c>
      <c r="B354" s="90" t="str">
        <f t="array" ref="B354">iferror(INDEX('作品'!D:D,MATCH(left(A354,3),'作品'!A:A,0),0),"error")</f>
        <v>株式会社マジルミエ</v>
      </c>
      <c r="C354" s="142" t="s">
        <v>2662</v>
      </c>
      <c r="D354" s="142" t="s">
        <v>2459</v>
      </c>
      <c r="E354" s="46" t="s">
        <v>2458</v>
      </c>
      <c r="F354" s="423" t="str">
        <f t="shared" si="3"/>
        <v>quest_event_mag1_charaget01</v>
      </c>
      <c r="G354" s="45" t="s">
        <v>2680</v>
      </c>
      <c r="H354" s="125" t="s">
        <v>2529</v>
      </c>
      <c r="I354" s="431" t="str">
        <f t="shared" si="4"/>
        <v>event_mag1_charaget01_00001</v>
      </c>
      <c r="J354" s="432"/>
      <c r="K354" s="433"/>
      <c r="L354" s="45"/>
      <c r="M354" s="115"/>
      <c r="N354" s="115"/>
      <c r="O354" s="45"/>
      <c r="P354" s="210"/>
      <c r="Q354" s="210"/>
      <c r="R354" s="56"/>
    </row>
    <row r="355">
      <c r="A355" s="45" t="s">
        <v>2678</v>
      </c>
      <c r="B355" s="90" t="str">
        <f t="array" ref="B355">iferror(INDEX('作品'!D:D,MATCH(left(A355,3),'作品'!A:A,0),0),"error")</f>
        <v>株式会社マジルミエ</v>
      </c>
      <c r="C355" s="142" t="s">
        <v>2662</v>
      </c>
      <c r="D355" s="142" t="s">
        <v>2459</v>
      </c>
      <c r="E355" s="46" t="s">
        <v>2458</v>
      </c>
      <c r="F355" s="423" t="str">
        <f t="shared" si="3"/>
        <v>quest_event_mag1_charaget01</v>
      </c>
      <c r="G355" s="45" t="s">
        <v>2680</v>
      </c>
      <c r="H355" s="125" t="s">
        <v>2530</v>
      </c>
      <c r="I355" s="431" t="str">
        <f t="shared" si="4"/>
        <v>event_mag1_charaget01_00002</v>
      </c>
      <c r="J355" s="432"/>
      <c r="K355" s="433"/>
      <c r="L355" s="45"/>
      <c r="M355" s="115"/>
      <c r="N355" s="115"/>
      <c r="O355" s="45"/>
      <c r="P355" s="210"/>
      <c r="Q355" s="210"/>
      <c r="R355" s="56"/>
    </row>
    <row r="356">
      <c r="A356" s="45" t="s">
        <v>2678</v>
      </c>
      <c r="B356" s="90" t="str">
        <f t="array" ref="B356">iferror(INDEX('作品'!D:D,MATCH(left(A356,3),'作品'!A:A,0),0),"error")</f>
        <v>株式会社マジルミエ</v>
      </c>
      <c r="C356" s="142" t="s">
        <v>2662</v>
      </c>
      <c r="D356" s="142" t="s">
        <v>2459</v>
      </c>
      <c r="E356" s="46" t="s">
        <v>2458</v>
      </c>
      <c r="F356" s="423" t="str">
        <f t="shared" si="3"/>
        <v>quest_event_mag1_charaget01</v>
      </c>
      <c r="G356" s="45" t="s">
        <v>2680</v>
      </c>
      <c r="H356" s="125" t="s">
        <v>2531</v>
      </c>
      <c r="I356" s="431" t="str">
        <f t="shared" si="4"/>
        <v>event_mag1_charaget01_00003</v>
      </c>
      <c r="J356" s="432"/>
      <c r="K356" s="433"/>
      <c r="L356" s="45"/>
      <c r="M356" s="115"/>
      <c r="N356" s="115"/>
      <c r="O356" s="45"/>
      <c r="P356" s="210"/>
      <c r="Q356" s="210"/>
      <c r="R356" s="56"/>
    </row>
    <row r="357">
      <c r="A357" s="45" t="s">
        <v>2678</v>
      </c>
      <c r="B357" s="90" t="str">
        <f t="array" ref="B357">iferror(INDEX('作品'!D:D,MATCH(left(A357,3),'作品'!A:A,0),0),"error")</f>
        <v>株式会社マジルミエ</v>
      </c>
      <c r="C357" s="142" t="s">
        <v>2662</v>
      </c>
      <c r="D357" s="142" t="s">
        <v>2459</v>
      </c>
      <c r="E357" s="46" t="s">
        <v>2458</v>
      </c>
      <c r="F357" s="423" t="str">
        <f t="shared" si="3"/>
        <v>quest_event_mag1_charaget01</v>
      </c>
      <c r="G357" s="45" t="s">
        <v>2680</v>
      </c>
      <c r="H357" s="125" t="s">
        <v>2532</v>
      </c>
      <c r="I357" s="431" t="str">
        <f t="shared" si="4"/>
        <v>event_mag1_charaget01_00004</v>
      </c>
      <c r="J357" s="432"/>
      <c r="K357" s="433"/>
      <c r="L357" s="45"/>
      <c r="M357" s="115"/>
      <c r="N357" s="115"/>
      <c r="O357" s="45"/>
      <c r="P357" s="210"/>
      <c r="Q357" s="210"/>
      <c r="R357" s="56"/>
    </row>
    <row r="358">
      <c r="A358" s="45" t="s">
        <v>2678</v>
      </c>
      <c r="B358" s="90" t="str">
        <f t="array" ref="B358">iferror(INDEX('作品'!D:D,MATCH(left(A358,3),'作品'!A:A,0),0),"error")</f>
        <v>株式会社マジルミエ</v>
      </c>
      <c r="C358" s="142" t="s">
        <v>2662</v>
      </c>
      <c r="D358" s="142" t="s">
        <v>2459</v>
      </c>
      <c r="E358" s="46" t="s">
        <v>2458</v>
      </c>
      <c r="F358" s="423" t="str">
        <f t="shared" si="3"/>
        <v>quest_event_mag1_charaget01</v>
      </c>
      <c r="G358" s="45" t="s">
        <v>2680</v>
      </c>
      <c r="H358" s="125" t="s">
        <v>2533</v>
      </c>
      <c r="I358" s="431" t="str">
        <f t="shared" si="4"/>
        <v>event_mag1_charaget01_00005</v>
      </c>
      <c r="J358" s="432"/>
      <c r="K358" s="433"/>
      <c r="L358" s="45"/>
      <c r="M358" s="115"/>
      <c r="N358" s="115"/>
      <c r="O358" s="45"/>
      <c r="P358" s="210"/>
      <c r="Q358" s="210"/>
      <c r="R358" s="56"/>
    </row>
    <row r="359">
      <c r="A359" s="45" t="s">
        <v>2678</v>
      </c>
      <c r="B359" s="90" t="str">
        <f t="array" ref="B359">iferror(INDEX('作品'!D:D,MATCH(left(A359,3),'作品'!A:A,0),0),"error")</f>
        <v>株式会社マジルミエ</v>
      </c>
      <c r="C359" s="142" t="s">
        <v>2662</v>
      </c>
      <c r="D359" s="142" t="s">
        <v>2459</v>
      </c>
      <c r="E359" s="46" t="s">
        <v>2458</v>
      </c>
      <c r="F359" s="423" t="str">
        <f t="shared" si="3"/>
        <v>quest_event_mag1_charaget01</v>
      </c>
      <c r="G359" s="45" t="s">
        <v>2680</v>
      </c>
      <c r="H359" s="125" t="s">
        <v>2534</v>
      </c>
      <c r="I359" s="431" t="str">
        <f t="shared" si="4"/>
        <v>event_mag1_charaget01_00006</v>
      </c>
      <c r="J359" s="432"/>
      <c r="K359" s="433"/>
      <c r="L359" s="45"/>
      <c r="M359" s="115"/>
      <c r="N359" s="115"/>
      <c r="O359" s="45"/>
      <c r="P359" s="210"/>
      <c r="Q359" s="210"/>
      <c r="R359" s="56"/>
    </row>
    <row r="360">
      <c r="A360" s="45" t="s">
        <v>2678</v>
      </c>
      <c r="B360" s="90" t="str">
        <f t="array" ref="B360">iferror(INDEX('作品'!D:D,MATCH(left(A360,3),'作品'!A:A,0),0),"error")</f>
        <v>株式会社マジルミエ</v>
      </c>
      <c r="C360" s="142" t="s">
        <v>2662</v>
      </c>
      <c r="D360" s="142" t="s">
        <v>2459</v>
      </c>
      <c r="E360" s="46" t="s">
        <v>2458</v>
      </c>
      <c r="F360" s="423" t="str">
        <f t="shared" si="3"/>
        <v>quest_event_mag1_charaget01</v>
      </c>
      <c r="G360" s="45" t="s">
        <v>2680</v>
      </c>
      <c r="H360" s="125" t="s">
        <v>2664</v>
      </c>
      <c r="I360" s="431" t="str">
        <f t="shared" si="4"/>
        <v>event_mag1_charaget01_00007</v>
      </c>
      <c r="J360" s="432"/>
      <c r="K360" s="433"/>
      <c r="L360" s="45"/>
      <c r="M360" s="115"/>
      <c r="N360" s="115"/>
      <c r="O360" s="45"/>
      <c r="P360" s="210"/>
      <c r="Q360" s="210"/>
      <c r="R360" s="56"/>
    </row>
    <row r="361">
      <c r="A361" s="45" t="s">
        <v>2678</v>
      </c>
      <c r="B361" s="90" t="str">
        <f t="array" ref="B361">iferror(INDEX('作品'!D:D,MATCH(left(A361,3),'作品'!A:A,0),0),"error")</f>
        <v>株式会社マジルミエ</v>
      </c>
      <c r="C361" s="142" t="s">
        <v>2662</v>
      </c>
      <c r="D361" s="142" t="s">
        <v>2459</v>
      </c>
      <c r="E361" s="46" t="s">
        <v>2458</v>
      </c>
      <c r="F361" s="423" t="str">
        <f t="shared" si="3"/>
        <v>quest_event_mag1_charaget01</v>
      </c>
      <c r="G361" s="45" t="s">
        <v>2680</v>
      </c>
      <c r="H361" s="125" t="s">
        <v>2665</v>
      </c>
      <c r="I361" s="431" t="str">
        <f t="shared" si="4"/>
        <v>event_mag1_charaget01_00008</v>
      </c>
      <c r="J361" s="432"/>
      <c r="K361" s="433"/>
      <c r="L361" s="45"/>
      <c r="M361" s="115"/>
      <c r="N361" s="115"/>
      <c r="O361" s="45"/>
      <c r="P361" s="210"/>
      <c r="Q361" s="210"/>
      <c r="R361" s="56"/>
    </row>
    <row r="362">
      <c r="A362" s="45" t="s">
        <v>2678</v>
      </c>
      <c r="B362" s="90" t="str">
        <f t="array" ref="B362">iferror(INDEX('作品'!D:D,MATCH(left(A362,3),'作品'!A:A,0),0),"error")</f>
        <v>株式会社マジルミエ</v>
      </c>
      <c r="C362" s="142" t="s">
        <v>2666</v>
      </c>
      <c r="D362" s="142" t="s">
        <v>2459</v>
      </c>
      <c r="E362" s="46" t="s">
        <v>2458</v>
      </c>
      <c r="F362" s="423" t="str">
        <f t="shared" si="3"/>
        <v>quest_event_mag1_charaget02</v>
      </c>
      <c r="G362" s="45" t="s">
        <v>2681</v>
      </c>
      <c r="H362" s="125" t="s">
        <v>2529</v>
      </c>
      <c r="I362" s="431" t="str">
        <f t="shared" si="4"/>
        <v>event_mag1_charaget02_00001</v>
      </c>
      <c r="J362" s="432"/>
      <c r="K362" s="433"/>
      <c r="L362" s="45"/>
      <c r="M362" s="115"/>
      <c r="N362" s="115"/>
      <c r="O362" s="45"/>
      <c r="P362" s="210"/>
      <c r="Q362" s="210"/>
      <c r="R362" s="56"/>
    </row>
    <row r="363">
      <c r="A363" s="45" t="s">
        <v>2678</v>
      </c>
      <c r="B363" s="90" t="str">
        <f t="array" ref="B363">iferror(INDEX('作品'!D:D,MATCH(left(A363,3),'作品'!A:A,0),0),"error")</f>
        <v>株式会社マジルミエ</v>
      </c>
      <c r="C363" s="142" t="s">
        <v>2666</v>
      </c>
      <c r="D363" s="142" t="s">
        <v>2459</v>
      </c>
      <c r="E363" s="46" t="s">
        <v>2458</v>
      </c>
      <c r="F363" s="423" t="str">
        <f t="shared" si="3"/>
        <v>quest_event_mag1_charaget02</v>
      </c>
      <c r="G363" s="45" t="s">
        <v>2681</v>
      </c>
      <c r="H363" s="125" t="s">
        <v>2530</v>
      </c>
      <c r="I363" s="431" t="str">
        <f t="shared" si="4"/>
        <v>event_mag1_charaget02_00002</v>
      </c>
      <c r="J363" s="432"/>
      <c r="K363" s="433"/>
      <c r="L363" s="45"/>
      <c r="M363" s="115"/>
      <c r="N363" s="115"/>
      <c r="O363" s="45"/>
      <c r="P363" s="210"/>
      <c r="Q363" s="210"/>
      <c r="R363" s="56"/>
    </row>
    <row r="364">
      <c r="A364" s="45" t="s">
        <v>2678</v>
      </c>
      <c r="B364" s="90" t="str">
        <f t="array" ref="B364">iferror(INDEX('作品'!D:D,MATCH(left(A364,3),'作品'!A:A,0),0),"error")</f>
        <v>株式会社マジルミエ</v>
      </c>
      <c r="C364" s="142" t="s">
        <v>2666</v>
      </c>
      <c r="D364" s="142" t="s">
        <v>2459</v>
      </c>
      <c r="E364" s="46" t="s">
        <v>2458</v>
      </c>
      <c r="F364" s="423" t="str">
        <f t="shared" si="3"/>
        <v>quest_event_mag1_charaget02</v>
      </c>
      <c r="G364" s="45" t="s">
        <v>2681</v>
      </c>
      <c r="H364" s="125" t="s">
        <v>2531</v>
      </c>
      <c r="I364" s="431" t="str">
        <f t="shared" si="4"/>
        <v>event_mag1_charaget02_00003</v>
      </c>
      <c r="J364" s="432"/>
      <c r="K364" s="433"/>
      <c r="L364" s="45"/>
      <c r="M364" s="115"/>
      <c r="N364" s="115"/>
      <c r="O364" s="45"/>
      <c r="P364" s="210"/>
      <c r="Q364" s="210"/>
      <c r="R364" s="56"/>
    </row>
    <row r="365">
      <c r="A365" s="45" t="s">
        <v>2678</v>
      </c>
      <c r="B365" s="90" t="str">
        <f t="array" ref="B365">iferror(INDEX('作品'!D:D,MATCH(left(A365,3),'作品'!A:A,0),0),"error")</f>
        <v>株式会社マジルミエ</v>
      </c>
      <c r="C365" s="142" t="s">
        <v>2666</v>
      </c>
      <c r="D365" s="142" t="s">
        <v>2459</v>
      </c>
      <c r="E365" s="46" t="s">
        <v>2458</v>
      </c>
      <c r="F365" s="423" t="str">
        <f t="shared" si="3"/>
        <v>quest_event_mag1_charaget02</v>
      </c>
      <c r="G365" s="45" t="s">
        <v>2681</v>
      </c>
      <c r="H365" s="125" t="s">
        <v>2532</v>
      </c>
      <c r="I365" s="431" t="str">
        <f t="shared" si="4"/>
        <v>event_mag1_charaget02_00004</v>
      </c>
      <c r="J365" s="432"/>
      <c r="K365" s="433"/>
      <c r="L365" s="45"/>
      <c r="M365" s="115"/>
      <c r="N365" s="115"/>
      <c r="O365" s="45"/>
      <c r="P365" s="210"/>
      <c r="Q365" s="210"/>
      <c r="R365" s="56"/>
    </row>
    <row r="366">
      <c r="A366" s="45" t="s">
        <v>2678</v>
      </c>
      <c r="B366" s="90" t="str">
        <f t="array" ref="B366">iferror(INDEX('作品'!D:D,MATCH(left(A366,3),'作品'!A:A,0),0),"error")</f>
        <v>株式会社マジルミエ</v>
      </c>
      <c r="C366" s="142" t="s">
        <v>2666</v>
      </c>
      <c r="D366" s="142" t="s">
        <v>2459</v>
      </c>
      <c r="E366" s="46" t="s">
        <v>2458</v>
      </c>
      <c r="F366" s="423" t="str">
        <f t="shared" si="3"/>
        <v>quest_event_mag1_charaget02</v>
      </c>
      <c r="G366" s="45" t="s">
        <v>2681</v>
      </c>
      <c r="H366" s="125" t="s">
        <v>2533</v>
      </c>
      <c r="I366" s="431" t="str">
        <f t="shared" si="4"/>
        <v>event_mag1_charaget02_00005</v>
      </c>
      <c r="J366" s="432"/>
      <c r="K366" s="433"/>
      <c r="L366" s="45"/>
      <c r="M366" s="115"/>
      <c r="N366" s="115"/>
      <c r="O366" s="45"/>
      <c r="P366" s="210"/>
      <c r="Q366" s="210"/>
      <c r="R366" s="56"/>
    </row>
    <row r="367">
      <c r="A367" s="45" t="s">
        <v>2678</v>
      </c>
      <c r="B367" s="90" t="str">
        <f t="array" ref="B367">iferror(INDEX('作品'!D:D,MATCH(left(A367,3),'作品'!A:A,0),0),"error")</f>
        <v>株式会社マジルミエ</v>
      </c>
      <c r="C367" s="142" t="s">
        <v>2666</v>
      </c>
      <c r="D367" s="142" t="s">
        <v>2459</v>
      </c>
      <c r="E367" s="46" t="s">
        <v>2458</v>
      </c>
      <c r="F367" s="423" t="str">
        <f t="shared" si="3"/>
        <v>quest_event_mag1_charaget02</v>
      </c>
      <c r="G367" s="45" t="s">
        <v>2681</v>
      </c>
      <c r="H367" s="125" t="s">
        <v>2534</v>
      </c>
      <c r="I367" s="431" t="str">
        <f t="shared" si="4"/>
        <v>event_mag1_charaget02_00006</v>
      </c>
      <c r="J367" s="432"/>
      <c r="K367" s="433"/>
      <c r="L367" s="45"/>
      <c r="M367" s="115"/>
      <c r="N367" s="115"/>
      <c r="O367" s="45"/>
      <c r="P367" s="210"/>
      <c r="Q367" s="210"/>
      <c r="R367" s="56"/>
    </row>
    <row r="368">
      <c r="A368" s="45" t="s">
        <v>2678</v>
      </c>
      <c r="B368" s="90" t="str">
        <f t="array" ref="B368">iferror(INDEX('作品'!D:D,MATCH(left(A368,3),'作品'!A:A,0),0),"error")</f>
        <v>株式会社マジルミエ</v>
      </c>
      <c r="C368" s="142" t="s">
        <v>2666</v>
      </c>
      <c r="D368" s="142" t="s">
        <v>2459</v>
      </c>
      <c r="E368" s="46" t="s">
        <v>2458</v>
      </c>
      <c r="F368" s="423" t="str">
        <f t="shared" si="3"/>
        <v>quest_event_mag1_charaget02</v>
      </c>
      <c r="G368" s="45" t="s">
        <v>2681</v>
      </c>
      <c r="H368" s="125" t="s">
        <v>2664</v>
      </c>
      <c r="I368" s="431" t="str">
        <f t="shared" si="4"/>
        <v>event_mag1_charaget02_00007</v>
      </c>
      <c r="J368" s="432"/>
      <c r="K368" s="433"/>
      <c r="L368" s="45"/>
      <c r="M368" s="115"/>
      <c r="N368" s="115"/>
      <c r="O368" s="45"/>
      <c r="P368" s="210"/>
      <c r="Q368" s="210"/>
      <c r="R368" s="56"/>
    </row>
    <row r="369">
      <c r="A369" s="45" t="s">
        <v>2678</v>
      </c>
      <c r="B369" s="90" t="str">
        <f t="array" ref="B369">iferror(INDEX('作品'!D:D,MATCH(left(A369,3),'作品'!A:A,0),0),"error")</f>
        <v>株式会社マジルミエ</v>
      </c>
      <c r="C369" s="142" t="s">
        <v>2666</v>
      </c>
      <c r="D369" s="142" t="s">
        <v>2459</v>
      </c>
      <c r="E369" s="46" t="s">
        <v>2458</v>
      </c>
      <c r="F369" s="423" t="str">
        <f t="shared" si="3"/>
        <v>quest_event_mag1_charaget02</v>
      </c>
      <c r="G369" s="45" t="s">
        <v>2681</v>
      </c>
      <c r="H369" s="125" t="s">
        <v>2665</v>
      </c>
      <c r="I369" s="431" t="str">
        <f t="shared" si="4"/>
        <v>event_mag1_charaget02_00008</v>
      </c>
      <c r="J369" s="432"/>
      <c r="K369" s="433"/>
      <c r="L369" s="45"/>
      <c r="M369" s="115"/>
      <c r="N369" s="115"/>
      <c r="O369" s="45"/>
      <c r="P369" s="210"/>
      <c r="Q369" s="210"/>
      <c r="R369" s="56"/>
    </row>
    <row r="370">
      <c r="A370" s="45" t="s">
        <v>2678</v>
      </c>
      <c r="B370" s="90" t="str">
        <f t="array" ref="B370">iferror(INDEX('作品'!D:D,MATCH(left(A370,3),'作品'!A:A,0),0),"error")</f>
        <v>株式会社マジルミエ</v>
      </c>
      <c r="C370" s="142" t="s">
        <v>2668</v>
      </c>
      <c r="D370" s="142" t="s">
        <v>2459</v>
      </c>
      <c r="E370" s="46" t="s">
        <v>2458</v>
      </c>
      <c r="F370" s="423" t="str">
        <f t="shared" si="3"/>
        <v>quest_event_mag1_challenge01</v>
      </c>
      <c r="G370" s="45" t="s">
        <v>2682</v>
      </c>
      <c r="H370" s="125" t="s">
        <v>2529</v>
      </c>
      <c r="I370" s="431" t="str">
        <f t="shared" si="4"/>
        <v>event_mag1_challenge01_00001</v>
      </c>
      <c r="J370" s="432"/>
      <c r="K370" s="433"/>
      <c r="L370" s="45"/>
      <c r="M370" s="115"/>
      <c r="N370" s="115"/>
      <c r="O370" s="45"/>
      <c r="P370" s="210"/>
      <c r="Q370" s="210"/>
      <c r="R370" s="56"/>
    </row>
    <row r="371">
      <c r="A371" s="45" t="s">
        <v>2678</v>
      </c>
      <c r="B371" s="90" t="str">
        <f t="array" ref="B371">iferror(INDEX('作品'!D:D,MATCH(left(A371,3),'作品'!A:A,0),0),"error")</f>
        <v>株式会社マジルミエ</v>
      </c>
      <c r="C371" s="142" t="s">
        <v>2668</v>
      </c>
      <c r="D371" s="142" t="s">
        <v>2459</v>
      </c>
      <c r="E371" s="46" t="s">
        <v>2458</v>
      </c>
      <c r="F371" s="423" t="str">
        <f t="shared" si="3"/>
        <v>quest_event_mag1_challenge01</v>
      </c>
      <c r="G371" s="45" t="s">
        <v>2682</v>
      </c>
      <c r="H371" s="125" t="s">
        <v>2530</v>
      </c>
      <c r="I371" s="431" t="str">
        <f t="shared" si="4"/>
        <v>event_mag1_challenge01_00002</v>
      </c>
      <c r="J371" s="432"/>
      <c r="K371" s="433"/>
      <c r="L371" s="45"/>
      <c r="M371" s="115"/>
      <c r="N371" s="115"/>
      <c r="O371" s="45"/>
      <c r="P371" s="210"/>
      <c r="Q371" s="210"/>
      <c r="R371" s="56"/>
    </row>
    <row r="372">
      <c r="A372" s="45" t="s">
        <v>2678</v>
      </c>
      <c r="B372" s="90" t="str">
        <f t="array" ref="B372">iferror(INDEX('作品'!D:D,MATCH(left(A372,3),'作品'!A:A,0),0),"error")</f>
        <v>株式会社マジルミエ</v>
      </c>
      <c r="C372" s="142" t="s">
        <v>2668</v>
      </c>
      <c r="D372" s="142" t="s">
        <v>2459</v>
      </c>
      <c r="E372" s="46" t="s">
        <v>2458</v>
      </c>
      <c r="F372" s="423" t="str">
        <f t="shared" si="3"/>
        <v>quest_event_mag1_challenge01</v>
      </c>
      <c r="G372" s="45" t="s">
        <v>2682</v>
      </c>
      <c r="H372" s="125" t="s">
        <v>2531</v>
      </c>
      <c r="I372" s="431" t="str">
        <f t="shared" si="4"/>
        <v>event_mag1_challenge01_00003</v>
      </c>
      <c r="J372" s="432"/>
      <c r="K372" s="433"/>
      <c r="L372" s="45"/>
      <c r="M372" s="115"/>
      <c r="N372" s="115"/>
      <c r="O372" s="45"/>
      <c r="P372" s="210"/>
      <c r="Q372" s="210"/>
      <c r="R372" s="56"/>
    </row>
    <row r="373">
      <c r="A373" s="45" t="s">
        <v>2678</v>
      </c>
      <c r="B373" s="90" t="str">
        <f t="array" ref="B373">iferror(INDEX('作品'!D:D,MATCH(left(A373,3),'作品'!A:A,0),0),"error")</f>
        <v>株式会社マジルミエ</v>
      </c>
      <c r="C373" s="142" t="s">
        <v>2668</v>
      </c>
      <c r="D373" s="142" t="s">
        <v>2459</v>
      </c>
      <c r="E373" s="46" t="s">
        <v>2458</v>
      </c>
      <c r="F373" s="423" t="str">
        <f t="shared" si="3"/>
        <v>quest_event_mag1_challenge01</v>
      </c>
      <c r="G373" s="45" t="s">
        <v>2682</v>
      </c>
      <c r="H373" s="125" t="s">
        <v>2532</v>
      </c>
      <c r="I373" s="431" t="str">
        <f t="shared" si="4"/>
        <v>event_mag1_challenge01_00004</v>
      </c>
      <c r="J373" s="432"/>
      <c r="K373" s="433"/>
      <c r="L373" s="45"/>
      <c r="M373" s="115"/>
      <c r="N373" s="115"/>
      <c r="O373" s="45"/>
      <c r="P373" s="210"/>
      <c r="Q373" s="210"/>
      <c r="R373" s="56"/>
    </row>
    <row r="374">
      <c r="A374" s="45" t="s">
        <v>2678</v>
      </c>
      <c r="B374" s="90" t="str">
        <f t="array" ref="B374">iferror(INDEX('作品'!D:D,MATCH(left(A374,3),'作品'!A:A,0),0),"error")</f>
        <v>株式会社マジルミエ</v>
      </c>
      <c r="C374" s="142" t="s">
        <v>2464</v>
      </c>
      <c r="D374" s="142" t="s">
        <v>2459</v>
      </c>
      <c r="E374" s="46" t="s">
        <v>2458</v>
      </c>
      <c r="F374" s="423" t="str">
        <f t="shared" si="3"/>
        <v>quest_event_mag1_savage</v>
      </c>
      <c r="G374" s="45" t="s">
        <v>2683</v>
      </c>
      <c r="H374" s="125" t="s">
        <v>2529</v>
      </c>
      <c r="I374" s="431" t="str">
        <f t="shared" si="4"/>
        <v>event_mag1_savage_00001</v>
      </c>
      <c r="J374" s="432"/>
      <c r="K374" s="433"/>
      <c r="L374" s="45"/>
      <c r="M374" s="115"/>
      <c r="N374" s="115"/>
      <c r="O374" s="45"/>
      <c r="P374" s="210"/>
      <c r="Q374" s="210"/>
      <c r="R374" s="56"/>
    </row>
    <row r="375">
      <c r="A375" s="434" t="s">
        <v>2678</v>
      </c>
      <c r="B375" s="435" t="str">
        <f t="array" ref="B375">iferror(INDEX('作品'!D:D,MATCH(left(A375,3),'作品'!A:A,0),0),"error")</f>
        <v>株式会社マジルミエ</v>
      </c>
      <c r="C375" s="436" t="s">
        <v>2464</v>
      </c>
      <c r="D375" s="436" t="s">
        <v>2459</v>
      </c>
      <c r="E375" s="437" t="s">
        <v>2458</v>
      </c>
      <c r="F375" s="438" t="str">
        <f t="shared" si="3"/>
        <v>quest_event_mag1_savage</v>
      </c>
      <c r="G375" s="434" t="s">
        <v>2683</v>
      </c>
      <c r="H375" s="439" t="s">
        <v>2530</v>
      </c>
      <c r="I375" s="440" t="str">
        <f t="shared" si="4"/>
        <v>event_mag1_savage_00002</v>
      </c>
      <c r="J375" s="441"/>
      <c r="K375" s="442"/>
      <c r="L375" s="434"/>
      <c r="M375" s="443"/>
      <c r="N375" s="443"/>
      <c r="O375" s="434"/>
      <c r="P375" s="444"/>
      <c r="Q375" s="444"/>
      <c r="R375" s="445"/>
    </row>
    <row r="376">
      <c r="A376" s="71" t="s">
        <v>2684</v>
      </c>
      <c r="B376" s="446" t="str">
        <f t="array" ref="B376">iferror(INDEX('作品'!D:D,MATCH(left(A376,3),'作品'!A:A,0),0),"error")</f>
        <v>2.5次元の誘惑</v>
      </c>
      <c r="C376" s="447" t="s">
        <v>2449</v>
      </c>
      <c r="D376" s="447" t="s">
        <v>2459</v>
      </c>
      <c r="E376" s="448" t="s">
        <v>2458</v>
      </c>
      <c r="F376" s="423" t="str">
        <f t="shared" si="3"/>
        <v>quest_event_yuw1_1day</v>
      </c>
      <c r="G376" s="71" t="s">
        <v>2685</v>
      </c>
      <c r="H376" s="125" t="s">
        <v>2529</v>
      </c>
      <c r="I376" s="449" t="str">
        <f t="shared" si="4"/>
        <v>event_yuw1_1day_00001</v>
      </c>
      <c r="J376" s="450"/>
      <c r="K376" s="451"/>
      <c r="L376" s="71"/>
      <c r="M376" s="452"/>
      <c r="N376" s="452"/>
      <c r="O376" s="71"/>
      <c r="P376" s="453"/>
      <c r="Q376" s="453"/>
      <c r="R376" s="56"/>
    </row>
    <row r="377">
      <c r="A377" s="45" t="s">
        <v>2684</v>
      </c>
      <c r="B377" s="90" t="str">
        <f t="array" ref="B377">iferror(INDEX('作品'!D:D,MATCH(left(A377,3),'作品'!A:A,0),0),"error")</f>
        <v>2.5次元の誘惑</v>
      </c>
      <c r="C377" s="142" t="s">
        <v>2662</v>
      </c>
      <c r="D377" s="142" t="s">
        <v>2459</v>
      </c>
      <c r="E377" s="46" t="s">
        <v>2458</v>
      </c>
      <c r="F377" s="423" t="str">
        <f t="shared" si="3"/>
        <v>quest_event_yuw1_charaget01</v>
      </c>
      <c r="G377" s="45" t="s">
        <v>2686</v>
      </c>
      <c r="H377" s="125" t="s">
        <v>2529</v>
      </c>
      <c r="I377" s="431" t="str">
        <f t="shared" si="4"/>
        <v>event_yuw1_charaget01_00001</v>
      </c>
      <c r="J377" s="432"/>
      <c r="K377" s="433"/>
      <c r="L377" s="45"/>
      <c r="M377" s="115"/>
      <c r="N377" s="115"/>
      <c r="O377" s="45"/>
      <c r="P377" s="210"/>
      <c r="Q377" s="210"/>
      <c r="R377" s="56"/>
    </row>
    <row r="378">
      <c r="A378" s="45" t="s">
        <v>2684</v>
      </c>
      <c r="B378" s="90" t="str">
        <f t="array" ref="B378">iferror(INDEX('作品'!D:D,MATCH(left(A378,3),'作品'!A:A,0),0),"error")</f>
        <v>2.5次元の誘惑</v>
      </c>
      <c r="C378" s="142" t="s">
        <v>2662</v>
      </c>
      <c r="D378" s="142" t="s">
        <v>2459</v>
      </c>
      <c r="E378" s="46" t="s">
        <v>2458</v>
      </c>
      <c r="F378" s="423" t="str">
        <f t="shared" si="3"/>
        <v>quest_event_yuw1_charaget01</v>
      </c>
      <c r="G378" s="45" t="s">
        <v>2686</v>
      </c>
      <c r="H378" s="125" t="s">
        <v>2530</v>
      </c>
      <c r="I378" s="431" t="str">
        <f t="shared" si="4"/>
        <v>event_yuw1_charaget01_00002</v>
      </c>
      <c r="J378" s="432"/>
      <c r="K378" s="433"/>
      <c r="L378" s="45"/>
      <c r="M378" s="115"/>
      <c r="N378" s="115"/>
      <c r="O378" s="45"/>
      <c r="P378" s="210"/>
      <c r="Q378" s="210"/>
      <c r="R378" s="56"/>
    </row>
    <row r="379">
      <c r="A379" s="45" t="s">
        <v>2684</v>
      </c>
      <c r="B379" s="90" t="str">
        <f t="array" ref="B379">iferror(INDEX('作品'!D:D,MATCH(left(A379,3),'作品'!A:A,0),0),"error")</f>
        <v>2.5次元の誘惑</v>
      </c>
      <c r="C379" s="142" t="s">
        <v>2662</v>
      </c>
      <c r="D379" s="142" t="s">
        <v>2459</v>
      </c>
      <c r="E379" s="46" t="s">
        <v>2458</v>
      </c>
      <c r="F379" s="423" t="str">
        <f t="shared" si="3"/>
        <v>quest_event_yuw1_charaget01</v>
      </c>
      <c r="G379" s="45" t="s">
        <v>2686</v>
      </c>
      <c r="H379" s="125" t="s">
        <v>2531</v>
      </c>
      <c r="I379" s="431" t="str">
        <f t="shared" si="4"/>
        <v>event_yuw1_charaget01_00003</v>
      </c>
      <c r="J379" s="432"/>
      <c r="K379" s="433"/>
      <c r="L379" s="45"/>
      <c r="M379" s="115"/>
      <c r="N379" s="115"/>
      <c r="O379" s="45"/>
      <c r="P379" s="210"/>
      <c r="Q379" s="210"/>
      <c r="R379" s="56"/>
    </row>
    <row r="380">
      <c r="A380" s="45" t="s">
        <v>2684</v>
      </c>
      <c r="B380" s="90" t="str">
        <f t="array" ref="B380">iferror(INDEX('作品'!D:D,MATCH(left(A380,3),'作品'!A:A,0),0),"error")</f>
        <v>2.5次元の誘惑</v>
      </c>
      <c r="C380" s="142" t="s">
        <v>2662</v>
      </c>
      <c r="D380" s="142" t="s">
        <v>2459</v>
      </c>
      <c r="E380" s="46" t="s">
        <v>2458</v>
      </c>
      <c r="F380" s="423" t="str">
        <f t="shared" si="3"/>
        <v>quest_event_yuw1_charaget01</v>
      </c>
      <c r="G380" s="45" t="s">
        <v>2686</v>
      </c>
      <c r="H380" s="125" t="s">
        <v>2532</v>
      </c>
      <c r="I380" s="431" t="str">
        <f t="shared" si="4"/>
        <v>event_yuw1_charaget01_00004</v>
      </c>
      <c r="J380" s="432"/>
      <c r="K380" s="433"/>
      <c r="L380" s="45"/>
      <c r="M380" s="115"/>
      <c r="N380" s="115"/>
      <c r="O380" s="45"/>
      <c r="P380" s="210"/>
      <c r="Q380" s="210"/>
      <c r="R380" s="56"/>
    </row>
    <row r="381">
      <c r="A381" s="45" t="s">
        <v>2684</v>
      </c>
      <c r="B381" s="90" t="str">
        <f t="array" ref="B381">iferror(INDEX('作品'!D:D,MATCH(left(A381,3),'作品'!A:A,0),0),"error")</f>
        <v>2.5次元の誘惑</v>
      </c>
      <c r="C381" s="142" t="s">
        <v>2662</v>
      </c>
      <c r="D381" s="142" t="s">
        <v>2459</v>
      </c>
      <c r="E381" s="46" t="s">
        <v>2458</v>
      </c>
      <c r="F381" s="423" t="str">
        <f t="shared" si="3"/>
        <v>quest_event_yuw1_charaget01</v>
      </c>
      <c r="G381" s="45" t="s">
        <v>2686</v>
      </c>
      <c r="H381" s="125" t="s">
        <v>2533</v>
      </c>
      <c r="I381" s="431" t="str">
        <f t="shared" si="4"/>
        <v>event_yuw1_charaget01_00005</v>
      </c>
      <c r="J381" s="432"/>
      <c r="K381" s="433"/>
      <c r="L381" s="45"/>
      <c r="M381" s="115"/>
      <c r="N381" s="115"/>
      <c r="O381" s="45"/>
      <c r="P381" s="210"/>
      <c r="Q381" s="210"/>
      <c r="R381" s="56"/>
    </row>
    <row r="382">
      <c r="A382" s="45" t="s">
        <v>2684</v>
      </c>
      <c r="B382" s="90" t="str">
        <f t="array" ref="B382">iferror(INDEX('作品'!D:D,MATCH(left(A382,3),'作品'!A:A,0),0),"error")</f>
        <v>2.5次元の誘惑</v>
      </c>
      <c r="C382" s="142" t="s">
        <v>2662</v>
      </c>
      <c r="D382" s="142" t="s">
        <v>2459</v>
      </c>
      <c r="E382" s="46" t="s">
        <v>2458</v>
      </c>
      <c r="F382" s="423" t="str">
        <f t="shared" si="3"/>
        <v>quest_event_yuw1_charaget01</v>
      </c>
      <c r="G382" s="45" t="s">
        <v>2686</v>
      </c>
      <c r="H382" s="125" t="s">
        <v>2534</v>
      </c>
      <c r="I382" s="431" t="str">
        <f t="shared" si="4"/>
        <v>event_yuw1_charaget01_00006</v>
      </c>
      <c r="J382" s="432"/>
      <c r="K382" s="433"/>
      <c r="L382" s="45"/>
      <c r="M382" s="115"/>
      <c r="N382" s="115"/>
      <c r="O382" s="45"/>
      <c r="P382" s="210"/>
      <c r="Q382" s="210"/>
      <c r="R382" s="56"/>
    </row>
    <row r="383">
      <c r="A383" s="45" t="s">
        <v>2684</v>
      </c>
      <c r="B383" s="90" t="str">
        <f t="array" ref="B383">iferror(INDEX('作品'!D:D,MATCH(left(A383,3),'作品'!A:A,0),0),"error")</f>
        <v>2.5次元の誘惑</v>
      </c>
      <c r="C383" s="142" t="s">
        <v>2662</v>
      </c>
      <c r="D383" s="142" t="s">
        <v>2459</v>
      </c>
      <c r="E383" s="46" t="s">
        <v>2458</v>
      </c>
      <c r="F383" s="423" t="str">
        <f t="shared" si="3"/>
        <v>quest_event_yuw1_charaget01</v>
      </c>
      <c r="G383" s="45" t="s">
        <v>2686</v>
      </c>
      <c r="H383" s="125" t="s">
        <v>2664</v>
      </c>
      <c r="I383" s="431" t="str">
        <f t="shared" si="4"/>
        <v>event_yuw1_charaget01_00007</v>
      </c>
      <c r="J383" s="432"/>
      <c r="K383" s="433"/>
      <c r="L383" s="45"/>
      <c r="M383" s="115"/>
      <c r="N383" s="115"/>
      <c r="O383" s="45"/>
      <c r="P383" s="210"/>
      <c r="Q383" s="210"/>
      <c r="R383" s="56"/>
    </row>
    <row r="384">
      <c r="A384" s="45" t="s">
        <v>2684</v>
      </c>
      <c r="B384" s="90" t="str">
        <f t="array" ref="B384">iferror(INDEX('作品'!D:D,MATCH(left(A384,3),'作品'!A:A,0),0),"error")</f>
        <v>2.5次元の誘惑</v>
      </c>
      <c r="C384" s="142" t="s">
        <v>2662</v>
      </c>
      <c r="D384" s="142" t="s">
        <v>2459</v>
      </c>
      <c r="E384" s="46" t="s">
        <v>2458</v>
      </c>
      <c r="F384" s="423" t="str">
        <f t="shared" si="3"/>
        <v>quest_event_yuw1_charaget01</v>
      </c>
      <c r="G384" s="45" t="s">
        <v>2686</v>
      </c>
      <c r="H384" s="125" t="s">
        <v>2665</v>
      </c>
      <c r="I384" s="431" t="str">
        <f t="shared" si="4"/>
        <v>event_yuw1_charaget01_00008</v>
      </c>
      <c r="J384" s="432"/>
      <c r="K384" s="433"/>
      <c r="L384" s="45"/>
      <c r="M384" s="115"/>
      <c r="N384" s="115"/>
      <c r="O384" s="45"/>
      <c r="P384" s="210"/>
      <c r="Q384" s="210"/>
      <c r="R384" s="56"/>
    </row>
    <row r="385">
      <c r="A385" s="45" t="s">
        <v>2684</v>
      </c>
      <c r="B385" s="90" t="str">
        <f t="array" ref="B385">iferror(INDEX('作品'!D:D,MATCH(left(A385,3),'作品'!A:A,0),0),"error")</f>
        <v>2.5次元の誘惑</v>
      </c>
      <c r="C385" s="142" t="s">
        <v>2666</v>
      </c>
      <c r="D385" s="142" t="s">
        <v>2459</v>
      </c>
      <c r="E385" s="46" t="s">
        <v>2458</v>
      </c>
      <c r="F385" s="423" t="str">
        <f t="shared" si="3"/>
        <v>quest_event_yuw1_charaget02</v>
      </c>
      <c r="G385" s="45" t="s">
        <v>2687</v>
      </c>
      <c r="H385" s="125" t="s">
        <v>2529</v>
      </c>
      <c r="I385" s="431" t="str">
        <f t="shared" si="4"/>
        <v>event_yuw1_charaget02_00001</v>
      </c>
      <c r="J385" s="432"/>
      <c r="K385" s="433"/>
      <c r="L385" s="45"/>
      <c r="M385" s="115"/>
      <c r="N385" s="115"/>
      <c r="O385" s="45"/>
      <c r="P385" s="210"/>
      <c r="Q385" s="210"/>
      <c r="R385" s="56"/>
    </row>
    <row r="386">
      <c r="A386" s="45" t="s">
        <v>2684</v>
      </c>
      <c r="B386" s="90" t="str">
        <f t="array" ref="B386">iferror(INDEX('作品'!D:D,MATCH(left(A386,3),'作品'!A:A,0),0),"error")</f>
        <v>2.5次元の誘惑</v>
      </c>
      <c r="C386" s="142" t="s">
        <v>2666</v>
      </c>
      <c r="D386" s="142" t="s">
        <v>2459</v>
      </c>
      <c r="E386" s="46" t="s">
        <v>2458</v>
      </c>
      <c r="F386" s="423" t="str">
        <f t="shared" si="3"/>
        <v>quest_event_yuw1_charaget02</v>
      </c>
      <c r="G386" s="45" t="s">
        <v>2687</v>
      </c>
      <c r="H386" s="125" t="s">
        <v>2530</v>
      </c>
      <c r="I386" s="431" t="str">
        <f t="shared" si="4"/>
        <v>event_yuw1_charaget02_00002</v>
      </c>
      <c r="J386" s="432"/>
      <c r="K386" s="433"/>
      <c r="L386" s="45"/>
      <c r="M386" s="115"/>
      <c r="N386" s="115"/>
      <c r="O386" s="45"/>
      <c r="P386" s="210"/>
      <c r="Q386" s="210"/>
      <c r="R386" s="56"/>
    </row>
    <row r="387">
      <c r="A387" s="45" t="s">
        <v>2684</v>
      </c>
      <c r="B387" s="90" t="str">
        <f t="array" ref="B387">iferror(INDEX('作品'!D:D,MATCH(left(A387,3),'作品'!A:A,0),0),"error")</f>
        <v>2.5次元の誘惑</v>
      </c>
      <c r="C387" s="142" t="s">
        <v>2666</v>
      </c>
      <c r="D387" s="142" t="s">
        <v>2459</v>
      </c>
      <c r="E387" s="46" t="s">
        <v>2458</v>
      </c>
      <c r="F387" s="423" t="str">
        <f t="shared" si="3"/>
        <v>quest_event_yuw1_charaget02</v>
      </c>
      <c r="G387" s="45" t="s">
        <v>2687</v>
      </c>
      <c r="H387" s="125" t="s">
        <v>2531</v>
      </c>
      <c r="I387" s="431" t="str">
        <f t="shared" si="4"/>
        <v>event_yuw1_charaget02_00003</v>
      </c>
      <c r="J387" s="432"/>
      <c r="K387" s="433"/>
      <c r="L387" s="45"/>
      <c r="M387" s="115"/>
      <c r="N387" s="115"/>
      <c r="O387" s="45"/>
      <c r="P387" s="210"/>
      <c r="Q387" s="210"/>
      <c r="R387" s="56"/>
    </row>
    <row r="388">
      <c r="A388" s="45" t="s">
        <v>2684</v>
      </c>
      <c r="B388" s="90" t="str">
        <f t="array" ref="B388">iferror(INDEX('作品'!D:D,MATCH(left(A388,3),'作品'!A:A,0),0),"error")</f>
        <v>2.5次元の誘惑</v>
      </c>
      <c r="C388" s="142" t="s">
        <v>2666</v>
      </c>
      <c r="D388" s="142" t="s">
        <v>2459</v>
      </c>
      <c r="E388" s="46" t="s">
        <v>2458</v>
      </c>
      <c r="F388" s="423" t="str">
        <f t="shared" si="3"/>
        <v>quest_event_yuw1_charaget02</v>
      </c>
      <c r="G388" s="45" t="s">
        <v>2687</v>
      </c>
      <c r="H388" s="125" t="s">
        <v>2532</v>
      </c>
      <c r="I388" s="431" t="str">
        <f t="shared" si="4"/>
        <v>event_yuw1_charaget02_00004</v>
      </c>
      <c r="J388" s="432"/>
      <c r="K388" s="433"/>
      <c r="L388" s="45"/>
      <c r="M388" s="115"/>
      <c r="N388" s="115"/>
      <c r="O388" s="45"/>
      <c r="P388" s="210"/>
      <c r="Q388" s="210"/>
      <c r="R388" s="56"/>
    </row>
    <row r="389">
      <c r="A389" s="45" t="s">
        <v>2684</v>
      </c>
      <c r="B389" s="90" t="str">
        <f t="array" ref="B389">iferror(INDEX('作品'!D:D,MATCH(left(A389,3),'作品'!A:A,0),0),"error")</f>
        <v>2.5次元の誘惑</v>
      </c>
      <c r="C389" s="142" t="s">
        <v>2666</v>
      </c>
      <c r="D389" s="142" t="s">
        <v>2459</v>
      </c>
      <c r="E389" s="46" t="s">
        <v>2458</v>
      </c>
      <c r="F389" s="423" t="str">
        <f t="shared" si="3"/>
        <v>quest_event_yuw1_charaget02</v>
      </c>
      <c r="G389" s="45" t="s">
        <v>2687</v>
      </c>
      <c r="H389" s="125" t="s">
        <v>2533</v>
      </c>
      <c r="I389" s="431" t="str">
        <f t="shared" si="4"/>
        <v>event_yuw1_charaget02_00005</v>
      </c>
      <c r="J389" s="432"/>
      <c r="K389" s="433"/>
      <c r="L389" s="45"/>
      <c r="M389" s="115"/>
      <c r="N389" s="115"/>
      <c r="O389" s="45"/>
      <c r="P389" s="210"/>
      <c r="Q389" s="210"/>
      <c r="R389" s="56"/>
    </row>
    <row r="390">
      <c r="A390" s="45" t="s">
        <v>2684</v>
      </c>
      <c r="B390" s="90" t="str">
        <f t="array" ref="B390">iferror(INDEX('作品'!D:D,MATCH(left(A390,3),'作品'!A:A,0),0),"error")</f>
        <v>2.5次元の誘惑</v>
      </c>
      <c r="C390" s="142" t="s">
        <v>2666</v>
      </c>
      <c r="D390" s="142" t="s">
        <v>2459</v>
      </c>
      <c r="E390" s="46" t="s">
        <v>2458</v>
      </c>
      <c r="F390" s="423" t="str">
        <f t="shared" si="3"/>
        <v>quest_event_yuw1_charaget02</v>
      </c>
      <c r="G390" s="45" t="s">
        <v>2687</v>
      </c>
      <c r="H390" s="125" t="s">
        <v>2534</v>
      </c>
      <c r="I390" s="431" t="str">
        <f t="shared" si="4"/>
        <v>event_yuw1_charaget02_00006</v>
      </c>
      <c r="J390" s="432"/>
      <c r="K390" s="433"/>
      <c r="L390" s="45"/>
      <c r="M390" s="115"/>
      <c r="N390" s="115"/>
      <c r="O390" s="45"/>
      <c r="P390" s="210"/>
      <c r="Q390" s="210"/>
      <c r="R390" s="56"/>
    </row>
    <row r="391">
      <c r="A391" s="45" t="s">
        <v>2684</v>
      </c>
      <c r="B391" s="90" t="str">
        <f t="array" ref="B391">iferror(INDEX('作品'!D:D,MATCH(left(A391,3),'作品'!A:A,0),0),"error")</f>
        <v>2.5次元の誘惑</v>
      </c>
      <c r="C391" s="142" t="s">
        <v>2666</v>
      </c>
      <c r="D391" s="142" t="s">
        <v>2459</v>
      </c>
      <c r="E391" s="46" t="s">
        <v>2458</v>
      </c>
      <c r="F391" s="423" t="str">
        <f t="shared" si="3"/>
        <v>quest_event_yuw1_charaget02</v>
      </c>
      <c r="G391" s="45" t="s">
        <v>2687</v>
      </c>
      <c r="H391" s="125" t="s">
        <v>2664</v>
      </c>
      <c r="I391" s="431" t="str">
        <f t="shared" si="4"/>
        <v>event_yuw1_charaget02_00007</v>
      </c>
      <c r="J391" s="432"/>
      <c r="K391" s="433"/>
      <c r="L391" s="45"/>
      <c r="M391" s="115"/>
      <c r="N391" s="115"/>
      <c r="O391" s="45"/>
      <c r="P391" s="210"/>
      <c r="Q391" s="210"/>
      <c r="R391" s="56"/>
    </row>
    <row r="392">
      <c r="A392" s="45" t="s">
        <v>2684</v>
      </c>
      <c r="B392" s="90" t="str">
        <f t="array" ref="B392">iferror(INDEX('作品'!D:D,MATCH(left(A392,3),'作品'!A:A,0),0),"error")</f>
        <v>2.5次元の誘惑</v>
      </c>
      <c r="C392" s="142" t="s">
        <v>2666</v>
      </c>
      <c r="D392" s="142" t="s">
        <v>2459</v>
      </c>
      <c r="E392" s="46" t="s">
        <v>2458</v>
      </c>
      <c r="F392" s="423" t="str">
        <f t="shared" si="3"/>
        <v>quest_event_yuw1_charaget02</v>
      </c>
      <c r="G392" s="45" t="s">
        <v>2687</v>
      </c>
      <c r="H392" s="125" t="s">
        <v>2665</v>
      </c>
      <c r="I392" s="431" t="str">
        <f t="shared" si="4"/>
        <v>event_yuw1_charaget02_00008</v>
      </c>
      <c r="J392" s="432"/>
      <c r="K392" s="433"/>
      <c r="L392" s="45"/>
      <c r="M392" s="115"/>
      <c r="N392" s="115"/>
      <c r="O392" s="45"/>
      <c r="P392" s="210"/>
      <c r="Q392" s="210"/>
      <c r="R392" s="56"/>
    </row>
    <row r="393">
      <c r="A393" s="45" t="s">
        <v>2684</v>
      </c>
      <c r="B393" s="90" t="str">
        <f t="array" ref="B393">iferror(INDEX('作品'!D:D,MATCH(left(A393,3),'作品'!A:A,0),0),"error")</f>
        <v>2.5次元の誘惑</v>
      </c>
      <c r="C393" s="142" t="s">
        <v>2668</v>
      </c>
      <c r="D393" s="142" t="s">
        <v>2459</v>
      </c>
      <c r="E393" s="46" t="s">
        <v>2458</v>
      </c>
      <c r="F393" s="423" t="str">
        <f t="shared" si="3"/>
        <v>quest_event_yuw1_challenge01</v>
      </c>
      <c r="G393" s="45" t="s">
        <v>2688</v>
      </c>
      <c r="H393" s="125" t="s">
        <v>2529</v>
      </c>
      <c r="I393" s="431" t="str">
        <f t="shared" si="4"/>
        <v>event_yuw1_challenge01_00001</v>
      </c>
      <c r="J393" s="432"/>
      <c r="K393" s="433"/>
      <c r="L393" s="45"/>
      <c r="M393" s="115"/>
      <c r="N393" s="115"/>
      <c r="O393" s="45"/>
      <c r="P393" s="210"/>
      <c r="Q393" s="210"/>
      <c r="R393" s="56"/>
    </row>
    <row r="394">
      <c r="A394" s="45" t="s">
        <v>2684</v>
      </c>
      <c r="B394" s="90" t="str">
        <f t="array" ref="B394">iferror(INDEX('作品'!D:D,MATCH(left(A394,3),'作品'!A:A,0),0),"error")</f>
        <v>2.5次元の誘惑</v>
      </c>
      <c r="C394" s="142" t="s">
        <v>2668</v>
      </c>
      <c r="D394" s="142" t="s">
        <v>2459</v>
      </c>
      <c r="E394" s="46" t="s">
        <v>2458</v>
      </c>
      <c r="F394" s="423" t="str">
        <f t="shared" si="3"/>
        <v>quest_event_yuw1_challenge01</v>
      </c>
      <c r="G394" s="45" t="s">
        <v>2688</v>
      </c>
      <c r="H394" s="125" t="s">
        <v>2530</v>
      </c>
      <c r="I394" s="431" t="str">
        <f t="shared" si="4"/>
        <v>event_yuw1_challenge01_00002</v>
      </c>
      <c r="J394" s="432"/>
      <c r="K394" s="433"/>
      <c r="L394" s="45"/>
      <c r="M394" s="115"/>
      <c r="N394" s="115"/>
      <c r="O394" s="45"/>
      <c r="P394" s="210"/>
      <c r="Q394" s="210"/>
      <c r="R394" s="56"/>
    </row>
    <row r="395">
      <c r="A395" s="45" t="s">
        <v>2684</v>
      </c>
      <c r="B395" s="90" t="str">
        <f t="array" ref="B395">iferror(INDEX('作品'!D:D,MATCH(left(A395,3),'作品'!A:A,0),0),"error")</f>
        <v>2.5次元の誘惑</v>
      </c>
      <c r="C395" s="142" t="s">
        <v>2668</v>
      </c>
      <c r="D395" s="142" t="s">
        <v>2459</v>
      </c>
      <c r="E395" s="46" t="s">
        <v>2458</v>
      </c>
      <c r="F395" s="423" t="str">
        <f t="shared" si="3"/>
        <v>quest_event_yuw1_challenge01</v>
      </c>
      <c r="G395" s="45" t="s">
        <v>2688</v>
      </c>
      <c r="H395" s="125" t="s">
        <v>2531</v>
      </c>
      <c r="I395" s="431" t="str">
        <f t="shared" si="4"/>
        <v>event_yuw1_challenge01_00003</v>
      </c>
      <c r="J395" s="432"/>
      <c r="K395" s="433"/>
      <c r="L395" s="45"/>
      <c r="M395" s="115"/>
      <c r="N395" s="115"/>
      <c r="O395" s="45"/>
      <c r="P395" s="210"/>
      <c r="Q395" s="210"/>
      <c r="R395" s="56"/>
    </row>
    <row r="396">
      <c r="A396" s="45" t="s">
        <v>2684</v>
      </c>
      <c r="B396" s="90" t="str">
        <f t="array" ref="B396">iferror(INDEX('作品'!D:D,MATCH(left(A396,3),'作品'!A:A,0),0),"error")</f>
        <v>2.5次元の誘惑</v>
      </c>
      <c r="C396" s="142" t="s">
        <v>2668</v>
      </c>
      <c r="D396" s="142" t="s">
        <v>2459</v>
      </c>
      <c r="E396" s="46" t="s">
        <v>2458</v>
      </c>
      <c r="F396" s="423" t="str">
        <f t="shared" si="3"/>
        <v>quest_event_yuw1_challenge01</v>
      </c>
      <c r="G396" s="45" t="s">
        <v>2688</v>
      </c>
      <c r="H396" s="125" t="s">
        <v>2532</v>
      </c>
      <c r="I396" s="431" t="str">
        <f t="shared" si="4"/>
        <v>event_yuw1_challenge01_00004</v>
      </c>
      <c r="J396" s="432"/>
      <c r="K396" s="433"/>
      <c r="L396" s="45"/>
      <c r="M396" s="115"/>
      <c r="N396" s="115"/>
      <c r="O396" s="45"/>
      <c r="P396" s="210"/>
      <c r="Q396" s="210"/>
      <c r="R396" s="56"/>
    </row>
    <row r="397">
      <c r="A397" s="454" t="s">
        <v>2684</v>
      </c>
      <c r="B397" s="455" t="str">
        <f t="array" ref="B397">iferror(INDEX('作品'!D:D,MATCH(left(A397,3),'作品'!A:A,0),0),"error")</f>
        <v>2.5次元の誘惑</v>
      </c>
      <c r="C397" s="400" t="s">
        <v>2464</v>
      </c>
      <c r="D397" s="400" t="s">
        <v>2459</v>
      </c>
      <c r="E397" s="401" t="s">
        <v>2458</v>
      </c>
      <c r="F397" s="456" t="str">
        <f t="shared" si="3"/>
        <v>quest_event_yuw1_savage</v>
      </c>
      <c r="G397" s="454" t="s">
        <v>2689</v>
      </c>
      <c r="H397" s="457" t="s">
        <v>2529</v>
      </c>
      <c r="I397" s="458" t="str">
        <f t="shared" si="4"/>
        <v>event_yuw1_savage_00001</v>
      </c>
      <c r="J397" s="459"/>
      <c r="K397" s="460"/>
      <c r="L397" s="454"/>
      <c r="M397" s="461"/>
      <c r="N397" s="461"/>
      <c r="O397" s="454"/>
      <c r="P397" s="462"/>
      <c r="Q397" s="462"/>
      <c r="R397" s="56"/>
    </row>
    <row r="398">
      <c r="A398" s="45" t="s">
        <v>2684</v>
      </c>
      <c r="B398" s="90" t="str">
        <f t="array" ref="B398">iferror(INDEX('作品'!D:D,MATCH(left(A398,3),'作品'!A:A,0),0),"error")</f>
        <v>2.5次元の誘惑</v>
      </c>
      <c r="C398" s="142" t="s">
        <v>2464</v>
      </c>
      <c r="D398" s="142" t="s">
        <v>2459</v>
      </c>
      <c r="E398" s="46" t="s">
        <v>2458</v>
      </c>
      <c r="F398" s="463" t="str">
        <f t="shared" si="3"/>
        <v>quest_event_yuw1_savage</v>
      </c>
      <c r="G398" s="45" t="s">
        <v>2689</v>
      </c>
      <c r="H398" s="46" t="s">
        <v>2530</v>
      </c>
      <c r="I398" s="464" t="str">
        <f t="shared" si="4"/>
        <v>event_yuw1_savage_00002</v>
      </c>
      <c r="J398" s="433"/>
      <c r="K398" s="433"/>
      <c r="L398" s="45"/>
      <c r="M398" s="115"/>
      <c r="N398" s="115"/>
      <c r="O398" s="45"/>
      <c r="P398" s="210"/>
      <c r="Q398" s="210"/>
      <c r="R398" s="56"/>
    </row>
    <row r="399">
      <c r="A399" s="45" t="s">
        <v>2684</v>
      </c>
      <c r="B399" s="90" t="str">
        <f t="array" ref="B399">iferror(INDEX('作品'!D:D,MATCH(left(A399,3),'作品'!A:A,0),0),"error")</f>
        <v>2.5次元の誘惑</v>
      </c>
      <c r="C399" s="142" t="s">
        <v>2464</v>
      </c>
      <c r="D399" s="142" t="s">
        <v>2459</v>
      </c>
      <c r="E399" s="46" t="s">
        <v>2458</v>
      </c>
      <c r="F399" s="463" t="str">
        <f t="shared" si="3"/>
        <v>quest_event_yuw1_savage</v>
      </c>
      <c r="G399" s="45" t="s">
        <v>2689</v>
      </c>
      <c r="H399" s="46" t="s">
        <v>2531</v>
      </c>
      <c r="I399" s="464" t="str">
        <f t="shared" si="4"/>
        <v>event_yuw1_savage_00003</v>
      </c>
      <c r="J399" s="433"/>
      <c r="K399" s="433"/>
      <c r="L399" s="45"/>
      <c r="M399" s="115"/>
      <c r="N399" s="115"/>
      <c r="O399" s="45"/>
      <c r="P399" s="210"/>
      <c r="Q399" s="210"/>
      <c r="R399" s="56"/>
    </row>
    <row r="400">
      <c r="A400" s="45" t="s">
        <v>2684</v>
      </c>
      <c r="B400" s="90" t="str">
        <f t="array" ref="B400">iferror(INDEX('作品'!D:D,MATCH(left(A400,3),'作品'!A:A,0),0),"error")</f>
        <v>2.5次元の誘惑</v>
      </c>
      <c r="C400" s="447" t="s">
        <v>2690</v>
      </c>
      <c r="D400" s="447" t="s">
        <v>2459</v>
      </c>
      <c r="E400" s="448" t="s">
        <v>2458</v>
      </c>
      <c r="F400" s="463" t="str">
        <f t="shared" si="3"/>
        <v>quest_event_yuw1_savage02</v>
      </c>
      <c r="G400" s="71" t="s">
        <v>2691</v>
      </c>
      <c r="H400" s="448" t="s">
        <v>2529</v>
      </c>
      <c r="I400" s="464" t="str">
        <f t="shared" si="4"/>
        <v>event_yuw1_savage02_00001</v>
      </c>
      <c r="J400" s="451"/>
      <c r="K400" s="451"/>
      <c r="L400" s="71"/>
      <c r="M400" s="452"/>
      <c r="N400" s="452"/>
      <c r="O400" s="71"/>
      <c r="P400" s="453"/>
      <c r="Q400" s="210"/>
      <c r="R400" s="56"/>
    </row>
    <row r="401">
      <c r="A401" s="434" t="s">
        <v>2684</v>
      </c>
      <c r="B401" s="435" t="str">
        <f t="array" ref="B401">iferror(INDEX('作品'!D:D,MATCH(left(A401,3),'作品'!A:A,0),0),"error")</f>
        <v>2.5次元の誘惑</v>
      </c>
      <c r="C401" s="436" t="s">
        <v>2690</v>
      </c>
      <c r="D401" s="436" t="s">
        <v>2459</v>
      </c>
      <c r="E401" s="437" t="s">
        <v>2458</v>
      </c>
      <c r="F401" s="465" t="str">
        <f t="shared" si="3"/>
        <v>quest_event_yuw1_savage02</v>
      </c>
      <c r="G401" s="434" t="s">
        <v>2691</v>
      </c>
      <c r="H401" s="437" t="s">
        <v>2530</v>
      </c>
      <c r="I401" s="466" t="str">
        <f t="shared" si="4"/>
        <v>event_yuw1_savage02_00002</v>
      </c>
      <c r="J401" s="442"/>
      <c r="K401" s="442"/>
      <c r="L401" s="434"/>
      <c r="M401" s="443"/>
      <c r="N401" s="443"/>
      <c r="O401" s="434"/>
      <c r="P401" s="444"/>
      <c r="Q401" s="444"/>
      <c r="R401" s="445"/>
    </row>
    <row r="402">
      <c r="A402" s="71" t="s">
        <v>2692</v>
      </c>
      <c r="B402" s="446" t="str">
        <f t="array" ref="B402">iferror(INDEX('作品'!D:D,MATCH(left(A402,3),'作品'!A:A,0),0),"error")</f>
        <v>魔都精兵のスレイブ</v>
      </c>
      <c r="C402" s="447" t="s">
        <v>2449</v>
      </c>
      <c r="D402" s="447" t="s">
        <v>2459</v>
      </c>
      <c r="E402" s="448" t="s">
        <v>2458</v>
      </c>
      <c r="F402" s="423" t="str">
        <f t="shared" si="3"/>
        <v>quest_event_sur1_1day</v>
      </c>
      <c r="G402" s="71" t="s">
        <v>2693</v>
      </c>
      <c r="H402" s="125" t="s">
        <v>2529</v>
      </c>
      <c r="I402" s="449" t="str">
        <f t="shared" si="4"/>
        <v>event_sur1_1day_00001</v>
      </c>
      <c r="J402" s="450"/>
      <c r="K402" s="451"/>
      <c r="L402" s="71"/>
      <c r="M402" s="452"/>
      <c r="N402" s="452"/>
      <c r="O402" s="71"/>
      <c r="P402" s="453"/>
      <c r="Q402" s="453"/>
      <c r="R402" s="56"/>
    </row>
    <row r="403">
      <c r="A403" s="45" t="s">
        <v>2692</v>
      </c>
      <c r="B403" s="90" t="str">
        <f t="array" ref="B403">iferror(INDEX('作品'!D:D,MATCH(left(A403,3),'作品'!A:A,0),0),"error")</f>
        <v>魔都精兵のスレイブ</v>
      </c>
      <c r="C403" s="142" t="s">
        <v>2662</v>
      </c>
      <c r="D403" s="142" t="s">
        <v>2459</v>
      </c>
      <c r="E403" s="448" t="s">
        <v>2458</v>
      </c>
      <c r="F403" s="423" t="str">
        <f t="shared" si="3"/>
        <v>quest_event_sur1_charaget01</v>
      </c>
      <c r="G403" s="45" t="s">
        <v>2694</v>
      </c>
      <c r="H403" s="125" t="s">
        <v>2529</v>
      </c>
      <c r="I403" s="431" t="str">
        <f t="shared" si="4"/>
        <v>event_sur1_charaget01_00001</v>
      </c>
      <c r="J403" s="432"/>
      <c r="K403" s="433"/>
      <c r="L403" s="45"/>
      <c r="M403" s="115"/>
      <c r="N403" s="115"/>
      <c r="O403" s="45"/>
      <c r="P403" s="210"/>
      <c r="Q403" s="210"/>
      <c r="R403" s="56"/>
    </row>
    <row r="404">
      <c r="A404" s="45" t="s">
        <v>2692</v>
      </c>
      <c r="B404" s="90" t="str">
        <f t="array" ref="B404">iferror(INDEX('作品'!D:D,MATCH(left(A404,3),'作品'!A:A,0),0),"error")</f>
        <v>魔都精兵のスレイブ</v>
      </c>
      <c r="C404" s="142" t="s">
        <v>2662</v>
      </c>
      <c r="D404" s="142" t="s">
        <v>2459</v>
      </c>
      <c r="E404" s="448" t="s">
        <v>2458</v>
      </c>
      <c r="F404" s="423" t="str">
        <f t="shared" si="3"/>
        <v>quest_event_sur1_charaget01</v>
      </c>
      <c r="G404" s="45" t="s">
        <v>2694</v>
      </c>
      <c r="H404" s="125" t="s">
        <v>2530</v>
      </c>
      <c r="I404" s="431" t="str">
        <f t="shared" si="4"/>
        <v>event_sur1_charaget01_00002</v>
      </c>
      <c r="J404" s="432"/>
      <c r="K404" s="433"/>
      <c r="L404" s="45"/>
      <c r="M404" s="115"/>
      <c r="N404" s="115"/>
      <c r="O404" s="45"/>
      <c r="P404" s="210"/>
      <c r="Q404" s="210"/>
      <c r="R404" s="56"/>
    </row>
    <row r="405">
      <c r="A405" s="45" t="s">
        <v>2692</v>
      </c>
      <c r="B405" s="90" t="str">
        <f t="array" ref="B405">iferror(INDEX('作品'!D:D,MATCH(left(A405,3),'作品'!A:A,0),0),"error")</f>
        <v>魔都精兵のスレイブ</v>
      </c>
      <c r="C405" s="142" t="s">
        <v>2662</v>
      </c>
      <c r="D405" s="142" t="s">
        <v>2459</v>
      </c>
      <c r="E405" s="448" t="s">
        <v>2458</v>
      </c>
      <c r="F405" s="423" t="str">
        <f t="shared" si="3"/>
        <v>quest_event_sur1_charaget01</v>
      </c>
      <c r="G405" s="45" t="s">
        <v>2694</v>
      </c>
      <c r="H405" s="125" t="s">
        <v>2531</v>
      </c>
      <c r="I405" s="431" t="str">
        <f t="shared" si="4"/>
        <v>event_sur1_charaget01_00003</v>
      </c>
      <c r="J405" s="432"/>
      <c r="K405" s="433"/>
      <c r="L405" s="45"/>
      <c r="M405" s="115"/>
      <c r="N405" s="115"/>
      <c r="O405" s="45"/>
      <c r="P405" s="210"/>
      <c r="Q405" s="210"/>
      <c r="R405" s="56"/>
    </row>
    <row r="406">
      <c r="A406" s="45" t="s">
        <v>2692</v>
      </c>
      <c r="B406" s="90" t="str">
        <f t="array" ref="B406">iferror(INDEX('作品'!D:D,MATCH(left(A406,3),'作品'!A:A,0),0),"error")</f>
        <v>魔都精兵のスレイブ</v>
      </c>
      <c r="C406" s="142" t="s">
        <v>2662</v>
      </c>
      <c r="D406" s="142" t="s">
        <v>2459</v>
      </c>
      <c r="E406" s="448" t="s">
        <v>2458</v>
      </c>
      <c r="F406" s="423" t="str">
        <f t="shared" si="3"/>
        <v>quest_event_sur1_charaget01</v>
      </c>
      <c r="G406" s="45" t="s">
        <v>2694</v>
      </c>
      <c r="H406" s="125" t="s">
        <v>2532</v>
      </c>
      <c r="I406" s="431" t="str">
        <f t="shared" si="4"/>
        <v>event_sur1_charaget01_00004</v>
      </c>
      <c r="J406" s="432"/>
      <c r="K406" s="433"/>
      <c r="L406" s="45"/>
      <c r="M406" s="115"/>
      <c r="N406" s="115"/>
      <c r="O406" s="45"/>
      <c r="P406" s="210"/>
      <c r="Q406" s="210"/>
      <c r="R406" s="56"/>
    </row>
    <row r="407">
      <c r="A407" s="45" t="s">
        <v>2692</v>
      </c>
      <c r="B407" s="90" t="str">
        <f t="array" ref="B407">iferror(INDEX('作品'!D:D,MATCH(left(A407,3),'作品'!A:A,0),0),"error")</f>
        <v>魔都精兵のスレイブ</v>
      </c>
      <c r="C407" s="142" t="s">
        <v>2662</v>
      </c>
      <c r="D407" s="142" t="s">
        <v>2459</v>
      </c>
      <c r="E407" s="448" t="s">
        <v>2458</v>
      </c>
      <c r="F407" s="423" t="str">
        <f t="shared" si="3"/>
        <v>quest_event_sur1_charaget01</v>
      </c>
      <c r="G407" s="45" t="s">
        <v>2694</v>
      </c>
      <c r="H407" s="125" t="s">
        <v>2533</v>
      </c>
      <c r="I407" s="431" t="str">
        <f t="shared" si="4"/>
        <v>event_sur1_charaget01_00005</v>
      </c>
      <c r="J407" s="432"/>
      <c r="K407" s="433"/>
      <c r="L407" s="45"/>
      <c r="M407" s="115"/>
      <c r="N407" s="115"/>
      <c r="O407" s="45"/>
      <c r="P407" s="210"/>
      <c r="Q407" s="210"/>
      <c r="R407" s="56"/>
    </row>
    <row r="408">
      <c r="A408" s="45" t="s">
        <v>2692</v>
      </c>
      <c r="B408" s="90" t="str">
        <f t="array" ref="B408">iferror(INDEX('作品'!D:D,MATCH(left(A408,3),'作品'!A:A,0),0),"error")</f>
        <v>魔都精兵のスレイブ</v>
      </c>
      <c r="C408" s="142" t="s">
        <v>2662</v>
      </c>
      <c r="D408" s="142" t="s">
        <v>2459</v>
      </c>
      <c r="E408" s="448" t="s">
        <v>2458</v>
      </c>
      <c r="F408" s="423" t="str">
        <f t="shared" si="3"/>
        <v>quest_event_sur1_charaget01</v>
      </c>
      <c r="G408" s="45" t="s">
        <v>2694</v>
      </c>
      <c r="H408" s="125" t="s">
        <v>2534</v>
      </c>
      <c r="I408" s="431" t="str">
        <f t="shared" si="4"/>
        <v>event_sur1_charaget01_00006</v>
      </c>
      <c r="J408" s="432"/>
      <c r="K408" s="433"/>
      <c r="L408" s="45"/>
      <c r="M408" s="115"/>
      <c r="N408" s="115"/>
      <c r="O408" s="45"/>
      <c r="P408" s="210"/>
      <c r="Q408" s="210"/>
      <c r="R408" s="56"/>
    </row>
    <row r="409">
      <c r="A409" s="45" t="s">
        <v>2692</v>
      </c>
      <c r="B409" s="90" t="str">
        <f t="array" ref="B409">iferror(INDEX('作品'!D:D,MATCH(left(A409,3),'作品'!A:A,0),0),"error")</f>
        <v>魔都精兵のスレイブ</v>
      </c>
      <c r="C409" s="142" t="s">
        <v>2662</v>
      </c>
      <c r="D409" s="142" t="s">
        <v>2459</v>
      </c>
      <c r="E409" s="448" t="s">
        <v>2458</v>
      </c>
      <c r="F409" s="423" t="str">
        <f t="shared" si="3"/>
        <v>quest_event_sur1_charaget01</v>
      </c>
      <c r="G409" s="45" t="s">
        <v>2694</v>
      </c>
      <c r="H409" s="125" t="s">
        <v>2664</v>
      </c>
      <c r="I409" s="431" t="str">
        <f t="shared" si="4"/>
        <v>event_sur1_charaget01_00007</v>
      </c>
      <c r="J409" s="432"/>
      <c r="K409" s="433"/>
      <c r="L409" s="45"/>
      <c r="M409" s="115"/>
      <c r="N409" s="115"/>
      <c r="O409" s="45"/>
      <c r="P409" s="210"/>
      <c r="Q409" s="210"/>
      <c r="R409" s="56"/>
    </row>
    <row r="410">
      <c r="A410" s="45" t="s">
        <v>2692</v>
      </c>
      <c r="B410" s="90" t="str">
        <f t="array" ref="B410">iferror(INDEX('作品'!D:D,MATCH(left(A410,3),'作品'!A:A,0),0),"error")</f>
        <v>魔都精兵のスレイブ</v>
      </c>
      <c r="C410" s="142" t="s">
        <v>2662</v>
      </c>
      <c r="D410" s="142" t="s">
        <v>2459</v>
      </c>
      <c r="E410" s="448" t="s">
        <v>2458</v>
      </c>
      <c r="F410" s="423" t="str">
        <f t="shared" si="3"/>
        <v>quest_event_sur1_charaget01</v>
      </c>
      <c r="G410" s="45" t="s">
        <v>2694</v>
      </c>
      <c r="H410" s="125" t="s">
        <v>2665</v>
      </c>
      <c r="I410" s="431" t="str">
        <f t="shared" si="4"/>
        <v>event_sur1_charaget01_00008</v>
      </c>
      <c r="J410" s="432"/>
      <c r="K410" s="433"/>
      <c r="L410" s="45"/>
      <c r="M410" s="115"/>
      <c r="N410" s="115"/>
      <c r="O410" s="45"/>
      <c r="P410" s="210"/>
      <c r="Q410" s="210"/>
      <c r="R410" s="56"/>
    </row>
    <row r="411">
      <c r="A411" s="45" t="s">
        <v>2692</v>
      </c>
      <c r="B411" s="90" t="str">
        <f t="array" ref="B411">iferror(INDEX('作品'!D:D,MATCH(left(A411,3),'作品'!A:A,0),0),"error")</f>
        <v>魔都精兵のスレイブ</v>
      </c>
      <c r="C411" s="142" t="s">
        <v>2666</v>
      </c>
      <c r="D411" s="142" t="s">
        <v>2459</v>
      </c>
      <c r="E411" s="448" t="s">
        <v>2458</v>
      </c>
      <c r="F411" s="423" t="str">
        <f t="shared" si="3"/>
        <v>quest_event_sur1_charaget02</v>
      </c>
      <c r="G411" s="45" t="s">
        <v>2695</v>
      </c>
      <c r="H411" s="125" t="s">
        <v>2529</v>
      </c>
      <c r="I411" s="431" t="str">
        <f t="shared" si="4"/>
        <v>event_sur1_charaget02_00001</v>
      </c>
      <c r="J411" s="432"/>
      <c r="K411" s="433"/>
      <c r="L411" s="45"/>
      <c r="M411" s="115"/>
      <c r="N411" s="115"/>
      <c r="O411" s="45"/>
      <c r="P411" s="210"/>
      <c r="Q411" s="210"/>
      <c r="R411" s="56"/>
    </row>
    <row r="412">
      <c r="A412" s="45" t="s">
        <v>2692</v>
      </c>
      <c r="B412" s="90" t="str">
        <f t="array" ref="B412">iferror(INDEX('作品'!D:D,MATCH(left(A412,3),'作品'!A:A,0),0),"error")</f>
        <v>魔都精兵のスレイブ</v>
      </c>
      <c r="C412" s="142" t="s">
        <v>2666</v>
      </c>
      <c r="D412" s="142" t="s">
        <v>2459</v>
      </c>
      <c r="E412" s="448" t="s">
        <v>2458</v>
      </c>
      <c r="F412" s="423" t="str">
        <f t="shared" si="3"/>
        <v>quest_event_sur1_charaget02</v>
      </c>
      <c r="G412" s="45" t="s">
        <v>2695</v>
      </c>
      <c r="H412" s="125" t="s">
        <v>2530</v>
      </c>
      <c r="I412" s="431" t="str">
        <f t="shared" si="4"/>
        <v>event_sur1_charaget02_00002</v>
      </c>
      <c r="J412" s="432"/>
      <c r="K412" s="433"/>
      <c r="L412" s="45"/>
      <c r="M412" s="115"/>
      <c r="N412" s="115"/>
      <c r="O412" s="45"/>
      <c r="P412" s="210"/>
      <c r="Q412" s="210"/>
      <c r="R412" s="56"/>
    </row>
    <row r="413">
      <c r="A413" s="45" t="s">
        <v>2692</v>
      </c>
      <c r="B413" s="90" t="str">
        <f t="array" ref="B413">iferror(INDEX('作品'!D:D,MATCH(left(A413,3),'作品'!A:A,0),0),"error")</f>
        <v>魔都精兵のスレイブ</v>
      </c>
      <c r="C413" s="142" t="s">
        <v>2666</v>
      </c>
      <c r="D413" s="142" t="s">
        <v>2459</v>
      </c>
      <c r="E413" s="448" t="s">
        <v>2458</v>
      </c>
      <c r="F413" s="423" t="str">
        <f t="shared" si="3"/>
        <v>quest_event_sur1_charaget02</v>
      </c>
      <c r="G413" s="45" t="s">
        <v>2695</v>
      </c>
      <c r="H413" s="125" t="s">
        <v>2531</v>
      </c>
      <c r="I413" s="431" t="str">
        <f t="shared" si="4"/>
        <v>event_sur1_charaget02_00003</v>
      </c>
      <c r="J413" s="432"/>
      <c r="K413" s="433"/>
      <c r="L413" s="45"/>
      <c r="M413" s="115"/>
      <c r="N413" s="115"/>
      <c r="O413" s="45"/>
      <c r="P413" s="210"/>
      <c r="Q413" s="210"/>
      <c r="R413" s="56"/>
    </row>
    <row r="414">
      <c r="A414" s="45" t="s">
        <v>2692</v>
      </c>
      <c r="B414" s="90" t="str">
        <f t="array" ref="B414">iferror(INDEX('作品'!D:D,MATCH(left(A414,3),'作品'!A:A,0),0),"error")</f>
        <v>魔都精兵のスレイブ</v>
      </c>
      <c r="C414" s="142" t="s">
        <v>2666</v>
      </c>
      <c r="D414" s="142" t="s">
        <v>2459</v>
      </c>
      <c r="E414" s="448" t="s">
        <v>2458</v>
      </c>
      <c r="F414" s="423" t="str">
        <f t="shared" si="3"/>
        <v>quest_event_sur1_charaget02</v>
      </c>
      <c r="G414" s="45" t="s">
        <v>2695</v>
      </c>
      <c r="H414" s="125" t="s">
        <v>2532</v>
      </c>
      <c r="I414" s="431" t="str">
        <f t="shared" si="4"/>
        <v>event_sur1_charaget02_00004</v>
      </c>
      <c r="J414" s="432"/>
      <c r="K414" s="433"/>
      <c r="L414" s="45"/>
      <c r="M414" s="115"/>
      <c r="N414" s="115"/>
      <c r="O414" s="45"/>
      <c r="P414" s="210"/>
      <c r="Q414" s="210"/>
      <c r="R414" s="56"/>
    </row>
    <row r="415">
      <c r="A415" s="45" t="s">
        <v>2692</v>
      </c>
      <c r="B415" s="90" t="str">
        <f t="array" ref="B415">iferror(INDEX('作品'!D:D,MATCH(left(A415,3),'作品'!A:A,0),0),"error")</f>
        <v>魔都精兵のスレイブ</v>
      </c>
      <c r="C415" s="142" t="s">
        <v>2666</v>
      </c>
      <c r="D415" s="142" t="s">
        <v>2459</v>
      </c>
      <c r="E415" s="448" t="s">
        <v>2458</v>
      </c>
      <c r="F415" s="423" t="str">
        <f t="shared" si="3"/>
        <v>quest_event_sur1_charaget02</v>
      </c>
      <c r="G415" s="45" t="s">
        <v>2695</v>
      </c>
      <c r="H415" s="125" t="s">
        <v>2533</v>
      </c>
      <c r="I415" s="431" t="str">
        <f t="shared" si="4"/>
        <v>event_sur1_charaget02_00005</v>
      </c>
      <c r="J415" s="432"/>
      <c r="K415" s="433"/>
      <c r="L415" s="45"/>
      <c r="M415" s="115"/>
      <c r="N415" s="115"/>
      <c r="O415" s="45"/>
      <c r="P415" s="210"/>
      <c r="Q415" s="210"/>
      <c r="R415" s="56"/>
    </row>
    <row r="416">
      <c r="A416" s="45" t="s">
        <v>2692</v>
      </c>
      <c r="B416" s="90" t="str">
        <f t="array" ref="B416">iferror(INDEX('作品'!D:D,MATCH(left(A416,3),'作品'!A:A,0),0),"error")</f>
        <v>魔都精兵のスレイブ</v>
      </c>
      <c r="C416" s="142" t="s">
        <v>2666</v>
      </c>
      <c r="D416" s="142" t="s">
        <v>2459</v>
      </c>
      <c r="E416" s="448" t="s">
        <v>2458</v>
      </c>
      <c r="F416" s="423" t="str">
        <f t="shared" si="3"/>
        <v>quest_event_sur1_charaget02</v>
      </c>
      <c r="G416" s="45" t="s">
        <v>2695</v>
      </c>
      <c r="H416" s="125" t="s">
        <v>2534</v>
      </c>
      <c r="I416" s="431" t="str">
        <f t="shared" si="4"/>
        <v>event_sur1_charaget02_00006</v>
      </c>
      <c r="J416" s="432"/>
      <c r="K416" s="433"/>
      <c r="L416" s="45"/>
      <c r="M416" s="115"/>
      <c r="N416" s="115"/>
      <c r="O416" s="45"/>
      <c r="P416" s="210"/>
      <c r="Q416" s="210"/>
      <c r="R416" s="56"/>
    </row>
    <row r="417">
      <c r="A417" s="45" t="s">
        <v>2692</v>
      </c>
      <c r="B417" s="90" t="str">
        <f t="array" ref="B417">iferror(INDEX('作品'!D:D,MATCH(left(A417,3),'作品'!A:A,0),0),"error")</f>
        <v>魔都精兵のスレイブ</v>
      </c>
      <c r="C417" s="142" t="s">
        <v>2666</v>
      </c>
      <c r="D417" s="142" t="s">
        <v>2459</v>
      </c>
      <c r="E417" s="448" t="s">
        <v>2458</v>
      </c>
      <c r="F417" s="423" t="str">
        <f t="shared" si="3"/>
        <v>quest_event_sur1_charaget02</v>
      </c>
      <c r="G417" s="45" t="s">
        <v>2695</v>
      </c>
      <c r="H417" s="125" t="s">
        <v>2664</v>
      </c>
      <c r="I417" s="431" t="str">
        <f t="shared" si="4"/>
        <v>event_sur1_charaget02_00007</v>
      </c>
      <c r="J417" s="432"/>
      <c r="K417" s="433"/>
      <c r="L417" s="45"/>
      <c r="M417" s="115"/>
      <c r="N417" s="115"/>
      <c r="O417" s="45"/>
      <c r="P417" s="210"/>
      <c r="Q417" s="210"/>
      <c r="R417" s="56"/>
    </row>
    <row r="418">
      <c r="A418" s="45" t="s">
        <v>2692</v>
      </c>
      <c r="B418" s="90" t="str">
        <f t="array" ref="B418">iferror(INDEX('作品'!D:D,MATCH(left(A418,3),'作品'!A:A,0),0),"error")</f>
        <v>魔都精兵のスレイブ</v>
      </c>
      <c r="C418" s="142" t="s">
        <v>2666</v>
      </c>
      <c r="D418" s="142" t="s">
        <v>2459</v>
      </c>
      <c r="E418" s="448" t="s">
        <v>2458</v>
      </c>
      <c r="F418" s="423" t="str">
        <f t="shared" si="3"/>
        <v>quest_event_sur1_charaget02</v>
      </c>
      <c r="G418" s="45" t="s">
        <v>2695</v>
      </c>
      <c r="H418" s="125" t="s">
        <v>2665</v>
      </c>
      <c r="I418" s="431" t="str">
        <f t="shared" si="4"/>
        <v>event_sur1_charaget02_00008</v>
      </c>
      <c r="J418" s="432"/>
      <c r="K418" s="433"/>
      <c r="L418" s="45"/>
      <c r="M418" s="115"/>
      <c r="N418" s="115"/>
      <c r="O418" s="45"/>
      <c r="P418" s="210"/>
      <c r="Q418" s="210"/>
      <c r="R418" s="56"/>
    </row>
    <row r="419">
      <c r="A419" s="45" t="s">
        <v>2692</v>
      </c>
      <c r="B419" s="90" t="str">
        <f t="array" ref="B419">iferror(INDEX('作品'!D:D,MATCH(left(A419,3),'作品'!A:A,0),0),"error")</f>
        <v>魔都精兵のスレイブ</v>
      </c>
      <c r="C419" s="142" t="s">
        <v>2668</v>
      </c>
      <c r="D419" s="142" t="s">
        <v>2459</v>
      </c>
      <c r="E419" s="448" t="s">
        <v>2458</v>
      </c>
      <c r="F419" s="423" t="str">
        <f t="shared" si="3"/>
        <v>quest_event_sur1_challenge01</v>
      </c>
      <c r="G419" s="45" t="s">
        <v>2696</v>
      </c>
      <c r="H419" s="125" t="s">
        <v>2529</v>
      </c>
      <c r="I419" s="431" t="str">
        <f t="shared" si="4"/>
        <v>event_sur1_challenge01_00001</v>
      </c>
      <c r="J419" s="432"/>
      <c r="K419" s="433"/>
      <c r="L419" s="45"/>
      <c r="M419" s="115"/>
      <c r="N419" s="115"/>
      <c r="O419" s="45"/>
      <c r="P419" s="210"/>
      <c r="Q419" s="210"/>
      <c r="R419" s="56"/>
    </row>
    <row r="420">
      <c r="A420" s="45" t="s">
        <v>2692</v>
      </c>
      <c r="B420" s="90" t="str">
        <f t="array" ref="B420">iferror(INDEX('作品'!D:D,MATCH(left(A420,3),'作品'!A:A,0),0),"error")</f>
        <v>魔都精兵のスレイブ</v>
      </c>
      <c r="C420" s="142" t="s">
        <v>2668</v>
      </c>
      <c r="D420" s="142" t="s">
        <v>2459</v>
      </c>
      <c r="E420" s="448" t="s">
        <v>2458</v>
      </c>
      <c r="F420" s="423" t="str">
        <f t="shared" si="3"/>
        <v>quest_event_sur1_challenge01</v>
      </c>
      <c r="G420" s="45" t="s">
        <v>2696</v>
      </c>
      <c r="H420" s="125" t="s">
        <v>2530</v>
      </c>
      <c r="I420" s="431" t="str">
        <f t="shared" si="4"/>
        <v>event_sur1_challenge01_00002</v>
      </c>
      <c r="J420" s="432"/>
      <c r="K420" s="433"/>
      <c r="L420" s="45"/>
      <c r="M420" s="115"/>
      <c r="N420" s="115"/>
      <c r="O420" s="45"/>
      <c r="P420" s="210"/>
      <c r="Q420" s="210"/>
      <c r="R420" s="56"/>
    </row>
    <row r="421">
      <c r="A421" s="45" t="s">
        <v>2692</v>
      </c>
      <c r="B421" s="90" t="str">
        <f t="array" ref="B421">iferror(INDEX('作品'!D:D,MATCH(left(A421,3),'作品'!A:A,0),0),"error")</f>
        <v>魔都精兵のスレイブ</v>
      </c>
      <c r="C421" s="142" t="s">
        <v>2668</v>
      </c>
      <c r="D421" s="142" t="s">
        <v>2459</v>
      </c>
      <c r="E421" s="448" t="s">
        <v>2458</v>
      </c>
      <c r="F421" s="423" t="str">
        <f t="shared" si="3"/>
        <v>quest_event_sur1_challenge01</v>
      </c>
      <c r="G421" s="45" t="s">
        <v>2696</v>
      </c>
      <c r="H421" s="125" t="s">
        <v>2531</v>
      </c>
      <c r="I421" s="431" t="str">
        <f t="shared" si="4"/>
        <v>event_sur1_challenge01_00003</v>
      </c>
      <c r="J421" s="432"/>
      <c r="K421" s="433"/>
      <c r="L421" s="45"/>
      <c r="M421" s="115"/>
      <c r="N421" s="115"/>
      <c r="O421" s="45"/>
      <c r="P421" s="210"/>
      <c r="Q421" s="210"/>
      <c r="R421" s="56"/>
    </row>
    <row r="422">
      <c r="A422" s="45" t="s">
        <v>2692</v>
      </c>
      <c r="B422" s="90" t="str">
        <f t="array" ref="B422">iferror(INDEX('作品'!D:D,MATCH(left(A422,3),'作品'!A:A,0),0),"error")</f>
        <v>魔都精兵のスレイブ</v>
      </c>
      <c r="C422" s="142" t="s">
        <v>2668</v>
      </c>
      <c r="D422" s="142" t="s">
        <v>2459</v>
      </c>
      <c r="E422" s="448" t="s">
        <v>2458</v>
      </c>
      <c r="F422" s="423" t="str">
        <f t="shared" si="3"/>
        <v>quest_event_sur1_challenge01</v>
      </c>
      <c r="G422" s="45" t="s">
        <v>2696</v>
      </c>
      <c r="H422" s="125" t="s">
        <v>2532</v>
      </c>
      <c r="I422" s="431" t="str">
        <f t="shared" si="4"/>
        <v>event_sur1_challenge01_00004</v>
      </c>
      <c r="J422" s="432"/>
      <c r="K422" s="433"/>
      <c r="L422" s="45"/>
      <c r="M422" s="115"/>
      <c r="N422" s="115"/>
      <c r="O422" s="45"/>
      <c r="P422" s="210"/>
      <c r="Q422" s="210"/>
      <c r="R422" s="56"/>
    </row>
    <row r="423">
      <c r="A423" s="45" t="s">
        <v>2692</v>
      </c>
      <c r="B423" s="90" t="str">
        <f t="array" ref="B423">iferror(INDEX('作品'!D:D,MATCH(left(A423,3),'作品'!A:A,0),0),"error")</f>
        <v>魔都精兵のスレイブ</v>
      </c>
      <c r="C423" s="142" t="s">
        <v>2464</v>
      </c>
      <c r="D423" s="142" t="s">
        <v>2459</v>
      </c>
      <c r="E423" s="448" t="s">
        <v>2458</v>
      </c>
      <c r="F423" s="423" t="str">
        <f t="shared" si="3"/>
        <v>quest_event_sur1_savage</v>
      </c>
      <c r="G423" s="45" t="s">
        <v>2697</v>
      </c>
      <c r="H423" s="125" t="s">
        <v>2529</v>
      </c>
      <c r="I423" s="431" t="str">
        <f t="shared" si="4"/>
        <v>event_sur1_savage_00001</v>
      </c>
      <c r="J423" s="432"/>
      <c r="K423" s="433"/>
      <c r="L423" s="45"/>
      <c r="M423" s="115"/>
      <c r="N423" s="115"/>
      <c r="O423" s="45"/>
      <c r="P423" s="210"/>
      <c r="Q423" s="210"/>
      <c r="R423" s="56"/>
    </row>
    <row r="424">
      <c r="A424" s="45" t="s">
        <v>2692</v>
      </c>
      <c r="B424" s="90" t="str">
        <f t="array" ref="B424">iferror(INDEX('作品'!D:D,MATCH(left(A424,3),'作品'!A:A,0),0),"error")</f>
        <v>魔都精兵のスレイブ</v>
      </c>
      <c r="C424" s="142" t="s">
        <v>2464</v>
      </c>
      <c r="D424" s="142" t="s">
        <v>2459</v>
      </c>
      <c r="E424" s="448" t="s">
        <v>2458</v>
      </c>
      <c r="F424" s="423" t="str">
        <f t="shared" si="3"/>
        <v>quest_event_sur1_savage</v>
      </c>
      <c r="G424" s="45" t="s">
        <v>2697</v>
      </c>
      <c r="H424" s="125" t="s">
        <v>2530</v>
      </c>
      <c r="I424" s="431" t="str">
        <f t="shared" si="4"/>
        <v>event_sur1_savage_00002</v>
      </c>
      <c r="J424" s="432"/>
      <c r="K424" s="433"/>
      <c r="L424" s="45"/>
      <c r="M424" s="115"/>
      <c r="N424" s="115"/>
      <c r="O424" s="45"/>
      <c r="P424" s="210"/>
      <c r="Q424" s="210"/>
      <c r="R424" s="56"/>
    </row>
    <row r="425">
      <c r="A425" s="434" t="s">
        <v>2692</v>
      </c>
      <c r="B425" s="435" t="str">
        <f t="array" ref="B425">iferror(INDEX('作品'!D:D,MATCH(left(A425,3),'作品'!A:A,0),0),"error")</f>
        <v>魔都精兵のスレイブ</v>
      </c>
      <c r="C425" s="436" t="s">
        <v>2464</v>
      </c>
      <c r="D425" s="436" t="s">
        <v>2459</v>
      </c>
      <c r="E425" s="467" t="s">
        <v>2458</v>
      </c>
      <c r="F425" s="438" t="str">
        <f t="shared" si="3"/>
        <v>quest_event_sur1_savage</v>
      </c>
      <c r="G425" s="434" t="s">
        <v>2697</v>
      </c>
      <c r="H425" s="439" t="s">
        <v>2531</v>
      </c>
      <c r="I425" s="440" t="str">
        <f t="shared" si="4"/>
        <v>event_sur1_savage_00003</v>
      </c>
      <c r="J425" s="441"/>
      <c r="K425" s="442"/>
      <c r="L425" s="434"/>
      <c r="M425" s="443"/>
      <c r="N425" s="443"/>
      <c r="O425" s="434"/>
      <c r="P425" s="444"/>
      <c r="Q425" s="444"/>
      <c r="R425" s="445"/>
    </row>
    <row r="426">
      <c r="A426" s="71" t="s">
        <v>2698</v>
      </c>
      <c r="B426" s="446" t="str">
        <f t="array" ref="B426">iferror(INDEX('作品'!D:D,MATCH(left(A426,3),'作品'!A:A,0),0),"error")</f>
        <v>【推しの子】</v>
      </c>
      <c r="C426" s="447" t="s">
        <v>2449</v>
      </c>
      <c r="D426" s="447" t="s">
        <v>2459</v>
      </c>
      <c r="E426" s="448" t="s">
        <v>2458</v>
      </c>
      <c r="F426" s="423" t="str">
        <f t="shared" si="3"/>
        <v>quest_event_osh1_1day</v>
      </c>
      <c r="G426" s="71" t="s">
        <v>2699</v>
      </c>
      <c r="H426" s="125" t="s">
        <v>2529</v>
      </c>
      <c r="I426" s="449" t="str">
        <f t="shared" si="4"/>
        <v>event_osh1_1day_00001</v>
      </c>
      <c r="J426" s="450"/>
      <c r="K426" s="451"/>
      <c r="L426" s="71"/>
      <c r="M426" s="452"/>
      <c r="N426" s="452"/>
      <c r="O426" s="71"/>
      <c r="P426" s="453"/>
      <c r="Q426" s="453"/>
      <c r="R426" s="56"/>
    </row>
    <row r="427">
      <c r="A427" s="71" t="s">
        <v>2698</v>
      </c>
      <c r="B427" s="446" t="str">
        <f t="array" ref="B427">iferror(INDEX('作品'!D:D,MATCH(left(A427,3),'作品'!A:A,0),0),"error")</f>
        <v>【推しの子】</v>
      </c>
      <c r="C427" s="447" t="s">
        <v>2662</v>
      </c>
      <c r="D427" s="447" t="s">
        <v>2459</v>
      </c>
      <c r="E427" s="448" t="s">
        <v>2458</v>
      </c>
      <c r="F427" s="423" t="str">
        <f t="shared" si="3"/>
        <v>quest_event_osh1_charaget01</v>
      </c>
      <c r="G427" s="71" t="s">
        <v>2700</v>
      </c>
      <c r="H427" s="125" t="s">
        <v>2529</v>
      </c>
      <c r="I427" s="449" t="str">
        <f t="shared" si="4"/>
        <v>event_osh1_charaget01_00001</v>
      </c>
      <c r="J427" s="450"/>
      <c r="K427" s="451"/>
      <c r="L427" s="71"/>
      <c r="M427" s="452"/>
      <c r="N427" s="452"/>
      <c r="O427" s="71"/>
      <c r="P427" s="453"/>
      <c r="Q427" s="453"/>
      <c r="R427" s="56"/>
    </row>
    <row r="428">
      <c r="A428" s="71" t="s">
        <v>2698</v>
      </c>
      <c r="B428" s="446" t="str">
        <f t="array" ref="B428">iferror(INDEX('作品'!D:D,MATCH(left(A428,3),'作品'!A:A,0),0),"error")</f>
        <v>【推しの子】</v>
      </c>
      <c r="C428" s="447" t="s">
        <v>2662</v>
      </c>
      <c r="D428" s="447" t="s">
        <v>2459</v>
      </c>
      <c r="E428" s="448" t="s">
        <v>2458</v>
      </c>
      <c r="F428" s="423" t="str">
        <f t="shared" si="3"/>
        <v>quest_event_osh1_charaget01</v>
      </c>
      <c r="G428" s="71" t="s">
        <v>2700</v>
      </c>
      <c r="H428" s="125" t="s">
        <v>2530</v>
      </c>
      <c r="I428" s="449" t="str">
        <f t="shared" si="4"/>
        <v>event_osh1_charaget01_00002</v>
      </c>
      <c r="J428" s="450"/>
      <c r="K428" s="451"/>
      <c r="L428" s="71"/>
      <c r="M428" s="452"/>
      <c r="N428" s="452"/>
      <c r="O428" s="71"/>
      <c r="P428" s="453"/>
      <c r="Q428" s="453"/>
      <c r="R428" s="56"/>
    </row>
    <row r="429">
      <c r="A429" s="71" t="s">
        <v>2698</v>
      </c>
      <c r="B429" s="446" t="str">
        <f t="array" ref="B429">iferror(INDEX('作品'!D:D,MATCH(left(A429,3),'作品'!A:A,0),0),"error")</f>
        <v>【推しの子】</v>
      </c>
      <c r="C429" s="447" t="s">
        <v>2662</v>
      </c>
      <c r="D429" s="447" t="s">
        <v>2459</v>
      </c>
      <c r="E429" s="448" t="s">
        <v>2458</v>
      </c>
      <c r="F429" s="423" t="str">
        <f t="shared" si="3"/>
        <v>quest_event_osh1_charaget01</v>
      </c>
      <c r="G429" s="71" t="s">
        <v>2700</v>
      </c>
      <c r="H429" s="125" t="s">
        <v>2531</v>
      </c>
      <c r="I429" s="449" t="str">
        <f t="shared" si="4"/>
        <v>event_osh1_charaget01_00003</v>
      </c>
      <c r="J429" s="450"/>
      <c r="K429" s="451"/>
      <c r="L429" s="71"/>
      <c r="M429" s="452"/>
      <c r="N429" s="452"/>
      <c r="O429" s="71"/>
      <c r="P429" s="453"/>
      <c r="Q429" s="453"/>
      <c r="R429" s="56"/>
    </row>
    <row r="430">
      <c r="A430" s="71" t="s">
        <v>2698</v>
      </c>
      <c r="B430" s="446" t="str">
        <f t="array" ref="B430">iferror(INDEX('作品'!D:D,MATCH(left(A430,3),'作品'!A:A,0),0),"error")</f>
        <v>【推しの子】</v>
      </c>
      <c r="C430" s="142" t="s">
        <v>2668</v>
      </c>
      <c r="D430" s="447" t="s">
        <v>2459</v>
      </c>
      <c r="E430" s="448" t="s">
        <v>2458</v>
      </c>
      <c r="F430" s="423" t="str">
        <f t="shared" si="3"/>
        <v>quest_event_osh1_challenge01</v>
      </c>
      <c r="G430" s="71" t="s">
        <v>2701</v>
      </c>
      <c r="H430" s="125" t="s">
        <v>2529</v>
      </c>
      <c r="I430" s="449" t="str">
        <f t="shared" si="4"/>
        <v>event_osh1_challenge01_00001</v>
      </c>
      <c r="J430" s="450"/>
      <c r="K430" s="451"/>
      <c r="L430" s="71"/>
      <c r="M430" s="452"/>
      <c r="N430" s="452"/>
      <c r="O430" s="71"/>
      <c r="P430" s="453"/>
      <c r="Q430" s="453"/>
      <c r="R430" s="56"/>
    </row>
    <row r="431">
      <c r="A431" s="71" t="s">
        <v>2698</v>
      </c>
      <c r="B431" s="446" t="str">
        <f t="array" ref="B431">iferror(INDEX('作品'!D:D,MATCH(left(A431,3),'作品'!A:A,0),0),"error")</f>
        <v>【推しの子】</v>
      </c>
      <c r="C431" s="142" t="s">
        <v>2668</v>
      </c>
      <c r="D431" s="447" t="s">
        <v>2459</v>
      </c>
      <c r="E431" s="448" t="s">
        <v>2458</v>
      </c>
      <c r="F431" s="423" t="str">
        <f t="shared" si="3"/>
        <v>quest_event_osh1_challenge01</v>
      </c>
      <c r="G431" s="71" t="s">
        <v>2701</v>
      </c>
      <c r="H431" s="125" t="s">
        <v>2530</v>
      </c>
      <c r="I431" s="449" t="str">
        <f t="shared" si="4"/>
        <v>event_osh1_challenge01_00002</v>
      </c>
      <c r="J431" s="450"/>
      <c r="K431" s="451"/>
      <c r="L431" s="71"/>
      <c r="M431" s="452"/>
      <c r="N431" s="452"/>
      <c r="O431" s="71"/>
      <c r="P431" s="453"/>
      <c r="Q431" s="453"/>
      <c r="R431" s="56"/>
    </row>
    <row r="432">
      <c r="A432" s="71" t="s">
        <v>2698</v>
      </c>
      <c r="B432" s="446" t="str">
        <f t="array" ref="B432">iferror(INDEX('作品'!D:D,MATCH(left(A432,3),'作品'!A:A,0),0),"error")</f>
        <v>【推しの子】</v>
      </c>
      <c r="C432" s="142" t="s">
        <v>2668</v>
      </c>
      <c r="D432" s="447" t="s">
        <v>2459</v>
      </c>
      <c r="E432" s="448" t="s">
        <v>2458</v>
      </c>
      <c r="F432" s="423" t="str">
        <f t="shared" si="3"/>
        <v>quest_event_osh1_challenge01</v>
      </c>
      <c r="G432" s="71" t="s">
        <v>2701</v>
      </c>
      <c r="H432" s="125" t="s">
        <v>2531</v>
      </c>
      <c r="I432" s="449" t="str">
        <f t="shared" si="4"/>
        <v>event_osh1_challenge01_00003</v>
      </c>
      <c r="J432" s="450"/>
      <c r="K432" s="451"/>
      <c r="L432" s="71"/>
      <c r="M432" s="452"/>
      <c r="N432" s="452"/>
      <c r="O432" s="71"/>
      <c r="P432" s="453"/>
      <c r="Q432" s="453"/>
      <c r="R432" s="56"/>
    </row>
    <row r="433">
      <c r="A433" s="71" t="s">
        <v>2698</v>
      </c>
      <c r="B433" s="446" t="str">
        <f t="array" ref="B433">iferror(INDEX('作品'!D:D,MATCH(left(A433,3),'作品'!A:A,0),0),"error")</f>
        <v>【推しの子】</v>
      </c>
      <c r="C433" s="142" t="s">
        <v>2668</v>
      </c>
      <c r="D433" s="447" t="s">
        <v>2459</v>
      </c>
      <c r="E433" s="448" t="s">
        <v>2458</v>
      </c>
      <c r="F433" s="423" t="str">
        <f t="shared" si="3"/>
        <v>quest_event_osh1_challenge01</v>
      </c>
      <c r="G433" s="71" t="s">
        <v>2701</v>
      </c>
      <c r="H433" s="125" t="s">
        <v>2532</v>
      </c>
      <c r="I433" s="449" t="str">
        <f t="shared" si="4"/>
        <v>event_osh1_challenge01_00004</v>
      </c>
      <c r="J433" s="450"/>
      <c r="K433" s="451"/>
      <c r="L433" s="71"/>
      <c r="M433" s="452"/>
      <c r="N433" s="452"/>
      <c r="O433" s="71"/>
      <c r="P433" s="453"/>
      <c r="Q433" s="453"/>
      <c r="R433" s="56"/>
    </row>
    <row r="434">
      <c r="A434" s="71" t="s">
        <v>2698</v>
      </c>
      <c r="B434" s="446" t="str">
        <f t="array" ref="B434">iferror(INDEX('作品'!D:D,MATCH(left(A434,3),'作品'!A:A,0),0),"error")</f>
        <v>【推しの子】</v>
      </c>
      <c r="C434" s="447" t="s">
        <v>2666</v>
      </c>
      <c r="D434" s="447" t="s">
        <v>2459</v>
      </c>
      <c r="E434" s="448" t="s">
        <v>2458</v>
      </c>
      <c r="F434" s="423" t="str">
        <f t="shared" si="3"/>
        <v>quest_event_osh1_charaget02</v>
      </c>
      <c r="G434" s="71" t="s">
        <v>2702</v>
      </c>
      <c r="H434" s="125" t="s">
        <v>2529</v>
      </c>
      <c r="I434" s="449" t="str">
        <f t="shared" si="4"/>
        <v>event_osh1_charaget02_00001</v>
      </c>
      <c r="J434" s="450"/>
      <c r="K434" s="451"/>
      <c r="L434" s="71"/>
      <c r="M434" s="452"/>
      <c r="N434" s="452"/>
      <c r="O434" s="71"/>
      <c r="P434" s="453"/>
      <c r="Q434" s="453"/>
      <c r="R434" s="56"/>
    </row>
    <row r="435">
      <c r="A435" s="71" t="s">
        <v>2698</v>
      </c>
      <c r="B435" s="446" t="str">
        <f t="array" ref="B435">iferror(INDEX('作品'!D:D,MATCH(left(A435,3),'作品'!A:A,0),0),"error")</f>
        <v>【推しの子】</v>
      </c>
      <c r="C435" s="447" t="s">
        <v>2666</v>
      </c>
      <c r="D435" s="447" t="s">
        <v>2459</v>
      </c>
      <c r="E435" s="448" t="s">
        <v>2458</v>
      </c>
      <c r="F435" s="423" t="str">
        <f t="shared" si="3"/>
        <v>quest_event_osh1_charaget02</v>
      </c>
      <c r="G435" s="71" t="s">
        <v>2702</v>
      </c>
      <c r="H435" s="125" t="s">
        <v>2530</v>
      </c>
      <c r="I435" s="449" t="str">
        <f t="shared" si="4"/>
        <v>event_osh1_charaget02_00002</v>
      </c>
      <c r="J435" s="450"/>
      <c r="K435" s="451"/>
      <c r="L435" s="71"/>
      <c r="M435" s="452"/>
      <c r="N435" s="452"/>
      <c r="O435" s="71"/>
      <c r="P435" s="453"/>
      <c r="Q435" s="453"/>
      <c r="R435" s="56"/>
    </row>
    <row r="436">
      <c r="A436" s="71" t="s">
        <v>2698</v>
      </c>
      <c r="B436" s="446" t="str">
        <f t="array" ref="B436">iferror(INDEX('作品'!D:D,MATCH(left(A436,3),'作品'!A:A,0),0),"error")</f>
        <v>【推しの子】</v>
      </c>
      <c r="C436" s="447" t="s">
        <v>2666</v>
      </c>
      <c r="D436" s="447" t="s">
        <v>2459</v>
      </c>
      <c r="E436" s="448" t="s">
        <v>2458</v>
      </c>
      <c r="F436" s="423" t="str">
        <f t="shared" si="3"/>
        <v>quest_event_osh1_charaget02</v>
      </c>
      <c r="G436" s="71" t="s">
        <v>2702</v>
      </c>
      <c r="H436" s="125" t="s">
        <v>2531</v>
      </c>
      <c r="I436" s="449" t="str">
        <f t="shared" si="4"/>
        <v>event_osh1_charaget02_00003</v>
      </c>
      <c r="J436" s="450"/>
      <c r="K436" s="451"/>
      <c r="L436" s="71"/>
      <c r="M436" s="452"/>
      <c r="N436" s="452"/>
      <c r="O436" s="71"/>
      <c r="P436" s="453"/>
      <c r="Q436" s="453"/>
      <c r="R436" s="56"/>
    </row>
    <row r="437">
      <c r="A437" s="71" t="s">
        <v>2698</v>
      </c>
      <c r="B437" s="446" t="str">
        <f t="array" ref="B437">iferror(INDEX('作品'!D:D,MATCH(left(A437,3),'作品'!A:A,0),0),"error")</f>
        <v>【推しの子】</v>
      </c>
      <c r="C437" s="447" t="s">
        <v>2666</v>
      </c>
      <c r="D437" s="447" t="s">
        <v>2459</v>
      </c>
      <c r="E437" s="448" t="s">
        <v>2458</v>
      </c>
      <c r="F437" s="423" t="str">
        <f t="shared" si="3"/>
        <v>quest_event_osh1_charaget02</v>
      </c>
      <c r="G437" s="71" t="s">
        <v>2702</v>
      </c>
      <c r="H437" s="125" t="s">
        <v>2532</v>
      </c>
      <c r="I437" s="449" t="str">
        <f t="shared" si="4"/>
        <v>event_osh1_charaget02_00004</v>
      </c>
      <c r="J437" s="450"/>
      <c r="K437" s="451"/>
      <c r="L437" s="71"/>
      <c r="M437" s="452"/>
      <c r="N437" s="452"/>
      <c r="O437" s="71"/>
      <c r="P437" s="453"/>
      <c r="Q437" s="453"/>
      <c r="R437" s="56"/>
    </row>
    <row r="438">
      <c r="A438" s="71" t="s">
        <v>2698</v>
      </c>
      <c r="B438" s="446" t="str">
        <f t="array" ref="B438">iferror(INDEX('作品'!D:D,MATCH(left(A438,3),'作品'!A:A,0),0),"error")</f>
        <v>【推しの子】</v>
      </c>
      <c r="C438" s="447" t="s">
        <v>2464</v>
      </c>
      <c r="D438" s="447" t="s">
        <v>2459</v>
      </c>
      <c r="E438" s="448" t="s">
        <v>2458</v>
      </c>
      <c r="F438" s="423" t="str">
        <f t="shared" si="3"/>
        <v>quest_event_osh1_savage</v>
      </c>
      <c r="G438" s="71" t="s">
        <v>2703</v>
      </c>
      <c r="H438" s="125" t="s">
        <v>2529</v>
      </c>
      <c r="I438" s="431" t="str">
        <f t="shared" si="4"/>
        <v>event_osh1_savage_00001</v>
      </c>
      <c r="J438" s="450"/>
      <c r="K438" s="451"/>
      <c r="L438" s="71"/>
      <c r="M438" s="452"/>
      <c r="N438" s="452"/>
      <c r="O438" s="71"/>
      <c r="P438" s="453"/>
      <c r="Q438" s="453"/>
      <c r="R438" s="56"/>
    </row>
    <row r="439">
      <c r="A439" s="71" t="s">
        <v>2698</v>
      </c>
      <c r="B439" s="446" t="str">
        <f t="array" ref="B439">iferror(INDEX('作品'!D:D,MATCH(left(A439,3),'作品'!A:A,0),0),"error")</f>
        <v>【推しの子】</v>
      </c>
      <c r="C439" s="447" t="s">
        <v>2464</v>
      </c>
      <c r="D439" s="447" t="s">
        <v>2459</v>
      </c>
      <c r="E439" s="448" t="s">
        <v>2458</v>
      </c>
      <c r="F439" s="423" t="str">
        <f t="shared" si="3"/>
        <v>quest_event_osh1_savage</v>
      </c>
      <c r="G439" s="71" t="s">
        <v>2703</v>
      </c>
      <c r="H439" s="125" t="s">
        <v>2530</v>
      </c>
      <c r="I439" s="431" t="str">
        <f t="shared" si="4"/>
        <v>event_osh1_savage_00002</v>
      </c>
      <c r="J439" s="450"/>
      <c r="K439" s="451"/>
      <c r="L439" s="71"/>
      <c r="M439" s="452"/>
      <c r="N439" s="452"/>
      <c r="O439" s="71"/>
      <c r="P439" s="453"/>
      <c r="Q439" s="453"/>
      <c r="R439" s="56"/>
    </row>
    <row r="440">
      <c r="A440" s="468" t="s">
        <v>2698</v>
      </c>
      <c r="B440" s="435" t="str">
        <f t="array" ref="B440">iferror(INDEX('作品'!D:D,MATCH(left(A440,3),'作品'!A:A,0),0),"error")</f>
        <v>【推しの子】</v>
      </c>
      <c r="C440" s="469" t="s">
        <v>2464</v>
      </c>
      <c r="D440" s="469" t="s">
        <v>2459</v>
      </c>
      <c r="E440" s="467" t="s">
        <v>2458</v>
      </c>
      <c r="F440" s="438" t="str">
        <f t="shared" si="3"/>
        <v>quest_event_osh1_savage</v>
      </c>
      <c r="G440" s="468" t="s">
        <v>2703</v>
      </c>
      <c r="H440" s="439" t="s">
        <v>2531</v>
      </c>
      <c r="I440" s="440" t="str">
        <f t="shared" si="4"/>
        <v>event_osh1_savage_00003</v>
      </c>
      <c r="J440" s="470"/>
      <c r="K440" s="471"/>
      <c r="L440" s="468"/>
      <c r="M440" s="472"/>
      <c r="N440" s="472"/>
      <c r="O440" s="468"/>
      <c r="P440" s="473"/>
      <c r="Q440" s="473"/>
      <c r="R440" s="445"/>
    </row>
    <row r="441">
      <c r="A441" s="474" t="s">
        <v>2537</v>
      </c>
      <c r="B441" s="475" t="str">
        <f t="array" ref="B441">iferror(INDEX('作品'!D:D,MATCH(left(A441,3),'作品'!A:A,0),0),"error")</f>
        <v>GLOW</v>
      </c>
      <c r="C441" s="476" t="s">
        <v>2449</v>
      </c>
      <c r="D441" s="476" t="s">
        <v>2459</v>
      </c>
      <c r="E441" s="477" t="s">
        <v>2458</v>
      </c>
      <c r="F441" s="478" t="str">
        <f t="shared" si="3"/>
        <v>quest_event_glo1_1day</v>
      </c>
      <c r="G441" s="474" t="s">
        <v>2704</v>
      </c>
      <c r="H441" s="479" t="s">
        <v>2530</v>
      </c>
      <c r="I441" s="480" t="str">
        <f t="shared" si="4"/>
        <v>event_glo1_1day_00002</v>
      </c>
      <c r="J441" s="481"/>
      <c r="K441" s="482"/>
      <c r="L441" s="474"/>
      <c r="M441" s="483"/>
      <c r="N441" s="483"/>
      <c r="O441" s="474"/>
      <c r="P441" s="484"/>
      <c r="Q441" s="484"/>
      <c r="R441" s="485"/>
    </row>
    <row r="442">
      <c r="A442" s="71" t="s">
        <v>2705</v>
      </c>
      <c r="B442" s="446" t="str">
        <f t="array" ref="B442">iferror(INDEX('作品'!D:D,MATCH(left(A442,3),'作品'!A:A,0),0),"error")</f>
        <v>地獄楽</v>
      </c>
      <c r="C442" s="447" t="s">
        <v>2449</v>
      </c>
      <c r="D442" s="447" t="s">
        <v>2459</v>
      </c>
      <c r="E442" s="448" t="s">
        <v>2458</v>
      </c>
      <c r="F442" s="423" t="str">
        <f t="shared" si="3"/>
        <v>quest_event_jig1_1day</v>
      </c>
      <c r="G442" s="71" t="s">
        <v>2706</v>
      </c>
      <c r="H442" s="125" t="s">
        <v>2529</v>
      </c>
      <c r="I442" s="449" t="str">
        <f t="shared" si="4"/>
        <v>event_jig1_1day_00001</v>
      </c>
      <c r="J442" s="450"/>
      <c r="K442" s="451"/>
      <c r="L442" s="71"/>
      <c r="M442" s="452"/>
      <c r="N442" s="452"/>
      <c r="O442" s="71"/>
      <c r="P442" s="453"/>
      <c r="Q442" s="453"/>
      <c r="R442" s="56"/>
    </row>
    <row r="443">
      <c r="A443" s="71" t="s">
        <v>2705</v>
      </c>
      <c r="B443" s="90" t="str">
        <f t="array" ref="B443">iferror(INDEX('作品'!D:D,MATCH(left(A443,3),'作品'!A:A,0),0),"error")</f>
        <v>地獄楽</v>
      </c>
      <c r="C443" s="142" t="s">
        <v>2662</v>
      </c>
      <c r="D443" s="142" t="s">
        <v>2459</v>
      </c>
      <c r="E443" s="448" t="s">
        <v>2458</v>
      </c>
      <c r="F443" s="423" t="str">
        <f t="shared" si="3"/>
        <v>quest_event_jig1_charaget01</v>
      </c>
      <c r="G443" s="45" t="s">
        <v>549</v>
      </c>
      <c r="H443" s="125" t="s">
        <v>2529</v>
      </c>
      <c r="I443" s="431" t="str">
        <f t="shared" si="4"/>
        <v>event_jig1_charaget01_00001</v>
      </c>
      <c r="J443" s="432"/>
      <c r="K443" s="433"/>
      <c r="L443" s="45"/>
      <c r="M443" s="115"/>
      <c r="N443" s="115"/>
      <c r="O443" s="45"/>
      <c r="P443" s="210"/>
      <c r="Q443" s="210"/>
      <c r="R443" s="56"/>
    </row>
    <row r="444">
      <c r="A444" s="71" t="s">
        <v>2705</v>
      </c>
      <c r="B444" s="90" t="str">
        <f t="array" ref="B444">iferror(INDEX('作品'!D:D,MATCH(left(A444,3),'作品'!A:A,0),0),"error")</f>
        <v>地獄楽</v>
      </c>
      <c r="C444" s="142" t="s">
        <v>2662</v>
      </c>
      <c r="D444" s="142" t="s">
        <v>2459</v>
      </c>
      <c r="E444" s="448" t="s">
        <v>2458</v>
      </c>
      <c r="F444" s="423" t="str">
        <f t="shared" si="3"/>
        <v>quest_event_jig1_charaget01</v>
      </c>
      <c r="G444" s="45" t="s">
        <v>549</v>
      </c>
      <c r="H444" s="125" t="s">
        <v>2530</v>
      </c>
      <c r="I444" s="431" t="str">
        <f t="shared" si="4"/>
        <v>event_jig1_charaget01_00002</v>
      </c>
      <c r="J444" s="432"/>
      <c r="K444" s="433"/>
      <c r="L444" s="45"/>
      <c r="M444" s="115"/>
      <c r="N444" s="115"/>
      <c r="O444" s="45"/>
      <c r="P444" s="210"/>
      <c r="Q444" s="210"/>
      <c r="R444" s="56"/>
    </row>
    <row r="445">
      <c r="A445" s="71" t="s">
        <v>2705</v>
      </c>
      <c r="B445" s="90" t="str">
        <f t="array" ref="B445">iferror(INDEX('作品'!D:D,MATCH(left(A445,3),'作品'!A:A,0),0),"error")</f>
        <v>地獄楽</v>
      </c>
      <c r="C445" s="142" t="s">
        <v>2662</v>
      </c>
      <c r="D445" s="142" t="s">
        <v>2459</v>
      </c>
      <c r="E445" s="448" t="s">
        <v>2458</v>
      </c>
      <c r="F445" s="423" t="str">
        <f t="shared" si="3"/>
        <v>quest_event_jig1_charaget01</v>
      </c>
      <c r="G445" s="45" t="s">
        <v>549</v>
      </c>
      <c r="H445" s="125" t="s">
        <v>2531</v>
      </c>
      <c r="I445" s="431" t="str">
        <f t="shared" si="4"/>
        <v>event_jig1_charaget01_00003</v>
      </c>
      <c r="J445" s="432"/>
      <c r="K445" s="433"/>
      <c r="L445" s="45"/>
      <c r="M445" s="115"/>
      <c r="N445" s="115"/>
      <c r="O445" s="45"/>
      <c r="P445" s="210"/>
      <c r="Q445" s="210"/>
      <c r="R445" s="56"/>
    </row>
    <row r="446">
      <c r="A446" s="71" t="s">
        <v>2705</v>
      </c>
      <c r="B446" s="90" t="str">
        <f t="array" ref="B446">iferror(INDEX('作品'!D:D,MATCH(left(A446,3),'作品'!A:A,0),0),"error")</f>
        <v>地獄楽</v>
      </c>
      <c r="C446" s="142" t="s">
        <v>2662</v>
      </c>
      <c r="D446" s="142" t="s">
        <v>2459</v>
      </c>
      <c r="E446" s="448" t="s">
        <v>2458</v>
      </c>
      <c r="F446" s="423" t="str">
        <f t="shared" si="3"/>
        <v>quest_event_jig1_charaget01</v>
      </c>
      <c r="G446" s="45" t="s">
        <v>549</v>
      </c>
      <c r="H446" s="125" t="s">
        <v>2532</v>
      </c>
      <c r="I446" s="431" t="str">
        <f t="shared" si="4"/>
        <v>event_jig1_charaget01_00004</v>
      </c>
      <c r="J446" s="432"/>
      <c r="K446" s="433"/>
      <c r="L446" s="45"/>
      <c r="M446" s="115"/>
      <c r="N446" s="115"/>
      <c r="O446" s="45"/>
      <c r="P446" s="210"/>
      <c r="Q446" s="210"/>
      <c r="R446" s="56"/>
    </row>
    <row r="447">
      <c r="A447" s="71" t="s">
        <v>2705</v>
      </c>
      <c r="B447" s="90" t="str">
        <f t="array" ref="B447">iferror(INDEX('作品'!D:D,MATCH(left(A447,3),'作品'!A:A,0),0),"error")</f>
        <v>地獄楽</v>
      </c>
      <c r="C447" s="142" t="s">
        <v>2662</v>
      </c>
      <c r="D447" s="142" t="s">
        <v>2459</v>
      </c>
      <c r="E447" s="448" t="s">
        <v>2458</v>
      </c>
      <c r="F447" s="423" t="str">
        <f t="shared" si="3"/>
        <v>quest_event_jig1_charaget01</v>
      </c>
      <c r="G447" s="45" t="s">
        <v>549</v>
      </c>
      <c r="H447" s="125" t="s">
        <v>2533</v>
      </c>
      <c r="I447" s="431" t="str">
        <f t="shared" si="4"/>
        <v>event_jig1_charaget01_00005</v>
      </c>
      <c r="J447" s="432"/>
      <c r="K447" s="433"/>
      <c r="L447" s="45"/>
      <c r="M447" s="115"/>
      <c r="N447" s="115"/>
      <c r="O447" s="45"/>
      <c r="P447" s="210"/>
      <c r="Q447" s="210"/>
      <c r="R447" s="56"/>
    </row>
    <row r="448">
      <c r="A448" s="71" t="s">
        <v>2705</v>
      </c>
      <c r="B448" s="90" t="str">
        <f t="array" ref="B448">iferror(INDEX('作品'!D:D,MATCH(left(A448,3),'作品'!A:A,0),0),"error")</f>
        <v>地獄楽</v>
      </c>
      <c r="C448" s="142" t="s">
        <v>2662</v>
      </c>
      <c r="D448" s="142" t="s">
        <v>2459</v>
      </c>
      <c r="E448" s="448" t="s">
        <v>2458</v>
      </c>
      <c r="F448" s="423" t="str">
        <f t="shared" si="3"/>
        <v>quest_event_jig1_charaget01</v>
      </c>
      <c r="G448" s="45" t="s">
        <v>549</v>
      </c>
      <c r="H448" s="125" t="s">
        <v>2534</v>
      </c>
      <c r="I448" s="431" t="str">
        <f t="shared" si="4"/>
        <v>event_jig1_charaget01_00006</v>
      </c>
      <c r="J448" s="432"/>
      <c r="K448" s="433"/>
      <c r="L448" s="45"/>
      <c r="M448" s="115"/>
      <c r="N448" s="115"/>
      <c r="O448" s="45"/>
      <c r="P448" s="210"/>
      <c r="Q448" s="210"/>
      <c r="R448" s="56"/>
    </row>
    <row r="449">
      <c r="A449" s="71" t="s">
        <v>2705</v>
      </c>
      <c r="B449" s="90" t="str">
        <f t="array" ref="B449">iferror(INDEX('作品'!D:D,MATCH(left(A449,3),'作品'!A:A,0),0),"error")</f>
        <v>地獄楽</v>
      </c>
      <c r="C449" s="142" t="s">
        <v>2662</v>
      </c>
      <c r="D449" s="142" t="s">
        <v>2459</v>
      </c>
      <c r="E449" s="448" t="s">
        <v>2458</v>
      </c>
      <c r="F449" s="423" t="str">
        <f t="shared" si="3"/>
        <v>quest_event_jig1_charaget01</v>
      </c>
      <c r="G449" s="45" t="s">
        <v>549</v>
      </c>
      <c r="H449" s="125" t="s">
        <v>2664</v>
      </c>
      <c r="I449" s="431" t="str">
        <f t="shared" si="4"/>
        <v>event_jig1_charaget01_00007</v>
      </c>
      <c r="J449" s="432"/>
      <c r="K449" s="433"/>
      <c r="L449" s="45"/>
      <c r="M449" s="115"/>
      <c r="N449" s="115"/>
      <c r="O449" s="45"/>
      <c r="P449" s="210"/>
      <c r="Q449" s="210"/>
      <c r="R449" s="56"/>
    </row>
    <row r="450">
      <c r="A450" s="71" t="s">
        <v>2705</v>
      </c>
      <c r="B450" s="90" t="str">
        <f t="array" ref="B450">iferror(INDEX('作品'!D:D,MATCH(left(A450,3),'作品'!A:A,0),0),"error")</f>
        <v>地獄楽</v>
      </c>
      <c r="C450" s="142" t="s">
        <v>2662</v>
      </c>
      <c r="D450" s="142" t="s">
        <v>2459</v>
      </c>
      <c r="E450" s="448" t="s">
        <v>2458</v>
      </c>
      <c r="F450" s="423" t="str">
        <f t="shared" si="3"/>
        <v>quest_event_jig1_charaget01</v>
      </c>
      <c r="G450" s="45" t="s">
        <v>549</v>
      </c>
      <c r="H450" s="125" t="s">
        <v>2665</v>
      </c>
      <c r="I450" s="431" t="str">
        <f t="shared" si="4"/>
        <v>event_jig1_charaget01_00008</v>
      </c>
      <c r="J450" s="432"/>
      <c r="K450" s="433"/>
      <c r="L450" s="45"/>
      <c r="M450" s="115"/>
      <c r="N450" s="115"/>
      <c r="O450" s="45"/>
      <c r="P450" s="210"/>
      <c r="Q450" s="210"/>
      <c r="R450" s="56"/>
    </row>
    <row r="451">
      <c r="A451" s="71" t="s">
        <v>2705</v>
      </c>
      <c r="B451" s="90" t="str">
        <f t="array" ref="B451">iferror(INDEX('作品'!D:D,MATCH(left(A451,3),'作品'!A:A,0),0),"error")</f>
        <v>地獄楽</v>
      </c>
      <c r="C451" s="142" t="s">
        <v>2666</v>
      </c>
      <c r="D451" s="142" t="s">
        <v>2459</v>
      </c>
      <c r="E451" s="448" t="s">
        <v>2458</v>
      </c>
      <c r="F451" s="423" t="str">
        <f t="shared" si="3"/>
        <v>quest_event_jig1_charaget02</v>
      </c>
      <c r="G451" s="45" t="s">
        <v>2707</v>
      </c>
      <c r="H451" s="125" t="s">
        <v>2529</v>
      </c>
      <c r="I451" s="431" t="str">
        <f t="shared" si="4"/>
        <v>event_jig1_charaget02_00001</v>
      </c>
      <c r="J451" s="432"/>
      <c r="K451" s="433"/>
      <c r="L451" s="45"/>
      <c r="M451" s="115"/>
      <c r="N451" s="115"/>
      <c r="O451" s="45"/>
      <c r="P451" s="210"/>
      <c r="Q451" s="210"/>
      <c r="R451" s="56"/>
    </row>
    <row r="452">
      <c r="A452" s="71" t="s">
        <v>2705</v>
      </c>
      <c r="B452" s="90" t="str">
        <f t="array" ref="B452">iferror(INDEX('作品'!D:D,MATCH(left(A452,3),'作品'!A:A,0),0),"error")</f>
        <v>地獄楽</v>
      </c>
      <c r="C452" s="142" t="s">
        <v>2666</v>
      </c>
      <c r="D452" s="142" t="s">
        <v>2459</v>
      </c>
      <c r="E452" s="448" t="s">
        <v>2458</v>
      </c>
      <c r="F452" s="423" t="str">
        <f t="shared" si="3"/>
        <v>quest_event_jig1_charaget02</v>
      </c>
      <c r="G452" s="45" t="s">
        <v>2707</v>
      </c>
      <c r="H452" s="125" t="s">
        <v>2530</v>
      </c>
      <c r="I452" s="431" t="str">
        <f t="shared" si="4"/>
        <v>event_jig1_charaget02_00002</v>
      </c>
      <c r="J452" s="432"/>
      <c r="K452" s="433"/>
      <c r="L452" s="45"/>
      <c r="M452" s="115"/>
      <c r="N452" s="115"/>
      <c r="O452" s="45"/>
      <c r="P452" s="210"/>
      <c r="Q452" s="210"/>
      <c r="R452" s="56"/>
    </row>
    <row r="453">
      <c r="A453" s="71" t="s">
        <v>2705</v>
      </c>
      <c r="B453" s="90" t="str">
        <f t="array" ref="B453">iferror(INDEX('作品'!D:D,MATCH(left(A453,3),'作品'!A:A,0),0),"error")</f>
        <v>地獄楽</v>
      </c>
      <c r="C453" s="142" t="s">
        <v>2666</v>
      </c>
      <c r="D453" s="142" t="s">
        <v>2459</v>
      </c>
      <c r="E453" s="448" t="s">
        <v>2458</v>
      </c>
      <c r="F453" s="423" t="str">
        <f t="shared" si="3"/>
        <v>quest_event_jig1_charaget02</v>
      </c>
      <c r="G453" s="45" t="s">
        <v>2707</v>
      </c>
      <c r="H453" s="125" t="s">
        <v>2531</v>
      </c>
      <c r="I453" s="431" t="str">
        <f t="shared" si="4"/>
        <v>event_jig1_charaget02_00003</v>
      </c>
      <c r="J453" s="432"/>
      <c r="K453" s="433"/>
      <c r="L453" s="45"/>
      <c r="M453" s="115"/>
      <c r="N453" s="115"/>
      <c r="O453" s="45"/>
      <c r="P453" s="210"/>
      <c r="Q453" s="210"/>
      <c r="R453" s="56"/>
    </row>
    <row r="454">
      <c r="A454" s="71" t="s">
        <v>2705</v>
      </c>
      <c r="B454" s="90" t="str">
        <f t="array" ref="B454">iferror(INDEX('作品'!D:D,MATCH(left(A454,3),'作品'!A:A,0),0),"error")</f>
        <v>地獄楽</v>
      </c>
      <c r="C454" s="142" t="s">
        <v>2666</v>
      </c>
      <c r="D454" s="142" t="s">
        <v>2459</v>
      </c>
      <c r="E454" s="448" t="s">
        <v>2458</v>
      </c>
      <c r="F454" s="423" t="str">
        <f t="shared" si="3"/>
        <v>quest_event_jig1_charaget02</v>
      </c>
      <c r="G454" s="45" t="s">
        <v>2707</v>
      </c>
      <c r="H454" s="125" t="s">
        <v>2532</v>
      </c>
      <c r="I454" s="431" t="str">
        <f t="shared" si="4"/>
        <v>event_jig1_charaget02_00004</v>
      </c>
      <c r="J454" s="432"/>
      <c r="K454" s="433"/>
      <c r="L454" s="45"/>
      <c r="M454" s="115"/>
      <c r="N454" s="115"/>
      <c r="O454" s="45"/>
      <c r="P454" s="210"/>
      <c r="Q454" s="210"/>
      <c r="R454" s="56"/>
    </row>
    <row r="455">
      <c r="A455" s="71" t="s">
        <v>2705</v>
      </c>
      <c r="B455" s="90" t="str">
        <f t="array" ref="B455">iferror(INDEX('作品'!D:D,MATCH(left(A455,3),'作品'!A:A,0),0),"error")</f>
        <v>地獄楽</v>
      </c>
      <c r="C455" s="142" t="s">
        <v>2666</v>
      </c>
      <c r="D455" s="142" t="s">
        <v>2459</v>
      </c>
      <c r="E455" s="448" t="s">
        <v>2458</v>
      </c>
      <c r="F455" s="423" t="str">
        <f t="shared" si="3"/>
        <v>quest_event_jig1_charaget02</v>
      </c>
      <c r="G455" s="45" t="s">
        <v>2707</v>
      </c>
      <c r="H455" s="125" t="s">
        <v>2533</v>
      </c>
      <c r="I455" s="431" t="str">
        <f t="shared" si="4"/>
        <v>event_jig1_charaget02_00005</v>
      </c>
      <c r="J455" s="432"/>
      <c r="K455" s="433"/>
      <c r="L455" s="45"/>
      <c r="M455" s="115"/>
      <c r="N455" s="115"/>
      <c r="O455" s="45"/>
      <c r="P455" s="210"/>
      <c r="Q455" s="210"/>
      <c r="R455" s="56"/>
    </row>
    <row r="456">
      <c r="A456" s="71" t="s">
        <v>2705</v>
      </c>
      <c r="B456" s="90" t="str">
        <f t="array" ref="B456">iferror(INDEX('作品'!D:D,MATCH(left(A456,3),'作品'!A:A,0),0),"error")</f>
        <v>地獄楽</v>
      </c>
      <c r="C456" s="142" t="s">
        <v>2666</v>
      </c>
      <c r="D456" s="142" t="s">
        <v>2459</v>
      </c>
      <c r="E456" s="448" t="s">
        <v>2458</v>
      </c>
      <c r="F456" s="423" t="str">
        <f t="shared" si="3"/>
        <v>quest_event_jig1_charaget02</v>
      </c>
      <c r="G456" s="45" t="s">
        <v>2707</v>
      </c>
      <c r="H456" s="125" t="s">
        <v>2534</v>
      </c>
      <c r="I456" s="431" t="str">
        <f t="shared" si="4"/>
        <v>event_jig1_charaget02_00006</v>
      </c>
      <c r="J456" s="432"/>
      <c r="K456" s="433"/>
      <c r="L456" s="45"/>
      <c r="M456" s="115"/>
      <c r="N456" s="115"/>
      <c r="O456" s="45"/>
      <c r="P456" s="210"/>
      <c r="Q456" s="210"/>
      <c r="R456" s="56"/>
    </row>
    <row r="457">
      <c r="A457" s="71" t="s">
        <v>2705</v>
      </c>
      <c r="B457" s="90" t="str">
        <f t="array" ref="B457">iferror(INDEX('作品'!D:D,MATCH(left(A457,3),'作品'!A:A,0),0),"error")</f>
        <v>地獄楽</v>
      </c>
      <c r="C457" s="142" t="s">
        <v>2666</v>
      </c>
      <c r="D457" s="142" t="s">
        <v>2459</v>
      </c>
      <c r="E457" s="448" t="s">
        <v>2458</v>
      </c>
      <c r="F457" s="423" t="str">
        <f t="shared" si="3"/>
        <v>quest_event_jig1_charaget02</v>
      </c>
      <c r="G457" s="45" t="s">
        <v>2707</v>
      </c>
      <c r="H457" s="125" t="s">
        <v>2664</v>
      </c>
      <c r="I457" s="431" t="str">
        <f t="shared" si="4"/>
        <v>event_jig1_charaget02_00007</v>
      </c>
      <c r="J457" s="432"/>
      <c r="K457" s="433"/>
      <c r="L457" s="45"/>
      <c r="M457" s="115"/>
      <c r="N457" s="115"/>
      <c r="O457" s="45"/>
      <c r="P457" s="210"/>
      <c r="Q457" s="210"/>
      <c r="R457" s="56"/>
    </row>
    <row r="458">
      <c r="A458" s="71" t="s">
        <v>2705</v>
      </c>
      <c r="B458" s="90" t="str">
        <f t="array" ref="B458">iferror(INDEX('作品'!D:D,MATCH(left(A458,3),'作品'!A:A,0),0),"error")</f>
        <v>地獄楽</v>
      </c>
      <c r="C458" s="142" t="s">
        <v>2666</v>
      </c>
      <c r="D458" s="142" t="s">
        <v>2459</v>
      </c>
      <c r="E458" s="448" t="s">
        <v>2458</v>
      </c>
      <c r="F458" s="423" t="str">
        <f t="shared" si="3"/>
        <v>quest_event_jig1_charaget02</v>
      </c>
      <c r="G458" s="45" t="s">
        <v>2707</v>
      </c>
      <c r="H458" s="125" t="s">
        <v>2665</v>
      </c>
      <c r="I458" s="431" t="str">
        <f t="shared" si="4"/>
        <v>event_jig1_charaget02_00008</v>
      </c>
      <c r="J458" s="432"/>
      <c r="K458" s="433"/>
      <c r="L458" s="45"/>
      <c r="M458" s="115"/>
      <c r="N458" s="115"/>
      <c r="O458" s="45"/>
      <c r="P458" s="210"/>
      <c r="Q458" s="210"/>
      <c r="R458" s="56"/>
    </row>
    <row r="459">
      <c r="A459" s="71" t="s">
        <v>2705</v>
      </c>
      <c r="B459" s="90" t="str">
        <f t="array" ref="B459">iferror(INDEX('作品'!D:D,MATCH(left(A459,3),'作品'!A:A,0),0),"error")</f>
        <v>地獄楽</v>
      </c>
      <c r="C459" s="142" t="s">
        <v>2668</v>
      </c>
      <c r="D459" s="142" t="s">
        <v>2459</v>
      </c>
      <c r="E459" s="448" t="s">
        <v>2458</v>
      </c>
      <c r="F459" s="423" t="str">
        <f t="shared" si="3"/>
        <v>quest_event_jig1_challenge01</v>
      </c>
      <c r="G459" s="45" t="s">
        <v>2708</v>
      </c>
      <c r="H459" s="125" t="s">
        <v>2529</v>
      </c>
      <c r="I459" s="431" t="str">
        <f t="shared" si="4"/>
        <v>event_jig1_challenge01_00001</v>
      </c>
      <c r="J459" s="432"/>
      <c r="K459" s="433"/>
      <c r="L459" s="45"/>
      <c r="M459" s="115"/>
      <c r="N459" s="115"/>
      <c r="O459" s="45"/>
      <c r="P459" s="210"/>
      <c r="Q459" s="210"/>
      <c r="R459" s="56"/>
    </row>
    <row r="460">
      <c r="A460" s="71" t="s">
        <v>2705</v>
      </c>
      <c r="B460" s="90" t="str">
        <f t="array" ref="B460">iferror(INDEX('作品'!D:D,MATCH(left(A460,3),'作品'!A:A,0),0),"error")</f>
        <v>地獄楽</v>
      </c>
      <c r="C460" s="142" t="s">
        <v>2668</v>
      </c>
      <c r="D460" s="142" t="s">
        <v>2459</v>
      </c>
      <c r="E460" s="448" t="s">
        <v>2458</v>
      </c>
      <c r="F460" s="423" t="str">
        <f t="shared" si="3"/>
        <v>quest_event_jig1_challenge01</v>
      </c>
      <c r="G460" s="45" t="s">
        <v>2708</v>
      </c>
      <c r="H460" s="125" t="s">
        <v>2530</v>
      </c>
      <c r="I460" s="431" t="str">
        <f t="shared" si="4"/>
        <v>event_jig1_challenge01_00002</v>
      </c>
      <c r="J460" s="432"/>
      <c r="K460" s="433"/>
      <c r="L460" s="45"/>
      <c r="M460" s="115"/>
      <c r="N460" s="115"/>
      <c r="O460" s="45"/>
      <c r="P460" s="210"/>
      <c r="Q460" s="210"/>
      <c r="R460" s="56"/>
    </row>
    <row r="461">
      <c r="A461" s="71" t="s">
        <v>2705</v>
      </c>
      <c r="B461" s="90" t="str">
        <f t="array" ref="B461">iferror(INDEX('作品'!D:D,MATCH(left(A461,3),'作品'!A:A,0),0),"error")</f>
        <v>地獄楽</v>
      </c>
      <c r="C461" s="142" t="s">
        <v>2668</v>
      </c>
      <c r="D461" s="142" t="s">
        <v>2459</v>
      </c>
      <c r="E461" s="448" t="s">
        <v>2458</v>
      </c>
      <c r="F461" s="423" t="str">
        <f t="shared" si="3"/>
        <v>quest_event_jig1_challenge01</v>
      </c>
      <c r="G461" s="45" t="s">
        <v>2708</v>
      </c>
      <c r="H461" s="125" t="s">
        <v>2531</v>
      </c>
      <c r="I461" s="431" t="str">
        <f t="shared" si="4"/>
        <v>event_jig1_challenge01_00003</v>
      </c>
      <c r="J461" s="432"/>
      <c r="K461" s="433"/>
      <c r="L461" s="45"/>
      <c r="M461" s="115"/>
      <c r="N461" s="115"/>
      <c r="O461" s="45"/>
      <c r="P461" s="210"/>
      <c r="Q461" s="210"/>
      <c r="R461" s="56"/>
    </row>
    <row r="462">
      <c r="A462" s="71" t="s">
        <v>2705</v>
      </c>
      <c r="B462" s="90" t="str">
        <f t="array" ref="B462">iferror(INDEX('作品'!D:D,MATCH(left(A462,3),'作品'!A:A,0),0),"error")</f>
        <v>地獄楽</v>
      </c>
      <c r="C462" s="142" t="s">
        <v>2668</v>
      </c>
      <c r="D462" s="142" t="s">
        <v>2459</v>
      </c>
      <c r="E462" s="448" t="s">
        <v>2458</v>
      </c>
      <c r="F462" s="423" t="str">
        <f t="shared" si="3"/>
        <v>quest_event_jig1_challenge01</v>
      </c>
      <c r="G462" s="45" t="s">
        <v>2708</v>
      </c>
      <c r="H462" s="125" t="s">
        <v>2532</v>
      </c>
      <c r="I462" s="431" t="str">
        <f t="shared" si="4"/>
        <v>event_jig1_challenge01_00004</v>
      </c>
      <c r="J462" s="432"/>
      <c r="K462" s="433"/>
      <c r="L462" s="45"/>
      <c r="M462" s="115"/>
      <c r="N462" s="115"/>
      <c r="O462" s="45"/>
      <c r="P462" s="210"/>
      <c r="Q462" s="210"/>
      <c r="R462" s="56"/>
    </row>
    <row r="463">
      <c r="A463" s="71" t="s">
        <v>2705</v>
      </c>
      <c r="B463" s="90" t="str">
        <f t="array" ref="B463">iferror(INDEX('作品'!D:D,MATCH(left(A463,3),'作品'!A:A,0),0),"error")</f>
        <v>地獄楽</v>
      </c>
      <c r="C463" s="142" t="s">
        <v>2464</v>
      </c>
      <c r="D463" s="142" t="s">
        <v>2459</v>
      </c>
      <c r="E463" s="448" t="s">
        <v>2458</v>
      </c>
      <c r="F463" s="423" t="str">
        <f t="shared" si="3"/>
        <v>quest_event_jig1_savage</v>
      </c>
      <c r="G463" s="45" t="s">
        <v>2709</v>
      </c>
      <c r="H463" s="125" t="s">
        <v>2529</v>
      </c>
      <c r="I463" s="431" t="str">
        <f t="shared" si="4"/>
        <v>event_jig1_savage_00001</v>
      </c>
      <c r="J463" s="432"/>
      <c r="K463" s="433"/>
      <c r="L463" s="45"/>
      <c r="M463" s="115"/>
      <c r="N463" s="115"/>
      <c r="O463" s="45"/>
      <c r="P463" s="210"/>
      <c r="Q463" s="210"/>
      <c r="R463" s="56"/>
    </row>
    <row r="464">
      <c r="A464" s="71" t="s">
        <v>2705</v>
      </c>
      <c r="B464" s="90" t="str">
        <f t="array" ref="B464">iferror(INDEX('作品'!D:D,MATCH(left(A464,3),'作品'!A:A,0),0),"error")</f>
        <v>地獄楽</v>
      </c>
      <c r="C464" s="142" t="s">
        <v>2464</v>
      </c>
      <c r="D464" s="142" t="s">
        <v>2459</v>
      </c>
      <c r="E464" s="448" t="s">
        <v>2458</v>
      </c>
      <c r="F464" s="423" t="str">
        <f t="shared" si="3"/>
        <v>quest_event_jig1_savage</v>
      </c>
      <c r="G464" s="45" t="s">
        <v>2709</v>
      </c>
      <c r="H464" s="125" t="s">
        <v>2530</v>
      </c>
      <c r="I464" s="431" t="str">
        <f t="shared" si="4"/>
        <v>event_jig1_savage_00002</v>
      </c>
      <c r="J464" s="432"/>
      <c r="K464" s="433"/>
      <c r="L464" s="45"/>
      <c r="M464" s="115"/>
      <c r="N464" s="115"/>
      <c r="O464" s="45"/>
      <c r="P464" s="210"/>
      <c r="Q464" s="210"/>
      <c r="R464" s="56"/>
    </row>
    <row r="465">
      <c r="A465" s="71" t="s">
        <v>2705</v>
      </c>
      <c r="B465" s="90" t="str">
        <f t="array" ref="B465">iferror(INDEX('作品'!D:D,MATCH(left(A465,3),'作品'!A:A,0),0),"error")</f>
        <v>地獄楽</v>
      </c>
      <c r="C465" s="142" t="s">
        <v>2464</v>
      </c>
      <c r="D465" s="142" t="s">
        <v>2459</v>
      </c>
      <c r="E465" s="448" t="s">
        <v>2458</v>
      </c>
      <c r="F465" s="423" t="str">
        <f t="shared" si="3"/>
        <v>quest_event_jig1_savage</v>
      </c>
      <c r="G465" s="45" t="s">
        <v>2709</v>
      </c>
      <c r="H465" s="125" t="s">
        <v>2531</v>
      </c>
      <c r="I465" s="431" t="str">
        <f t="shared" si="4"/>
        <v>event_jig1_savage_00003</v>
      </c>
      <c r="J465" s="432"/>
      <c r="K465" s="433"/>
      <c r="L465" s="45"/>
      <c r="M465" s="115"/>
      <c r="N465" s="115"/>
      <c r="O465" s="45"/>
      <c r="P465" s="210"/>
      <c r="Q465" s="210"/>
      <c r="R465" s="56"/>
    </row>
    <row r="466">
      <c r="A466" s="71" t="s">
        <v>2710</v>
      </c>
      <c r="B466" s="446" t="str">
        <f t="array" ref="B466">iferror(INDEX('作品'!D:D,MATCH(left(A466,3),'作品'!A:A,0),0),"error")</f>
        <v>幼稚園WARS</v>
      </c>
      <c r="C466" s="447" t="s">
        <v>2449</v>
      </c>
      <c r="D466" s="447" t="s">
        <v>2459</v>
      </c>
      <c r="E466" s="448" t="s">
        <v>2458</v>
      </c>
      <c r="F466" s="423" t="str">
        <f t="shared" si="3"/>
        <v>quest_event_you1_1day</v>
      </c>
      <c r="G466" s="71" t="s">
        <v>2711</v>
      </c>
      <c r="H466" s="125" t="s">
        <v>2529</v>
      </c>
      <c r="I466" s="449" t="str">
        <f t="shared" si="4"/>
        <v>event_you1_1day_00001</v>
      </c>
      <c r="J466" s="450"/>
      <c r="K466" s="451"/>
      <c r="L466" s="71"/>
      <c r="M466" s="452"/>
      <c r="N466" s="452"/>
      <c r="O466" s="71"/>
      <c r="P466" s="453"/>
      <c r="Q466" s="453"/>
      <c r="R466" s="56"/>
    </row>
    <row r="467">
      <c r="A467" s="71" t="s">
        <v>2710</v>
      </c>
      <c r="B467" s="446" t="str">
        <f t="array" ref="B467">iferror(INDEX('作品'!D:D,MATCH(left(A467,3),'作品'!A:A,0),0),"error")</f>
        <v>幼稚園WARS</v>
      </c>
      <c r="C467" s="142" t="s">
        <v>2662</v>
      </c>
      <c r="D467" s="447" t="s">
        <v>2459</v>
      </c>
      <c r="E467" s="448" t="s">
        <v>2458</v>
      </c>
      <c r="F467" s="423" t="str">
        <f t="shared" si="3"/>
        <v>quest_event_you1_charaget01</v>
      </c>
      <c r="G467" s="71" t="s">
        <v>2712</v>
      </c>
      <c r="H467" s="125" t="s">
        <v>2529</v>
      </c>
      <c r="I467" s="449" t="str">
        <f t="shared" si="4"/>
        <v>event_you1_charaget01_00001</v>
      </c>
      <c r="J467" s="450"/>
      <c r="K467" s="451"/>
      <c r="L467" s="71"/>
      <c r="M467" s="452"/>
      <c r="N467" s="452"/>
      <c r="O467" s="71"/>
      <c r="P467" s="486">
        <v>2.0260201E8</v>
      </c>
      <c r="Q467" s="453"/>
      <c r="R467" s="56"/>
    </row>
    <row r="468">
      <c r="A468" s="71" t="s">
        <v>2710</v>
      </c>
      <c r="B468" s="446" t="str">
        <f t="array" ref="B468">iferror(INDEX('作品'!D:D,MATCH(left(A468,3),'作品'!A:A,0),0),"error")</f>
        <v>幼稚園WARS</v>
      </c>
      <c r="C468" s="142" t="s">
        <v>2662</v>
      </c>
      <c r="D468" s="447" t="s">
        <v>2459</v>
      </c>
      <c r="E468" s="448" t="s">
        <v>2458</v>
      </c>
      <c r="F468" s="423" t="str">
        <f t="shared" si="3"/>
        <v>quest_event_you1_charaget01</v>
      </c>
      <c r="G468" s="71" t="s">
        <v>2712</v>
      </c>
      <c r="H468" s="125" t="s">
        <v>2530</v>
      </c>
      <c r="I468" s="449" t="str">
        <f t="shared" si="4"/>
        <v>event_you1_charaget01_00002</v>
      </c>
      <c r="J468" s="450"/>
      <c r="K468" s="451"/>
      <c r="L468" s="71"/>
      <c r="M468" s="452"/>
      <c r="N468" s="452"/>
      <c r="O468" s="71"/>
      <c r="P468" s="486">
        <v>2.0260201E8</v>
      </c>
      <c r="Q468" s="453"/>
      <c r="R468" s="56"/>
    </row>
    <row r="469">
      <c r="A469" s="71" t="s">
        <v>2710</v>
      </c>
      <c r="B469" s="446" t="str">
        <f t="array" ref="B469">iferror(INDEX('作品'!D:D,MATCH(left(A469,3),'作品'!A:A,0),0),"error")</f>
        <v>幼稚園WARS</v>
      </c>
      <c r="C469" s="142" t="s">
        <v>2662</v>
      </c>
      <c r="D469" s="447" t="s">
        <v>2459</v>
      </c>
      <c r="E469" s="448" t="s">
        <v>2458</v>
      </c>
      <c r="F469" s="423" t="str">
        <f t="shared" si="3"/>
        <v>quest_event_you1_charaget01</v>
      </c>
      <c r="G469" s="71" t="s">
        <v>2712</v>
      </c>
      <c r="H469" s="125" t="s">
        <v>2531</v>
      </c>
      <c r="I469" s="449" t="str">
        <f t="shared" si="4"/>
        <v>event_you1_charaget01_00003</v>
      </c>
      <c r="J469" s="450"/>
      <c r="K469" s="451"/>
      <c r="L469" s="71"/>
      <c r="M469" s="452"/>
      <c r="N469" s="452"/>
      <c r="O469" s="71"/>
      <c r="P469" s="486">
        <v>2.0260201E8</v>
      </c>
      <c r="Q469" s="453"/>
      <c r="R469" s="56"/>
    </row>
    <row r="470">
      <c r="A470" s="71" t="s">
        <v>2710</v>
      </c>
      <c r="B470" s="446" t="str">
        <f t="array" ref="B470">iferror(INDEX('作品'!D:D,MATCH(left(A470,3),'作品'!A:A,0),0),"error")</f>
        <v>幼稚園WARS</v>
      </c>
      <c r="C470" s="142" t="s">
        <v>2662</v>
      </c>
      <c r="D470" s="447" t="s">
        <v>2459</v>
      </c>
      <c r="E470" s="448" t="s">
        <v>2458</v>
      </c>
      <c r="F470" s="423" t="str">
        <f t="shared" si="3"/>
        <v>quest_event_you1_charaget01</v>
      </c>
      <c r="G470" s="71" t="s">
        <v>2712</v>
      </c>
      <c r="H470" s="125" t="s">
        <v>2532</v>
      </c>
      <c r="I470" s="449" t="str">
        <f t="shared" si="4"/>
        <v>event_you1_charaget01_00004</v>
      </c>
      <c r="J470" s="450"/>
      <c r="K470" s="451"/>
      <c r="L470" s="71"/>
      <c r="M470" s="452"/>
      <c r="N470" s="452"/>
      <c r="O470" s="71"/>
      <c r="P470" s="486">
        <v>2.0260201E8</v>
      </c>
      <c r="Q470" s="453"/>
      <c r="R470" s="56"/>
    </row>
    <row r="471">
      <c r="A471" s="71" t="s">
        <v>2710</v>
      </c>
      <c r="B471" s="446" t="str">
        <f t="array" ref="B471">iferror(INDEX('作品'!D:D,MATCH(left(A471,3),'作品'!A:A,0),0),"error")</f>
        <v>幼稚園WARS</v>
      </c>
      <c r="C471" s="142" t="s">
        <v>2662</v>
      </c>
      <c r="D471" s="447" t="s">
        <v>2459</v>
      </c>
      <c r="E471" s="448" t="s">
        <v>2458</v>
      </c>
      <c r="F471" s="423" t="str">
        <f t="shared" si="3"/>
        <v>quest_event_you1_charaget01</v>
      </c>
      <c r="G471" s="71" t="s">
        <v>2712</v>
      </c>
      <c r="H471" s="125" t="s">
        <v>2533</v>
      </c>
      <c r="I471" s="449" t="str">
        <f t="shared" si="4"/>
        <v>event_you1_charaget01_00005</v>
      </c>
      <c r="J471" s="450"/>
      <c r="K471" s="451"/>
      <c r="L471" s="71"/>
      <c r="M471" s="452"/>
      <c r="N471" s="452"/>
      <c r="O471" s="71"/>
      <c r="P471" s="486">
        <v>2.0260201E8</v>
      </c>
      <c r="Q471" s="453"/>
      <c r="R471" s="56"/>
    </row>
    <row r="472">
      <c r="A472" s="71" t="s">
        <v>2710</v>
      </c>
      <c r="B472" s="446" t="str">
        <f t="array" ref="B472">iferror(INDEX('作品'!D:D,MATCH(left(A472,3),'作品'!A:A,0),0),"error")</f>
        <v>幼稚園WARS</v>
      </c>
      <c r="C472" s="142" t="s">
        <v>2662</v>
      </c>
      <c r="D472" s="447" t="s">
        <v>2459</v>
      </c>
      <c r="E472" s="448" t="s">
        <v>2458</v>
      </c>
      <c r="F472" s="423" t="str">
        <f t="shared" si="3"/>
        <v>quest_event_you1_charaget01</v>
      </c>
      <c r="G472" s="71" t="s">
        <v>2712</v>
      </c>
      <c r="H472" s="125" t="s">
        <v>2534</v>
      </c>
      <c r="I472" s="449" t="str">
        <f t="shared" si="4"/>
        <v>event_you1_charaget01_00006</v>
      </c>
      <c r="J472" s="450"/>
      <c r="K472" s="451"/>
      <c r="L472" s="71"/>
      <c r="M472" s="452"/>
      <c r="N472" s="452"/>
      <c r="O472" s="71"/>
      <c r="P472" s="486">
        <v>2.0260201E8</v>
      </c>
      <c r="Q472" s="453"/>
      <c r="R472" s="56"/>
    </row>
    <row r="473">
      <c r="A473" s="71" t="s">
        <v>2710</v>
      </c>
      <c r="B473" s="446" t="str">
        <f t="array" ref="B473">iferror(INDEX('作品'!D:D,MATCH(left(A473,3),'作品'!A:A,0),0),"error")</f>
        <v>幼稚園WARS</v>
      </c>
      <c r="C473" s="142" t="s">
        <v>2666</v>
      </c>
      <c r="D473" s="447" t="s">
        <v>2459</v>
      </c>
      <c r="E473" s="448" t="s">
        <v>2458</v>
      </c>
      <c r="F473" s="423" t="str">
        <f t="shared" si="3"/>
        <v>quest_event_you1_charaget02</v>
      </c>
      <c r="G473" s="71" t="s">
        <v>2713</v>
      </c>
      <c r="H473" s="125" t="s">
        <v>2529</v>
      </c>
      <c r="I473" s="449" t="str">
        <f t="shared" si="4"/>
        <v>event_you1_charaget02_00001</v>
      </c>
      <c r="J473" s="450"/>
      <c r="K473" s="451"/>
      <c r="L473" s="71"/>
      <c r="M473" s="452"/>
      <c r="N473" s="452"/>
      <c r="O473" s="71"/>
      <c r="P473" s="486">
        <v>2.0260201E8</v>
      </c>
      <c r="Q473" s="453"/>
      <c r="R473" s="56"/>
    </row>
    <row r="474">
      <c r="A474" s="71" t="s">
        <v>2710</v>
      </c>
      <c r="B474" s="446" t="str">
        <f t="array" ref="B474">iferror(INDEX('作品'!D:D,MATCH(left(A474,3),'作品'!A:A,0),0),"error")</f>
        <v>幼稚園WARS</v>
      </c>
      <c r="C474" s="142" t="s">
        <v>2666</v>
      </c>
      <c r="D474" s="447" t="s">
        <v>2459</v>
      </c>
      <c r="E474" s="448" t="s">
        <v>2458</v>
      </c>
      <c r="F474" s="423" t="str">
        <f t="shared" si="3"/>
        <v>quest_event_you1_charaget02</v>
      </c>
      <c r="G474" s="71" t="s">
        <v>2713</v>
      </c>
      <c r="H474" s="125" t="s">
        <v>2530</v>
      </c>
      <c r="I474" s="449" t="str">
        <f t="shared" si="4"/>
        <v>event_you1_charaget02_00002</v>
      </c>
      <c r="J474" s="450"/>
      <c r="K474" s="451"/>
      <c r="L474" s="71"/>
      <c r="M474" s="452"/>
      <c r="N474" s="452"/>
      <c r="O474" s="71"/>
      <c r="P474" s="486">
        <v>2.0260201E8</v>
      </c>
      <c r="Q474" s="453"/>
      <c r="R474" s="56"/>
    </row>
    <row r="475">
      <c r="A475" s="71" t="s">
        <v>2710</v>
      </c>
      <c r="B475" s="446" t="str">
        <f t="array" ref="B475">iferror(INDEX('作品'!D:D,MATCH(left(A475,3),'作品'!A:A,0),0),"error")</f>
        <v>幼稚園WARS</v>
      </c>
      <c r="C475" s="142" t="s">
        <v>2666</v>
      </c>
      <c r="D475" s="447" t="s">
        <v>2459</v>
      </c>
      <c r="E475" s="448" t="s">
        <v>2458</v>
      </c>
      <c r="F475" s="423" t="str">
        <f t="shared" si="3"/>
        <v>quest_event_you1_charaget02</v>
      </c>
      <c r="G475" s="71" t="s">
        <v>2713</v>
      </c>
      <c r="H475" s="125" t="s">
        <v>2531</v>
      </c>
      <c r="I475" s="449" t="str">
        <f t="shared" si="4"/>
        <v>event_you1_charaget02_00003</v>
      </c>
      <c r="J475" s="450"/>
      <c r="K475" s="451"/>
      <c r="L475" s="71"/>
      <c r="M475" s="452"/>
      <c r="N475" s="452"/>
      <c r="O475" s="71"/>
      <c r="P475" s="486">
        <v>2.0260201E8</v>
      </c>
      <c r="Q475" s="453"/>
      <c r="R475" s="56"/>
    </row>
    <row r="476">
      <c r="A476" s="71" t="s">
        <v>2710</v>
      </c>
      <c r="B476" s="446" t="str">
        <f t="array" ref="B476">iferror(INDEX('作品'!D:D,MATCH(left(A476,3),'作品'!A:A,0),0),"error")</f>
        <v>幼稚園WARS</v>
      </c>
      <c r="C476" s="142" t="s">
        <v>2666</v>
      </c>
      <c r="D476" s="447" t="s">
        <v>2459</v>
      </c>
      <c r="E476" s="448" t="s">
        <v>2458</v>
      </c>
      <c r="F476" s="423" t="str">
        <f t="shared" si="3"/>
        <v>quest_event_you1_charaget02</v>
      </c>
      <c r="G476" s="71" t="s">
        <v>2713</v>
      </c>
      <c r="H476" s="125" t="s">
        <v>2532</v>
      </c>
      <c r="I476" s="449" t="str">
        <f t="shared" si="4"/>
        <v>event_you1_charaget02_00004</v>
      </c>
      <c r="J476" s="450"/>
      <c r="K476" s="451"/>
      <c r="L476" s="71"/>
      <c r="M476" s="452"/>
      <c r="N476" s="452"/>
      <c r="O476" s="71"/>
      <c r="P476" s="486">
        <v>2.0260201E8</v>
      </c>
      <c r="Q476" s="453"/>
      <c r="R476" s="56"/>
    </row>
    <row r="477">
      <c r="A477" s="71" t="s">
        <v>2710</v>
      </c>
      <c r="B477" s="446" t="str">
        <f t="array" ref="B477">iferror(INDEX('作品'!D:D,MATCH(left(A477,3),'作品'!A:A,0),0),"error")</f>
        <v>幼稚園WARS</v>
      </c>
      <c r="C477" s="142" t="s">
        <v>2666</v>
      </c>
      <c r="D477" s="447" t="s">
        <v>2459</v>
      </c>
      <c r="E477" s="448" t="s">
        <v>2458</v>
      </c>
      <c r="F477" s="423" t="str">
        <f t="shared" si="3"/>
        <v>quest_event_you1_charaget02</v>
      </c>
      <c r="G477" s="71" t="s">
        <v>2713</v>
      </c>
      <c r="H477" s="125" t="s">
        <v>2533</v>
      </c>
      <c r="I477" s="449" t="str">
        <f t="shared" si="4"/>
        <v>event_you1_charaget02_00005</v>
      </c>
      <c r="J477" s="450"/>
      <c r="K477" s="451"/>
      <c r="L477" s="71"/>
      <c r="M477" s="452"/>
      <c r="N477" s="452"/>
      <c r="O477" s="71"/>
      <c r="P477" s="486">
        <v>2.0260201E8</v>
      </c>
      <c r="Q477" s="453"/>
      <c r="R477" s="56"/>
    </row>
    <row r="478">
      <c r="A478" s="71" t="s">
        <v>2710</v>
      </c>
      <c r="B478" s="446" t="str">
        <f t="array" ref="B478">iferror(INDEX('作品'!D:D,MATCH(left(A478,3),'作品'!A:A,0),0),"error")</f>
        <v>幼稚園WARS</v>
      </c>
      <c r="C478" s="142" t="s">
        <v>2666</v>
      </c>
      <c r="D478" s="447" t="s">
        <v>2459</v>
      </c>
      <c r="E478" s="448" t="s">
        <v>2458</v>
      </c>
      <c r="F478" s="423" t="str">
        <f t="shared" si="3"/>
        <v>quest_event_you1_charaget02</v>
      </c>
      <c r="G478" s="71" t="s">
        <v>2713</v>
      </c>
      <c r="H478" s="125" t="s">
        <v>2534</v>
      </c>
      <c r="I478" s="449" t="str">
        <f t="shared" si="4"/>
        <v>event_you1_charaget02_00006</v>
      </c>
      <c r="J478" s="450"/>
      <c r="K478" s="451"/>
      <c r="L478" s="71"/>
      <c r="M478" s="452"/>
      <c r="N478" s="452"/>
      <c r="O478" s="71"/>
      <c r="P478" s="486">
        <v>2.0260201E8</v>
      </c>
      <c r="Q478" s="453"/>
      <c r="R478" s="56"/>
    </row>
    <row r="479">
      <c r="A479" s="71" t="s">
        <v>2710</v>
      </c>
      <c r="B479" s="446" t="str">
        <f t="array" ref="B479">iferror(INDEX('作品'!D:D,MATCH(left(A479,3),'作品'!A:A,0),0),"error")</f>
        <v>幼稚園WARS</v>
      </c>
      <c r="C479" s="142" t="s">
        <v>2668</v>
      </c>
      <c r="D479" s="447" t="s">
        <v>2459</v>
      </c>
      <c r="E479" s="448" t="s">
        <v>2458</v>
      </c>
      <c r="F479" s="423" t="str">
        <f t="shared" si="3"/>
        <v>quest_event_you1_challenge01</v>
      </c>
      <c r="G479" s="71" t="s">
        <v>2714</v>
      </c>
      <c r="H479" s="125" t="s">
        <v>2529</v>
      </c>
      <c r="I479" s="449" t="str">
        <f t="shared" si="4"/>
        <v>event_you1_challenge01_00001</v>
      </c>
      <c r="J479" s="450"/>
      <c r="K479" s="451"/>
      <c r="L479" s="71"/>
      <c r="M479" s="452"/>
      <c r="N479" s="452"/>
      <c r="O479" s="71"/>
      <c r="P479" s="486">
        <v>2.0260201E8</v>
      </c>
      <c r="Q479" s="453"/>
      <c r="R479" s="56"/>
    </row>
    <row r="480">
      <c r="A480" s="71" t="s">
        <v>2710</v>
      </c>
      <c r="B480" s="446" t="str">
        <f t="array" ref="B480">iferror(INDEX('作品'!D:D,MATCH(left(A480,3),'作品'!A:A,0),0),"error")</f>
        <v>幼稚園WARS</v>
      </c>
      <c r="C480" s="142" t="s">
        <v>2668</v>
      </c>
      <c r="D480" s="447" t="s">
        <v>2459</v>
      </c>
      <c r="E480" s="448" t="s">
        <v>2458</v>
      </c>
      <c r="F480" s="423" t="str">
        <f t="shared" si="3"/>
        <v>quest_event_you1_challenge01</v>
      </c>
      <c r="G480" s="71" t="s">
        <v>2714</v>
      </c>
      <c r="H480" s="125" t="s">
        <v>2530</v>
      </c>
      <c r="I480" s="449" t="str">
        <f t="shared" si="4"/>
        <v>event_you1_challenge01_00002</v>
      </c>
      <c r="J480" s="450"/>
      <c r="K480" s="451"/>
      <c r="L480" s="71"/>
      <c r="M480" s="452"/>
      <c r="N480" s="452"/>
      <c r="O480" s="71"/>
      <c r="P480" s="486">
        <v>2.0260201E8</v>
      </c>
      <c r="Q480" s="453"/>
      <c r="R480" s="56"/>
    </row>
    <row r="481">
      <c r="A481" s="71" t="s">
        <v>2710</v>
      </c>
      <c r="B481" s="446" t="str">
        <f t="array" ref="B481">iferror(INDEX('作品'!D:D,MATCH(left(A481,3),'作品'!A:A,0),0),"error")</f>
        <v>幼稚園WARS</v>
      </c>
      <c r="C481" s="142" t="s">
        <v>2668</v>
      </c>
      <c r="D481" s="447" t="s">
        <v>2459</v>
      </c>
      <c r="E481" s="448" t="s">
        <v>2458</v>
      </c>
      <c r="F481" s="423" t="str">
        <f t="shared" si="3"/>
        <v>quest_event_you1_challenge01</v>
      </c>
      <c r="G481" s="71" t="s">
        <v>2714</v>
      </c>
      <c r="H481" s="125" t="s">
        <v>2531</v>
      </c>
      <c r="I481" s="449" t="str">
        <f t="shared" si="4"/>
        <v>event_you1_challenge01_00003</v>
      </c>
      <c r="J481" s="450"/>
      <c r="K481" s="451"/>
      <c r="L481" s="71"/>
      <c r="M481" s="452"/>
      <c r="N481" s="452"/>
      <c r="O481" s="71"/>
      <c r="P481" s="486">
        <v>2.0260201E8</v>
      </c>
      <c r="Q481" s="453"/>
      <c r="R481" s="56"/>
    </row>
    <row r="482">
      <c r="A482" s="71" t="s">
        <v>2710</v>
      </c>
      <c r="B482" s="446" t="str">
        <f t="array" ref="B482">iferror(INDEX('作品'!D:D,MATCH(left(A482,3),'作品'!A:A,0),0),"error")</f>
        <v>幼稚園WARS</v>
      </c>
      <c r="C482" s="142" t="s">
        <v>2668</v>
      </c>
      <c r="D482" s="447" t="s">
        <v>2459</v>
      </c>
      <c r="E482" s="448" t="s">
        <v>2458</v>
      </c>
      <c r="F482" s="423" t="str">
        <f t="shared" si="3"/>
        <v>quest_event_you1_challenge01</v>
      </c>
      <c r="G482" s="71" t="s">
        <v>2714</v>
      </c>
      <c r="H482" s="125" t="s">
        <v>2532</v>
      </c>
      <c r="I482" s="449" t="str">
        <f t="shared" si="4"/>
        <v>event_you1_challenge01_00004</v>
      </c>
      <c r="J482" s="450"/>
      <c r="K482" s="451"/>
      <c r="L482" s="71"/>
      <c r="M482" s="452"/>
      <c r="N482" s="452"/>
      <c r="O482" s="71"/>
      <c r="P482" s="486">
        <v>2.0260201E8</v>
      </c>
      <c r="Q482" s="453"/>
      <c r="R482" s="56"/>
    </row>
    <row r="483">
      <c r="A483" s="71" t="s">
        <v>2710</v>
      </c>
      <c r="B483" s="446" t="str">
        <f t="array" ref="B483">iferror(INDEX('作品'!D:D,MATCH(left(A483,3),'作品'!A:A,0),0),"error")</f>
        <v>幼稚園WARS</v>
      </c>
      <c r="C483" s="142" t="s">
        <v>2464</v>
      </c>
      <c r="D483" s="447" t="s">
        <v>2459</v>
      </c>
      <c r="E483" s="448" t="s">
        <v>2458</v>
      </c>
      <c r="F483" s="423" t="str">
        <f t="shared" si="3"/>
        <v>quest_event_you1_savage</v>
      </c>
      <c r="G483" s="71" t="s">
        <v>2715</v>
      </c>
      <c r="H483" s="125" t="s">
        <v>2529</v>
      </c>
      <c r="I483" s="449" t="str">
        <f t="shared" si="4"/>
        <v>event_you1_savage_00001</v>
      </c>
      <c r="J483" s="450"/>
      <c r="K483" s="451"/>
      <c r="L483" s="71"/>
      <c r="M483" s="452"/>
      <c r="N483" s="452"/>
      <c r="O483" s="71"/>
      <c r="P483" s="486">
        <v>2.0260201E8</v>
      </c>
      <c r="Q483" s="453"/>
      <c r="R483" s="56"/>
    </row>
    <row r="484">
      <c r="A484" s="71" t="s">
        <v>2710</v>
      </c>
      <c r="B484" s="446" t="str">
        <f t="array" ref="B484">iferror(INDEX('作品'!D:D,MATCH(left(A484,3),'作品'!A:A,0),0),"error")</f>
        <v>幼稚園WARS</v>
      </c>
      <c r="C484" s="142" t="s">
        <v>2464</v>
      </c>
      <c r="D484" s="447" t="s">
        <v>2459</v>
      </c>
      <c r="E484" s="448" t="s">
        <v>2458</v>
      </c>
      <c r="F484" s="423" t="str">
        <f t="shared" si="3"/>
        <v>quest_event_you1_savage</v>
      </c>
      <c r="G484" s="71" t="s">
        <v>2715</v>
      </c>
      <c r="H484" s="125" t="s">
        <v>2530</v>
      </c>
      <c r="I484" s="449" t="str">
        <f t="shared" si="4"/>
        <v>event_you1_savage_00002</v>
      </c>
      <c r="J484" s="450"/>
      <c r="K484" s="451"/>
      <c r="L484" s="71"/>
      <c r="M484" s="452"/>
      <c r="N484" s="452"/>
      <c r="O484" s="71"/>
      <c r="P484" s="486">
        <v>2.0260201E8</v>
      </c>
      <c r="Q484" s="453"/>
      <c r="R484" s="56"/>
    </row>
    <row r="485">
      <c r="A485" s="71" t="s">
        <v>2710</v>
      </c>
      <c r="B485" s="446" t="str">
        <f t="array" ref="B485">iferror(INDEX('作品'!D:D,MATCH(left(A485,3),'作品'!A:A,0),0),"error")</f>
        <v>幼稚園WARS</v>
      </c>
      <c r="C485" s="142" t="s">
        <v>2464</v>
      </c>
      <c r="D485" s="447" t="s">
        <v>2459</v>
      </c>
      <c r="E485" s="448" t="s">
        <v>2458</v>
      </c>
      <c r="F485" s="423" t="str">
        <f t="shared" si="3"/>
        <v>quest_event_you1_savage</v>
      </c>
      <c r="G485" s="71" t="s">
        <v>2715</v>
      </c>
      <c r="H485" s="125" t="s">
        <v>2531</v>
      </c>
      <c r="I485" s="449" t="str">
        <f t="shared" si="4"/>
        <v>event_you1_savage_00003</v>
      </c>
      <c r="J485" s="450"/>
      <c r="K485" s="451"/>
      <c r="L485" s="71"/>
      <c r="M485" s="452"/>
      <c r="N485" s="452"/>
      <c r="O485" s="71"/>
      <c r="P485" s="486">
        <v>2.0260201E8</v>
      </c>
      <c r="Q485" s="453"/>
      <c r="R485" s="56"/>
    </row>
    <row r="486">
      <c r="A486" s="71" t="s">
        <v>2716</v>
      </c>
      <c r="B486" s="446" t="str">
        <f t="array" ref="B486">iferror(INDEX('作品'!D:D,MATCH(left(A486,3),'作品'!A:A,0),0),"error")</f>
        <v>君のことが大大大大大好きな100人の彼女</v>
      </c>
      <c r="C486" s="447" t="s">
        <v>2449</v>
      </c>
      <c r="D486" s="447" t="s">
        <v>2459</v>
      </c>
      <c r="E486" s="448" t="s">
        <v>2458</v>
      </c>
      <c r="F486" s="423" t="str">
        <f t="shared" si="3"/>
        <v>quest_event_kim1_1day</v>
      </c>
      <c r="G486" s="45" t="s">
        <v>2717</v>
      </c>
      <c r="H486" s="125" t="s">
        <v>2529</v>
      </c>
      <c r="I486" s="449" t="str">
        <f t="shared" si="4"/>
        <v>event_kim1_1day_00001</v>
      </c>
      <c r="J486" s="425"/>
      <c r="K486" s="45"/>
      <c r="L486" s="45"/>
      <c r="M486" s="115"/>
      <c r="N486" s="115"/>
      <c r="O486" s="45"/>
      <c r="P486" s="210"/>
      <c r="Q486" s="210"/>
      <c r="R486" s="56"/>
    </row>
    <row r="487">
      <c r="A487" s="71" t="s">
        <v>2716</v>
      </c>
      <c r="B487" s="446" t="str">
        <f t="array" ref="B487">iferror(INDEX('作品'!D:D,MATCH(left(A487,3),'作品'!A:A,0),0),"error")</f>
        <v>君のことが大大大大大好きな100人の彼女</v>
      </c>
      <c r="C487" s="447" t="s">
        <v>2662</v>
      </c>
      <c r="D487" s="447" t="s">
        <v>2459</v>
      </c>
      <c r="E487" s="448" t="s">
        <v>2458</v>
      </c>
      <c r="F487" s="423" t="str">
        <f t="shared" si="3"/>
        <v>quest_event_kim1_charaget01</v>
      </c>
      <c r="G487" s="45" t="s">
        <v>2718</v>
      </c>
      <c r="H487" s="125" t="s">
        <v>2529</v>
      </c>
      <c r="I487" s="449" t="str">
        <f t="shared" si="4"/>
        <v>event_kim1_charaget01_00001</v>
      </c>
      <c r="J487" s="45"/>
      <c r="K487" s="45"/>
      <c r="L487" s="45"/>
      <c r="M487" s="115"/>
      <c r="N487" s="115"/>
      <c r="O487" s="45"/>
      <c r="P487" s="210"/>
      <c r="Q487" s="210"/>
      <c r="R487" s="56"/>
    </row>
    <row r="488">
      <c r="A488" s="71" t="s">
        <v>2716</v>
      </c>
      <c r="B488" s="446" t="str">
        <f t="array" ref="B488">iferror(INDEX('作品'!D:D,MATCH(left(A488,3),'作品'!A:A,0),0),"error")</f>
        <v>君のことが大大大大大好きな100人の彼女</v>
      </c>
      <c r="C488" s="447" t="s">
        <v>2662</v>
      </c>
      <c r="D488" s="447" t="s">
        <v>2459</v>
      </c>
      <c r="E488" s="448" t="s">
        <v>2458</v>
      </c>
      <c r="F488" s="423" t="str">
        <f t="shared" si="3"/>
        <v>quest_event_kim1_charaget01</v>
      </c>
      <c r="G488" s="45" t="s">
        <v>2718</v>
      </c>
      <c r="H488" s="125" t="s">
        <v>2530</v>
      </c>
      <c r="I488" s="449" t="str">
        <f t="shared" si="4"/>
        <v>event_kim1_charaget01_00002</v>
      </c>
      <c r="J488" s="487"/>
      <c r="K488" s="487"/>
      <c r="L488" s="487"/>
      <c r="M488" s="488"/>
      <c r="N488" s="488"/>
      <c r="O488" s="487"/>
      <c r="P488" s="489"/>
      <c r="Q488" s="489"/>
      <c r="R488" s="56"/>
    </row>
    <row r="489">
      <c r="A489" s="71" t="s">
        <v>2716</v>
      </c>
      <c r="B489" s="446" t="str">
        <f t="array" ref="B489">iferror(INDEX('作品'!D:D,MATCH(left(A489,3),'作品'!A:A,0),0),"error")</f>
        <v>君のことが大大大大大好きな100人の彼女</v>
      </c>
      <c r="C489" s="447" t="s">
        <v>2662</v>
      </c>
      <c r="D489" s="447" t="s">
        <v>2459</v>
      </c>
      <c r="E489" s="448" t="s">
        <v>2458</v>
      </c>
      <c r="F489" s="423" t="str">
        <f t="shared" si="3"/>
        <v>quest_event_kim1_charaget01</v>
      </c>
      <c r="G489" s="45" t="s">
        <v>2718</v>
      </c>
      <c r="H489" s="125" t="s">
        <v>2531</v>
      </c>
      <c r="I489" s="449" t="str">
        <f t="shared" si="4"/>
        <v>event_kim1_charaget01_00003</v>
      </c>
      <c r="J489" s="487"/>
      <c r="K489" s="487"/>
      <c r="L489" s="487"/>
      <c r="M489" s="488"/>
      <c r="N489" s="488"/>
      <c r="O489" s="487"/>
      <c r="P489" s="489"/>
      <c r="Q489" s="489"/>
      <c r="R489" s="56"/>
    </row>
    <row r="490">
      <c r="A490" s="71" t="s">
        <v>2716</v>
      </c>
      <c r="B490" s="446" t="str">
        <f t="array" ref="B490">iferror(INDEX('作品'!D:D,MATCH(left(A490,3),'作品'!A:A,0),0),"error")</f>
        <v>君のことが大大大大大好きな100人の彼女</v>
      </c>
      <c r="C490" s="447" t="s">
        <v>2662</v>
      </c>
      <c r="D490" s="447" t="s">
        <v>2459</v>
      </c>
      <c r="E490" s="448" t="s">
        <v>2458</v>
      </c>
      <c r="F490" s="423" t="str">
        <f t="shared" si="3"/>
        <v>quest_event_kim1_charaget01</v>
      </c>
      <c r="G490" s="45" t="s">
        <v>2718</v>
      </c>
      <c r="H490" s="125" t="s">
        <v>2532</v>
      </c>
      <c r="I490" s="449" t="str">
        <f t="shared" si="4"/>
        <v>event_kim1_charaget01_00004</v>
      </c>
      <c r="J490" s="487"/>
      <c r="K490" s="487"/>
      <c r="L490" s="487"/>
      <c r="M490" s="488"/>
      <c r="N490" s="488"/>
      <c r="O490" s="487"/>
      <c r="P490" s="489"/>
      <c r="Q490" s="489"/>
      <c r="R490" s="56"/>
    </row>
    <row r="491">
      <c r="A491" s="71" t="s">
        <v>2716</v>
      </c>
      <c r="B491" s="446" t="str">
        <f t="array" ref="B491">iferror(INDEX('作品'!D:D,MATCH(left(A491,3),'作品'!A:A,0),0),"error")</f>
        <v>君のことが大大大大大好きな100人の彼女</v>
      </c>
      <c r="C491" s="447" t="s">
        <v>2666</v>
      </c>
      <c r="D491" s="447" t="s">
        <v>2459</v>
      </c>
      <c r="E491" s="448" t="s">
        <v>2458</v>
      </c>
      <c r="F491" s="423" t="str">
        <f t="shared" si="3"/>
        <v>quest_event_kim1_charaget02</v>
      </c>
      <c r="G491" s="45" t="s">
        <v>2719</v>
      </c>
      <c r="H491" s="46" t="s">
        <v>2529</v>
      </c>
      <c r="I491" s="449" t="str">
        <f t="shared" si="4"/>
        <v>event_kim1_charaget02_00001</v>
      </c>
      <c r="J491" s="487"/>
      <c r="K491" s="487"/>
      <c r="L491" s="487"/>
      <c r="M491" s="488"/>
      <c r="N491" s="488"/>
      <c r="O491" s="487"/>
      <c r="P491" s="489"/>
      <c r="Q491" s="489"/>
      <c r="R491" s="56"/>
    </row>
    <row r="492">
      <c r="A492" s="71" t="s">
        <v>2716</v>
      </c>
      <c r="B492" s="446" t="str">
        <f t="array" ref="B492">iferror(INDEX('作品'!D:D,MATCH(left(A492,3),'作品'!A:A,0),0),"error")</f>
        <v>君のことが大大大大大好きな100人の彼女</v>
      </c>
      <c r="C492" s="447" t="s">
        <v>2666</v>
      </c>
      <c r="D492" s="447" t="s">
        <v>2459</v>
      </c>
      <c r="E492" s="448" t="s">
        <v>2458</v>
      </c>
      <c r="F492" s="423" t="str">
        <f t="shared" si="3"/>
        <v>quest_event_kim1_charaget02</v>
      </c>
      <c r="G492" s="45" t="s">
        <v>2719</v>
      </c>
      <c r="H492" s="46" t="s">
        <v>2530</v>
      </c>
      <c r="I492" s="449" t="str">
        <f t="shared" si="4"/>
        <v>event_kim1_charaget02_00002</v>
      </c>
      <c r="J492" s="487"/>
      <c r="K492" s="487"/>
      <c r="L492" s="487"/>
      <c r="M492" s="488"/>
      <c r="N492" s="488"/>
      <c r="O492" s="487"/>
      <c r="P492" s="489"/>
      <c r="Q492" s="489"/>
      <c r="R492" s="56"/>
    </row>
    <row r="493">
      <c r="A493" s="71" t="s">
        <v>2716</v>
      </c>
      <c r="B493" s="446" t="str">
        <f t="array" ref="B493">iferror(INDEX('作品'!D:D,MATCH(left(A493,3),'作品'!A:A,0),0),"error")</f>
        <v>君のことが大大大大大好きな100人の彼女</v>
      </c>
      <c r="C493" s="447" t="s">
        <v>2666</v>
      </c>
      <c r="D493" s="447" t="s">
        <v>2459</v>
      </c>
      <c r="E493" s="448" t="s">
        <v>2458</v>
      </c>
      <c r="F493" s="423" t="str">
        <f t="shared" si="3"/>
        <v>quest_event_kim1_charaget02</v>
      </c>
      <c r="G493" s="45" t="s">
        <v>2719</v>
      </c>
      <c r="H493" s="46" t="s">
        <v>2531</v>
      </c>
      <c r="I493" s="449" t="str">
        <f t="shared" si="4"/>
        <v>event_kim1_charaget02_00003</v>
      </c>
      <c r="J493" s="487"/>
      <c r="K493" s="487"/>
      <c r="L493" s="487"/>
      <c r="M493" s="488"/>
      <c r="N493" s="488"/>
      <c r="O493" s="487"/>
      <c r="P493" s="489"/>
      <c r="Q493" s="489"/>
      <c r="R493" s="56"/>
    </row>
    <row r="494">
      <c r="A494" s="71" t="s">
        <v>2716</v>
      </c>
      <c r="B494" s="446" t="str">
        <f t="array" ref="B494">iferror(INDEX('作品'!D:D,MATCH(left(A494,3),'作品'!A:A,0),0),"error")</f>
        <v>君のことが大大大大大好きな100人の彼女</v>
      </c>
      <c r="C494" s="447" t="s">
        <v>2666</v>
      </c>
      <c r="D494" s="447" t="s">
        <v>2459</v>
      </c>
      <c r="E494" s="448" t="s">
        <v>2458</v>
      </c>
      <c r="F494" s="423" t="str">
        <f t="shared" si="3"/>
        <v>quest_event_kim1_charaget02</v>
      </c>
      <c r="G494" s="45" t="s">
        <v>2719</v>
      </c>
      <c r="H494" s="46" t="s">
        <v>2532</v>
      </c>
      <c r="I494" s="449" t="str">
        <f t="shared" si="4"/>
        <v>event_kim1_charaget02_00004</v>
      </c>
      <c r="J494" s="487"/>
      <c r="K494" s="487"/>
      <c r="L494" s="487"/>
      <c r="M494" s="488"/>
      <c r="N494" s="488"/>
      <c r="O494" s="487"/>
      <c r="P494" s="489"/>
      <c r="Q494" s="489"/>
      <c r="R494" s="56"/>
    </row>
    <row r="495">
      <c r="A495" s="71" t="s">
        <v>2716</v>
      </c>
      <c r="B495" s="446" t="str">
        <f t="array" ref="B495">iferror(INDEX('作品'!D:D,MATCH(left(A495,3),'作品'!A:A,0),0),"error")</f>
        <v>君のことが大大大大大好きな100人の彼女</v>
      </c>
      <c r="C495" s="447" t="s">
        <v>2666</v>
      </c>
      <c r="D495" s="447" t="s">
        <v>2459</v>
      </c>
      <c r="E495" s="448" t="s">
        <v>2458</v>
      </c>
      <c r="F495" s="423" t="str">
        <f t="shared" si="3"/>
        <v>quest_event_kim1_charaget02</v>
      </c>
      <c r="G495" s="45" t="s">
        <v>2719</v>
      </c>
      <c r="H495" s="46" t="s">
        <v>2533</v>
      </c>
      <c r="I495" s="449" t="str">
        <f t="shared" si="4"/>
        <v>event_kim1_charaget02_00005</v>
      </c>
      <c r="J495" s="487"/>
      <c r="K495" s="487"/>
      <c r="L495" s="487"/>
      <c r="M495" s="488"/>
      <c r="N495" s="488"/>
      <c r="O495" s="487"/>
      <c r="P495" s="489"/>
      <c r="Q495" s="489"/>
      <c r="R495" s="56"/>
    </row>
    <row r="496">
      <c r="A496" s="71" t="s">
        <v>2716</v>
      </c>
      <c r="B496" s="446" t="str">
        <f t="array" ref="B496">iferror(INDEX('作品'!D:D,MATCH(left(A496,3),'作品'!A:A,0),0),"error")</f>
        <v>君のことが大大大大大好きな100人の彼女</v>
      </c>
      <c r="C496" s="447" t="s">
        <v>2666</v>
      </c>
      <c r="D496" s="447" t="s">
        <v>2459</v>
      </c>
      <c r="E496" s="448" t="s">
        <v>2458</v>
      </c>
      <c r="F496" s="423" t="str">
        <f t="shared" si="3"/>
        <v>quest_event_kim1_charaget02</v>
      </c>
      <c r="G496" s="45" t="s">
        <v>2719</v>
      </c>
      <c r="H496" s="46" t="s">
        <v>2534</v>
      </c>
      <c r="I496" s="449" t="str">
        <f t="shared" si="4"/>
        <v>event_kim1_charaget02_00006</v>
      </c>
      <c r="J496" s="487"/>
      <c r="K496" s="487"/>
      <c r="L496" s="487"/>
      <c r="M496" s="488"/>
      <c r="N496" s="488"/>
      <c r="O496" s="487"/>
      <c r="P496" s="489"/>
      <c r="Q496" s="489"/>
      <c r="R496" s="56"/>
    </row>
    <row r="497">
      <c r="A497" s="71" t="s">
        <v>2716</v>
      </c>
      <c r="B497" s="446" t="str">
        <f t="array" ref="B497">iferror(INDEX('作品'!D:D,MATCH(left(A497,3),'作品'!A:A,0),0),"error")</f>
        <v>君のことが大大大大大好きな100人の彼女</v>
      </c>
      <c r="C497" s="142" t="s">
        <v>2668</v>
      </c>
      <c r="D497" s="447" t="s">
        <v>2459</v>
      </c>
      <c r="E497" s="448" t="s">
        <v>2458</v>
      </c>
      <c r="F497" s="423" t="str">
        <f t="shared" si="3"/>
        <v>quest_event_kim1_challenge01</v>
      </c>
      <c r="G497" s="45" t="s">
        <v>2720</v>
      </c>
      <c r="H497" s="125" t="s">
        <v>2529</v>
      </c>
      <c r="I497" s="449" t="str">
        <f t="shared" si="4"/>
        <v>event_kim1_challenge01_00001</v>
      </c>
      <c r="J497" s="487"/>
      <c r="K497" s="487"/>
      <c r="L497" s="487"/>
      <c r="M497" s="488"/>
      <c r="N497" s="488"/>
      <c r="O497" s="487"/>
      <c r="P497" s="489"/>
      <c r="Q497" s="489"/>
      <c r="R497" s="56"/>
    </row>
    <row r="498">
      <c r="A498" s="71" t="s">
        <v>2716</v>
      </c>
      <c r="B498" s="446" t="str">
        <f t="array" ref="B498">iferror(INDEX('作品'!D:D,MATCH(left(A498,3),'作品'!A:A,0),0),"error")</f>
        <v>君のことが大大大大大好きな100人の彼女</v>
      </c>
      <c r="C498" s="142" t="s">
        <v>2668</v>
      </c>
      <c r="D498" s="447" t="s">
        <v>2459</v>
      </c>
      <c r="E498" s="448" t="s">
        <v>2458</v>
      </c>
      <c r="F498" s="423" t="str">
        <f t="shared" si="3"/>
        <v>quest_event_kim1_challenge01</v>
      </c>
      <c r="G498" s="45" t="s">
        <v>2720</v>
      </c>
      <c r="H498" s="125" t="s">
        <v>2530</v>
      </c>
      <c r="I498" s="449" t="str">
        <f t="shared" si="4"/>
        <v>event_kim1_challenge01_00002</v>
      </c>
      <c r="J498" s="487"/>
      <c r="K498" s="487"/>
      <c r="L498" s="487"/>
      <c r="M498" s="488"/>
      <c r="N498" s="488"/>
      <c r="O498" s="487"/>
      <c r="P498" s="489"/>
      <c r="Q498" s="489"/>
      <c r="R498" s="56"/>
    </row>
    <row r="499">
      <c r="A499" s="71" t="s">
        <v>2716</v>
      </c>
      <c r="B499" s="446" t="str">
        <f t="array" ref="B499">iferror(INDEX('作品'!D:D,MATCH(left(A499,3),'作品'!A:A,0),0),"error")</f>
        <v>君のことが大大大大大好きな100人の彼女</v>
      </c>
      <c r="C499" s="142" t="s">
        <v>2668</v>
      </c>
      <c r="D499" s="447" t="s">
        <v>2459</v>
      </c>
      <c r="E499" s="448" t="s">
        <v>2458</v>
      </c>
      <c r="F499" s="423" t="str">
        <f t="shared" si="3"/>
        <v>quest_event_kim1_challenge01</v>
      </c>
      <c r="G499" s="45" t="s">
        <v>2720</v>
      </c>
      <c r="H499" s="125" t="s">
        <v>2531</v>
      </c>
      <c r="I499" s="449" t="str">
        <f t="shared" si="4"/>
        <v>event_kim1_challenge01_00003</v>
      </c>
      <c r="J499" s="487"/>
      <c r="K499" s="487"/>
      <c r="L499" s="487"/>
      <c r="M499" s="488"/>
      <c r="N499" s="488"/>
      <c r="O499" s="487"/>
      <c r="P499" s="489"/>
      <c r="Q499" s="489"/>
      <c r="R499" s="56"/>
    </row>
    <row r="500">
      <c r="A500" s="71" t="s">
        <v>2716</v>
      </c>
      <c r="B500" s="446" t="str">
        <f t="array" ref="B500">iferror(INDEX('作品'!D:D,MATCH(left(A500,3),'作品'!A:A,0),0),"error")</f>
        <v>君のことが大大大大大好きな100人の彼女</v>
      </c>
      <c r="C500" s="142" t="s">
        <v>2668</v>
      </c>
      <c r="D500" s="447" t="s">
        <v>2459</v>
      </c>
      <c r="E500" s="448" t="s">
        <v>2458</v>
      </c>
      <c r="F500" s="423" t="str">
        <f t="shared" si="3"/>
        <v>quest_event_kim1_challenge01</v>
      </c>
      <c r="G500" s="45" t="s">
        <v>2720</v>
      </c>
      <c r="H500" s="125" t="s">
        <v>2532</v>
      </c>
      <c r="I500" s="449" t="str">
        <f t="shared" si="4"/>
        <v>event_kim1_challenge01_00004</v>
      </c>
      <c r="J500" s="487"/>
      <c r="K500" s="487"/>
      <c r="L500" s="487"/>
      <c r="M500" s="488"/>
      <c r="N500" s="488"/>
      <c r="O500" s="487"/>
      <c r="P500" s="489"/>
      <c r="Q500" s="489"/>
      <c r="R500" s="56"/>
    </row>
    <row r="501">
      <c r="A501" s="71" t="s">
        <v>2716</v>
      </c>
      <c r="B501" s="446" t="str">
        <f t="array" ref="B501">iferror(INDEX('作品'!D:D,MATCH(left(A501,3),'作品'!A:A,0),0),"error")</f>
        <v>君のことが大大大大大好きな100人の彼女</v>
      </c>
      <c r="C501" s="142" t="s">
        <v>2464</v>
      </c>
      <c r="D501" s="447" t="s">
        <v>2459</v>
      </c>
      <c r="E501" s="448" t="s">
        <v>2458</v>
      </c>
      <c r="F501" s="423" t="str">
        <f t="shared" si="3"/>
        <v>quest_event_kim1_savage</v>
      </c>
      <c r="G501" s="45" t="s">
        <v>2721</v>
      </c>
      <c r="H501" s="125" t="s">
        <v>2529</v>
      </c>
      <c r="I501" s="449" t="str">
        <f t="shared" si="4"/>
        <v>event_kim1_savage_00001</v>
      </c>
      <c r="J501" s="487"/>
      <c r="K501" s="487"/>
      <c r="L501" s="487"/>
      <c r="M501" s="488"/>
      <c r="N501" s="488"/>
      <c r="O501" s="487"/>
      <c r="P501" s="489"/>
      <c r="Q501" s="489"/>
      <c r="R501" s="56"/>
    </row>
    <row r="502">
      <c r="A502" s="71" t="s">
        <v>2716</v>
      </c>
      <c r="B502" s="446" t="str">
        <f t="array" ref="B502">iferror(INDEX('作品'!D:D,MATCH(left(A502,3),'作品'!A:A,0),0),"error")</f>
        <v>君のことが大大大大大好きな100人の彼女</v>
      </c>
      <c r="C502" s="142" t="s">
        <v>2464</v>
      </c>
      <c r="D502" s="447" t="s">
        <v>2459</v>
      </c>
      <c r="E502" s="448" t="s">
        <v>2458</v>
      </c>
      <c r="F502" s="423" t="str">
        <f t="shared" si="3"/>
        <v>quest_event_kim1_savage</v>
      </c>
      <c r="G502" s="45" t="s">
        <v>2721</v>
      </c>
      <c r="H502" s="125" t="s">
        <v>2530</v>
      </c>
      <c r="I502" s="449" t="str">
        <f t="shared" si="4"/>
        <v>event_kim1_savage_00002</v>
      </c>
      <c r="J502" s="487"/>
      <c r="K502" s="487"/>
      <c r="L502" s="487"/>
      <c r="M502" s="488"/>
      <c r="N502" s="488"/>
      <c r="O502" s="487"/>
      <c r="P502" s="489"/>
      <c r="Q502" s="489"/>
      <c r="R502" s="56"/>
    </row>
    <row r="503">
      <c r="A503" s="71" t="s">
        <v>2716</v>
      </c>
      <c r="B503" s="446" t="str">
        <f t="array" ref="B503">iferror(INDEX('作品'!D:D,MATCH(left(A503,3),'作品'!A:A,0),0),"error")</f>
        <v>君のことが大大大大大好きな100人の彼女</v>
      </c>
      <c r="C503" s="142" t="s">
        <v>2464</v>
      </c>
      <c r="D503" s="447" t="s">
        <v>2459</v>
      </c>
      <c r="E503" s="448" t="s">
        <v>2458</v>
      </c>
      <c r="F503" s="423" t="str">
        <f t="shared" si="3"/>
        <v>quest_event_kim1_savage</v>
      </c>
      <c r="G503" s="45" t="s">
        <v>2721</v>
      </c>
      <c r="H503" s="125" t="s">
        <v>2531</v>
      </c>
      <c r="I503" s="449" t="str">
        <f t="shared" si="4"/>
        <v>event_kim1_savage_00003</v>
      </c>
      <c r="J503" s="487"/>
      <c r="K503" s="487"/>
      <c r="L503" s="487"/>
      <c r="M503" s="488"/>
      <c r="N503" s="488"/>
      <c r="O503" s="487"/>
      <c r="P503" s="489"/>
      <c r="Q503" s="489"/>
      <c r="R503" s="56"/>
    </row>
    <row r="504">
      <c r="A504" s="71"/>
      <c r="B504" s="490"/>
      <c r="C504" s="491"/>
      <c r="D504" s="491"/>
      <c r="E504" s="492"/>
      <c r="F504" s="493"/>
      <c r="G504" s="487"/>
      <c r="H504" s="492"/>
      <c r="I504" s="494"/>
      <c r="J504" s="487"/>
      <c r="K504" s="487"/>
      <c r="L504" s="487"/>
      <c r="M504" s="488"/>
      <c r="N504" s="488"/>
      <c r="O504" s="487"/>
      <c r="P504" s="489"/>
      <c r="Q504" s="489"/>
      <c r="R504" s="56"/>
    </row>
    <row r="505">
      <c r="A505" s="45"/>
      <c r="B505" s="490"/>
      <c r="C505" s="491"/>
      <c r="D505" s="491"/>
      <c r="E505" s="492"/>
      <c r="F505" s="492"/>
      <c r="G505" s="487"/>
      <c r="H505" s="492"/>
      <c r="I505" s="487"/>
      <c r="J505" s="487"/>
      <c r="K505" s="487"/>
      <c r="L505" s="487"/>
      <c r="M505" s="488"/>
      <c r="N505" s="488"/>
      <c r="O505" s="487"/>
      <c r="P505" s="489"/>
      <c r="Q505" s="489"/>
      <c r="R505" s="56"/>
    </row>
    <row r="506" ht="15.75" customHeight="1">
      <c r="A506" s="430" t="s">
        <v>2454</v>
      </c>
      <c r="B506" s="429"/>
      <c r="C506" s="429"/>
      <c r="D506" s="429"/>
      <c r="E506" s="429"/>
      <c r="F506" s="429"/>
      <c r="G506" s="429"/>
      <c r="H506" s="429"/>
      <c r="I506" s="429"/>
      <c r="J506" s="429"/>
      <c r="K506" s="429"/>
      <c r="L506" s="429"/>
      <c r="M506" s="429"/>
      <c r="N506" s="429"/>
      <c r="O506" s="429"/>
      <c r="P506" s="429"/>
      <c r="Q506" s="429"/>
      <c r="R506" s="56"/>
    </row>
    <row r="507">
      <c r="A507" s="45" t="s">
        <v>115</v>
      </c>
      <c r="B507" s="90" t="str">
        <f t="array" ref="B507">iferror(INDEX('作品'!D:D,MATCH(left(A507,3),'作品'!A:A,0),0),"error")</f>
        <v>怪獣８号</v>
      </c>
      <c r="C507" s="142" t="s">
        <v>2647</v>
      </c>
      <c r="D507" s="142" t="s">
        <v>2455</v>
      </c>
      <c r="E507" s="46" t="s">
        <v>2454</v>
      </c>
      <c r="F507" s="495" t="str">
        <f t="shared" ref="F507:F517" si="5">CONCATENATE("quest_",D507,"_",A507,"_",H507)</f>
        <v>quest_raid_kai_00001</v>
      </c>
      <c r="G507" s="45" t="s">
        <v>2722</v>
      </c>
      <c r="H507" s="125" t="s">
        <v>973</v>
      </c>
      <c r="I507" s="45"/>
      <c r="J507" s="45"/>
      <c r="K507" s="45"/>
      <c r="L507" s="45"/>
      <c r="M507" s="115"/>
      <c r="N507" s="115"/>
      <c r="O507" s="45"/>
      <c r="P507" s="210"/>
      <c r="Q507" s="210"/>
      <c r="R507" s="56"/>
    </row>
    <row r="508">
      <c r="A508" s="45" t="s">
        <v>115</v>
      </c>
      <c r="B508" s="90" t="str">
        <f t="array" ref="B508">iferror(INDEX('作品'!D:D,MATCH(left(A508,3),'作品'!A:A,0),0),"error")</f>
        <v>怪獣８号</v>
      </c>
      <c r="C508" s="142" t="s">
        <v>2647</v>
      </c>
      <c r="D508" s="142" t="s">
        <v>2455</v>
      </c>
      <c r="E508" s="46" t="s">
        <v>2454</v>
      </c>
      <c r="F508" s="495" t="str">
        <f t="shared" si="5"/>
        <v>quest_raid_kai_00002</v>
      </c>
      <c r="G508" s="45" t="s">
        <v>2722</v>
      </c>
      <c r="H508" s="125" t="s">
        <v>990</v>
      </c>
      <c r="I508" s="45"/>
      <c r="J508" s="45"/>
      <c r="K508" s="45"/>
      <c r="L508" s="45"/>
      <c r="M508" s="115"/>
      <c r="N508" s="115"/>
      <c r="O508" s="45"/>
      <c r="P508" s="210"/>
      <c r="Q508" s="496" t="s">
        <v>2723</v>
      </c>
      <c r="R508" s="56"/>
    </row>
    <row r="509">
      <c r="A509" s="45" t="s">
        <v>2671</v>
      </c>
      <c r="B509" s="90" t="str">
        <f t="array" ref="B509">iferror(INDEX('作品'!D:D,MATCH(left(A509,3),'作品'!A:A,0),0),"error")</f>
        <v>SPY×FAMILY</v>
      </c>
      <c r="C509" s="142" t="s">
        <v>2647</v>
      </c>
      <c r="D509" s="142" t="s">
        <v>2455</v>
      </c>
      <c r="E509" s="46" t="s">
        <v>2454</v>
      </c>
      <c r="F509" s="495" t="str">
        <f t="shared" si="5"/>
        <v>quest_raid_spy1_00001</v>
      </c>
      <c r="G509" s="45" t="s">
        <v>62</v>
      </c>
      <c r="H509" s="125" t="s">
        <v>973</v>
      </c>
      <c r="I509" s="45"/>
      <c r="J509" s="45"/>
      <c r="K509" s="45"/>
      <c r="L509" s="45"/>
      <c r="M509" s="115"/>
      <c r="N509" s="115"/>
      <c r="O509" s="45"/>
      <c r="P509" s="210"/>
      <c r="Q509" s="210"/>
      <c r="R509" s="56"/>
    </row>
    <row r="510">
      <c r="A510" s="45" t="s">
        <v>2677</v>
      </c>
      <c r="B510" s="90" t="str">
        <f t="array" ref="B510">iferror(INDEX('作品'!D:D,MATCH(left(A510,3),'作品'!A:A,0),0),"error")</f>
        <v>ダンダダン</v>
      </c>
      <c r="C510" s="142" t="s">
        <v>2647</v>
      </c>
      <c r="D510" s="142" t="s">
        <v>2455</v>
      </c>
      <c r="E510" s="46" t="s">
        <v>2454</v>
      </c>
      <c r="F510" s="495" t="str">
        <f t="shared" si="5"/>
        <v>quest_raid_dan1_00001</v>
      </c>
      <c r="G510" s="45" t="s">
        <v>82</v>
      </c>
      <c r="H510" s="125" t="s">
        <v>973</v>
      </c>
      <c r="I510" s="45"/>
      <c r="J510" s="45"/>
      <c r="K510" s="45"/>
      <c r="L510" s="45"/>
      <c r="M510" s="115"/>
      <c r="N510" s="115"/>
      <c r="O510" s="45"/>
      <c r="P510" s="210"/>
      <c r="Q510" s="210"/>
      <c r="R510" s="56"/>
    </row>
    <row r="511">
      <c r="A511" s="45" t="s">
        <v>2678</v>
      </c>
      <c r="B511" s="90" t="str">
        <f t="array" ref="B511">iferror(INDEX('作品'!D:D,MATCH(left(A511,3),'作品'!A:A,0),0),"error")</f>
        <v>株式会社マジルミエ</v>
      </c>
      <c r="C511" s="142" t="s">
        <v>2647</v>
      </c>
      <c r="D511" s="142" t="s">
        <v>2455</v>
      </c>
      <c r="E511" s="46" t="s">
        <v>2454</v>
      </c>
      <c r="F511" s="495" t="str">
        <f t="shared" si="5"/>
        <v>quest_raid_mag1_00001</v>
      </c>
      <c r="G511" s="45" t="s">
        <v>2724</v>
      </c>
      <c r="H511" s="125" t="s">
        <v>973</v>
      </c>
      <c r="I511" s="45"/>
      <c r="J511" s="45"/>
      <c r="K511" s="45"/>
      <c r="L511" s="45"/>
      <c r="M511" s="115"/>
      <c r="N511" s="115"/>
      <c r="O511" s="45"/>
      <c r="P511" s="210"/>
      <c r="Q511" s="210"/>
      <c r="R511" s="56"/>
    </row>
    <row r="512">
      <c r="A512" s="45" t="s">
        <v>2684</v>
      </c>
      <c r="B512" s="90" t="str">
        <f t="array" ref="B512">iferror(INDEX('作品'!D:D,MATCH(left(A512,3),'作品'!A:A,0),0),"error")</f>
        <v>2.5次元の誘惑</v>
      </c>
      <c r="C512" s="142" t="s">
        <v>2647</v>
      </c>
      <c r="D512" s="142" t="s">
        <v>2455</v>
      </c>
      <c r="E512" s="46" t="s">
        <v>2454</v>
      </c>
      <c r="F512" s="495" t="str">
        <f t="shared" si="5"/>
        <v>quest_raid_yuw1_00001</v>
      </c>
      <c r="G512" s="45" t="s">
        <v>2725</v>
      </c>
      <c r="H512" s="125" t="s">
        <v>973</v>
      </c>
      <c r="I512" s="45"/>
      <c r="J512" s="45"/>
      <c r="K512" s="45"/>
      <c r="L512" s="45"/>
      <c r="M512" s="115"/>
      <c r="N512" s="115"/>
      <c r="O512" s="45"/>
      <c r="P512" s="210"/>
      <c r="Q512" s="210"/>
      <c r="R512" s="56"/>
    </row>
    <row r="513">
      <c r="A513" s="45" t="s">
        <v>2692</v>
      </c>
      <c r="B513" s="90" t="str">
        <f t="array" ref="B513">iferror(INDEX('作品'!D:D,MATCH(left(A513,3),'作品'!A:A,0),0),"error")</f>
        <v>魔都精兵のスレイブ</v>
      </c>
      <c r="C513" s="142" t="s">
        <v>2647</v>
      </c>
      <c r="D513" s="142" t="s">
        <v>2455</v>
      </c>
      <c r="E513" s="46" t="s">
        <v>2454</v>
      </c>
      <c r="F513" s="495" t="str">
        <f t="shared" si="5"/>
        <v>quest_raid_sur1_00001</v>
      </c>
      <c r="G513" s="45" t="s">
        <v>2726</v>
      </c>
      <c r="H513" s="125" t="s">
        <v>973</v>
      </c>
      <c r="I513" s="45"/>
      <c r="J513" s="45"/>
      <c r="K513" s="45"/>
      <c r="L513" s="45"/>
      <c r="M513" s="115"/>
      <c r="N513" s="115"/>
      <c r="O513" s="45"/>
      <c r="P513" s="210"/>
      <c r="Q513" s="210"/>
      <c r="R513" s="56"/>
    </row>
    <row r="514">
      <c r="A514" s="45" t="s">
        <v>2698</v>
      </c>
      <c r="B514" s="90" t="str">
        <f t="array" ref="B514">iferror(INDEX('作品'!D:D,MATCH(left(A514,3),'作品'!A:A,0),0),"error")</f>
        <v>【推しの子】</v>
      </c>
      <c r="C514" s="142" t="s">
        <v>2647</v>
      </c>
      <c r="D514" s="142" t="s">
        <v>2455</v>
      </c>
      <c r="E514" s="46" t="s">
        <v>2454</v>
      </c>
      <c r="F514" s="495" t="str">
        <f t="shared" si="5"/>
        <v>quest_raid_osh1_00001</v>
      </c>
      <c r="G514" s="45" t="s">
        <v>2727</v>
      </c>
      <c r="H514" s="125" t="s">
        <v>973</v>
      </c>
      <c r="I514" s="45"/>
      <c r="J514" s="45"/>
      <c r="K514" s="45"/>
      <c r="L514" s="45"/>
      <c r="M514" s="115"/>
      <c r="N514" s="115"/>
      <c r="O514" s="45"/>
      <c r="P514" s="210"/>
      <c r="Q514" s="210"/>
      <c r="R514" s="56"/>
    </row>
    <row r="515">
      <c r="A515" s="45" t="s">
        <v>2705</v>
      </c>
      <c r="B515" s="90" t="str">
        <f t="array" ref="B515">iferror(INDEX('作品'!D:D,MATCH(left(A515,3),'作品'!A:A,0),0),"error")</f>
        <v>地獄楽</v>
      </c>
      <c r="C515" s="142" t="s">
        <v>2647</v>
      </c>
      <c r="D515" s="142" t="s">
        <v>2455</v>
      </c>
      <c r="E515" s="46" t="s">
        <v>2454</v>
      </c>
      <c r="F515" s="495" t="str">
        <f t="shared" si="5"/>
        <v>quest_raid_jig1_00001</v>
      </c>
      <c r="G515" s="45" t="s">
        <v>2728</v>
      </c>
      <c r="H515" s="125" t="s">
        <v>973</v>
      </c>
      <c r="I515" s="45"/>
      <c r="J515" s="45"/>
      <c r="K515" s="45"/>
      <c r="L515" s="45"/>
      <c r="M515" s="115"/>
      <c r="N515" s="115"/>
      <c r="O515" s="45"/>
      <c r="P515" s="210"/>
      <c r="Q515" s="210"/>
      <c r="R515" s="56"/>
    </row>
    <row r="516">
      <c r="A516" s="71" t="s">
        <v>2710</v>
      </c>
      <c r="B516" s="90" t="str">
        <f t="array" ref="B516">iferror(INDEX('作品'!D:D,MATCH(left(A516,3),'作品'!A:A,0),0),"error")</f>
        <v>幼稚園WARS</v>
      </c>
      <c r="C516" s="142" t="s">
        <v>2455</v>
      </c>
      <c r="D516" s="142" t="s">
        <v>2455</v>
      </c>
      <c r="E516" s="46" t="s">
        <v>2454</v>
      </c>
      <c r="F516" s="495" t="str">
        <f t="shared" si="5"/>
        <v>quest_raid_you1_00001</v>
      </c>
      <c r="G516" s="45" t="s">
        <v>2729</v>
      </c>
      <c r="H516" s="125" t="s">
        <v>973</v>
      </c>
      <c r="I516" s="45"/>
      <c r="J516" s="45"/>
      <c r="K516" s="45"/>
      <c r="L516" s="45"/>
      <c r="M516" s="115"/>
      <c r="N516" s="115"/>
      <c r="O516" s="45"/>
      <c r="P516" s="210"/>
      <c r="Q516" s="210"/>
      <c r="R516" s="56"/>
    </row>
    <row r="517">
      <c r="A517" s="71" t="s">
        <v>2716</v>
      </c>
      <c r="B517" s="90" t="str">
        <f t="array" ref="B517">iferror(INDEX('作品'!D:D,MATCH(left(A517,3),'作品'!A:A,0),0),"error")</f>
        <v>君のことが大大大大大好きな100人の彼女</v>
      </c>
      <c r="C517" s="142" t="s">
        <v>2455</v>
      </c>
      <c r="D517" s="142" t="s">
        <v>2455</v>
      </c>
      <c r="E517" s="46" t="s">
        <v>2454</v>
      </c>
      <c r="F517" s="495" t="str">
        <f t="shared" si="5"/>
        <v>quest_raid_kim1_00001</v>
      </c>
      <c r="G517" s="45" t="s">
        <v>2730</v>
      </c>
      <c r="H517" s="125" t="s">
        <v>973</v>
      </c>
      <c r="I517" s="45"/>
      <c r="J517" s="45"/>
      <c r="K517" s="45"/>
      <c r="L517" s="45"/>
      <c r="M517" s="115"/>
      <c r="N517" s="115"/>
      <c r="O517" s="45"/>
      <c r="P517" s="210"/>
      <c r="Q517" s="210"/>
      <c r="R517" s="56"/>
    </row>
    <row r="518">
      <c r="A518" s="71"/>
      <c r="B518" s="90"/>
      <c r="C518" s="142"/>
      <c r="D518" s="142"/>
      <c r="E518" s="46"/>
      <c r="F518" s="125"/>
      <c r="G518" s="45"/>
      <c r="H518" s="125"/>
      <c r="I518" s="45"/>
      <c r="J518" s="45"/>
      <c r="K518" s="45"/>
      <c r="L518" s="45"/>
      <c r="M518" s="115"/>
      <c r="N518" s="115"/>
      <c r="O518" s="45"/>
      <c r="P518" s="210"/>
      <c r="Q518" s="210"/>
      <c r="R518" s="56"/>
    </row>
    <row r="519">
      <c r="A519" s="45"/>
      <c r="B519" s="90"/>
      <c r="C519" s="142"/>
      <c r="D519" s="142"/>
      <c r="E519" s="46"/>
      <c r="F519" s="125"/>
      <c r="G519" s="45"/>
      <c r="H519" s="125"/>
      <c r="I519" s="45"/>
      <c r="J519" s="45"/>
      <c r="K519" s="45"/>
      <c r="L519" s="45"/>
      <c r="M519" s="115"/>
      <c r="N519" s="115"/>
      <c r="O519" s="45"/>
      <c r="P519" s="210"/>
      <c r="Q519" s="210"/>
      <c r="R519" s="56"/>
    </row>
    <row r="520" ht="9.0" customHeight="1">
      <c r="A520" s="170"/>
      <c r="B520" s="429"/>
      <c r="C520" s="429"/>
      <c r="D520" s="429"/>
      <c r="E520" s="429"/>
      <c r="F520" s="429"/>
      <c r="G520" s="429"/>
      <c r="H520" s="429"/>
      <c r="I520" s="429"/>
      <c r="J520" s="429"/>
      <c r="K520" s="429"/>
      <c r="L520" s="429"/>
      <c r="M520" s="429"/>
      <c r="N520" s="429"/>
      <c r="O520" s="429"/>
      <c r="P520" s="429"/>
      <c r="Q520" s="429"/>
      <c r="R520" s="56"/>
    </row>
    <row r="521">
      <c r="A521" s="45" t="s">
        <v>60</v>
      </c>
      <c r="B521" s="90" t="str">
        <f t="array" ref="B521">iferror(INDEX('作品'!D:D,MATCH(A521,'作品'!A:A,0),0),"error")</f>
        <v>SPY×FAMILY</v>
      </c>
      <c r="C521" s="142" t="s">
        <v>2647</v>
      </c>
      <c r="D521" s="142" t="s">
        <v>2731</v>
      </c>
      <c r="E521" s="46" t="s">
        <v>2732</v>
      </c>
      <c r="F521" s="125" t="str">
        <f t="shared" ref="F521:F528" si="6">CONCATENATE("quest_",D521,"_",A521,"_",C521,"_",H521)</f>
        <v>quest_limited_spy_null_</v>
      </c>
      <c r="G521" s="45"/>
      <c r="H521" s="125"/>
      <c r="I521" s="45"/>
      <c r="J521" s="45"/>
      <c r="K521" s="45"/>
      <c r="L521" s="45"/>
      <c r="M521" s="115"/>
      <c r="N521" s="115"/>
      <c r="O521" s="45"/>
      <c r="P521" s="210"/>
      <c r="Q521" s="210"/>
      <c r="R521" s="56"/>
    </row>
    <row r="522">
      <c r="A522" s="45" t="s">
        <v>60</v>
      </c>
      <c r="B522" s="90" t="str">
        <f t="array" ref="B522">iferror(INDEX('作品'!D:D,MATCH(A522,'作品'!A:A,0),0),"error")</f>
        <v>SPY×FAMILY</v>
      </c>
      <c r="C522" s="142" t="s">
        <v>2647</v>
      </c>
      <c r="D522" s="142" t="s">
        <v>2731</v>
      </c>
      <c r="E522" s="46" t="s">
        <v>2732</v>
      </c>
      <c r="F522" s="125" t="str">
        <f t="shared" si="6"/>
        <v>quest_limited_spy_null_</v>
      </c>
      <c r="G522" s="45"/>
      <c r="H522" s="125"/>
      <c r="I522" s="45"/>
      <c r="J522" s="45"/>
      <c r="K522" s="45"/>
      <c r="L522" s="45"/>
      <c r="M522" s="115"/>
      <c r="N522" s="115"/>
      <c r="O522" s="45"/>
      <c r="P522" s="210"/>
      <c r="Q522" s="210"/>
      <c r="R522" s="56"/>
    </row>
    <row r="523">
      <c r="A523" s="45" t="s">
        <v>60</v>
      </c>
      <c r="B523" s="90" t="str">
        <f t="array" ref="B523">iferror(INDEX('作品'!D:D,MATCH(A523,'作品'!A:A,0),0),"error")</f>
        <v>SPY×FAMILY</v>
      </c>
      <c r="C523" s="142" t="s">
        <v>2647</v>
      </c>
      <c r="D523" s="142" t="s">
        <v>2731</v>
      </c>
      <c r="E523" s="46" t="s">
        <v>2732</v>
      </c>
      <c r="F523" s="125" t="str">
        <f t="shared" si="6"/>
        <v>quest_limited_spy_null_</v>
      </c>
      <c r="G523" s="45"/>
      <c r="H523" s="125"/>
      <c r="I523" s="45"/>
      <c r="J523" s="45"/>
      <c r="K523" s="45"/>
      <c r="L523" s="45"/>
      <c r="M523" s="115"/>
      <c r="N523" s="115"/>
      <c r="O523" s="45"/>
      <c r="P523" s="210"/>
      <c r="Q523" s="210"/>
      <c r="R523" s="56"/>
    </row>
    <row r="524">
      <c r="A524" s="45" t="s">
        <v>60</v>
      </c>
      <c r="B524" s="90" t="str">
        <f t="array" ref="B524">iferror(INDEX('作品'!D:D,MATCH(A524,'作品'!A:A,0),0),"error")</f>
        <v>SPY×FAMILY</v>
      </c>
      <c r="C524" s="142" t="s">
        <v>2647</v>
      </c>
      <c r="D524" s="142" t="s">
        <v>2731</v>
      </c>
      <c r="E524" s="46" t="s">
        <v>2732</v>
      </c>
      <c r="F524" s="125" t="str">
        <f t="shared" si="6"/>
        <v>quest_limited_spy_null_</v>
      </c>
      <c r="G524" s="45"/>
      <c r="H524" s="125"/>
      <c r="I524" s="45"/>
      <c r="J524" s="45"/>
      <c r="K524" s="45"/>
      <c r="L524" s="45"/>
      <c r="M524" s="115"/>
      <c r="N524" s="115"/>
      <c r="O524" s="45"/>
      <c r="P524" s="210"/>
      <c r="Q524" s="210"/>
      <c r="R524" s="56"/>
    </row>
    <row r="525">
      <c r="A525" s="45" t="s">
        <v>60</v>
      </c>
      <c r="B525" s="90" t="str">
        <f t="array" ref="B525">iferror(INDEX('作品'!D:D,MATCH(A525,'作品'!A:A,0),0),"error")</f>
        <v>SPY×FAMILY</v>
      </c>
      <c r="C525" s="142" t="s">
        <v>2647</v>
      </c>
      <c r="D525" s="142" t="s">
        <v>2731</v>
      </c>
      <c r="E525" s="46" t="s">
        <v>2732</v>
      </c>
      <c r="F525" s="125" t="str">
        <f t="shared" si="6"/>
        <v>quest_limited_spy_null_</v>
      </c>
      <c r="G525" s="45"/>
      <c r="H525" s="125"/>
      <c r="I525" s="45"/>
      <c r="J525" s="45"/>
      <c r="K525" s="45"/>
      <c r="L525" s="45"/>
      <c r="M525" s="115"/>
      <c r="N525" s="115"/>
      <c r="O525" s="45"/>
      <c r="P525" s="210"/>
      <c r="Q525" s="210"/>
      <c r="R525" s="56"/>
    </row>
    <row r="526">
      <c r="A526" s="45" t="s">
        <v>80</v>
      </c>
      <c r="B526" s="90" t="str">
        <f t="array" ref="B526">iferror(INDEX('作品'!D:D,MATCH(A526,'作品'!A:A,0),0),"error")</f>
        <v>ダンダダン</v>
      </c>
      <c r="C526" s="142" t="s">
        <v>2647</v>
      </c>
      <c r="D526" s="142" t="s">
        <v>2731</v>
      </c>
      <c r="E526" s="46" t="s">
        <v>2732</v>
      </c>
      <c r="F526" s="125" t="str">
        <f t="shared" si="6"/>
        <v>quest_limited_dan_null_</v>
      </c>
      <c r="G526" s="45"/>
      <c r="H526" s="125"/>
      <c r="I526" s="45"/>
      <c r="J526" s="45"/>
      <c r="K526" s="45"/>
      <c r="L526" s="45"/>
      <c r="M526" s="115"/>
      <c r="N526" s="115"/>
      <c r="O526" s="45"/>
      <c r="P526" s="210"/>
      <c r="Q526" s="210"/>
      <c r="R526" s="56"/>
    </row>
    <row r="527">
      <c r="A527" s="45" t="s">
        <v>98</v>
      </c>
      <c r="B527" s="90" t="str">
        <f t="array" ref="B527">iferror(INDEX('作品'!D:D,MATCH(A527,'作品'!A:A,0),0),"error")</f>
        <v>株式会社マジルミエ</v>
      </c>
      <c r="C527" s="142" t="s">
        <v>2647</v>
      </c>
      <c r="D527" s="142" t="s">
        <v>2731</v>
      </c>
      <c r="E527" s="46" t="s">
        <v>2732</v>
      </c>
      <c r="F527" s="125" t="str">
        <f t="shared" si="6"/>
        <v>quest_limited_mag_null_</v>
      </c>
      <c r="G527" s="45"/>
      <c r="H527" s="125"/>
      <c r="I527" s="45"/>
      <c r="J527" s="45"/>
      <c r="K527" s="45"/>
      <c r="L527" s="45"/>
      <c r="M527" s="115"/>
      <c r="N527" s="115"/>
      <c r="O527" s="45"/>
      <c r="P527" s="210"/>
      <c r="Q527" s="210"/>
      <c r="R527" s="56"/>
    </row>
    <row r="528">
      <c r="A528" s="45" t="s">
        <v>115</v>
      </c>
      <c r="B528" s="90" t="str">
        <f t="array" ref="B528">iferror(INDEX('作品'!D:D,MATCH(A528,'作品'!A:A,0),0),"error")</f>
        <v>怪獣８号</v>
      </c>
      <c r="C528" s="142" t="s">
        <v>2647</v>
      </c>
      <c r="D528" s="142" t="s">
        <v>2731</v>
      </c>
      <c r="E528" s="46" t="s">
        <v>2732</v>
      </c>
      <c r="F528" s="125" t="str">
        <f t="shared" si="6"/>
        <v>quest_limited_kai_null_</v>
      </c>
      <c r="G528" s="45"/>
      <c r="H528" s="125"/>
      <c r="I528" s="45"/>
      <c r="J528" s="45"/>
      <c r="K528" s="45"/>
      <c r="L528" s="45"/>
      <c r="M528" s="115"/>
      <c r="N528" s="115"/>
      <c r="O528" s="45"/>
      <c r="P528" s="210"/>
      <c r="Q528" s="210"/>
      <c r="R528" s="56"/>
    </row>
    <row r="529">
      <c r="A529" s="56"/>
      <c r="B529" s="56"/>
      <c r="C529" s="56"/>
      <c r="D529" s="56"/>
      <c r="E529" s="56"/>
      <c r="F529" s="56"/>
      <c r="G529" s="56"/>
      <c r="H529" s="56"/>
      <c r="I529" s="56"/>
      <c r="J529" s="56"/>
      <c r="K529" s="56"/>
      <c r="L529" s="56"/>
      <c r="M529" s="56"/>
      <c r="N529" s="56"/>
      <c r="O529" s="56"/>
      <c r="P529" s="56"/>
      <c r="Q529" s="56"/>
      <c r="R529" s="56"/>
    </row>
    <row r="530">
      <c r="A530" s="56"/>
      <c r="B530" s="56"/>
      <c r="C530" s="56"/>
      <c r="D530" s="56"/>
      <c r="E530" s="56"/>
      <c r="F530" s="56"/>
      <c r="G530" s="56"/>
      <c r="H530" s="56"/>
      <c r="I530" s="56"/>
      <c r="J530" s="56"/>
      <c r="K530" s="56"/>
      <c r="L530" s="56"/>
      <c r="M530" s="56"/>
      <c r="N530" s="56"/>
      <c r="O530" s="56"/>
      <c r="P530" s="56"/>
      <c r="Q530" s="56"/>
      <c r="R530" s="56"/>
    </row>
    <row r="531">
      <c r="A531" s="56"/>
      <c r="B531" s="56"/>
      <c r="C531" s="56"/>
      <c r="D531" s="56"/>
      <c r="E531" s="56"/>
      <c r="F531" s="56"/>
      <c r="G531" s="56"/>
      <c r="H531" s="56"/>
      <c r="I531" s="56"/>
      <c r="J531" s="56"/>
      <c r="K531" s="56"/>
      <c r="L531" s="56"/>
      <c r="M531" s="56"/>
      <c r="N531" s="56"/>
      <c r="O531" s="56"/>
      <c r="P531" s="56"/>
      <c r="Q531" s="56"/>
      <c r="R531" s="56"/>
    </row>
    <row r="532">
      <c r="A532" s="56"/>
      <c r="B532" s="56"/>
      <c r="C532" s="56"/>
      <c r="D532" s="56"/>
      <c r="E532" s="56"/>
      <c r="F532" s="56"/>
      <c r="G532" s="56"/>
      <c r="H532" s="56"/>
      <c r="I532" s="56"/>
      <c r="J532" s="56"/>
      <c r="K532" s="56"/>
      <c r="L532" s="56"/>
      <c r="M532" s="56"/>
      <c r="N532" s="56"/>
      <c r="O532" s="56"/>
      <c r="P532" s="56"/>
      <c r="Q532" s="56"/>
      <c r="R532" s="56"/>
    </row>
    <row r="533">
      <c r="A533" s="56"/>
      <c r="B533" s="56"/>
      <c r="C533" s="56"/>
      <c r="D533" s="56"/>
      <c r="E533" s="56"/>
      <c r="F533" s="56"/>
      <c r="G533" s="56"/>
      <c r="H533" s="56"/>
      <c r="I533" s="56"/>
      <c r="J533" s="56"/>
      <c r="K533" s="56"/>
      <c r="L533" s="56"/>
      <c r="M533" s="56"/>
      <c r="N533" s="56"/>
      <c r="O533" s="56"/>
      <c r="P533" s="56"/>
      <c r="Q533" s="56"/>
      <c r="R533" s="56"/>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21.75"/>
    <col customWidth="1" min="3" max="3" width="19.38"/>
    <col customWidth="1" min="4" max="4" width="27.38"/>
    <col customWidth="1" min="5" max="7" width="9.5"/>
  </cols>
  <sheetData>
    <row r="1">
      <c r="A1" s="497" t="s">
        <v>2446</v>
      </c>
      <c r="B1" s="498"/>
      <c r="C1" s="499"/>
      <c r="D1" s="498"/>
      <c r="E1" s="499"/>
      <c r="F1" s="499"/>
      <c r="G1" s="499"/>
    </row>
    <row r="2">
      <c r="A2" s="500" t="s">
        <v>2733</v>
      </c>
      <c r="B2" s="418" t="s">
        <v>40</v>
      </c>
      <c r="C2" s="501" t="s">
        <v>43</v>
      </c>
      <c r="D2" s="418" t="s">
        <v>2734</v>
      </c>
      <c r="E2" s="502"/>
      <c r="F2" s="502"/>
      <c r="G2" s="502"/>
    </row>
    <row r="3">
      <c r="A3" s="45">
        <v>1.0</v>
      </c>
      <c r="B3" s="45" t="s">
        <v>60</v>
      </c>
      <c r="C3" s="90" t="str">
        <f t="array" ref="C3">iferror(INDEX('作品'!D:D,MATCH(left(B3,3),'作品'!A:A,0),0),"error")</f>
        <v>SPY×FAMILY</v>
      </c>
      <c r="D3" s="503" t="str">
        <f t="shared" ref="D3:D19" si="1">"quest_image_"&amp;B3&amp;"_"&amp;countif($B$3:B3,B3)</f>
        <v>quest_image_spy_1</v>
      </c>
      <c r="E3" s="504"/>
      <c r="F3" s="504"/>
      <c r="G3" s="504"/>
    </row>
    <row r="4">
      <c r="A4" s="505">
        <v>2.0</v>
      </c>
      <c r="B4" s="506" t="s">
        <v>87</v>
      </c>
      <c r="C4" s="90" t="str">
        <f t="array" ref="C4">iferror(INDEX('作品'!D:D,MATCH(left(B4,3),'作品'!A:A,0),0),"error")</f>
        <v>姫様“拷問”の時間です</v>
      </c>
      <c r="D4" s="503" t="str">
        <f t="shared" si="1"/>
        <v>quest_image_gom_1</v>
      </c>
      <c r="E4" s="504"/>
      <c r="F4" s="504"/>
      <c r="G4" s="504"/>
    </row>
    <row r="5">
      <c r="A5" s="45">
        <v>3.0</v>
      </c>
      <c r="B5" s="45" t="s">
        <v>68</v>
      </c>
      <c r="C5" s="90" t="str">
        <f t="array" ref="C5">iferror(INDEX('作品'!D:D,MATCH(left(B5,3),'作品'!A:A,0),0),"error")</f>
        <v>ラーメン赤猫</v>
      </c>
      <c r="D5" s="503" t="str">
        <f t="shared" si="1"/>
        <v>quest_image_aka_1</v>
      </c>
      <c r="E5" s="504"/>
      <c r="F5" s="504"/>
      <c r="G5" s="504"/>
    </row>
    <row r="6">
      <c r="A6" s="505">
        <v>4.0</v>
      </c>
      <c r="B6" s="505" t="s">
        <v>283</v>
      </c>
      <c r="C6" s="90" t="str">
        <f t="array" ref="C6">iferror(INDEX('作品'!D:D,MATCH(left(B6,3),'作品'!A:A,0),0),"error")</f>
        <v>GLOW</v>
      </c>
      <c r="D6" s="503" t="str">
        <f t="shared" si="1"/>
        <v>quest_image_glo_1</v>
      </c>
      <c r="E6" s="504"/>
      <c r="F6" s="504"/>
      <c r="G6" s="504"/>
    </row>
    <row r="7">
      <c r="A7" s="45">
        <v>5.0</v>
      </c>
      <c r="B7" s="506" t="s">
        <v>80</v>
      </c>
      <c r="C7" s="90" t="str">
        <f t="array" ref="C7">iferror(INDEX('作品'!D:D,MATCH(left(B7,3),'作品'!A:A,0),0),"error")</f>
        <v>ダンダダン</v>
      </c>
      <c r="D7" s="503" t="str">
        <f t="shared" si="1"/>
        <v>quest_image_dan_1</v>
      </c>
      <c r="E7" s="504"/>
      <c r="F7" s="504"/>
      <c r="G7" s="504"/>
    </row>
    <row r="8">
      <c r="A8" s="505">
        <v>6.0</v>
      </c>
      <c r="B8" s="506" t="s">
        <v>148</v>
      </c>
      <c r="C8" s="90" t="str">
        <f t="array" ref="C8">iferror(INDEX('作品'!D:D,MATCH(left(B8,3),'作品'!A:A,0),0),"error")</f>
        <v>地獄楽</v>
      </c>
      <c r="D8" s="503" t="str">
        <f t="shared" si="1"/>
        <v>quest_image_jig_1</v>
      </c>
      <c r="E8" s="504"/>
      <c r="F8" s="504"/>
      <c r="G8" s="504"/>
    </row>
    <row r="9">
      <c r="A9" s="45">
        <v>7.0</v>
      </c>
      <c r="B9" s="505" t="s">
        <v>153</v>
      </c>
      <c r="C9" s="90" t="str">
        <f t="array" ref="C9">iferror(INDEX('作品'!D:D,MATCH(left(B9,3),'作品'!A:A,0),0),"error")</f>
        <v>タコピーの原罪</v>
      </c>
      <c r="D9" s="503" t="str">
        <f t="shared" si="1"/>
        <v>quest_image_tak_1</v>
      </c>
      <c r="E9" s="504"/>
      <c r="F9" s="504"/>
      <c r="G9" s="504"/>
    </row>
    <row r="10">
      <c r="A10" s="505">
        <v>8.0</v>
      </c>
      <c r="B10" s="505" t="s">
        <v>283</v>
      </c>
      <c r="C10" s="90" t="str">
        <f t="array" ref="C10">iferror(INDEX('作品'!D:D,MATCH(left(B10,3),'作品'!A:A,0),0),"error")</f>
        <v>GLOW</v>
      </c>
      <c r="D10" s="503" t="str">
        <f t="shared" si="1"/>
        <v>quest_image_glo_2</v>
      </c>
      <c r="E10" s="504"/>
      <c r="F10" s="504"/>
      <c r="G10" s="504"/>
    </row>
    <row r="11">
      <c r="A11" s="45">
        <v>9.0</v>
      </c>
      <c r="B11" s="506" t="s">
        <v>92</v>
      </c>
      <c r="C11" s="90" t="str">
        <f t="array" ref="C11">iferror(INDEX('作品'!D:D,MATCH(left(B11,3),'作品'!A:A,0),0),"error")</f>
        <v>チェンソーマン</v>
      </c>
      <c r="D11" s="503" t="str">
        <f t="shared" si="1"/>
        <v>quest_image_chi_1</v>
      </c>
      <c r="E11" s="504"/>
      <c r="F11" s="504"/>
      <c r="G11" s="504"/>
    </row>
    <row r="12">
      <c r="A12" s="505">
        <v>10.0</v>
      </c>
      <c r="B12" s="506" t="s">
        <v>127</v>
      </c>
      <c r="C12" s="90" t="str">
        <f t="array" ref="C12">iferror(INDEX('作品'!D:D,MATCH(left(B12,3),'作品'!A:A,0),0),"error")</f>
        <v>魔都精兵のスレイブ</v>
      </c>
      <c r="D12" s="503" t="str">
        <f t="shared" si="1"/>
        <v>quest_image_sur_1</v>
      </c>
      <c r="E12" s="504"/>
      <c r="F12" s="504"/>
      <c r="G12" s="504"/>
    </row>
    <row r="13">
      <c r="A13" s="45">
        <v>11.0</v>
      </c>
      <c r="B13" s="506" t="s">
        <v>75</v>
      </c>
      <c r="C13" s="90" t="str">
        <f t="array" ref="C13">iferror(INDEX('作品'!D:D,MATCH(left(B13,3),'作品'!A:A,0),0),"error")</f>
        <v>トマトイプーのリコピン</v>
      </c>
      <c r="D13" s="503" t="str">
        <f t="shared" si="1"/>
        <v>quest_image_rik_1</v>
      </c>
      <c r="E13" s="504"/>
      <c r="F13" s="504"/>
      <c r="G13" s="504"/>
    </row>
    <row r="14">
      <c r="A14" s="505">
        <v>12.0</v>
      </c>
      <c r="B14" s="505" t="s">
        <v>283</v>
      </c>
      <c r="C14" s="90" t="str">
        <f t="array" ref="C14">iferror(INDEX('作品'!D:D,MATCH(left(B14,3),'作品'!A:A,0),0),"error")</f>
        <v>GLOW</v>
      </c>
      <c r="D14" s="503" t="str">
        <f t="shared" si="1"/>
        <v>quest_image_glo_3</v>
      </c>
      <c r="E14" s="504"/>
      <c r="F14" s="504"/>
      <c r="G14" s="504"/>
    </row>
    <row r="15">
      <c r="A15" s="45">
        <v>13.0</v>
      </c>
      <c r="B15" s="45" t="s">
        <v>98</v>
      </c>
      <c r="C15" s="90" t="str">
        <f t="array" ref="C15">iferror(INDEX('作品'!D:D,MATCH(left(B15,3),'作品'!A:A,0),0),"error")</f>
        <v>株式会社マジルミエ</v>
      </c>
      <c r="D15" s="503" t="str">
        <f t="shared" si="1"/>
        <v>quest_image_mag_1</v>
      </c>
      <c r="E15" s="504"/>
      <c r="F15" s="504"/>
      <c r="G15" s="504"/>
    </row>
    <row r="16">
      <c r="A16" s="505">
        <v>14.0</v>
      </c>
      <c r="B16" s="506" t="s">
        <v>143</v>
      </c>
      <c r="C16" s="90" t="str">
        <f t="array" ref="C16">iferror(INDEX('作品'!D:D,MATCH(left(B16,3),'作品'!A:A,0),0),"error")</f>
        <v>サマータイムレンダ</v>
      </c>
      <c r="D16" s="503" t="str">
        <f t="shared" si="1"/>
        <v>quest_image_sum_1</v>
      </c>
      <c r="E16" s="504"/>
      <c r="F16" s="504"/>
      <c r="G16" s="504"/>
    </row>
    <row r="17">
      <c r="A17" s="45">
        <v>15.0</v>
      </c>
      <c r="B17" s="45" t="s">
        <v>115</v>
      </c>
      <c r="C17" s="90" t="str">
        <f t="array" ref="C17">iferror(INDEX('作品'!D:D,MATCH(left(B17,3),'作品'!A:A,0),0),"error")</f>
        <v>怪獣８号</v>
      </c>
      <c r="D17" s="503" t="str">
        <f t="shared" si="1"/>
        <v>quest_image_kai_1</v>
      </c>
      <c r="E17" s="504"/>
      <c r="F17" s="504"/>
      <c r="G17" s="504"/>
    </row>
    <row r="18">
      <c r="A18" s="505">
        <v>16.0</v>
      </c>
      <c r="B18" s="505" t="s">
        <v>283</v>
      </c>
      <c r="C18" s="90" t="str">
        <f t="array" ref="C18">iferror(INDEX('作品'!D:D,MATCH(left(B18,3),'作品'!A:A,0),0),"error")</f>
        <v>GLOW</v>
      </c>
      <c r="D18" s="503" t="str">
        <f t="shared" si="1"/>
        <v>quest_image_glo_4</v>
      </c>
      <c r="E18" s="504"/>
      <c r="F18" s="504"/>
      <c r="G18" s="504"/>
    </row>
    <row r="19">
      <c r="A19" s="505">
        <v>17.0</v>
      </c>
      <c r="B19" s="505" t="s">
        <v>158</v>
      </c>
      <c r="C19" s="90" t="str">
        <f t="array" ref="C19">iferror(INDEX('作品'!D:D,MATCH(left(B19,3),'作品'!A:A,0),0),"error")</f>
        <v>【推しの子】</v>
      </c>
      <c r="D19" s="503" t="str">
        <f t="shared" si="1"/>
        <v>quest_image_osh_1</v>
      </c>
      <c r="E19" s="504"/>
      <c r="F19" s="504"/>
      <c r="G19" s="504"/>
    </row>
    <row r="20">
      <c r="A20" s="497" t="s">
        <v>522</v>
      </c>
      <c r="B20" s="498"/>
      <c r="C20" s="499"/>
      <c r="D20" s="498"/>
      <c r="E20" s="499"/>
      <c r="F20" s="499"/>
      <c r="G20" s="499"/>
    </row>
    <row r="21">
      <c r="A21" s="507" t="s">
        <v>40</v>
      </c>
      <c r="B21" s="508" t="s">
        <v>2735</v>
      </c>
      <c r="C21" s="509" t="s">
        <v>2517</v>
      </c>
      <c r="D21" s="510" t="s">
        <v>2734</v>
      </c>
    </row>
    <row r="22">
      <c r="A22" s="511" t="s">
        <v>115</v>
      </c>
      <c r="B22" s="512" t="s">
        <v>2736</v>
      </c>
      <c r="C22" s="513" t="str">
        <f t="array" ref="C22">iferror(INDEX('クエスト'!G:G,match(B22,'クエスト'!F:F,0),0),"error")</f>
        <v>候補生としての入隊</v>
      </c>
      <c r="D22" s="514" t="str">
        <f t="shared" ref="D22:D68" si="2">MID(B22,13,99)&amp;"_quest_select_cell"</f>
        <v>kai1_1day_quest_select_cell</v>
      </c>
    </row>
    <row r="23">
      <c r="A23" s="515" t="s">
        <v>115</v>
      </c>
      <c r="B23" s="516" t="s">
        <v>2737</v>
      </c>
      <c r="C23" s="90" t="str">
        <f t="array" ref="C23">iferror(INDEX('クエスト'!G:G,match(B23,'クエスト'!F:F,0),0),"error")</f>
        <v>気に入らねェ 気に入らねェ</v>
      </c>
      <c r="D23" s="517" t="str">
        <f t="shared" si="2"/>
        <v>kai1_charaget01_quest_select_cell</v>
      </c>
    </row>
    <row r="24">
      <c r="A24" s="515" t="s">
        <v>115</v>
      </c>
      <c r="B24" s="516" t="s">
        <v>2738</v>
      </c>
      <c r="C24" s="90" t="str">
        <f t="array" ref="C24">iferror(INDEX('クエスト'!G:G,match(B24,'クエスト'!F:F,0),0),"error")</f>
        <v>怪獣８号の引き渡しを命ずる</v>
      </c>
      <c r="D24" s="517" t="str">
        <f t="shared" si="2"/>
        <v>kai1_charaget02_quest_select_cell</v>
      </c>
    </row>
    <row r="25">
      <c r="A25" s="515" t="s">
        <v>115</v>
      </c>
      <c r="B25" s="516" t="s">
        <v>2739</v>
      </c>
      <c r="C25" s="90" t="str">
        <f t="array" ref="C25">iferror(INDEX('クエスト'!G:G,match(B25,'クエスト'!F:F,0),0),"error")</f>
        <v>戦場で 力を示してみせろ ヒヨコども</v>
      </c>
      <c r="D25" s="517" t="str">
        <f t="shared" si="2"/>
        <v>kai1_challenge01_quest_select_cell</v>
      </c>
    </row>
    <row r="26">
      <c r="A26" s="518" t="s">
        <v>115</v>
      </c>
      <c r="B26" s="519" t="s">
        <v>2740</v>
      </c>
      <c r="C26" s="520" t="str">
        <f t="array" ref="C26">iferror(INDEX('クエスト'!G:G,match(B26,'クエスト'!F:F,0),0),"error")</f>
        <v>クラス『大怪獣』</v>
      </c>
      <c r="D26" s="521" t="str">
        <f t="shared" si="2"/>
        <v>kai1_savage_quest_select_cell</v>
      </c>
    </row>
    <row r="27">
      <c r="A27" s="511" t="s">
        <v>60</v>
      </c>
      <c r="B27" s="512" t="s">
        <v>2741</v>
      </c>
      <c r="C27" s="513" t="str">
        <f t="array" ref="C27">iferror(INDEX('クエスト'!G:G,match(B27,'クエスト'!F:F,0),0),"error")</f>
        <v>デイリークエスト</v>
      </c>
      <c r="D27" s="514" t="str">
        <f t="shared" si="2"/>
        <v>spy1_1day_quest_select_cell</v>
      </c>
    </row>
    <row r="28">
      <c r="A28" s="522" t="s">
        <v>60</v>
      </c>
      <c r="B28" s="516" t="s">
        <v>2742</v>
      </c>
      <c r="C28" s="90" t="str">
        <f t="array" ref="C28">iferror(INDEX('クエスト'!G:G,match(B28,'クエスト'!F:F,0),0),"error")</f>
        <v>ストーリークエスト1</v>
      </c>
      <c r="D28" s="517" t="str">
        <f t="shared" si="2"/>
        <v>spy1_charaget01_quest_select_cell</v>
      </c>
    </row>
    <row r="29">
      <c r="A29" s="522" t="s">
        <v>60</v>
      </c>
      <c r="B29" s="516" t="s">
        <v>2743</v>
      </c>
      <c r="C29" s="90" t="str">
        <f t="array" ref="C29">iferror(INDEX('クエスト'!G:G,match(B29,'クエスト'!F:F,0),0),"error")</f>
        <v>ストーリークエスト2</v>
      </c>
      <c r="D29" s="517" t="str">
        <f t="shared" si="2"/>
        <v>spy1_charaget02_quest_select_cell</v>
      </c>
    </row>
    <row r="30">
      <c r="A30" s="522" t="s">
        <v>60</v>
      </c>
      <c r="B30" s="516" t="s">
        <v>2744</v>
      </c>
      <c r="C30" s="90" t="str">
        <f t="array" ref="C30">iferror(INDEX('クエスト'!G:G,match(B30,'クエスト'!F:F,0),0),"error")</f>
        <v>チャレンジクエスト</v>
      </c>
      <c r="D30" s="517" t="str">
        <f t="shared" si="2"/>
        <v>spy1_challenge01_quest_select_cell</v>
      </c>
    </row>
    <row r="31">
      <c r="A31" s="523" t="s">
        <v>60</v>
      </c>
      <c r="B31" s="519" t="s">
        <v>2745</v>
      </c>
      <c r="C31" s="520" t="str">
        <f t="array" ref="C31">iferror(INDEX('クエスト'!G:G,match(B31,'クエスト'!F:F,0),0),"error")</f>
        <v>高難易度クエスト</v>
      </c>
      <c r="D31" s="521" t="str">
        <f t="shared" si="2"/>
        <v>spy1_savage_quest_select_cell</v>
      </c>
    </row>
    <row r="32">
      <c r="A32" s="524" t="s">
        <v>80</v>
      </c>
      <c r="B32" s="525" t="s">
        <v>2746</v>
      </c>
      <c r="C32" s="513" t="str">
        <f t="array" ref="C32">iferror(INDEX('クエスト'!G:G,match(B32,'クエスト'!F:F,0),0),"error")</f>
        <v>デイリークエスト</v>
      </c>
      <c r="D32" s="514" t="str">
        <f t="shared" si="2"/>
        <v>dan1_1day_quest_select_cell</v>
      </c>
    </row>
    <row r="33">
      <c r="A33" s="522" t="s">
        <v>80</v>
      </c>
      <c r="B33" s="46" t="s">
        <v>2747</v>
      </c>
      <c r="C33" s="90" t="str">
        <f t="array" ref="C33">iferror(INDEX('クエスト'!G:G,match(B33,'クエスト'!F:F,0),0),"error")</f>
        <v>ストーリークエスト1</v>
      </c>
      <c r="D33" s="517" t="str">
        <f t="shared" si="2"/>
        <v>dan1_charaget01_quest_select_cell</v>
      </c>
    </row>
    <row r="34">
      <c r="A34" s="515" t="s">
        <v>80</v>
      </c>
      <c r="B34" s="46" t="s">
        <v>2748</v>
      </c>
      <c r="C34" s="90" t="str">
        <f t="array" ref="C34">iferror(INDEX('クエスト'!G:G,match(B34,'クエスト'!F:F,0),0),"error")</f>
        <v>ストーリークエスト2</v>
      </c>
      <c r="D34" s="517" t="str">
        <f t="shared" si="2"/>
        <v>dan1_charaget02_quest_select_cell</v>
      </c>
    </row>
    <row r="35">
      <c r="A35" s="522" t="s">
        <v>80</v>
      </c>
      <c r="B35" s="46" t="s">
        <v>2749</v>
      </c>
      <c r="C35" s="90" t="str">
        <f t="array" ref="C35">iferror(INDEX('クエスト'!G:G,match(B35,'クエスト'!F:F,0),0),"error")</f>
        <v>チャレンジクエスト</v>
      </c>
      <c r="D35" s="517" t="str">
        <f t="shared" si="2"/>
        <v>dan1_challenge01_quest_select_cell</v>
      </c>
    </row>
    <row r="36">
      <c r="A36" s="518" t="s">
        <v>80</v>
      </c>
      <c r="B36" s="526" t="s">
        <v>2750</v>
      </c>
      <c r="C36" s="520" t="str">
        <f t="array" ref="C36">iferror(INDEX('クエスト'!G:G,match(B36,'クエスト'!F:F,0),0),"error")</f>
        <v>高難易度クエスト</v>
      </c>
      <c r="D36" s="521" t="str">
        <f t="shared" si="2"/>
        <v>dan1_savage_quest_select_cell</v>
      </c>
    </row>
    <row r="37">
      <c r="A37" s="524" t="s">
        <v>98</v>
      </c>
      <c r="B37" s="525" t="s">
        <v>2751</v>
      </c>
      <c r="C37" s="513" t="str">
        <f t="array" ref="C37">iferror(INDEX('クエスト'!G:G,match(B37,'クエスト'!F:F,0),0),"error")</f>
        <v>何とかやってます</v>
      </c>
      <c r="D37" s="514" t="str">
        <f t="shared" si="2"/>
        <v>mag1_1day_quest_select_cell</v>
      </c>
    </row>
    <row r="38">
      <c r="A38" s="522" t="s">
        <v>98</v>
      </c>
      <c r="B38" s="46" t="s">
        <v>2752</v>
      </c>
      <c r="C38" s="90" t="str">
        <f t="array" ref="C38">iferror(INDEX('クエスト'!G:G,match(B38,'クエスト'!F:F,0),0),"error")</f>
        <v>うちの美学</v>
      </c>
      <c r="D38" s="517" t="str">
        <f t="shared" si="2"/>
        <v>mag1_charaget01_quest_select_cell</v>
      </c>
    </row>
    <row r="39">
      <c r="A39" s="515" t="s">
        <v>98</v>
      </c>
      <c r="B39" s="46" t="s">
        <v>2753</v>
      </c>
      <c r="C39" s="90" t="str">
        <f t="array" ref="C39">iferror(INDEX('クエスト'!G:G,match(B39,'クエスト'!F:F,0),0),"error")</f>
        <v>よく見てる</v>
      </c>
      <c r="D39" s="517" t="str">
        <f t="shared" si="2"/>
        <v>mag1_charaget02_quest_select_cell</v>
      </c>
    </row>
    <row r="40">
      <c r="A40" s="522" t="s">
        <v>98</v>
      </c>
      <c r="B40" s="46" t="s">
        <v>2754</v>
      </c>
      <c r="C40" s="90" t="str">
        <f t="array" ref="C40">iferror(INDEX('クエスト'!G:G,match(B40,'クエスト'!F:F,0),0),"error")</f>
        <v>色々な魔法少女</v>
      </c>
      <c r="D40" s="517" t="str">
        <f t="shared" si="2"/>
        <v>mag1_challenge01_quest_select_cell</v>
      </c>
    </row>
    <row r="41">
      <c r="A41" s="527" t="s">
        <v>98</v>
      </c>
      <c r="B41" s="401" t="s">
        <v>2755</v>
      </c>
      <c r="C41" s="455" t="str">
        <f t="array" ref="C41">iferror(INDEX('クエスト'!G:G,match(B41,'クエスト'!F:F,0),0),"error")</f>
        <v>「怪異」現象</v>
      </c>
      <c r="D41" s="528" t="str">
        <f t="shared" si="2"/>
        <v>mag1_savage_quest_select_cell</v>
      </c>
    </row>
    <row r="42">
      <c r="A42" s="524" t="s">
        <v>121</v>
      </c>
      <c r="B42" s="525" t="s">
        <v>2756</v>
      </c>
      <c r="C42" s="513" t="str">
        <f t="array" ref="C42">iferror(INDEX('クエスト'!G:G,match(B42,'クエスト'!F:F,0),0),"error")</f>
        <v>はじめての撮影会</v>
      </c>
      <c r="D42" s="529" t="str">
        <f t="shared" si="2"/>
        <v>yuw1_1day_quest_select_cell</v>
      </c>
    </row>
    <row r="43">
      <c r="A43" s="522" t="s">
        <v>121</v>
      </c>
      <c r="B43" s="46" t="s">
        <v>2757</v>
      </c>
      <c r="C43" s="90" t="str">
        <f t="array" ref="C43">iferror(INDEX('クエスト'!G:G,match(B43,'クエスト'!F:F,0),0),"error")</f>
        <v>コスプレをしに来たんだよ</v>
      </c>
      <c r="D43" s="530" t="str">
        <f t="shared" si="2"/>
        <v>yuw1_charaget01_quest_select_cell</v>
      </c>
    </row>
    <row r="44">
      <c r="A44" s="515" t="s">
        <v>121</v>
      </c>
      <c r="B44" s="46" t="s">
        <v>2758</v>
      </c>
      <c r="C44" s="90" t="str">
        <f t="array" ref="C44">iferror(INDEX('クエスト'!G:G,match(B44,'クエスト'!F:F,0),0),"error")</f>
        <v>俺はずっとオタクなだけです</v>
      </c>
      <c r="D44" s="530" t="str">
        <f t="shared" si="2"/>
        <v>yuw1_charaget02_quest_select_cell</v>
      </c>
    </row>
    <row r="45">
      <c r="A45" s="522" t="s">
        <v>121</v>
      </c>
      <c r="B45" s="46" t="s">
        <v>2759</v>
      </c>
      <c r="C45" s="90" t="str">
        <f t="array" ref="C45">iferror(INDEX('クエスト'!G:G,match(B45,'クエスト'!F:F,0),0),"error")</f>
        <v>幸せです…</v>
      </c>
      <c r="D45" s="530" t="str">
        <f t="shared" si="2"/>
        <v>yuw1_challenge01_quest_select_cell</v>
      </c>
    </row>
    <row r="46">
      <c r="A46" s="515" t="s">
        <v>121</v>
      </c>
      <c r="B46" s="46" t="s">
        <v>2760</v>
      </c>
      <c r="C46" s="90" t="str">
        <f t="array" ref="C46">iferror(INDEX('クエスト'!G:G,match(B46,'クエスト'!F:F,0),0),"error")</f>
        <v>これがこの世界の頂上</v>
      </c>
      <c r="D46" s="530" t="str">
        <f t="shared" si="2"/>
        <v>yuw1_savage_quest_select_cell</v>
      </c>
    </row>
    <row r="47">
      <c r="A47" s="518" t="s">
        <v>121</v>
      </c>
      <c r="B47" s="526" t="s">
        <v>2761</v>
      </c>
      <c r="C47" s="90" t="str">
        <f t="array" ref="C47">iferror(INDEX('クエスト'!G:G,match(B47,'クエスト'!F:F,0),0),"error")</f>
        <v>クリスマスバトル!!</v>
      </c>
      <c r="D47" s="530" t="str">
        <f t="shared" si="2"/>
        <v>yuw1_savage02_quest_select_cell</v>
      </c>
    </row>
    <row r="48">
      <c r="A48" s="524" t="s">
        <v>158</v>
      </c>
      <c r="B48" s="525" t="s">
        <v>2762</v>
      </c>
      <c r="C48" s="513" t="str">
        <f t="array" ref="C48">iferror(INDEX('クエスト'!G:G,match(B48,'クエスト'!F:F,0),0),"error")</f>
        <v>ファンと推し合戦!</v>
      </c>
      <c r="D48" s="514" t="str">
        <f t="shared" si="2"/>
        <v>osh1_????_quest_select_cell</v>
      </c>
      <c r="E48" s="531" t="s">
        <v>2763</v>
      </c>
    </row>
    <row r="49">
      <c r="A49" s="522" t="s">
        <v>158</v>
      </c>
      <c r="B49" s="46" t="s">
        <v>2764</v>
      </c>
      <c r="C49" s="90" t="str">
        <f t="array" ref="C49">iferror(INDEX('クエスト'!G:G,match(B49,'クエスト'!F:F,0),0),"error")</f>
        <v>ファンと推し合戦!</v>
      </c>
      <c r="D49" s="517" t="str">
        <f t="shared" si="2"/>
        <v>osh1_1day_quest_select_cell</v>
      </c>
    </row>
    <row r="50">
      <c r="A50" s="522" t="s">
        <v>158</v>
      </c>
      <c r="B50" s="46" t="s">
        <v>2765</v>
      </c>
      <c r="C50" s="90" t="str">
        <f t="array" ref="C50">iferror(INDEX('クエスト'!G:G,match(B50,'クエスト'!F:F,0),0),"error")</f>
        <v>芸能界へ!</v>
      </c>
      <c r="D50" s="517" t="str">
        <f t="shared" si="2"/>
        <v>osh1_charaget01_quest_select_cell</v>
      </c>
    </row>
    <row r="51">
      <c r="A51" s="522" t="s">
        <v>158</v>
      </c>
      <c r="B51" s="46" t="s">
        <v>2766</v>
      </c>
      <c r="C51" s="90" t="str">
        <f t="array" ref="C51">iferror(INDEX('クエスト'!G:G,match(B51,'クエスト'!F:F,0),0),"error")</f>
        <v>ぴえヨンのブートクエスト</v>
      </c>
      <c r="D51" s="517" t="str">
        <f t="shared" si="2"/>
        <v>osh1_charaget02_quest_select_cell</v>
      </c>
    </row>
    <row r="52">
      <c r="A52" s="522" t="s">
        <v>158</v>
      </c>
      <c r="B52" s="46" t="s">
        <v>2765</v>
      </c>
      <c r="C52" s="90" t="str">
        <f t="array" ref="C52">iferror(INDEX('クエスト'!G:G,match(B52,'クエスト'!F:F,0),0),"error")</f>
        <v>芸能界へ!</v>
      </c>
      <c r="D52" s="517" t="str">
        <f t="shared" si="2"/>
        <v>osh1_charaget01_quest_select_cell</v>
      </c>
    </row>
    <row r="53">
      <c r="A53" s="523" t="s">
        <v>158</v>
      </c>
      <c r="B53" s="526" t="s">
        <v>2767</v>
      </c>
      <c r="C53" s="520" t="str">
        <f t="array" ref="C53">iferror(INDEX('クエスト'!G:G,match(B53,'クエスト'!F:F,0),0),"error")</f>
        <v>芸能界には才能が集まる</v>
      </c>
      <c r="D53" s="521" t="str">
        <f t="shared" si="2"/>
        <v>osh1_savage_quest_select_cell</v>
      </c>
    </row>
    <row r="54">
      <c r="A54" s="524" t="s">
        <v>148</v>
      </c>
      <c r="B54" s="525" t="s">
        <v>2768</v>
      </c>
      <c r="C54" s="513" t="str">
        <f t="array" ref="C54">iferror(INDEX('クエスト'!G:G,match(B54,'クエスト'!F:F,0),0),"error")</f>
        <v>本能が告げている 危険だと</v>
      </c>
      <c r="D54" s="514" t="str">
        <f t="shared" si="2"/>
        <v>jig1_1day_quest_select_cell</v>
      </c>
    </row>
    <row r="55">
      <c r="A55" s="522" t="s">
        <v>148</v>
      </c>
      <c r="B55" s="46" t="s">
        <v>2769</v>
      </c>
      <c r="C55" s="90" t="str">
        <f t="array" ref="C55">iferror(INDEX('クエスト'!G:G,match(B55,'クエスト'!F:F,0),0),"error")</f>
        <v>必ず生きて帰る</v>
      </c>
      <c r="D55" s="517" t="str">
        <f t="shared" si="2"/>
        <v>jig1_charaget01_quest_select_cell</v>
      </c>
    </row>
    <row r="56">
      <c r="A56" s="522" t="s">
        <v>148</v>
      </c>
      <c r="B56" s="46" t="s">
        <v>2770</v>
      </c>
      <c r="C56" s="90" t="str">
        <f t="array" ref="C56">iferror(INDEX('クエスト'!G:G,match(B56,'クエスト'!F:F,0),0),"error")</f>
        <v>朱印の者たち</v>
      </c>
      <c r="D56" s="517" t="str">
        <f t="shared" si="2"/>
        <v>jig1_charaget02_quest_select_cell</v>
      </c>
    </row>
    <row r="57">
      <c r="A57" s="522" t="s">
        <v>148</v>
      </c>
      <c r="B57" s="46" t="s">
        <v>2771</v>
      </c>
      <c r="C57" s="90" t="str">
        <f t="array" ref="C57">iferror(INDEX('クエスト'!G:G,match(B57,'クエスト'!F:F,0),0),"error")</f>
        <v>死罪人と首切り役人</v>
      </c>
      <c r="D57" s="517" t="str">
        <f t="shared" si="2"/>
        <v>jig1_challenge01_quest_select_cell</v>
      </c>
    </row>
    <row r="58">
      <c r="A58" s="523" t="s">
        <v>148</v>
      </c>
      <c r="B58" s="526" t="s">
        <v>2772</v>
      </c>
      <c r="C58" s="520" t="str">
        <f t="array" ref="C58">iferror(INDEX('クエスト'!G:G,match(B58,'クエスト'!F:F,0),0),"error")</f>
        <v>手負いの獣は恐ろしいぞ</v>
      </c>
      <c r="D58" s="521" t="str">
        <f t="shared" si="2"/>
        <v>jig1_savage_quest_select_cell</v>
      </c>
      <c r="E58" s="504"/>
      <c r="F58" s="504"/>
      <c r="G58" s="504"/>
    </row>
    <row r="59">
      <c r="A59" s="524" t="s">
        <v>162</v>
      </c>
      <c r="B59" s="525" t="s">
        <v>2773</v>
      </c>
      <c r="C59" s="513" t="str">
        <f t="array" ref="C59">iferror(INDEX('クエスト'!G:G,match(B59,'クエスト'!F:F,0),0),"error")</f>
        <v>お遊戯の時間です</v>
      </c>
      <c r="D59" s="529" t="str">
        <f t="shared" si="2"/>
        <v>you1_1day_quest_select_cell</v>
      </c>
      <c r="E59" s="504"/>
      <c r="F59" s="504"/>
      <c r="G59" s="504"/>
    </row>
    <row r="60">
      <c r="A60" s="522" t="s">
        <v>162</v>
      </c>
      <c r="B60" s="46" t="s">
        <v>2774</v>
      </c>
      <c r="C60" s="90" t="str">
        <f t="array" ref="C60">iferror(INDEX('クエスト'!G:G,match(B60,'クエスト'!F:F,0),0),"error")</f>
        <v>先輩は敬いたまえ</v>
      </c>
      <c r="D60" s="530" t="str">
        <f t="shared" si="2"/>
        <v>you1_charaget01_quest_select_cell</v>
      </c>
      <c r="E60" s="504"/>
      <c r="F60" s="504"/>
      <c r="G60" s="504"/>
    </row>
    <row r="61">
      <c r="A61" s="522" t="s">
        <v>162</v>
      </c>
      <c r="B61" s="46" t="s">
        <v>2775</v>
      </c>
      <c r="C61" s="90" t="str">
        <f t="array" ref="C61">iferror(INDEX('クエスト'!G:G,match(B61,'クエスト'!F:F,0),0),"error")</f>
        <v>兄を助けてくれないか?</v>
      </c>
      <c r="D61" s="530" t="str">
        <f t="shared" si="2"/>
        <v>you1_charaget02_quest_select_cell</v>
      </c>
      <c r="E61" s="504"/>
      <c r="F61" s="504"/>
      <c r="G61" s="504"/>
    </row>
    <row r="62">
      <c r="A62" s="522" t="s">
        <v>162</v>
      </c>
      <c r="B62" s="46" t="s">
        <v>2776</v>
      </c>
      <c r="C62" s="90" t="str">
        <f t="array" ref="C62">iferror(INDEX('クエスト'!G:G,match(B62,'クエスト'!F:F,0),0),"error")</f>
        <v>世界一安全な幼稚園</v>
      </c>
      <c r="D62" s="530" t="str">
        <f t="shared" si="2"/>
        <v>you1_challenge01_quest_select_cell</v>
      </c>
      <c r="E62" s="504"/>
      <c r="F62" s="504"/>
      <c r="G62" s="504"/>
    </row>
    <row r="63">
      <c r="A63" s="523" t="s">
        <v>162</v>
      </c>
      <c r="B63" s="526" t="s">
        <v>2777</v>
      </c>
      <c r="C63" s="520" t="str">
        <f t="array" ref="C63">iferror(INDEX('クエスト'!G:G,match(B63,'クエスト'!F:F,0),0),"error")</f>
        <v>正義だけじゃ何も守れない</v>
      </c>
      <c r="D63" s="532" t="str">
        <f t="shared" si="2"/>
        <v>you1_savage_quest_select_cell</v>
      </c>
      <c r="E63" s="504"/>
      <c r="F63" s="504"/>
      <c r="G63" s="504"/>
    </row>
    <row r="64">
      <c r="A64" s="524" t="s">
        <v>166</v>
      </c>
      <c r="B64" s="525" t="s">
        <v>2778</v>
      </c>
      <c r="C64" s="513" t="str">
        <f t="array" ref="C64">iferror(INDEX('クエスト'!G:G,match(B64,'クエスト'!F:F,0),0),"error")</f>
        <v>恋は盲目</v>
      </c>
      <c r="D64" s="529" t="str">
        <f t="shared" si="2"/>
        <v>kim1_1day_quest_select_cell</v>
      </c>
      <c r="E64" s="504"/>
      <c r="F64" s="504"/>
      <c r="G64" s="504"/>
    </row>
    <row r="65">
      <c r="A65" s="522" t="s">
        <v>166</v>
      </c>
      <c r="B65" s="46" t="s">
        <v>2779</v>
      </c>
      <c r="C65" s="90" t="str">
        <f t="array" ref="C65">iferror(INDEX('クエスト'!G:G,match(B65,'クエスト'!F:F,0),0),"error")</f>
        <v>キスゾンビ♡パニック</v>
      </c>
      <c r="D65" s="530" t="str">
        <f t="shared" si="2"/>
        <v>kim1_charaget01_quest_select_cell</v>
      </c>
      <c r="E65" s="504"/>
      <c r="F65" s="504"/>
      <c r="G65" s="504"/>
    </row>
    <row r="66">
      <c r="A66" s="522" t="s">
        <v>166</v>
      </c>
      <c r="B66" s="46" t="s">
        <v>2780</v>
      </c>
      <c r="C66" s="90" t="str">
        <f t="array" ref="C66">iferror(INDEX('クエスト'!G:G,match(B66,'クエスト'!F:F,0),0),"error")</f>
        <v>最高の恋愛パートナー</v>
      </c>
      <c r="D66" s="530" t="str">
        <f t="shared" si="2"/>
        <v>kim1_charaget02_quest_select_cell</v>
      </c>
      <c r="E66" s="504"/>
      <c r="F66" s="504"/>
      <c r="G66" s="504"/>
    </row>
    <row r="67">
      <c r="A67" s="522" t="s">
        <v>166</v>
      </c>
      <c r="B67" s="46" t="s">
        <v>2781</v>
      </c>
      <c r="C67" s="90" t="str">
        <f t="array" ref="C67">iferror(INDEX('クエスト'!G:G,match(B67,'クエスト'!F:F,0),0),"error")</f>
        <v>恋太郎ファミリー</v>
      </c>
      <c r="D67" s="530" t="str">
        <f t="shared" si="2"/>
        <v>kim1_challenge01_quest_select_cell</v>
      </c>
      <c r="E67" s="504"/>
      <c r="F67" s="504"/>
      <c r="G67" s="504"/>
    </row>
    <row r="68">
      <c r="A68" s="523" t="s">
        <v>166</v>
      </c>
      <c r="B68" s="526" t="s">
        <v>2782</v>
      </c>
      <c r="C68" s="520" t="str">
        <f t="array" ref="C68">iferror(INDEX('クエスト'!G:G,match(B68,'クエスト'!F:F,0),0),"error")</f>
        <v>DEAD OR LOVE</v>
      </c>
      <c r="D68" s="532" t="str">
        <f t="shared" si="2"/>
        <v>kim1_savage_quest_select_cell</v>
      </c>
      <c r="E68" s="504"/>
      <c r="F68" s="504"/>
      <c r="G68" s="504"/>
    </row>
    <row r="69">
      <c r="A69" s="533"/>
      <c r="B69" s="534"/>
      <c r="C69" s="535"/>
      <c r="D69" s="536"/>
      <c r="E69" s="504"/>
      <c r="F69" s="504"/>
      <c r="G69" s="504"/>
    </row>
    <row r="70">
      <c r="A70" s="533"/>
      <c r="B70" s="534"/>
      <c r="C70" s="535"/>
      <c r="D70" s="536"/>
      <c r="E70" s="504"/>
      <c r="F70" s="504"/>
      <c r="G70" s="504"/>
    </row>
    <row r="71">
      <c r="A71" s="533"/>
      <c r="B71" s="534"/>
      <c r="C71" s="535"/>
      <c r="D71" s="536"/>
      <c r="E71" s="504"/>
      <c r="F71" s="504"/>
      <c r="G71" s="504"/>
    </row>
    <row r="72">
      <c r="A72" s="533"/>
      <c r="B72" s="534"/>
      <c r="C72" s="535"/>
      <c r="D72" s="536"/>
      <c r="E72" s="504"/>
      <c r="F72" s="504"/>
      <c r="G72" s="50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13"/>
    <col customWidth="1" min="2" max="2" width="11.5"/>
    <col customWidth="1" min="5" max="5" width="18.38"/>
    <col customWidth="1" min="6" max="6" width="25.0"/>
    <col customWidth="1" min="7" max="7" width="30.5"/>
  </cols>
  <sheetData>
    <row r="1">
      <c r="A1" s="418" t="s">
        <v>2783</v>
      </c>
      <c r="B1" s="418" t="s">
        <v>2784</v>
      </c>
      <c r="C1" s="418" t="s">
        <v>40</v>
      </c>
      <c r="D1" s="501" t="s">
        <v>43</v>
      </c>
      <c r="E1" s="418" t="s">
        <v>2785</v>
      </c>
      <c r="F1" s="418" t="s">
        <v>2786</v>
      </c>
      <c r="G1" s="418" t="s">
        <v>2787</v>
      </c>
    </row>
    <row r="2">
      <c r="A2" s="505" t="s">
        <v>2788</v>
      </c>
      <c r="B2" s="505" t="s">
        <v>2651</v>
      </c>
      <c r="C2" s="505" t="s">
        <v>2651</v>
      </c>
      <c r="D2" s="537" t="s">
        <v>2651</v>
      </c>
      <c r="E2" s="25" t="s">
        <v>2050</v>
      </c>
      <c r="F2" s="505" t="s">
        <v>2053</v>
      </c>
      <c r="G2" s="538" t="str">
        <f t="shared" ref="G2:G26" si="1">"stage_icon_general_"&amp;E2</f>
        <v>stage_icon_general_coin</v>
      </c>
    </row>
    <row r="3">
      <c r="A3" s="505" t="s">
        <v>2788</v>
      </c>
      <c r="B3" s="505" t="s">
        <v>2651</v>
      </c>
      <c r="C3" s="505" t="s">
        <v>2651</v>
      </c>
      <c r="D3" s="537" t="s">
        <v>2651</v>
      </c>
      <c r="E3" s="25" t="s">
        <v>2789</v>
      </c>
      <c r="F3" s="505" t="s">
        <v>2047</v>
      </c>
      <c r="G3" s="538" t="str">
        <f t="shared" si="1"/>
        <v>stage_icon_general_diamond</v>
      </c>
    </row>
    <row r="4">
      <c r="A4" s="505" t="s">
        <v>2788</v>
      </c>
      <c r="B4" s="505" t="s">
        <v>2651</v>
      </c>
      <c r="C4" s="505" t="s">
        <v>2651</v>
      </c>
      <c r="D4" s="537" t="s">
        <v>2651</v>
      </c>
      <c r="E4" s="25" t="s">
        <v>2790</v>
      </c>
      <c r="F4" s="505" t="s">
        <v>2129</v>
      </c>
      <c r="G4" s="538" t="str">
        <f t="shared" si="1"/>
        <v>stage_icon_general_memory_00001</v>
      </c>
    </row>
    <row r="5">
      <c r="A5" s="505" t="s">
        <v>2788</v>
      </c>
      <c r="B5" s="505" t="s">
        <v>2651</v>
      </c>
      <c r="C5" s="505" t="s">
        <v>2651</v>
      </c>
      <c r="D5" s="537" t="s">
        <v>2651</v>
      </c>
      <c r="E5" s="25" t="s">
        <v>2791</v>
      </c>
      <c r="F5" s="505" t="s">
        <v>2131</v>
      </c>
      <c r="G5" s="538" t="str">
        <f t="shared" si="1"/>
        <v>stage_icon_general_memory_00002</v>
      </c>
    </row>
    <row r="6">
      <c r="A6" s="505" t="s">
        <v>2788</v>
      </c>
      <c r="B6" s="505" t="s">
        <v>2651</v>
      </c>
      <c r="C6" s="505" t="s">
        <v>2651</v>
      </c>
      <c r="D6" s="537" t="s">
        <v>2651</v>
      </c>
      <c r="E6" s="25" t="s">
        <v>2792</v>
      </c>
      <c r="F6" s="505" t="s">
        <v>2133</v>
      </c>
      <c r="G6" s="538" t="str">
        <f t="shared" si="1"/>
        <v>stage_icon_general_memory_00003</v>
      </c>
    </row>
    <row r="7">
      <c r="A7" s="505" t="s">
        <v>2788</v>
      </c>
      <c r="B7" s="505" t="s">
        <v>2651</v>
      </c>
      <c r="C7" s="505" t="s">
        <v>2651</v>
      </c>
      <c r="D7" s="537" t="s">
        <v>2651</v>
      </c>
      <c r="E7" s="25" t="s">
        <v>2793</v>
      </c>
      <c r="F7" s="505" t="s">
        <v>2135</v>
      </c>
      <c r="G7" s="538" t="str">
        <f t="shared" si="1"/>
        <v>stage_icon_general_memory_00004</v>
      </c>
    </row>
    <row r="8">
      <c r="A8" s="505" t="s">
        <v>2788</v>
      </c>
      <c r="B8" s="505" t="s">
        <v>2651</v>
      </c>
      <c r="C8" s="505" t="s">
        <v>2651</v>
      </c>
      <c r="D8" s="537" t="s">
        <v>2651</v>
      </c>
      <c r="E8" s="25" t="s">
        <v>2794</v>
      </c>
      <c r="F8" s="505" t="s">
        <v>2137</v>
      </c>
      <c r="G8" s="538" t="str">
        <f t="shared" si="1"/>
        <v>stage_icon_general_memory_00005</v>
      </c>
    </row>
    <row r="9">
      <c r="A9" s="505" t="s">
        <v>2788</v>
      </c>
      <c r="B9" s="505" t="s">
        <v>2651</v>
      </c>
      <c r="C9" s="505" t="s">
        <v>2651</v>
      </c>
      <c r="D9" s="537" t="s">
        <v>2651</v>
      </c>
      <c r="E9" s="25" t="s">
        <v>2795</v>
      </c>
      <c r="F9" s="505" t="s">
        <v>2140</v>
      </c>
      <c r="G9" s="538" t="str">
        <f t="shared" si="1"/>
        <v>stage_icon_general_fragment_00001</v>
      </c>
    </row>
    <row r="10">
      <c r="A10" s="505" t="s">
        <v>2788</v>
      </c>
      <c r="B10" s="505" t="s">
        <v>2651</v>
      </c>
      <c r="C10" s="505" t="s">
        <v>2651</v>
      </c>
      <c r="D10" s="537" t="s">
        <v>2651</v>
      </c>
      <c r="E10" s="25" t="s">
        <v>2796</v>
      </c>
      <c r="F10" s="505" t="s">
        <v>2142</v>
      </c>
      <c r="G10" s="538" t="str">
        <f t="shared" si="1"/>
        <v>stage_icon_general_fragment_00002</v>
      </c>
    </row>
    <row r="11">
      <c r="A11" s="505" t="s">
        <v>2788</v>
      </c>
      <c r="B11" s="505" t="s">
        <v>2651</v>
      </c>
      <c r="C11" s="505" t="s">
        <v>2651</v>
      </c>
      <c r="D11" s="537" t="s">
        <v>2651</v>
      </c>
      <c r="E11" s="25" t="s">
        <v>2797</v>
      </c>
      <c r="F11" s="505" t="s">
        <v>2143</v>
      </c>
      <c r="G11" s="538" t="str">
        <f t="shared" si="1"/>
        <v>stage_icon_general_fragment_00003</v>
      </c>
    </row>
    <row r="12">
      <c r="A12" s="505" t="s">
        <v>2788</v>
      </c>
      <c r="B12" s="505" t="s">
        <v>2651</v>
      </c>
      <c r="C12" s="505" t="s">
        <v>2651</v>
      </c>
      <c r="D12" s="537" t="s">
        <v>2651</v>
      </c>
      <c r="E12" s="25" t="s">
        <v>2798</v>
      </c>
      <c r="F12" s="505" t="s">
        <v>2145</v>
      </c>
      <c r="G12" s="538" t="str">
        <f t="shared" si="1"/>
        <v>stage_icon_general_box_00001</v>
      </c>
    </row>
    <row r="13">
      <c r="A13" s="505" t="s">
        <v>2788</v>
      </c>
      <c r="B13" s="505" t="s">
        <v>2651</v>
      </c>
      <c r="C13" s="505" t="s">
        <v>2651</v>
      </c>
      <c r="D13" s="537" t="s">
        <v>2651</v>
      </c>
      <c r="E13" s="25" t="s">
        <v>2799</v>
      </c>
      <c r="F13" s="505" t="s">
        <v>2147</v>
      </c>
      <c r="G13" s="538" t="str">
        <f t="shared" si="1"/>
        <v>stage_icon_general_box_00002</v>
      </c>
    </row>
    <row r="14">
      <c r="A14" s="505" t="s">
        <v>2788</v>
      </c>
      <c r="B14" s="505" t="s">
        <v>2651</v>
      </c>
      <c r="C14" s="505" t="s">
        <v>2651</v>
      </c>
      <c r="D14" s="537" t="s">
        <v>2651</v>
      </c>
      <c r="E14" s="25" t="s">
        <v>2800</v>
      </c>
      <c r="F14" s="505" t="s">
        <v>2149</v>
      </c>
      <c r="G14" s="538" t="str">
        <f t="shared" si="1"/>
        <v>stage_icon_general_box_00003</v>
      </c>
    </row>
    <row r="15">
      <c r="A15" s="505" t="s">
        <v>2788</v>
      </c>
      <c r="B15" s="505" t="s">
        <v>2651</v>
      </c>
      <c r="C15" s="505" t="s">
        <v>2651</v>
      </c>
      <c r="D15" s="537" t="s">
        <v>2651</v>
      </c>
      <c r="E15" s="25" t="s">
        <v>2801</v>
      </c>
      <c r="F15" s="505" t="s">
        <v>2151</v>
      </c>
      <c r="G15" s="538" t="str">
        <f t="shared" si="1"/>
        <v>stage_icon_general_box_00004</v>
      </c>
    </row>
    <row r="16">
      <c r="A16" s="505" t="s">
        <v>2788</v>
      </c>
      <c r="B16" s="505" t="s">
        <v>2651</v>
      </c>
      <c r="C16" s="505" t="s">
        <v>2651</v>
      </c>
      <c r="D16" s="537" t="s">
        <v>2651</v>
      </c>
      <c r="E16" s="25" t="s">
        <v>2802</v>
      </c>
      <c r="F16" s="505" t="s">
        <v>2153</v>
      </c>
      <c r="G16" s="538" t="str">
        <f t="shared" si="1"/>
        <v>stage_icon_general_box_00005</v>
      </c>
    </row>
    <row r="17">
      <c r="A17" s="505" t="s">
        <v>2788</v>
      </c>
      <c r="B17" s="505" t="s">
        <v>2651</v>
      </c>
      <c r="C17" s="505" t="s">
        <v>2651</v>
      </c>
      <c r="D17" s="537" t="s">
        <v>2651</v>
      </c>
      <c r="E17" s="25" t="s">
        <v>2803</v>
      </c>
      <c r="F17" s="505" t="s">
        <v>2155</v>
      </c>
      <c r="G17" s="538" t="str">
        <f t="shared" si="1"/>
        <v>stage_icon_general_box_00006</v>
      </c>
    </row>
    <row r="18">
      <c r="A18" s="505" t="s">
        <v>2788</v>
      </c>
      <c r="B18" s="505" t="s">
        <v>2651</v>
      </c>
      <c r="C18" s="505" t="s">
        <v>2651</v>
      </c>
      <c r="D18" s="537" t="s">
        <v>2651</v>
      </c>
      <c r="E18" s="25" t="s">
        <v>2804</v>
      </c>
      <c r="F18" s="505" t="s">
        <v>2158</v>
      </c>
      <c r="G18" s="538" t="str">
        <f t="shared" si="1"/>
        <v>stage_icon_general_box_00007</v>
      </c>
    </row>
    <row r="19">
      <c r="A19" s="505" t="s">
        <v>2788</v>
      </c>
      <c r="B19" s="505" t="s">
        <v>2651</v>
      </c>
      <c r="C19" s="505" t="s">
        <v>2651</v>
      </c>
      <c r="D19" s="537" t="s">
        <v>2651</v>
      </c>
      <c r="E19" s="25" t="s">
        <v>2805</v>
      </c>
      <c r="F19" s="505" t="s">
        <v>2161</v>
      </c>
      <c r="G19" s="538" t="str">
        <f t="shared" si="1"/>
        <v>stage_icon_general_box_00008</v>
      </c>
    </row>
    <row r="20">
      <c r="A20" s="505" t="s">
        <v>2788</v>
      </c>
      <c r="B20" s="505" t="s">
        <v>2651</v>
      </c>
      <c r="C20" s="505" t="s">
        <v>2651</v>
      </c>
      <c r="D20" s="537" t="s">
        <v>2651</v>
      </c>
      <c r="E20" s="25" t="s">
        <v>2806</v>
      </c>
      <c r="F20" s="505" t="s">
        <v>2064</v>
      </c>
      <c r="G20" s="538" t="str">
        <f t="shared" si="1"/>
        <v>stage_icon_general_ticket_00001</v>
      </c>
    </row>
    <row r="21">
      <c r="A21" s="505" t="s">
        <v>2788</v>
      </c>
      <c r="B21" s="505" t="s">
        <v>2651</v>
      </c>
      <c r="C21" s="505" t="s">
        <v>2651</v>
      </c>
      <c r="D21" s="537" t="s">
        <v>2651</v>
      </c>
      <c r="E21" s="25" t="s">
        <v>2807</v>
      </c>
      <c r="F21" s="505" t="s">
        <v>2071</v>
      </c>
      <c r="G21" s="538" t="str">
        <f t="shared" si="1"/>
        <v>stage_icon_general_ticket_00002</v>
      </c>
    </row>
    <row r="22">
      <c r="A22" s="505" t="s">
        <v>2788</v>
      </c>
      <c r="B22" s="505" t="s">
        <v>2651</v>
      </c>
      <c r="C22" s="505" t="s">
        <v>2651</v>
      </c>
      <c r="D22" s="537" t="s">
        <v>2651</v>
      </c>
      <c r="E22" s="25" t="s">
        <v>2808</v>
      </c>
      <c r="F22" s="505" t="s">
        <v>2068</v>
      </c>
      <c r="G22" s="538" t="str">
        <f t="shared" si="1"/>
        <v>stage_icon_general_ticket_00003</v>
      </c>
    </row>
    <row r="23">
      <c r="A23" s="505" t="s">
        <v>2788</v>
      </c>
      <c r="B23" s="505" t="s">
        <v>2651</v>
      </c>
      <c r="C23" s="505" t="s">
        <v>2651</v>
      </c>
      <c r="D23" s="537" t="s">
        <v>2651</v>
      </c>
      <c r="E23" s="25" t="s">
        <v>2809</v>
      </c>
      <c r="F23" s="197" t="s">
        <v>2421</v>
      </c>
      <c r="G23" s="538" t="str">
        <f t="shared" si="1"/>
        <v>stage_icon_general_exchange_00001</v>
      </c>
    </row>
    <row r="24">
      <c r="A24" s="505" t="s">
        <v>2788</v>
      </c>
      <c r="B24" s="505" t="s">
        <v>2651</v>
      </c>
      <c r="C24" s="505" t="s">
        <v>2651</v>
      </c>
      <c r="D24" s="537" t="s">
        <v>2651</v>
      </c>
      <c r="E24" s="25" t="s">
        <v>2810</v>
      </c>
      <c r="F24" s="197" t="s">
        <v>2423</v>
      </c>
      <c r="G24" s="538" t="str">
        <f t="shared" si="1"/>
        <v>stage_icon_general_exchange_00002</v>
      </c>
    </row>
    <row r="25">
      <c r="A25" s="505" t="s">
        <v>2788</v>
      </c>
      <c r="B25" s="505" t="s">
        <v>2651</v>
      </c>
      <c r="C25" s="505" t="s">
        <v>2651</v>
      </c>
      <c r="D25" s="537" t="s">
        <v>2651</v>
      </c>
      <c r="E25" s="25" t="s">
        <v>2811</v>
      </c>
      <c r="F25" s="197" t="s">
        <v>2425</v>
      </c>
      <c r="G25" s="538" t="str">
        <f t="shared" si="1"/>
        <v>stage_icon_general_exchange_00003</v>
      </c>
    </row>
    <row r="26">
      <c r="A26" s="505" t="s">
        <v>2788</v>
      </c>
      <c r="B26" s="505" t="s">
        <v>2651</v>
      </c>
      <c r="C26" s="505" t="s">
        <v>2651</v>
      </c>
      <c r="D26" s="537" t="s">
        <v>2651</v>
      </c>
      <c r="E26" s="25" t="s">
        <v>2812</v>
      </c>
      <c r="F26" s="197" t="s">
        <v>2426</v>
      </c>
      <c r="G26" s="538" t="str">
        <f t="shared" si="1"/>
        <v>stage_icon_general_exchange_00004</v>
      </c>
    </row>
    <row r="27">
      <c r="A27" s="45"/>
      <c r="B27" s="45"/>
      <c r="C27" s="45"/>
      <c r="D27" s="90"/>
      <c r="E27" s="59"/>
      <c r="F27" s="45"/>
      <c r="G27" s="29"/>
    </row>
    <row r="28">
      <c r="A28" s="45" t="s">
        <v>2813</v>
      </c>
      <c r="B28" s="45">
        <v>1.0</v>
      </c>
      <c r="C28" s="45" t="s">
        <v>115</v>
      </c>
      <c r="D28" s="90" t="str">
        <f t="array" ref="D28">iferror(INDEX('作品'!D:D,MATCH(left(C28,3),'作品'!A:A,0),0),"error")</f>
        <v>怪獣８号</v>
      </c>
      <c r="E28" s="59">
        <v>1.0</v>
      </c>
      <c r="F28" s="45" t="s">
        <v>2814</v>
      </c>
      <c r="G28" s="29" t="str">
        <f t="shared" ref="G28:G37" si="2">"stage_icon_event_"&amp;C28&amp;B28&amp;"_"&amp;text(E28,"00000")</f>
        <v>stage_icon_event_kai1_00001</v>
      </c>
    </row>
    <row r="29">
      <c r="A29" s="45" t="s">
        <v>2813</v>
      </c>
      <c r="B29" s="45">
        <v>1.0</v>
      </c>
      <c r="C29" s="45" t="s">
        <v>115</v>
      </c>
      <c r="D29" s="90" t="str">
        <f t="array" ref="D29">iferror(INDEX('作品'!D:D,MATCH(left(C29,3),'作品'!A:A,0),0),"error")</f>
        <v>怪獣８号</v>
      </c>
      <c r="E29" s="59">
        <v>2.0</v>
      </c>
      <c r="F29" s="45" t="s">
        <v>2815</v>
      </c>
      <c r="G29" s="29" t="str">
        <f t="shared" si="2"/>
        <v>stage_icon_event_kai1_00002</v>
      </c>
    </row>
    <row r="30">
      <c r="A30" s="45" t="s">
        <v>2813</v>
      </c>
      <c r="B30" s="45">
        <v>1.0</v>
      </c>
      <c r="C30" s="45" t="s">
        <v>115</v>
      </c>
      <c r="D30" s="90" t="str">
        <f t="array" ref="D30">iferror(INDEX('作品'!D:D,MATCH(left(C30,3),'作品'!A:A,0),0),"error")</f>
        <v>怪獣８号</v>
      </c>
      <c r="E30" s="59">
        <v>3.0</v>
      </c>
      <c r="F30" s="45" t="s">
        <v>2816</v>
      </c>
      <c r="G30" s="29" t="str">
        <f t="shared" si="2"/>
        <v>stage_icon_event_kai1_00003</v>
      </c>
    </row>
    <row r="31">
      <c r="A31" s="45" t="s">
        <v>2813</v>
      </c>
      <c r="B31" s="45">
        <v>1.0</v>
      </c>
      <c r="C31" s="45" t="s">
        <v>115</v>
      </c>
      <c r="D31" s="90" t="str">
        <f t="array" ref="D31">iferror(INDEX('作品'!D:D,MATCH(left(C31,3),'作品'!A:A,0),0),"error")</f>
        <v>怪獣８号</v>
      </c>
      <c r="E31" s="59">
        <v>4.0</v>
      </c>
      <c r="F31" s="45" t="s">
        <v>2817</v>
      </c>
      <c r="G31" s="29" t="str">
        <f t="shared" si="2"/>
        <v>stage_icon_event_kai1_00004</v>
      </c>
    </row>
    <row r="32">
      <c r="A32" s="45" t="s">
        <v>2813</v>
      </c>
      <c r="B32" s="45">
        <v>1.0</v>
      </c>
      <c r="C32" s="45" t="s">
        <v>115</v>
      </c>
      <c r="D32" s="90" t="str">
        <f t="array" ref="D32">iferror(INDEX('作品'!D:D,MATCH(left(C32,3),'作品'!A:A,0),0),"error")</f>
        <v>怪獣８号</v>
      </c>
      <c r="E32" s="59">
        <v>5.0</v>
      </c>
      <c r="F32" s="45" t="s">
        <v>2818</v>
      </c>
      <c r="G32" s="29" t="str">
        <f t="shared" si="2"/>
        <v>stage_icon_event_kai1_00005</v>
      </c>
    </row>
    <row r="33">
      <c r="A33" s="45" t="s">
        <v>2813</v>
      </c>
      <c r="B33" s="45">
        <v>1.0</v>
      </c>
      <c r="C33" s="45" t="s">
        <v>115</v>
      </c>
      <c r="D33" s="90" t="str">
        <f t="array" ref="D33">iferror(INDEX('作品'!D:D,MATCH(left(C33,3),'作品'!A:A,0),0),"error")</f>
        <v>怪獣８号</v>
      </c>
      <c r="E33" s="59">
        <v>6.0</v>
      </c>
      <c r="F33" s="45" t="s">
        <v>2819</v>
      </c>
      <c r="G33" s="29" t="str">
        <f t="shared" si="2"/>
        <v>stage_icon_event_kai1_00006</v>
      </c>
    </row>
    <row r="34">
      <c r="A34" s="45" t="s">
        <v>2813</v>
      </c>
      <c r="B34" s="45">
        <v>1.0</v>
      </c>
      <c r="C34" s="45" t="s">
        <v>115</v>
      </c>
      <c r="D34" s="90" t="str">
        <f t="array" ref="D34">iferror(INDEX('作品'!D:D,MATCH(left(C34,3),'作品'!A:A,0),0),"error")</f>
        <v>怪獣８号</v>
      </c>
      <c r="E34" s="59">
        <v>7.0</v>
      </c>
      <c r="F34" s="45" t="s">
        <v>2820</v>
      </c>
      <c r="G34" s="29" t="str">
        <f t="shared" si="2"/>
        <v>stage_icon_event_kai1_00007</v>
      </c>
    </row>
    <row r="35">
      <c r="A35" s="45" t="s">
        <v>2813</v>
      </c>
      <c r="B35" s="45">
        <v>1.0</v>
      </c>
      <c r="C35" s="45" t="s">
        <v>115</v>
      </c>
      <c r="D35" s="90" t="str">
        <f t="array" ref="D35">iferror(INDEX('作品'!D:D,MATCH(left(C35,3),'作品'!A:A,0),0),"error")</f>
        <v>怪獣８号</v>
      </c>
      <c r="E35" s="59">
        <v>8.0</v>
      </c>
      <c r="F35" s="45" t="s">
        <v>2821</v>
      </c>
      <c r="G35" s="29" t="str">
        <f t="shared" si="2"/>
        <v>stage_icon_event_kai1_00008</v>
      </c>
    </row>
    <row r="36">
      <c r="A36" s="45" t="s">
        <v>2813</v>
      </c>
      <c r="B36" s="45">
        <v>1.0</v>
      </c>
      <c r="C36" s="45" t="s">
        <v>115</v>
      </c>
      <c r="D36" s="90" t="str">
        <f t="array" ref="D36">iferror(INDEX('作品'!D:D,MATCH(left(C36,3),'作品'!A:A,0),0),"error")</f>
        <v>怪獣８号</v>
      </c>
      <c r="E36" s="59">
        <v>9.0</v>
      </c>
      <c r="F36" s="45" t="s">
        <v>2822</v>
      </c>
      <c r="G36" s="29" t="str">
        <f t="shared" si="2"/>
        <v>stage_icon_event_kai1_00009</v>
      </c>
    </row>
    <row r="37">
      <c r="A37" s="45" t="s">
        <v>2813</v>
      </c>
      <c r="B37" s="45">
        <v>1.0</v>
      </c>
      <c r="C37" s="45" t="s">
        <v>115</v>
      </c>
      <c r="D37" s="90" t="str">
        <f t="array" ref="D37">iferror(INDEX('作品'!D:D,MATCH(left(C37,3),'作品'!A:A,0),0),"error")</f>
        <v>怪獣８号</v>
      </c>
      <c r="E37" s="59">
        <v>10.0</v>
      </c>
      <c r="F37" s="45" t="s">
        <v>2823</v>
      </c>
      <c r="G37" s="29" t="str">
        <f t="shared" si="2"/>
        <v>stage_icon_event_kai1_00010</v>
      </c>
    </row>
    <row r="38">
      <c r="A38" s="505"/>
      <c r="B38" s="505"/>
      <c r="C38" s="505"/>
      <c r="D38" s="537"/>
      <c r="E38" s="25"/>
      <c r="F38" s="505"/>
      <c r="G38" s="29"/>
    </row>
    <row r="39">
      <c r="A39" s="45" t="s">
        <v>2813</v>
      </c>
      <c r="B39" s="45">
        <v>1.0</v>
      </c>
      <c r="C39" s="45" t="s">
        <v>60</v>
      </c>
      <c r="D39" s="90" t="str">
        <f t="array" ref="D39">iferror(INDEX('作品'!D:D,MATCH(left(C39,3),'作品'!A:A,0),0),"error")</f>
        <v>SPY×FAMILY</v>
      </c>
      <c r="E39" s="59">
        <v>1.0</v>
      </c>
      <c r="F39" s="45" t="s">
        <v>2824</v>
      </c>
      <c r="G39" s="29" t="str">
        <f t="shared" ref="G39:G48" si="3">"stage_icon_event_"&amp;C39&amp;B39&amp;"_"&amp;text(E39,"00000")</f>
        <v>stage_icon_event_spy1_00001</v>
      </c>
    </row>
    <row r="40">
      <c r="A40" s="45" t="s">
        <v>2813</v>
      </c>
      <c r="B40" s="45">
        <v>1.0</v>
      </c>
      <c r="C40" s="45" t="s">
        <v>60</v>
      </c>
      <c r="D40" s="90" t="str">
        <f t="array" ref="D40">iferror(INDEX('作品'!D:D,MATCH(left(C40,3),'作品'!A:A,0),0),"error")</f>
        <v>SPY×FAMILY</v>
      </c>
      <c r="E40" s="59">
        <v>2.0</v>
      </c>
      <c r="F40" s="45" t="s">
        <v>2179</v>
      </c>
      <c r="G40" s="29" t="str">
        <f t="shared" si="3"/>
        <v>stage_icon_event_spy1_00002</v>
      </c>
    </row>
    <row r="41">
      <c r="A41" s="45" t="s">
        <v>2813</v>
      </c>
      <c r="B41" s="45">
        <v>1.0</v>
      </c>
      <c r="C41" s="45" t="s">
        <v>60</v>
      </c>
      <c r="D41" s="90" t="str">
        <f t="array" ref="D41">iferror(INDEX('作品'!D:D,MATCH(left(C41,3),'作品'!A:A,0),0),"error")</f>
        <v>SPY×FAMILY</v>
      </c>
      <c r="E41" s="59">
        <v>3.0</v>
      </c>
      <c r="F41" s="45" t="s">
        <v>2825</v>
      </c>
      <c r="G41" s="29" t="str">
        <f t="shared" si="3"/>
        <v>stage_icon_event_spy1_00003</v>
      </c>
    </row>
    <row r="42">
      <c r="A42" s="45" t="s">
        <v>2813</v>
      </c>
      <c r="B42" s="45">
        <v>1.0</v>
      </c>
      <c r="C42" s="45" t="s">
        <v>60</v>
      </c>
      <c r="D42" s="90" t="str">
        <f t="array" ref="D42">iferror(INDEX('作品'!D:D,MATCH(left(C42,3),'作品'!A:A,0),0),"error")</f>
        <v>SPY×FAMILY</v>
      </c>
      <c r="E42" s="59">
        <v>4.0</v>
      </c>
      <c r="F42" s="45" t="s">
        <v>2826</v>
      </c>
      <c r="G42" s="29" t="str">
        <f t="shared" si="3"/>
        <v>stage_icon_event_spy1_00004</v>
      </c>
    </row>
    <row r="43">
      <c r="A43" s="45" t="s">
        <v>2813</v>
      </c>
      <c r="B43" s="45">
        <v>1.0</v>
      </c>
      <c r="C43" s="45" t="s">
        <v>60</v>
      </c>
      <c r="D43" s="90" t="str">
        <f t="array" ref="D43">iferror(INDEX('作品'!D:D,MATCH(left(C43,3),'作品'!A:A,0),0),"error")</f>
        <v>SPY×FAMILY</v>
      </c>
      <c r="E43" s="59">
        <v>5.0</v>
      </c>
      <c r="F43" s="45" t="s">
        <v>2181</v>
      </c>
      <c r="G43" s="29" t="str">
        <f t="shared" si="3"/>
        <v>stage_icon_event_spy1_00005</v>
      </c>
    </row>
    <row r="44">
      <c r="A44" s="45" t="s">
        <v>2813</v>
      </c>
      <c r="B44" s="45">
        <v>1.0</v>
      </c>
      <c r="C44" s="45" t="s">
        <v>60</v>
      </c>
      <c r="D44" s="90" t="str">
        <f t="array" ref="D44">iferror(INDEX('作品'!D:D,MATCH(left(C44,3),'作品'!A:A,0),0),"error")</f>
        <v>SPY×FAMILY</v>
      </c>
      <c r="E44" s="59">
        <v>6.0</v>
      </c>
      <c r="F44" s="45" t="s">
        <v>2827</v>
      </c>
      <c r="G44" s="29" t="str">
        <f t="shared" si="3"/>
        <v>stage_icon_event_spy1_00006</v>
      </c>
    </row>
    <row r="45">
      <c r="A45" s="45" t="s">
        <v>2813</v>
      </c>
      <c r="B45" s="45">
        <v>1.0</v>
      </c>
      <c r="C45" s="45" t="s">
        <v>60</v>
      </c>
      <c r="D45" s="90" t="str">
        <f t="array" ref="D45">iferror(INDEX('作品'!D:D,MATCH(left(C45,3),'作品'!A:A,0),0),"error")</f>
        <v>SPY×FAMILY</v>
      </c>
      <c r="E45" s="59">
        <v>7.0</v>
      </c>
      <c r="F45" s="45" t="s">
        <v>2828</v>
      </c>
      <c r="G45" s="29" t="str">
        <f t="shared" si="3"/>
        <v>stage_icon_event_spy1_00007</v>
      </c>
    </row>
    <row r="46">
      <c r="A46" s="45" t="s">
        <v>2813</v>
      </c>
      <c r="B46" s="45">
        <v>1.0</v>
      </c>
      <c r="C46" s="45" t="s">
        <v>60</v>
      </c>
      <c r="D46" s="90" t="str">
        <f t="array" ref="D46">iferror(INDEX('作品'!D:D,MATCH(left(C46,3),'作品'!A:A,0),0),"error")</f>
        <v>SPY×FAMILY</v>
      </c>
      <c r="E46" s="59">
        <v>8.0</v>
      </c>
      <c r="F46" s="45" t="s">
        <v>2829</v>
      </c>
      <c r="G46" s="29" t="str">
        <f t="shared" si="3"/>
        <v>stage_icon_event_spy1_00008</v>
      </c>
    </row>
    <row r="47">
      <c r="A47" s="45" t="s">
        <v>2813</v>
      </c>
      <c r="B47" s="45">
        <v>1.0</v>
      </c>
      <c r="C47" s="45" t="s">
        <v>60</v>
      </c>
      <c r="D47" s="90" t="str">
        <f t="array" ref="D47">iferror(INDEX('作品'!D:D,MATCH(left(C47,3),'作品'!A:A,0),0),"error")</f>
        <v>SPY×FAMILY</v>
      </c>
      <c r="E47" s="59">
        <v>9.0</v>
      </c>
      <c r="F47" s="45" t="s">
        <v>2830</v>
      </c>
      <c r="G47" s="29" t="str">
        <f t="shared" si="3"/>
        <v>stage_icon_event_spy1_00009</v>
      </c>
    </row>
    <row r="48">
      <c r="A48" s="45" t="s">
        <v>2813</v>
      </c>
      <c r="B48" s="45">
        <v>1.0</v>
      </c>
      <c r="C48" s="45" t="s">
        <v>60</v>
      </c>
      <c r="D48" s="90" t="str">
        <f t="array" ref="D48">iferror(INDEX('作品'!D:D,MATCH(left(C48,3),'作品'!A:A,0),0),"error")</f>
        <v>SPY×FAMILY</v>
      </c>
      <c r="E48" s="59">
        <v>10.0</v>
      </c>
      <c r="F48" s="45" t="s">
        <v>23</v>
      </c>
      <c r="G48" s="29" t="str">
        <f t="shared" si="3"/>
        <v>stage_icon_event_spy1_00010</v>
      </c>
    </row>
    <row r="49">
      <c r="A49" s="539"/>
      <c r="B49" s="539"/>
      <c r="C49" s="539"/>
      <c r="D49" s="539"/>
      <c r="E49" s="539"/>
      <c r="F49" s="539"/>
      <c r="G49" s="539"/>
    </row>
    <row r="50">
      <c r="A50" s="101" t="s">
        <v>2813</v>
      </c>
      <c r="B50" s="101">
        <v>1.0</v>
      </c>
      <c r="C50" s="106" t="s">
        <v>80</v>
      </c>
      <c r="D50" s="540" t="str">
        <f t="array" ref="D50">iferror(INDEX('作品'!D:D,MATCH(left(C50,3),'作品'!A:A,0),0),"error")</f>
        <v>ダンダダン</v>
      </c>
      <c r="E50" s="234">
        <v>1.0</v>
      </c>
      <c r="F50" s="106" t="s">
        <v>2831</v>
      </c>
      <c r="G50" s="541" t="str">
        <f t="shared" ref="G50:G61" si="4">"stage_icon_event_"&amp;C50&amp;B50&amp;"_"&amp;text(E50,"00000")</f>
        <v>stage_icon_event_dan1_00001</v>
      </c>
    </row>
    <row r="51">
      <c r="A51" s="101" t="s">
        <v>2813</v>
      </c>
      <c r="B51" s="101">
        <v>1.0</v>
      </c>
      <c r="C51" s="106" t="s">
        <v>80</v>
      </c>
      <c r="D51" s="540" t="str">
        <f t="array" ref="D51">iferror(INDEX('作品'!D:D,MATCH(left(C51,3),'作品'!A:A,0),0),"error")</f>
        <v>ダンダダン</v>
      </c>
      <c r="E51" s="234">
        <v>2.0</v>
      </c>
      <c r="F51" s="106" t="s">
        <v>2203</v>
      </c>
      <c r="G51" s="541" t="str">
        <f t="shared" si="4"/>
        <v>stage_icon_event_dan1_00002</v>
      </c>
    </row>
    <row r="52">
      <c r="A52" s="101" t="s">
        <v>2813</v>
      </c>
      <c r="B52" s="101">
        <v>1.0</v>
      </c>
      <c r="C52" s="106" t="s">
        <v>80</v>
      </c>
      <c r="D52" s="540" t="str">
        <f t="array" ref="D52">iferror(INDEX('作品'!D:D,MATCH(left(C52,3),'作品'!A:A,0),0),"error")</f>
        <v>ダンダダン</v>
      </c>
      <c r="E52" s="234">
        <v>3.0</v>
      </c>
      <c r="F52" s="106" t="s">
        <v>2832</v>
      </c>
      <c r="G52" s="541" t="str">
        <f t="shared" si="4"/>
        <v>stage_icon_event_dan1_00003</v>
      </c>
    </row>
    <row r="53">
      <c r="A53" s="101" t="s">
        <v>2813</v>
      </c>
      <c r="B53" s="101">
        <v>1.0</v>
      </c>
      <c r="C53" s="106" t="s">
        <v>80</v>
      </c>
      <c r="D53" s="540" t="str">
        <f t="array" ref="D53">iferror(INDEX('作品'!D:D,MATCH(left(C53,3),'作品'!A:A,0),0),"error")</f>
        <v>ダンダダン</v>
      </c>
      <c r="E53" s="234">
        <v>4.0</v>
      </c>
      <c r="F53" s="106" t="s">
        <v>2833</v>
      </c>
      <c r="G53" s="541" t="str">
        <f t="shared" si="4"/>
        <v>stage_icon_event_dan1_00004</v>
      </c>
    </row>
    <row r="54">
      <c r="A54" s="101" t="s">
        <v>2813</v>
      </c>
      <c r="B54" s="101">
        <v>1.0</v>
      </c>
      <c r="C54" s="106" t="s">
        <v>80</v>
      </c>
      <c r="D54" s="540" t="str">
        <f t="array" ref="D54">iferror(INDEX('作品'!D:D,MATCH(left(C54,3),'作品'!A:A,0),0),"error")</f>
        <v>ダンダダン</v>
      </c>
      <c r="E54" s="234">
        <v>5.0</v>
      </c>
      <c r="F54" s="106" t="s">
        <v>2199</v>
      </c>
      <c r="G54" s="541" t="str">
        <f t="shared" si="4"/>
        <v>stage_icon_event_dan1_00005</v>
      </c>
    </row>
    <row r="55">
      <c r="A55" s="101" t="s">
        <v>2813</v>
      </c>
      <c r="B55" s="101">
        <v>1.0</v>
      </c>
      <c r="C55" s="106" t="s">
        <v>80</v>
      </c>
      <c r="D55" s="540" t="str">
        <f t="array" ref="D55">iferror(INDEX('作品'!D:D,MATCH(left(C55,3),'作品'!A:A,0),0),"error")</f>
        <v>ダンダダン</v>
      </c>
      <c r="E55" s="234">
        <v>6.0</v>
      </c>
      <c r="F55" s="106" t="s">
        <v>2834</v>
      </c>
      <c r="G55" s="541" t="str">
        <f t="shared" si="4"/>
        <v>stage_icon_event_dan1_00006</v>
      </c>
    </row>
    <row r="56">
      <c r="A56" s="101" t="s">
        <v>2813</v>
      </c>
      <c r="B56" s="101">
        <v>1.0</v>
      </c>
      <c r="C56" s="106" t="s">
        <v>80</v>
      </c>
      <c r="D56" s="540" t="str">
        <f t="array" ref="D56">iferror(INDEX('作品'!D:D,MATCH(left(C56,3),'作品'!A:A,0),0),"error")</f>
        <v>ダンダダン</v>
      </c>
      <c r="E56" s="234">
        <v>7.0</v>
      </c>
      <c r="F56" s="106" t="s">
        <v>2835</v>
      </c>
      <c r="G56" s="541" t="str">
        <f t="shared" si="4"/>
        <v>stage_icon_event_dan1_00007</v>
      </c>
    </row>
    <row r="57">
      <c r="A57" s="101" t="s">
        <v>2813</v>
      </c>
      <c r="B57" s="101">
        <v>1.0</v>
      </c>
      <c r="C57" s="106" t="s">
        <v>80</v>
      </c>
      <c r="D57" s="540" t="str">
        <f t="array" ref="D57">iferror(INDEX('作品'!D:D,MATCH(left(C57,3),'作品'!A:A,0),0),"error")</f>
        <v>ダンダダン</v>
      </c>
      <c r="E57" s="234">
        <v>8.0</v>
      </c>
      <c r="F57" s="106" t="s">
        <v>2836</v>
      </c>
      <c r="G57" s="541" t="str">
        <f t="shared" si="4"/>
        <v>stage_icon_event_dan1_00008</v>
      </c>
    </row>
    <row r="58">
      <c r="A58" s="101" t="s">
        <v>2813</v>
      </c>
      <c r="B58" s="101">
        <v>1.0</v>
      </c>
      <c r="C58" s="106" t="s">
        <v>80</v>
      </c>
      <c r="D58" s="540" t="str">
        <f t="array" ref="D58">iferror(INDEX('作品'!D:D,MATCH(left(C58,3),'作品'!A:A,0),0),"error")</f>
        <v>ダンダダン</v>
      </c>
      <c r="E58" s="234">
        <v>9.0</v>
      </c>
      <c r="F58" s="106" t="s">
        <v>2837</v>
      </c>
      <c r="G58" s="541" t="str">
        <f t="shared" si="4"/>
        <v>stage_icon_event_dan1_00009</v>
      </c>
    </row>
    <row r="59">
      <c r="A59" s="101" t="s">
        <v>2813</v>
      </c>
      <c r="B59" s="101">
        <v>1.0</v>
      </c>
      <c r="C59" s="106" t="s">
        <v>80</v>
      </c>
      <c r="D59" s="540" t="str">
        <f t="array" ref="D59">iferror(INDEX('作品'!D:D,MATCH(left(C59,3),'作品'!A:A,0),0),"error")</f>
        <v>ダンダダン</v>
      </c>
      <c r="E59" s="234">
        <v>10.0</v>
      </c>
      <c r="F59" s="101" t="s">
        <v>23</v>
      </c>
      <c r="G59" s="541" t="str">
        <f t="shared" si="4"/>
        <v>stage_icon_event_dan1_00010</v>
      </c>
    </row>
    <row r="60">
      <c r="A60" s="101" t="s">
        <v>2813</v>
      </c>
      <c r="B60" s="101">
        <v>1.0</v>
      </c>
      <c r="C60" s="106" t="s">
        <v>80</v>
      </c>
      <c r="D60" s="540" t="str">
        <f t="array" ref="D60">iferror(INDEX('作品'!D:D,MATCH(left(C60,3),'作品'!A:A,0),0),"error")</f>
        <v>ダンダダン</v>
      </c>
      <c r="E60" s="234">
        <v>11.0</v>
      </c>
      <c r="F60" s="106" t="s">
        <v>2195</v>
      </c>
      <c r="G60" s="541" t="str">
        <f t="shared" si="4"/>
        <v>stage_icon_event_dan1_00011</v>
      </c>
    </row>
    <row r="61">
      <c r="A61" s="101" t="s">
        <v>2813</v>
      </c>
      <c r="B61" s="101">
        <v>1.0</v>
      </c>
      <c r="C61" s="106" t="s">
        <v>80</v>
      </c>
      <c r="D61" s="540" t="str">
        <f t="array" ref="D61">iferror(INDEX('作品'!D:D,MATCH(left(C61,3),'作品'!A:A,0),0),"error")</f>
        <v>ダンダダン</v>
      </c>
      <c r="E61" s="234">
        <v>12.0</v>
      </c>
      <c r="F61" s="106" t="s">
        <v>2197</v>
      </c>
      <c r="G61" s="541" t="str">
        <f t="shared" si="4"/>
        <v>stage_icon_event_dan1_00012</v>
      </c>
    </row>
    <row r="62">
      <c r="A62" s="539"/>
      <c r="B62" s="539"/>
      <c r="C62" s="539"/>
      <c r="D62" s="539"/>
      <c r="E62" s="539"/>
      <c r="F62" s="539"/>
      <c r="G62" s="539"/>
    </row>
    <row r="63">
      <c r="A63" s="101" t="s">
        <v>2813</v>
      </c>
      <c r="B63" s="101">
        <v>1.0</v>
      </c>
      <c r="C63" s="106" t="s">
        <v>98</v>
      </c>
      <c r="D63" s="540" t="str">
        <f t="array" ref="D63">iferror(INDEX('作品'!D:D,MATCH(left(C63,3),'作品'!A:A,0),0),"error")</f>
        <v>株式会社マジルミエ</v>
      </c>
      <c r="E63" s="234">
        <v>1.0</v>
      </c>
      <c r="F63" s="542" t="s">
        <v>2838</v>
      </c>
      <c r="G63" s="541" t="str">
        <f t="shared" ref="G63:G73" si="5">"stage_icon_event_"&amp;C63&amp;B63&amp;"_"&amp;text(E63,"00000")</f>
        <v>stage_icon_event_mag1_00001</v>
      </c>
    </row>
    <row r="64">
      <c r="A64" s="101" t="s">
        <v>2813</v>
      </c>
      <c r="B64" s="101">
        <v>1.0</v>
      </c>
      <c r="C64" s="106" t="s">
        <v>98</v>
      </c>
      <c r="D64" s="540" t="str">
        <f t="array" ref="D64">iferror(INDEX('作品'!D:D,MATCH(left(C64,3),'作品'!A:A,0),0),"error")</f>
        <v>株式会社マジルミエ</v>
      </c>
      <c r="E64" s="234">
        <v>2.0</v>
      </c>
      <c r="F64" s="542" t="s">
        <v>2305</v>
      </c>
      <c r="G64" s="541" t="str">
        <f t="shared" si="5"/>
        <v>stage_icon_event_mag1_00002</v>
      </c>
    </row>
    <row r="65">
      <c r="A65" s="101" t="s">
        <v>2813</v>
      </c>
      <c r="B65" s="101">
        <v>1.0</v>
      </c>
      <c r="C65" s="106" t="s">
        <v>98</v>
      </c>
      <c r="D65" s="540" t="str">
        <f t="array" ref="D65">iferror(INDEX('作品'!D:D,MATCH(left(C65,3),'作品'!A:A,0),0),"error")</f>
        <v>株式会社マジルミエ</v>
      </c>
      <c r="E65" s="234">
        <v>3.0</v>
      </c>
      <c r="F65" s="542" t="s">
        <v>2839</v>
      </c>
      <c r="G65" s="541" t="str">
        <f t="shared" si="5"/>
        <v>stage_icon_event_mag1_00003</v>
      </c>
    </row>
    <row r="66">
      <c r="A66" s="101" t="s">
        <v>2813</v>
      </c>
      <c r="B66" s="101">
        <v>1.0</v>
      </c>
      <c r="C66" s="106" t="s">
        <v>98</v>
      </c>
      <c r="D66" s="540" t="str">
        <f t="array" ref="D66">iferror(INDEX('作品'!D:D,MATCH(left(C66,3),'作品'!A:A,0),0),"error")</f>
        <v>株式会社マジルミエ</v>
      </c>
      <c r="E66" s="234">
        <v>4.0</v>
      </c>
      <c r="F66" s="542" t="s">
        <v>2840</v>
      </c>
      <c r="G66" s="541" t="str">
        <f t="shared" si="5"/>
        <v>stage_icon_event_mag1_00004</v>
      </c>
    </row>
    <row r="67">
      <c r="A67" s="101" t="s">
        <v>2813</v>
      </c>
      <c r="B67" s="101">
        <v>1.0</v>
      </c>
      <c r="C67" s="106" t="s">
        <v>98</v>
      </c>
      <c r="D67" s="540" t="str">
        <f t="array" ref="D67">iferror(INDEX('作品'!D:D,MATCH(left(C67,3),'作品'!A:A,0),0),"error")</f>
        <v>株式会社マジルミエ</v>
      </c>
      <c r="E67" s="234">
        <v>5.0</v>
      </c>
      <c r="F67" s="542" t="s">
        <v>2303</v>
      </c>
      <c r="G67" s="541" t="str">
        <f t="shared" si="5"/>
        <v>stage_icon_event_mag1_00005</v>
      </c>
    </row>
    <row r="68">
      <c r="A68" s="101" t="s">
        <v>2813</v>
      </c>
      <c r="B68" s="101">
        <v>1.0</v>
      </c>
      <c r="C68" s="106" t="s">
        <v>98</v>
      </c>
      <c r="D68" s="540" t="str">
        <f t="array" ref="D68">iferror(INDEX('作品'!D:D,MATCH(left(C68,3),'作品'!A:A,0),0),"error")</f>
        <v>株式会社マジルミエ</v>
      </c>
      <c r="E68" s="234">
        <v>6.0</v>
      </c>
      <c r="F68" s="542" t="s">
        <v>2841</v>
      </c>
      <c r="G68" s="541" t="str">
        <f t="shared" si="5"/>
        <v>stage_icon_event_mag1_00006</v>
      </c>
    </row>
    <row r="69">
      <c r="A69" s="101" t="s">
        <v>2813</v>
      </c>
      <c r="B69" s="101">
        <v>1.0</v>
      </c>
      <c r="C69" s="106" t="s">
        <v>98</v>
      </c>
      <c r="D69" s="540" t="str">
        <f t="array" ref="D69">iferror(INDEX('作品'!D:D,MATCH(left(C69,3),'作品'!A:A,0),0),"error")</f>
        <v>株式会社マジルミエ</v>
      </c>
      <c r="E69" s="234">
        <v>7.0</v>
      </c>
      <c r="F69" s="542" t="s">
        <v>2842</v>
      </c>
      <c r="G69" s="541" t="str">
        <f t="shared" si="5"/>
        <v>stage_icon_event_mag1_00007</v>
      </c>
    </row>
    <row r="70">
      <c r="A70" s="101" t="s">
        <v>2813</v>
      </c>
      <c r="B70" s="101">
        <v>1.0</v>
      </c>
      <c r="C70" s="106" t="s">
        <v>98</v>
      </c>
      <c r="D70" s="540" t="str">
        <f t="array" ref="D70">iferror(INDEX('作品'!D:D,MATCH(left(C70,3),'作品'!A:A,0),0),"error")</f>
        <v>株式会社マジルミエ</v>
      </c>
      <c r="E70" s="234">
        <v>8.0</v>
      </c>
      <c r="F70" s="542" t="s">
        <v>2843</v>
      </c>
      <c r="G70" s="541" t="str">
        <f t="shared" si="5"/>
        <v>stage_icon_event_mag1_00008</v>
      </c>
    </row>
    <row r="71">
      <c r="A71" s="101" t="s">
        <v>2813</v>
      </c>
      <c r="B71" s="101">
        <v>1.0</v>
      </c>
      <c r="C71" s="106" t="s">
        <v>98</v>
      </c>
      <c r="D71" s="540" t="str">
        <f t="array" ref="D71">iferror(INDEX('作品'!D:D,MATCH(left(C71,3),'作品'!A:A,0),0),"error")</f>
        <v>株式会社マジルミエ</v>
      </c>
      <c r="E71" s="234">
        <v>9.0</v>
      </c>
      <c r="F71" s="542" t="s">
        <v>2844</v>
      </c>
      <c r="G71" s="541" t="str">
        <f t="shared" si="5"/>
        <v>stage_icon_event_mag1_00009</v>
      </c>
    </row>
    <row r="72">
      <c r="A72" s="101" t="s">
        <v>2813</v>
      </c>
      <c r="B72" s="101">
        <v>1.0</v>
      </c>
      <c r="C72" s="106" t="s">
        <v>98</v>
      </c>
      <c r="D72" s="540" t="str">
        <f t="array" ref="D72">iferror(INDEX('作品'!D:D,MATCH(left(C72,3),'作品'!A:A,0),0),"error")</f>
        <v>株式会社マジルミエ</v>
      </c>
      <c r="E72" s="234">
        <v>10.0</v>
      </c>
      <c r="F72" s="542" t="s">
        <v>2845</v>
      </c>
      <c r="G72" s="541" t="str">
        <f t="shared" si="5"/>
        <v>stage_icon_event_mag1_00010</v>
      </c>
    </row>
    <row r="73">
      <c r="A73" s="543" t="s">
        <v>2813</v>
      </c>
      <c r="B73" s="543">
        <v>1.0</v>
      </c>
      <c r="C73" s="544" t="s">
        <v>98</v>
      </c>
      <c r="D73" s="545" t="str">
        <f t="array" ref="D73">iferror(INDEX('作品'!D:D,MATCH(left(C73,3),'作品'!A:A,0),0),"error")</f>
        <v>株式会社マジルミエ</v>
      </c>
      <c r="E73" s="546">
        <v>11.0</v>
      </c>
      <c r="F73" s="547" t="s">
        <v>2295</v>
      </c>
      <c r="G73" s="541" t="str">
        <f t="shared" si="5"/>
        <v>stage_icon_event_mag1_00011</v>
      </c>
      <c r="H73" s="548"/>
      <c r="I73" s="548"/>
      <c r="J73" s="548"/>
      <c r="K73" s="548"/>
      <c r="L73" s="548"/>
      <c r="M73" s="548"/>
      <c r="N73" s="548"/>
      <c r="O73" s="548"/>
      <c r="P73" s="548"/>
      <c r="Q73" s="548"/>
      <c r="R73" s="548"/>
      <c r="S73" s="548"/>
      <c r="T73" s="548"/>
      <c r="U73" s="548"/>
      <c r="V73" s="548"/>
      <c r="W73" s="548"/>
      <c r="X73" s="548"/>
      <c r="Y73" s="548"/>
      <c r="Z73" s="548"/>
      <c r="AA73" s="548"/>
      <c r="AB73" s="548"/>
      <c r="AC73" s="548"/>
    </row>
    <row r="74">
      <c r="A74" s="539"/>
      <c r="B74" s="539"/>
      <c r="C74" s="539"/>
      <c r="D74" s="539"/>
      <c r="E74" s="539"/>
      <c r="F74" s="539"/>
      <c r="G74" s="539"/>
    </row>
    <row r="75">
      <c r="A75" s="101" t="s">
        <v>2813</v>
      </c>
      <c r="B75" s="101">
        <v>1.0</v>
      </c>
      <c r="C75" s="271" t="s">
        <v>121</v>
      </c>
      <c r="D75" s="540" t="str">
        <f t="array" ref="D75">iferror(INDEX('作品'!D:D,MATCH(left(C75,3),'作品'!A:A,0),0),"error")</f>
        <v>2.5次元の誘惑</v>
      </c>
      <c r="E75" s="234">
        <v>1.0</v>
      </c>
      <c r="F75" s="106" t="s">
        <v>2846</v>
      </c>
      <c r="G75" s="541" t="str">
        <f t="shared" ref="G75:G86" si="6">"stage_icon_event_"&amp;C75&amp;B75&amp;"_"&amp;text(E75,"00000")</f>
        <v>stage_icon_event_yuw1_00001</v>
      </c>
      <c r="H75" s="548"/>
      <c r="I75" s="548"/>
      <c r="J75" s="548"/>
      <c r="K75" s="548"/>
      <c r="L75" s="548"/>
      <c r="M75" s="548"/>
      <c r="N75" s="548"/>
      <c r="O75" s="548"/>
      <c r="P75" s="548"/>
      <c r="Q75" s="548"/>
      <c r="R75" s="548"/>
      <c r="S75" s="548"/>
      <c r="T75" s="548"/>
      <c r="U75" s="548"/>
      <c r="V75" s="548"/>
      <c r="W75" s="548"/>
      <c r="X75" s="548"/>
      <c r="Y75" s="548"/>
      <c r="Z75" s="548"/>
      <c r="AA75" s="548"/>
      <c r="AB75" s="548"/>
      <c r="AC75" s="548"/>
    </row>
    <row r="76">
      <c r="A76" s="101" t="s">
        <v>2813</v>
      </c>
      <c r="B76" s="101">
        <v>1.0</v>
      </c>
      <c r="C76" s="271" t="s">
        <v>121</v>
      </c>
      <c r="D76" s="540" t="str">
        <f t="array" ref="D76">iferror(INDEX('作品'!D:D,MATCH(left(C76,3),'作品'!A:A,0),0),"error")</f>
        <v>2.5次元の誘惑</v>
      </c>
      <c r="E76" s="234">
        <v>2.0</v>
      </c>
      <c r="F76" s="106" t="s">
        <v>2253</v>
      </c>
      <c r="G76" s="541" t="str">
        <f t="shared" si="6"/>
        <v>stage_icon_event_yuw1_00002</v>
      </c>
      <c r="H76" s="548"/>
      <c r="I76" s="548"/>
      <c r="J76" s="548"/>
      <c r="K76" s="548"/>
      <c r="L76" s="548"/>
      <c r="M76" s="548"/>
      <c r="N76" s="548"/>
      <c r="O76" s="548"/>
      <c r="P76" s="548"/>
      <c r="Q76" s="548"/>
      <c r="R76" s="548"/>
      <c r="S76" s="548"/>
      <c r="T76" s="548"/>
      <c r="U76" s="548"/>
      <c r="V76" s="548"/>
      <c r="W76" s="548"/>
      <c r="X76" s="548"/>
      <c r="Y76" s="548"/>
      <c r="Z76" s="548"/>
      <c r="AA76" s="548"/>
      <c r="AB76" s="548"/>
      <c r="AC76" s="548"/>
    </row>
    <row r="77">
      <c r="A77" s="101" t="s">
        <v>2813</v>
      </c>
      <c r="B77" s="101">
        <v>1.0</v>
      </c>
      <c r="C77" s="271" t="s">
        <v>121</v>
      </c>
      <c r="D77" s="540" t="str">
        <f t="array" ref="D77">iferror(INDEX('作品'!D:D,MATCH(left(C77,3),'作品'!A:A,0),0),"error")</f>
        <v>2.5次元の誘惑</v>
      </c>
      <c r="E77" s="234">
        <v>3.0</v>
      </c>
      <c r="F77" s="106" t="s">
        <v>2394</v>
      </c>
      <c r="G77" s="541" t="str">
        <f t="shared" si="6"/>
        <v>stage_icon_event_yuw1_00003</v>
      </c>
      <c r="H77" s="548"/>
      <c r="I77" s="548"/>
      <c r="J77" s="548"/>
      <c r="K77" s="548"/>
      <c r="L77" s="548"/>
      <c r="M77" s="548"/>
      <c r="N77" s="548"/>
      <c r="O77" s="548"/>
      <c r="P77" s="548"/>
      <c r="Q77" s="548"/>
      <c r="R77" s="548"/>
      <c r="S77" s="548"/>
      <c r="T77" s="548"/>
      <c r="U77" s="548"/>
      <c r="V77" s="548"/>
      <c r="W77" s="548"/>
      <c r="X77" s="548"/>
      <c r="Y77" s="548"/>
      <c r="Z77" s="548"/>
      <c r="AA77" s="548"/>
      <c r="AB77" s="548"/>
      <c r="AC77" s="548"/>
    </row>
    <row r="78">
      <c r="A78" s="101" t="s">
        <v>2813</v>
      </c>
      <c r="B78" s="101">
        <v>1.0</v>
      </c>
      <c r="C78" s="271" t="s">
        <v>121</v>
      </c>
      <c r="D78" s="540" t="str">
        <f t="array" ref="D78">iferror(INDEX('作品'!D:D,MATCH(left(C78,3),'作品'!A:A,0),0),"error")</f>
        <v>2.5次元の誘惑</v>
      </c>
      <c r="E78" s="234">
        <v>4.0</v>
      </c>
      <c r="F78" s="106" t="s">
        <v>2847</v>
      </c>
      <c r="G78" s="541" t="str">
        <f t="shared" si="6"/>
        <v>stage_icon_event_yuw1_00004</v>
      </c>
    </row>
    <row r="79">
      <c r="A79" s="101" t="s">
        <v>2813</v>
      </c>
      <c r="B79" s="101">
        <v>1.0</v>
      </c>
      <c r="C79" s="271" t="s">
        <v>121</v>
      </c>
      <c r="D79" s="540" t="str">
        <f t="array" ref="D79">iferror(INDEX('作品'!D:D,MATCH(left(C79,3),'作品'!A:A,0),0),"error")</f>
        <v>2.5次元の誘惑</v>
      </c>
      <c r="E79" s="234">
        <v>5.0</v>
      </c>
      <c r="F79" s="106" t="s">
        <v>2255</v>
      </c>
      <c r="G79" s="541" t="str">
        <f t="shared" si="6"/>
        <v>stage_icon_event_yuw1_00005</v>
      </c>
    </row>
    <row r="80">
      <c r="A80" s="101" t="s">
        <v>2813</v>
      </c>
      <c r="B80" s="101">
        <v>1.0</v>
      </c>
      <c r="C80" s="271" t="s">
        <v>121</v>
      </c>
      <c r="D80" s="540" t="str">
        <f t="array" ref="D80">iferror(INDEX('作品'!D:D,MATCH(left(C80,3),'作品'!A:A,0),0),"error")</f>
        <v>2.5次元の誘惑</v>
      </c>
      <c r="E80" s="234">
        <v>6.0</v>
      </c>
      <c r="F80" s="106" t="s">
        <v>2848</v>
      </c>
      <c r="G80" s="541" t="str">
        <f t="shared" si="6"/>
        <v>stage_icon_event_yuw1_00006</v>
      </c>
    </row>
    <row r="81">
      <c r="A81" s="101" t="s">
        <v>2813</v>
      </c>
      <c r="B81" s="101">
        <v>1.0</v>
      </c>
      <c r="C81" s="271" t="s">
        <v>121</v>
      </c>
      <c r="D81" s="540" t="str">
        <f t="array" ref="D81">iferror(INDEX('作品'!D:D,MATCH(left(C81,3),'作品'!A:A,0),0),"error")</f>
        <v>2.5次元の誘惑</v>
      </c>
      <c r="E81" s="234">
        <v>7.0</v>
      </c>
      <c r="F81" s="106" t="s">
        <v>2239</v>
      </c>
      <c r="G81" s="541" t="str">
        <f t="shared" si="6"/>
        <v>stage_icon_event_yuw1_00007</v>
      </c>
    </row>
    <row r="82">
      <c r="A82" s="101" t="s">
        <v>2813</v>
      </c>
      <c r="B82" s="101">
        <v>1.0</v>
      </c>
      <c r="C82" s="271" t="s">
        <v>121</v>
      </c>
      <c r="D82" s="540" t="str">
        <f t="array" ref="D82">iferror(INDEX('作品'!D:D,MATCH(left(C82,3),'作品'!A:A,0),0),"error")</f>
        <v>2.5次元の誘惑</v>
      </c>
      <c r="E82" s="234">
        <v>8.0</v>
      </c>
      <c r="F82" s="106" t="s">
        <v>2849</v>
      </c>
      <c r="G82" s="541" t="str">
        <f t="shared" si="6"/>
        <v>stage_icon_event_yuw1_00008</v>
      </c>
    </row>
    <row r="83">
      <c r="A83" s="101" t="s">
        <v>2813</v>
      </c>
      <c r="B83" s="101">
        <v>1.0</v>
      </c>
      <c r="C83" s="271" t="s">
        <v>121</v>
      </c>
      <c r="D83" s="540" t="str">
        <f t="array" ref="D83">iferror(INDEX('作品'!D:D,MATCH(left(C83,3),'作品'!A:A,0),0),"error")</f>
        <v>2.5次元の誘惑</v>
      </c>
      <c r="E83" s="234">
        <v>9.0</v>
      </c>
      <c r="F83" s="106" t="s">
        <v>2249</v>
      </c>
      <c r="G83" s="541" t="str">
        <f t="shared" si="6"/>
        <v>stage_icon_event_yuw1_00009</v>
      </c>
    </row>
    <row r="84">
      <c r="A84" s="101" t="s">
        <v>2813</v>
      </c>
      <c r="B84" s="101">
        <v>1.0</v>
      </c>
      <c r="C84" s="271" t="s">
        <v>121</v>
      </c>
      <c r="D84" s="540" t="str">
        <f t="array" ref="D84">iferror(INDEX('作品'!D:D,MATCH(left(C84,3),'作品'!A:A,0),0),"error")</f>
        <v>2.5次元の誘惑</v>
      </c>
      <c r="E84" s="234">
        <v>10.0</v>
      </c>
      <c r="F84" s="101" t="s">
        <v>2251</v>
      </c>
      <c r="G84" s="541" t="str">
        <f t="shared" si="6"/>
        <v>stage_icon_event_yuw1_00010</v>
      </c>
    </row>
    <row r="85">
      <c r="A85" s="101" t="s">
        <v>2813</v>
      </c>
      <c r="B85" s="101">
        <v>1.0</v>
      </c>
      <c r="C85" s="271" t="s">
        <v>121</v>
      </c>
      <c r="D85" s="540" t="str">
        <f t="array" ref="D85">iferror(INDEX('作品'!D:D,MATCH(left(C85,3),'作品'!A:A,0),0),"error")</f>
        <v>2.5次元の誘惑</v>
      </c>
      <c r="E85" s="197">
        <v>11.0</v>
      </c>
      <c r="F85" s="106" t="s">
        <v>2850</v>
      </c>
      <c r="G85" s="541" t="str">
        <f t="shared" si="6"/>
        <v>stage_icon_event_yuw1_00011</v>
      </c>
    </row>
    <row r="86">
      <c r="A86" s="101" t="s">
        <v>2813</v>
      </c>
      <c r="B86" s="101">
        <v>1.0</v>
      </c>
      <c r="C86" s="271" t="s">
        <v>121</v>
      </c>
      <c r="D86" s="540" t="str">
        <f t="array" ref="D86">iferror(INDEX('作品'!D:D,MATCH(left(C86,3),'作品'!A:A,0),0),"error")</f>
        <v>2.5次元の誘惑</v>
      </c>
      <c r="E86" s="197">
        <v>12.0</v>
      </c>
      <c r="F86" s="106" t="s">
        <v>2851</v>
      </c>
      <c r="G86" s="541" t="str">
        <f t="shared" si="6"/>
        <v>stage_icon_event_yuw1_00012</v>
      </c>
    </row>
    <row r="87">
      <c r="A87" s="549"/>
      <c r="B87" s="549"/>
      <c r="C87" s="543"/>
      <c r="D87" s="540"/>
      <c r="E87" s="549"/>
      <c r="F87" s="549"/>
      <c r="G87" s="549"/>
    </row>
    <row r="88">
      <c r="A88" s="101" t="s">
        <v>2813</v>
      </c>
      <c r="B88" s="101">
        <v>1.0</v>
      </c>
      <c r="C88" s="271" t="s">
        <v>127</v>
      </c>
      <c r="D88" s="540" t="str">
        <f t="array" ref="D88">iferror(INDEX('作品'!D:D,MATCH(left(C88,3),'作品'!A:A,0),0),"error")</f>
        <v>魔都精兵のスレイブ</v>
      </c>
      <c r="E88" s="197">
        <v>1.0</v>
      </c>
      <c r="F88" s="197" t="s">
        <v>2852</v>
      </c>
      <c r="G88" s="541" t="str">
        <f t="shared" ref="G88:G99" si="7">"stage_icon_event_"&amp;C88&amp;B88&amp;"_"&amp;text(E88,"00000")</f>
        <v>stage_icon_event_sur1_00001</v>
      </c>
    </row>
    <row r="89">
      <c r="A89" s="101" t="s">
        <v>2813</v>
      </c>
      <c r="B89" s="101">
        <v>1.0</v>
      </c>
      <c r="C89" s="271" t="s">
        <v>127</v>
      </c>
      <c r="D89" s="540" t="str">
        <f t="array" ref="D89">iferror(INDEX('作品'!D:D,MATCH(left(C89,3),'作品'!A:A,0),0),"error")</f>
        <v>魔都精兵のスレイブ</v>
      </c>
      <c r="E89" s="197">
        <v>2.0</v>
      </c>
      <c r="F89" s="197" t="s">
        <v>2275</v>
      </c>
      <c r="G89" s="541" t="str">
        <f t="shared" si="7"/>
        <v>stage_icon_event_sur1_00002</v>
      </c>
    </row>
    <row r="90">
      <c r="A90" s="101" t="s">
        <v>2813</v>
      </c>
      <c r="B90" s="101">
        <v>1.0</v>
      </c>
      <c r="C90" s="271" t="s">
        <v>127</v>
      </c>
      <c r="D90" s="540" t="str">
        <f t="array" ref="D90">iferror(INDEX('作品'!D:D,MATCH(left(C90,3),'作品'!A:A,0),0),"error")</f>
        <v>魔都精兵のスレイブ</v>
      </c>
      <c r="E90" s="197">
        <v>3.0</v>
      </c>
      <c r="F90" s="197" t="s">
        <v>2400</v>
      </c>
      <c r="G90" s="541" t="str">
        <f t="shared" si="7"/>
        <v>stage_icon_event_sur1_00003</v>
      </c>
    </row>
    <row r="91">
      <c r="A91" s="101" t="s">
        <v>2813</v>
      </c>
      <c r="B91" s="101">
        <v>1.0</v>
      </c>
      <c r="C91" s="271" t="s">
        <v>127</v>
      </c>
      <c r="D91" s="540" t="str">
        <f t="array" ref="D91">iferror(INDEX('作品'!D:D,MATCH(left(C91,3),'作品'!A:A,0),0),"error")</f>
        <v>魔都精兵のスレイブ</v>
      </c>
      <c r="E91" s="197">
        <v>4.0</v>
      </c>
      <c r="F91" s="197" t="s">
        <v>2853</v>
      </c>
      <c r="G91" s="541" t="str">
        <f t="shared" si="7"/>
        <v>stage_icon_event_sur1_00004</v>
      </c>
    </row>
    <row r="92">
      <c r="A92" s="101" t="s">
        <v>2813</v>
      </c>
      <c r="B92" s="101">
        <v>1.0</v>
      </c>
      <c r="C92" s="271" t="s">
        <v>127</v>
      </c>
      <c r="D92" s="540" t="str">
        <f t="array" ref="D92">iferror(INDEX('作品'!D:D,MATCH(left(C92,3),'作品'!A:A,0),0),"error")</f>
        <v>魔都精兵のスレイブ</v>
      </c>
      <c r="E92" s="197">
        <v>5.0</v>
      </c>
      <c r="F92" s="197" t="s">
        <v>2272</v>
      </c>
      <c r="G92" s="541" t="str">
        <f t="shared" si="7"/>
        <v>stage_icon_event_sur1_00005</v>
      </c>
    </row>
    <row r="93">
      <c r="A93" s="101" t="s">
        <v>2813</v>
      </c>
      <c r="B93" s="101">
        <v>1.0</v>
      </c>
      <c r="C93" s="271" t="s">
        <v>127</v>
      </c>
      <c r="D93" s="540" t="str">
        <f t="array" ref="D93">iferror(INDEX('作品'!D:D,MATCH(left(C93,3),'作品'!A:A,0),0),"error")</f>
        <v>魔都精兵のスレイブ</v>
      </c>
      <c r="E93" s="197">
        <v>6.0</v>
      </c>
      <c r="F93" s="197" t="s">
        <v>2398</v>
      </c>
      <c r="G93" s="541" t="str">
        <f t="shared" si="7"/>
        <v>stage_icon_event_sur1_00006</v>
      </c>
    </row>
    <row r="94">
      <c r="A94" s="101" t="s">
        <v>2813</v>
      </c>
      <c r="B94" s="101">
        <v>1.0</v>
      </c>
      <c r="C94" s="271" t="s">
        <v>127</v>
      </c>
      <c r="D94" s="540" t="str">
        <f t="array" ref="D94">iferror(INDEX('作品'!D:D,MATCH(left(C94,3),'作品'!A:A,0),0),"error")</f>
        <v>魔都精兵のスレイブ</v>
      </c>
      <c r="E94" s="197">
        <v>7.0</v>
      </c>
      <c r="F94" s="197" t="s">
        <v>2259</v>
      </c>
      <c r="G94" s="541" t="str">
        <f t="shared" si="7"/>
        <v>stage_icon_event_sur1_00007</v>
      </c>
    </row>
    <row r="95">
      <c r="A95" s="101" t="s">
        <v>2813</v>
      </c>
      <c r="B95" s="101">
        <v>1.0</v>
      </c>
      <c r="C95" s="271" t="s">
        <v>127</v>
      </c>
      <c r="D95" s="540" t="str">
        <f t="array" ref="D95">iferror(INDEX('作品'!D:D,MATCH(left(C95,3),'作品'!A:A,0),0),"error")</f>
        <v>魔都精兵のスレイブ</v>
      </c>
      <c r="E95" s="197">
        <v>8.0</v>
      </c>
      <c r="F95" s="197" t="s">
        <v>2267</v>
      </c>
      <c r="G95" s="541" t="str">
        <f t="shared" si="7"/>
        <v>stage_icon_event_sur1_00008</v>
      </c>
    </row>
    <row r="96">
      <c r="A96" s="101" t="s">
        <v>2813</v>
      </c>
      <c r="B96" s="101">
        <v>1.0</v>
      </c>
      <c r="C96" s="271" t="s">
        <v>127</v>
      </c>
      <c r="D96" s="540" t="str">
        <f t="array" ref="D96">iferror(INDEX('作品'!D:D,MATCH(left(C96,3),'作品'!A:A,0),0),"error")</f>
        <v>魔都精兵のスレイブ</v>
      </c>
      <c r="E96" s="197">
        <v>9.0</v>
      </c>
      <c r="F96" s="197" t="s">
        <v>2270</v>
      </c>
      <c r="G96" s="541" t="str">
        <f t="shared" si="7"/>
        <v>stage_icon_event_sur1_00009</v>
      </c>
    </row>
    <row r="97">
      <c r="A97" s="101" t="s">
        <v>2813</v>
      </c>
      <c r="B97" s="101">
        <v>1.0</v>
      </c>
      <c r="C97" s="271" t="s">
        <v>127</v>
      </c>
      <c r="D97" s="540" t="str">
        <f t="array" ref="D97">iferror(INDEX('作品'!D:D,MATCH(left(C97,3),'作品'!A:A,0),0),"error")</f>
        <v>魔都精兵のスレイブ</v>
      </c>
      <c r="E97" s="197">
        <v>10.0</v>
      </c>
      <c r="F97" s="197" t="s">
        <v>2854</v>
      </c>
      <c r="G97" s="541" t="str">
        <f t="shared" si="7"/>
        <v>stage_icon_event_sur1_00010</v>
      </c>
    </row>
    <row r="98">
      <c r="A98" s="101" t="s">
        <v>2813</v>
      </c>
      <c r="B98" s="101">
        <v>1.0</v>
      </c>
      <c r="C98" s="271" t="s">
        <v>127</v>
      </c>
      <c r="D98" s="540" t="str">
        <f t="array" ref="D98">iferror(INDEX('作品'!D:D,MATCH(left(C98,3),'作品'!A:A,0),0),"error")</f>
        <v>魔都精兵のスレイブ</v>
      </c>
      <c r="E98" s="197">
        <v>11.0</v>
      </c>
      <c r="F98" s="197" t="s">
        <v>2855</v>
      </c>
      <c r="G98" s="541" t="str">
        <f t="shared" si="7"/>
        <v>stage_icon_event_sur1_00011</v>
      </c>
    </row>
    <row r="99">
      <c r="A99" s="101" t="s">
        <v>2813</v>
      </c>
      <c r="B99" s="101">
        <v>1.0</v>
      </c>
      <c r="C99" s="271" t="s">
        <v>127</v>
      </c>
      <c r="D99" s="540" t="str">
        <f t="array" ref="D99">iferror(INDEX('作品'!D:D,MATCH(left(C99,3),'作品'!A:A,0),0),"error")</f>
        <v>魔都精兵のスレイブ</v>
      </c>
      <c r="E99" s="197">
        <v>12.0</v>
      </c>
      <c r="F99" s="197" t="s">
        <v>2856</v>
      </c>
      <c r="G99" s="541" t="str">
        <f t="shared" si="7"/>
        <v>stage_icon_event_sur1_00012</v>
      </c>
    </row>
    <row r="100">
      <c r="A100" s="549"/>
      <c r="B100" s="549"/>
      <c r="C100" s="549"/>
      <c r="D100" s="540"/>
      <c r="E100" s="234"/>
      <c r="F100" s="234"/>
      <c r="G100" s="549"/>
    </row>
    <row r="101">
      <c r="A101" s="101" t="s">
        <v>2813</v>
      </c>
      <c r="B101" s="101">
        <v>1.0</v>
      </c>
      <c r="C101" s="271" t="s">
        <v>158</v>
      </c>
      <c r="D101" s="540" t="str">
        <f t="array" ref="D101">iferror(INDEX('作品'!D:D,MATCH(left(C101,3),'作品'!A:A,0),0),"error")</f>
        <v>【推しの子】</v>
      </c>
      <c r="E101" s="197">
        <v>1.0</v>
      </c>
      <c r="F101" s="197" t="s">
        <v>2402</v>
      </c>
      <c r="G101" s="541" t="str">
        <f t="shared" ref="G101:G111" si="8">"stage_icon_event_"&amp;C101&amp;B101&amp;"_"&amp;text(E101,"00000")</f>
        <v>stage_icon_event_osh1_00001</v>
      </c>
    </row>
    <row r="102">
      <c r="A102" s="101" t="s">
        <v>2813</v>
      </c>
      <c r="B102" s="101">
        <v>1.0</v>
      </c>
      <c r="C102" s="271" t="s">
        <v>158</v>
      </c>
      <c r="D102" s="540" t="str">
        <f t="array" ref="D102">iferror(INDEX('作品'!D:D,MATCH(left(C102,3),'作品'!A:A,0),0),"error")</f>
        <v>【推しの子】</v>
      </c>
      <c r="E102" s="197">
        <v>2.0</v>
      </c>
      <c r="F102" s="550" t="s">
        <v>2322</v>
      </c>
      <c r="G102" s="541" t="str">
        <f t="shared" si="8"/>
        <v>stage_icon_event_osh1_00002</v>
      </c>
    </row>
    <row r="103">
      <c r="A103" s="101" t="s">
        <v>2813</v>
      </c>
      <c r="B103" s="101">
        <v>1.0</v>
      </c>
      <c r="C103" s="271" t="s">
        <v>158</v>
      </c>
      <c r="D103" s="540" t="str">
        <f t="array" ref="D103">iferror(INDEX('作品'!D:D,MATCH(left(C103,3),'作品'!A:A,0),0),"error")</f>
        <v>【推しの子】</v>
      </c>
      <c r="E103" s="197">
        <v>3.0</v>
      </c>
      <c r="F103" s="550" t="s">
        <v>2324</v>
      </c>
      <c r="G103" s="541" t="str">
        <f t="shared" si="8"/>
        <v>stage_icon_event_osh1_00003</v>
      </c>
    </row>
    <row r="104">
      <c r="A104" s="101" t="s">
        <v>2813</v>
      </c>
      <c r="B104" s="101">
        <v>1.0</v>
      </c>
      <c r="C104" s="271" t="s">
        <v>158</v>
      </c>
      <c r="D104" s="540" t="str">
        <f t="array" ref="D104">iferror(INDEX('作品'!D:D,MATCH(left(C104,3),'作品'!A:A,0),0),"error")</f>
        <v>【推しの子】</v>
      </c>
      <c r="E104" s="197">
        <v>4.0</v>
      </c>
      <c r="F104" s="550" t="s">
        <v>2857</v>
      </c>
      <c r="G104" s="541" t="str">
        <f t="shared" si="8"/>
        <v>stage_icon_event_osh1_00004</v>
      </c>
    </row>
    <row r="105">
      <c r="A105" s="101" t="s">
        <v>2813</v>
      </c>
      <c r="B105" s="101">
        <v>1.0</v>
      </c>
      <c r="C105" s="271" t="s">
        <v>158</v>
      </c>
      <c r="D105" s="540" t="str">
        <f t="array" ref="D105">iferror(INDEX('作品'!D:D,MATCH(left(C105,3),'作品'!A:A,0),0),"error")</f>
        <v>【推しの子】</v>
      </c>
      <c r="E105" s="197">
        <v>5.0</v>
      </c>
      <c r="F105" s="550" t="s">
        <v>2328</v>
      </c>
      <c r="G105" s="541" t="str">
        <f t="shared" si="8"/>
        <v>stage_icon_event_osh1_00005</v>
      </c>
    </row>
    <row r="106">
      <c r="A106" s="101" t="s">
        <v>2813</v>
      </c>
      <c r="B106" s="101">
        <v>1.0</v>
      </c>
      <c r="C106" s="271" t="s">
        <v>158</v>
      </c>
      <c r="D106" s="540" t="str">
        <f t="array" ref="D106">iferror(INDEX('作品'!D:D,MATCH(left(C106,3),'作品'!A:A,0),0),"error")</f>
        <v>【推しの子】</v>
      </c>
      <c r="E106" s="197">
        <v>6.0</v>
      </c>
      <c r="F106" s="550" t="s">
        <v>2858</v>
      </c>
      <c r="G106" s="541" t="str">
        <f t="shared" si="8"/>
        <v>stage_icon_event_osh1_00006</v>
      </c>
    </row>
    <row r="107">
      <c r="A107" s="101" t="s">
        <v>2813</v>
      </c>
      <c r="B107" s="101">
        <v>1.0</v>
      </c>
      <c r="C107" s="271" t="s">
        <v>158</v>
      </c>
      <c r="D107" s="540" t="str">
        <f t="array" ref="D107">iferror(INDEX('作品'!D:D,MATCH(left(C107,3),'作品'!A:A,0),0),"error")</f>
        <v>【推しの子】</v>
      </c>
      <c r="E107" s="197">
        <v>7.0</v>
      </c>
      <c r="F107" s="550" t="s">
        <v>2859</v>
      </c>
      <c r="G107" s="541" t="str">
        <f t="shared" si="8"/>
        <v>stage_icon_event_osh1_00007</v>
      </c>
    </row>
    <row r="108">
      <c r="A108" s="101" t="s">
        <v>2813</v>
      </c>
      <c r="B108" s="101">
        <v>1.0</v>
      </c>
      <c r="C108" s="271" t="s">
        <v>158</v>
      </c>
      <c r="D108" s="540" t="str">
        <f t="array" ref="D108">iferror(INDEX('作品'!D:D,MATCH(left(C108,3),'作品'!A:A,0),0),"error")</f>
        <v>【推しの子】</v>
      </c>
      <c r="E108" s="197">
        <v>8.0</v>
      </c>
      <c r="F108" s="550" t="s">
        <v>2860</v>
      </c>
      <c r="G108" s="541" t="str">
        <f t="shared" si="8"/>
        <v>stage_icon_event_osh1_00008</v>
      </c>
    </row>
    <row r="109">
      <c r="A109" s="101" t="s">
        <v>2813</v>
      </c>
      <c r="B109" s="101">
        <v>1.0</v>
      </c>
      <c r="C109" s="271" t="s">
        <v>158</v>
      </c>
      <c r="D109" s="540" t="str">
        <f t="array" ref="D109">iferror(INDEX('作品'!D:D,MATCH(left(C109,3),'作品'!A:A,0),0),"error")</f>
        <v>【推しの子】</v>
      </c>
      <c r="E109" s="197">
        <v>9.0</v>
      </c>
      <c r="F109" s="197" t="s">
        <v>2861</v>
      </c>
      <c r="G109" s="541" t="str">
        <f t="shared" si="8"/>
        <v>stage_icon_event_osh1_00009</v>
      </c>
    </row>
    <row r="110">
      <c r="A110" s="101" t="s">
        <v>2813</v>
      </c>
      <c r="B110" s="101">
        <v>1.0</v>
      </c>
      <c r="C110" s="271" t="s">
        <v>158</v>
      </c>
      <c r="D110" s="540" t="str">
        <f t="array" ref="D110">iferror(INDEX('作品'!D:D,MATCH(left(C110,3),'作品'!A:A,0),0),"error")</f>
        <v>【推しの子】</v>
      </c>
      <c r="E110" s="197">
        <v>10.0</v>
      </c>
      <c r="F110" s="197" t="s">
        <v>2862</v>
      </c>
      <c r="G110" s="541" t="str">
        <f t="shared" si="8"/>
        <v>stage_icon_event_osh1_00010</v>
      </c>
    </row>
    <row r="111">
      <c r="A111" s="101" t="s">
        <v>2813</v>
      </c>
      <c r="B111" s="101">
        <v>1.0</v>
      </c>
      <c r="C111" s="271" t="s">
        <v>158</v>
      </c>
      <c r="D111" s="540" t="str">
        <f t="array" ref="D111">iferror(INDEX('作品'!D:D,MATCH(left(C111,3),'作品'!A:A,0),0),"error")</f>
        <v>【推しの子】</v>
      </c>
      <c r="E111" s="197">
        <v>11.0</v>
      </c>
      <c r="F111" s="197" t="s">
        <v>2863</v>
      </c>
      <c r="G111" s="541" t="str">
        <f t="shared" si="8"/>
        <v>stage_icon_event_osh1_00011</v>
      </c>
    </row>
    <row r="112">
      <c r="A112" s="549"/>
      <c r="B112" s="549"/>
      <c r="C112" s="549"/>
      <c r="D112" s="540"/>
      <c r="E112" s="549"/>
      <c r="F112" s="549"/>
      <c r="G112" s="549"/>
    </row>
    <row r="113">
      <c r="A113" s="101" t="s">
        <v>2813</v>
      </c>
      <c r="B113" s="101">
        <v>1.0</v>
      </c>
      <c r="C113" s="271" t="s">
        <v>148</v>
      </c>
      <c r="D113" s="540" t="str">
        <f t="array" ref="D113">iferror(INDEX('作品'!D:D,MATCH(left(C113,3),'作品'!A:A,0),0),"error")</f>
        <v>地獄楽</v>
      </c>
      <c r="E113" s="197">
        <v>1.0</v>
      </c>
      <c r="F113" s="197" t="s">
        <v>2864</v>
      </c>
      <c r="G113" s="541" t="str">
        <f t="shared" ref="G113:G122" si="9">"stage_icon_event_"&amp;C113&amp;B113&amp;"_"&amp;text(E113,"00000")</f>
        <v>stage_icon_event_jig1_00001</v>
      </c>
    </row>
    <row r="114">
      <c r="A114" s="101" t="s">
        <v>2813</v>
      </c>
      <c r="B114" s="101">
        <v>1.0</v>
      </c>
      <c r="C114" s="271" t="s">
        <v>148</v>
      </c>
      <c r="D114" s="540" t="str">
        <f t="array" ref="D114">iferror(INDEX('作品'!D:D,MATCH(left(C114,3),'作品'!A:A,0),0),"error")</f>
        <v>地獄楽</v>
      </c>
      <c r="E114" s="197">
        <v>2.0</v>
      </c>
      <c r="F114" s="197" t="s">
        <v>2339</v>
      </c>
      <c r="G114" s="541" t="str">
        <f t="shared" si="9"/>
        <v>stage_icon_event_jig1_00002</v>
      </c>
    </row>
    <row r="115">
      <c r="A115" s="101" t="s">
        <v>2813</v>
      </c>
      <c r="B115" s="101">
        <v>1.0</v>
      </c>
      <c r="C115" s="271" t="s">
        <v>148</v>
      </c>
      <c r="D115" s="540" t="str">
        <f t="array" ref="D115">iferror(INDEX('作品'!D:D,MATCH(left(C115,3),'作品'!A:A,0),0),"error")</f>
        <v>地獄楽</v>
      </c>
      <c r="E115" s="197">
        <v>3.0</v>
      </c>
      <c r="F115" s="197" t="s">
        <v>2406</v>
      </c>
      <c r="G115" s="541" t="str">
        <f t="shared" si="9"/>
        <v>stage_icon_event_jig1_00003</v>
      </c>
    </row>
    <row r="116">
      <c r="A116" s="101" t="s">
        <v>2813</v>
      </c>
      <c r="B116" s="101">
        <v>1.0</v>
      </c>
      <c r="C116" s="271" t="s">
        <v>148</v>
      </c>
      <c r="D116" s="540" t="str">
        <f t="array" ref="D116">iferror(INDEX('作品'!D:D,MATCH(left(C116,3),'作品'!A:A,0),0),"error")</f>
        <v>地獄楽</v>
      </c>
      <c r="E116" s="197">
        <v>4.0</v>
      </c>
      <c r="F116" s="197" t="s">
        <v>2865</v>
      </c>
      <c r="G116" s="541" t="str">
        <f t="shared" si="9"/>
        <v>stage_icon_event_jig1_00004</v>
      </c>
    </row>
    <row r="117">
      <c r="A117" s="101" t="s">
        <v>2813</v>
      </c>
      <c r="B117" s="101">
        <v>1.0</v>
      </c>
      <c r="C117" s="271" t="s">
        <v>148</v>
      </c>
      <c r="D117" s="540" t="str">
        <f t="array" ref="D117">iferror(INDEX('作品'!D:D,MATCH(left(C117,3),'作品'!A:A,0),0),"error")</f>
        <v>地獄楽</v>
      </c>
      <c r="E117" s="197">
        <v>5.0</v>
      </c>
      <c r="F117" s="197" t="s">
        <v>2337</v>
      </c>
      <c r="G117" s="541" t="str">
        <f t="shared" si="9"/>
        <v>stage_icon_event_jig1_00005</v>
      </c>
    </row>
    <row r="118">
      <c r="A118" s="101" t="s">
        <v>2813</v>
      </c>
      <c r="B118" s="101">
        <v>1.0</v>
      </c>
      <c r="C118" s="271" t="s">
        <v>148</v>
      </c>
      <c r="D118" s="540" t="str">
        <f t="array" ref="D118">iferror(INDEX('作品'!D:D,MATCH(left(C118,3),'作品'!A:A,0),0),"error")</f>
        <v>地獄楽</v>
      </c>
      <c r="E118" s="197">
        <v>6.0</v>
      </c>
      <c r="F118" s="197" t="s">
        <v>2404</v>
      </c>
      <c r="G118" s="541" t="str">
        <f t="shared" si="9"/>
        <v>stage_icon_event_jig1_00006</v>
      </c>
    </row>
    <row r="119">
      <c r="A119" s="101" t="s">
        <v>2813</v>
      </c>
      <c r="B119" s="101">
        <v>1.0</v>
      </c>
      <c r="C119" s="271" t="s">
        <v>148</v>
      </c>
      <c r="D119" s="540" t="str">
        <f t="array" ref="D119">iferror(INDEX('作品'!D:D,MATCH(left(C119,3),'作品'!A:A,0),0),"error")</f>
        <v>地獄楽</v>
      </c>
      <c r="E119" s="197">
        <v>7.0</v>
      </c>
      <c r="F119" s="197" t="s">
        <v>2287</v>
      </c>
      <c r="G119" s="541" t="str">
        <f t="shared" si="9"/>
        <v>stage_icon_event_jig1_00007</v>
      </c>
    </row>
    <row r="120">
      <c r="A120" s="101" t="s">
        <v>2813</v>
      </c>
      <c r="B120" s="101">
        <v>1.0</v>
      </c>
      <c r="C120" s="271" t="s">
        <v>148</v>
      </c>
      <c r="D120" s="540" t="str">
        <f t="array" ref="D120">iferror(INDEX('作品'!D:D,MATCH(left(C120,3),'作品'!A:A,0),0),"error")</f>
        <v>地獄楽</v>
      </c>
      <c r="E120" s="197">
        <v>8.0</v>
      </c>
      <c r="F120" s="197" t="s">
        <v>2332</v>
      </c>
      <c r="G120" s="541" t="str">
        <f t="shared" si="9"/>
        <v>stage_icon_event_jig1_00008</v>
      </c>
    </row>
    <row r="121">
      <c r="A121" s="101" t="s">
        <v>2813</v>
      </c>
      <c r="B121" s="101">
        <v>1.0</v>
      </c>
      <c r="C121" s="271" t="s">
        <v>148</v>
      </c>
      <c r="D121" s="540" t="str">
        <f t="array" ref="D121">iferror(INDEX('作品'!D:D,MATCH(left(C121,3),'作品'!A:A,0),0),"error")</f>
        <v>地獄楽</v>
      </c>
      <c r="E121" s="197">
        <v>9.0</v>
      </c>
      <c r="F121" s="197" t="s">
        <v>2335</v>
      </c>
      <c r="G121" s="541" t="str">
        <f t="shared" si="9"/>
        <v>stage_icon_event_jig1_00009</v>
      </c>
    </row>
    <row r="122">
      <c r="A122" s="101" t="s">
        <v>2813</v>
      </c>
      <c r="B122" s="101">
        <v>1.0</v>
      </c>
      <c r="C122" s="271" t="s">
        <v>148</v>
      </c>
      <c r="D122" s="540" t="str">
        <f t="array" ref="D122">iferror(INDEX('作品'!D:D,MATCH(left(C122,3),'作品'!A:A,0),0),"error")</f>
        <v>地獄楽</v>
      </c>
      <c r="E122" s="197">
        <v>10.0</v>
      </c>
      <c r="F122" s="197" t="s">
        <v>2866</v>
      </c>
      <c r="G122" s="541" t="str">
        <f t="shared" si="9"/>
        <v>stage_icon_event_jig1_00010</v>
      </c>
    </row>
    <row r="123">
      <c r="A123" s="101"/>
      <c r="B123" s="101"/>
      <c r="C123" s="271"/>
      <c r="D123" s="540"/>
      <c r="E123" s="197"/>
      <c r="F123" s="197"/>
      <c r="G123" s="549"/>
    </row>
    <row r="124">
      <c r="A124" s="101" t="s">
        <v>2813</v>
      </c>
      <c r="B124" s="106">
        <v>1.0</v>
      </c>
      <c r="C124" s="271" t="s">
        <v>162</v>
      </c>
      <c r="D124" s="540" t="str">
        <f t="array" ref="D124">iferror(INDEX('作品'!D:D,MATCH(left(C124,3),'作品'!A:A,0),0),"error")</f>
        <v>幼稚園WARS</v>
      </c>
      <c r="E124" s="197">
        <v>1.0</v>
      </c>
      <c r="F124" s="197" t="s">
        <v>2867</v>
      </c>
      <c r="G124" s="541" t="str">
        <f t="shared" ref="G124:G132" si="10">"stage_icon_event_"&amp;C124&amp;B124&amp;"_"&amp;text(E124,"00000")</f>
        <v>stage_icon_event_you1_00001</v>
      </c>
    </row>
    <row r="125">
      <c r="A125" s="101" t="s">
        <v>2813</v>
      </c>
      <c r="B125" s="106">
        <v>1.0</v>
      </c>
      <c r="C125" s="271" t="s">
        <v>162</v>
      </c>
      <c r="D125" s="540" t="str">
        <f t="array" ref="D125">iferror(INDEX('作品'!D:D,MATCH(left(C125,3),'作品'!A:A,0),0),"error")</f>
        <v>幼稚園WARS</v>
      </c>
      <c r="E125" s="197">
        <v>2.0</v>
      </c>
      <c r="F125" s="197" t="s">
        <v>2346</v>
      </c>
      <c r="G125" s="541" t="str">
        <f t="shared" si="10"/>
        <v>stage_icon_event_you1_00002</v>
      </c>
    </row>
    <row r="126">
      <c r="A126" s="101" t="s">
        <v>2813</v>
      </c>
      <c r="B126" s="106">
        <v>1.0</v>
      </c>
      <c r="C126" s="271" t="s">
        <v>162</v>
      </c>
      <c r="D126" s="540" t="str">
        <f t="array" ref="D126">iferror(INDEX('作品'!D:D,MATCH(left(C126,3),'作品'!A:A,0),0),"error")</f>
        <v>幼稚園WARS</v>
      </c>
      <c r="E126" s="197">
        <v>3.0</v>
      </c>
      <c r="F126" s="197" t="s">
        <v>2408</v>
      </c>
      <c r="G126" s="541" t="str">
        <f t="shared" si="10"/>
        <v>stage_icon_event_you1_00003</v>
      </c>
    </row>
    <row r="127">
      <c r="A127" s="101" t="s">
        <v>2813</v>
      </c>
      <c r="B127" s="106">
        <v>1.0</v>
      </c>
      <c r="C127" s="271" t="s">
        <v>162</v>
      </c>
      <c r="D127" s="540" t="str">
        <f t="array" ref="D127">iferror(INDEX('作品'!D:D,MATCH(left(C127,3),'作品'!A:A,0),0),"error")</f>
        <v>幼稚園WARS</v>
      </c>
      <c r="E127" s="197">
        <v>4.0</v>
      </c>
      <c r="F127" s="197" t="s">
        <v>2868</v>
      </c>
      <c r="G127" s="541" t="str">
        <f t="shared" si="10"/>
        <v>stage_icon_event_you1_00004</v>
      </c>
    </row>
    <row r="128">
      <c r="A128" s="101" t="s">
        <v>2813</v>
      </c>
      <c r="B128" s="106">
        <v>1.0</v>
      </c>
      <c r="C128" s="271" t="s">
        <v>162</v>
      </c>
      <c r="D128" s="540" t="str">
        <f t="array" ref="D128">iferror(INDEX('作品'!D:D,MATCH(left(C128,3),'作品'!A:A,0),0),"error")</f>
        <v>幼稚園WARS</v>
      </c>
      <c r="E128" s="197">
        <v>5.0</v>
      </c>
      <c r="F128" s="197" t="s">
        <v>2348</v>
      </c>
      <c r="G128" s="541" t="str">
        <f t="shared" si="10"/>
        <v>stage_icon_event_you1_00005</v>
      </c>
    </row>
    <row r="129">
      <c r="A129" s="101" t="s">
        <v>2813</v>
      </c>
      <c r="B129" s="106">
        <v>1.0</v>
      </c>
      <c r="C129" s="271" t="s">
        <v>162</v>
      </c>
      <c r="D129" s="540" t="str">
        <f t="array" ref="D129">iferror(INDEX('作品'!D:D,MATCH(left(C129,3),'作品'!A:A,0),0),"error")</f>
        <v>幼稚園WARS</v>
      </c>
      <c r="E129" s="197">
        <v>6.0</v>
      </c>
      <c r="F129" s="197" t="s">
        <v>2410</v>
      </c>
      <c r="G129" s="541" t="str">
        <f t="shared" si="10"/>
        <v>stage_icon_event_you1_00006</v>
      </c>
    </row>
    <row r="130">
      <c r="A130" s="101" t="s">
        <v>2813</v>
      </c>
      <c r="B130" s="106">
        <v>1.0</v>
      </c>
      <c r="C130" s="271" t="s">
        <v>162</v>
      </c>
      <c r="D130" s="540" t="str">
        <f t="array" ref="D130">iferror(INDEX('作品'!D:D,MATCH(left(C130,3),'作品'!A:A,0),0),"error")</f>
        <v>幼稚園WARS</v>
      </c>
      <c r="E130" s="197">
        <v>7.0</v>
      </c>
      <c r="F130" s="197" t="s">
        <v>2341</v>
      </c>
      <c r="G130" s="541" t="str">
        <f t="shared" si="10"/>
        <v>stage_icon_event_you1_00007</v>
      </c>
    </row>
    <row r="131">
      <c r="A131" s="101" t="s">
        <v>2813</v>
      </c>
      <c r="B131" s="106">
        <v>1.0</v>
      </c>
      <c r="C131" s="271" t="s">
        <v>162</v>
      </c>
      <c r="D131" s="540" t="str">
        <f t="array" ref="D131">iferror(INDEX('作品'!D:D,MATCH(left(C131,3),'作品'!A:A,0),0),"error")</f>
        <v>幼稚園WARS</v>
      </c>
      <c r="E131" s="197">
        <v>8.0</v>
      </c>
      <c r="F131" s="197" t="s">
        <v>2344</v>
      </c>
      <c r="G131" s="541" t="str">
        <f t="shared" si="10"/>
        <v>stage_icon_event_you1_00008</v>
      </c>
    </row>
    <row r="132">
      <c r="A132" s="101" t="s">
        <v>2813</v>
      </c>
      <c r="B132" s="106">
        <v>1.0</v>
      </c>
      <c r="C132" s="271" t="s">
        <v>162</v>
      </c>
      <c r="D132" s="540" t="str">
        <f t="array" ref="D132">iferror(INDEX('作品'!D:D,MATCH(left(C132,3),'作品'!A:A,0),0),"error")</f>
        <v>幼稚園WARS</v>
      </c>
      <c r="E132" s="197">
        <v>9.0</v>
      </c>
      <c r="F132" s="197" t="s">
        <v>2869</v>
      </c>
      <c r="G132" s="541" t="str">
        <f t="shared" si="10"/>
        <v>stage_icon_event_you1_00009</v>
      </c>
    </row>
    <row r="133">
      <c r="A133" s="101"/>
      <c r="B133" s="101"/>
      <c r="C133" s="271"/>
      <c r="D133" s="540"/>
      <c r="E133" s="197"/>
      <c r="F133" s="197"/>
      <c r="G133" s="549"/>
    </row>
    <row r="134">
      <c r="A134" s="101" t="s">
        <v>2813</v>
      </c>
      <c r="B134" s="106">
        <v>1.0</v>
      </c>
      <c r="C134" s="271" t="s">
        <v>166</v>
      </c>
      <c r="D134" s="540" t="str">
        <f t="array" ref="D134">iferror(INDEX('作品'!D:D,MATCH(left(C134,3),'作品'!A:A,0),0),"error")</f>
        <v>君のことが大大大大大好きな100人の彼女</v>
      </c>
      <c r="E134" s="197">
        <v>1.0</v>
      </c>
      <c r="F134" s="197" t="s">
        <v>2350</v>
      </c>
      <c r="G134" s="541" t="str">
        <f t="shared" ref="G134:G139" si="11">"stage_icon_event_"&amp;C134&amp;B134&amp;"_"&amp;text(E134,"00000")</f>
        <v>stage_icon_event_kim1_00001</v>
      </c>
    </row>
    <row r="135">
      <c r="A135" s="101" t="s">
        <v>2813</v>
      </c>
      <c r="B135" s="106">
        <v>1.0</v>
      </c>
      <c r="C135" s="271" t="s">
        <v>166</v>
      </c>
      <c r="D135" s="540" t="str">
        <f t="array" ref="D135">iferror(INDEX('作品'!D:D,MATCH(left(C135,3),'作品'!A:A,0),0),"error")</f>
        <v>君のことが大大大大大好きな100人の彼女</v>
      </c>
      <c r="E135" s="197">
        <v>2.0</v>
      </c>
      <c r="F135" s="197" t="s">
        <v>2353</v>
      </c>
      <c r="G135" s="541" t="str">
        <f t="shared" si="11"/>
        <v>stage_icon_event_kim1_00002</v>
      </c>
    </row>
    <row r="136">
      <c r="A136" s="101" t="s">
        <v>2813</v>
      </c>
      <c r="B136" s="106">
        <v>1.0</v>
      </c>
      <c r="C136" s="271" t="s">
        <v>166</v>
      </c>
      <c r="D136" s="540" t="str">
        <f t="array" ref="D136">iferror(INDEX('作品'!D:D,MATCH(left(C136,3),'作品'!A:A,0),0),"error")</f>
        <v>君のことが大大大大大好きな100人の彼女</v>
      </c>
      <c r="E136" s="197">
        <v>3.0</v>
      </c>
      <c r="F136" s="197" t="s">
        <v>2355</v>
      </c>
      <c r="G136" s="541" t="str">
        <f t="shared" si="11"/>
        <v>stage_icon_event_kim1_00003</v>
      </c>
    </row>
    <row r="137">
      <c r="A137" s="101" t="s">
        <v>2813</v>
      </c>
      <c r="B137" s="106">
        <v>1.0</v>
      </c>
      <c r="C137" s="271" t="s">
        <v>166</v>
      </c>
      <c r="D137" s="540" t="str">
        <f t="array" ref="D137">iferror(INDEX('作品'!D:D,MATCH(left(C137,3),'作品'!A:A,0),0),"error")</f>
        <v>君のことが大大大大大好きな100人の彼女</v>
      </c>
      <c r="E137" s="197">
        <v>4.0</v>
      </c>
      <c r="F137" s="197" t="s">
        <v>2357</v>
      </c>
      <c r="G137" s="541" t="str">
        <f t="shared" si="11"/>
        <v>stage_icon_event_kim1_00004</v>
      </c>
    </row>
    <row r="138">
      <c r="A138" s="101" t="s">
        <v>2813</v>
      </c>
      <c r="B138" s="106">
        <v>1.0</v>
      </c>
      <c r="C138" s="271" t="s">
        <v>166</v>
      </c>
      <c r="D138" s="540" t="str">
        <f t="array" ref="D138">iferror(INDEX('作品'!D:D,MATCH(left(C138,3),'作品'!A:A,0),0),"error")</f>
        <v>君のことが大大大大大好きな100人の彼女</v>
      </c>
      <c r="E138" s="197">
        <v>5.0</v>
      </c>
      <c r="F138" s="197" t="s">
        <v>2427</v>
      </c>
      <c r="G138" s="541" t="str">
        <f t="shared" si="11"/>
        <v>stage_icon_event_kim1_00005</v>
      </c>
    </row>
    <row r="139">
      <c r="A139" s="101" t="s">
        <v>2813</v>
      </c>
      <c r="B139" s="106">
        <v>1.0</v>
      </c>
      <c r="C139" s="271" t="s">
        <v>166</v>
      </c>
      <c r="D139" s="540" t="str">
        <f t="array" ref="D139">iferror(INDEX('作品'!D:D,MATCH(left(C139,3),'作品'!A:A,0),0),"error")</f>
        <v>君のことが大大大大大好きな100人の彼女</v>
      </c>
      <c r="E139" s="197">
        <v>6.0</v>
      </c>
      <c r="F139" s="197" t="s">
        <v>2870</v>
      </c>
      <c r="G139" s="541" t="str">
        <f t="shared" si="11"/>
        <v>stage_icon_event_kim1_00006</v>
      </c>
    </row>
    <row r="140">
      <c r="A140" s="101"/>
      <c r="B140" s="106"/>
      <c r="C140" s="271"/>
      <c r="D140" s="540"/>
      <c r="E140" s="197"/>
      <c r="F140" s="197"/>
      <c r="G140" s="541"/>
    </row>
    <row r="141">
      <c r="A141" s="101"/>
      <c r="B141" s="106"/>
      <c r="C141" s="271"/>
      <c r="D141" s="540"/>
      <c r="E141" s="197"/>
      <c r="F141" s="197"/>
      <c r="G141" s="541"/>
    </row>
    <row r="142">
      <c r="A142" s="101"/>
      <c r="B142" s="106"/>
      <c r="C142" s="271"/>
      <c r="D142" s="540"/>
      <c r="E142" s="197"/>
      <c r="F142" s="197"/>
      <c r="G142" s="541"/>
    </row>
    <row r="143">
      <c r="A143" s="101"/>
      <c r="B143" s="101"/>
      <c r="C143" s="271"/>
      <c r="D143" s="540"/>
      <c r="E143" s="197"/>
      <c r="F143" s="197"/>
      <c r="G143" s="549"/>
    </row>
    <row r="144">
      <c r="A144" s="101" t="s">
        <v>2813</v>
      </c>
      <c r="B144" s="106">
        <v>1.0</v>
      </c>
      <c r="C144" s="271"/>
      <c r="D144" s="540"/>
      <c r="E144" s="197"/>
      <c r="F144" s="197"/>
      <c r="G144" s="549"/>
    </row>
    <row r="145">
      <c r="A145" s="101"/>
      <c r="B145" s="101"/>
      <c r="C145" s="271"/>
      <c r="D145" s="540"/>
      <c r="E145" s="197"/>
      <c r="F145" s="197"/>
      <c r="G145" s="549"/>
    </row>
    <row r="146">
      <c r="A146" s="101"/>
      <c r="B146" s="101"/>
      <c r="C146" s="271"/>
      <c r="D146" s="540"/>
      <c r="E146" s="197"/>
      <c r="F146" s="197"/>
      <c r="G146" s="549"/>
    </row>
    <row r="147">
      <c r="A147" s="101"/>
      <c r="B147" s="101"/>
      <c r="C147" s="271"/>
      <c r="D147" s="540"/>
      <c r="E147" s="197"/>
      <c r="F147" s="197"/>
      <c r="G147" s="549"/>
    </row>
    <row r="148">
      <c r="A148" s="101"/>
      <c r="B148" s="101"/>
      <c r="C148" s="271"/>
      <c r="D148" s="540"/>
      <c r="E148" s="197"/>
      <c r="F148" s="197"/>
      <c r="G148" s="549"/>
    </row>
    <row r="149">
      <c r="A149" s="101"/>
      <c r="B149" s="101"/>
      <c r="C149" s="271"/>
      <c r="D149" s="540"/>
      <c r="E149" s="197"/>
      <c r="F149" s="197"/>
      <c r="G149" s="549"/>
    </row>
    <row r="150">
      <c r="A150" s="101"/>
      <c r="B150" s="101"/>
      <c r="C150" s="271"/>
      <c r="D150" s="540"/>
      <c r="E150" s="197"/>
      <c r="F150" s="197"/>
      <c r="G150" s="549"/>
    </row>
    <row r="151">
      <c r="A151" s="548"/>
      <c r="B151" s="548"/>
      <c r="C151" s="548"/>
      <c r="D151" s="551"/>
      <c r="E151" s="548"/>
      <c r="F151" s="548"/>
      <c r="G151" s="548"/>
    </row>
    <row r="152">
      <c r="A152" s="548"/>
      <c r="B152" s="548"/>
      <c r="C152" s="548"/>
      <c r="D152" s="551"/>
      <c r="E152" s="548"/>
      <c r="F152" s="548"/>
      <c r="G152" s="548"/>
    </row>
    <row r="153">
      <c r="A153" s="548"/>
      <c r="B153" s="548"/>
      <c r="C153" s="548"/>
      <c r="D153" s="551"/>
      <c r="E153" s="548"/>
      <c r="F153" s="548"/>
      <c r="G153" s="548"/>
    </row>
    <row r="154">
      <c r="A154" s="548"/>
      <c r="B154" s="548"/>
      <c r="C154" s="548"/>
      <c r="D154" s="551"/>
      <c r="E154" s="548"/>
      <c r="F154" s="548"/>
      <c r="G154" s="548"/>
    </row>
    <row r="155">
      <c r="A155" s="548"/>
      <c r="B155" s="548"/>
      <c r="C155" s="548"/>
      <c r="D155" s="551"/>
      <c r="E155" s="548"/>
      <c r="F155" s="548"/>
      <c r="G155" s="548"/>
    </row>
    <row r="156">
      <c r="A156" s="548"/>
      <c r="B156" s="548"/>
      <c r="C156" s="548"/>
      <c r="D156" s="551"/>
      <c r="E156" s="548"/>
      <c r="F156" s="548"/>
      <c r="G156" s="548"/>
    </row>
    <row r="157">
      <c r="A157" s="548"/>
      <c r="B157" s="548"/>
      <c r="C157" s="548"/>
      <c r="D157" s="551"/>
      <c r="E157" s="548"/>
      <c r="F157" s="548"/>
      <c r="G157" s="54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7.0"/>
    <col customWidth="1" min="2" max="2" width="19.38"/>
    <col customWidth="1" min="3" max="3" width="21.38"/>
    <col customWidth="1" min="4" max="4" width="8.63"/>
    <col customWidth="1" min="5" max="5" width="14.88"/>
    <col customWidth="1" min="6" max="6" width="20.5"/>
    <col customWidth="1" min="7" max="7" width="21.0"/>
    <col customWidth="1" min="8" max="9" width="20.5"/>
    <col customWidth="1" min="10" max="11" width="17.75"/>
    <col customWidth="1" min="12" max="12" width="17.38"/>
    <col customWidth="1" min="13" max="14" width="15.25"/>
    <col customWidth="1" min="15" max="15" width="2.13"/>
  </cols>
  <sheetData>
    <row r="1">
      <c r="A1" s="418" t="s">
        <v>2465</v>
      </c>
      <c r="B1" s="419" t="s">
        <v>43</v>
      </c>
      <c r="C1" s="397" t="s">
        <v>2871</v>
      </c>
      <c r="D1" s="420" t="s">
        <v>2872</v>
      </c>
      <c r="E1" s="420" t="s">
        <v>2873</v>
      </c>
      <c r="F1" s="552" t="s">
        <v>2874</v>
      </c>
      <c r="G1" s="552" t="s">
        <v>2875</v>
      </c>
      <c r="H1" s="552" t="s">
        <v>2876</v>
      </c>
      <c r="I1" s="552" t="s">
        <v>2877</v>
      </c>
      <c r="J1" s="418" t="s">
        <v>2878</v>
      </c>
      <c r="K1" s="552" t="s">
        <v>2879</v>
      </c>
      <c r="L1" s="552" t="s">
        <v>2880</v>
      </c>
      <c r="M1" s="398" t="s">
        <v>58</v>
      </c>
      <c r="N1" s="398" t="s">
        <v>2526</v>
      </c>
      <c r="O1" s="553"/>
    </row>
    <row r="2">
      <c r="A2" s="25" t="s">
        <v>148</v>
      </c>
      <c r="B2" s="90" t="str">
        <f t="array" ref="B2">iferror(INDEX('作品'!D:D,MATCH(A2,'作品'!A:A,0),0),"error")</f>
        <v>地獄楽</v>
      </c>
      <c r="C2" s="400" t="s">
        <v>2881</v>
      </c>
      <c r="D2" s="46" t="s">
        <v>973</v>
      </c>
      <c r="E2" s="495" t="str">
        <f t="shared" ref="E2:E6" si="1">CONCATENATE("event_",A2,"_",D2)</f>
        <v>event_jig_00001</v>
      </c>
      <c r="F2" s="495"/>
      <c r="G2" s="554"/>
      <c r="H2" s="554"/>
      <c r="I2" s="554"/>
      <c r="J2" s="505"/>
      <c r="K2" s="555" t="s">
        <v>2882</v>
      </c>
      <c r="L2" s="556" t="s">
        <v>2883</v>
      </c>
      <c r="M2" s="98"/>
      <c r="N2" s="53" t="s">
        <v>2884</v>
      </c>
      <c r="O2" s="85"/>
    </row>
    <row r="3">
      <c r="A3" s="505" t="s">
        <v>115</v>
      </c>
      <c r="B3" s="90" t="str">
        <f t="array" ref="B3">iferror(INDEX('作品'!D:D,MATCH(A3,'作品'!A:A,0),0),"error")</f>
        <v>怪獣８号</v>
      </c>
      <c r="C3" s="505" t="s">
        <v>1284</v>
      </c>
      <c r="D3" s="46" t="s">
        <v>973</v>
      </c>
      <c r="E3" s="495" t="str">
        <f t="shared" si="1"/>
        <v>event_kai_00001</v>
      </c>
      <c r="F3" s="495" t="str">
        <f t="shared" ref="F3:F6" si="2">CONCATENATE("event_",A3,"_",D3,"_banner")</f>
        <v>event_kai_00001_banner</v>
      </c>
      <c r="G3" s="495" t="str">
        <f t="shared" ref="G3:G6" si="3">CONCATENATE("event_",A3,"_",D3,"_quest_select")</f>
        <v>event_kai_00001_quest_select</v>
      </c>
      <c r="H3" s="495" t="str">
        <f t="shared" ref="H3:H14" si="4">CONCATENATE("hometop_","event_",A3,"_",D3)</f>
        <v>hometop_event_kai_00001</v>
      </c>
      <c r="I3" s="495" t="str">
        <f t="shared" ref="I3:I6" si="5">CONCATENATE("event_",A3,"_",D3,"_mission")</f>
        <v>event_kai_00001_mission</v>
      </c>
      <c r="J3" s="505" t="str">
        <f t="shared" ref="J3:J9" si="6">CONCATENATE("event_",A3,"_",D3,"_01")</f>
        <v>event_kai_00001_01</v>
      </c>
      <c r="K3" s="555" t="s">
        <v>2885</v>
      </c>
      <c r="L3" s="555" t="s">
        <v>2886</v>
      </c>
      <c r="M3" s="506"/>
      <c r="N3" s="505" t="s">
        <v>2887</v>
      </c>
      <c r="O3" s="557"/>
    </row>
    <row r="4">
      <c r="A4" s="505" t="s">
        <v>60</v>
      </c>
      <c r="B4" s="90" t="str">
        <f t="array" ref="B4">iferror(INDEX('作品'!D:D,MATCH(A4,'作品'!A:A,0),0),"error")</f>
        <v>SPY×FAMILY</v>
      </c>
      <c r="C4" s="505" t="s">
        <v>1032</v>
      </c>
      <c r="D4" s="46" t="s">
        <v>973</v>
      </c>
      <c r="E4" s="495" t="str">
        <f t="shared" si="1"/>
        <v>event_spy_00001</v>
      </c>
      <c r="F4" s="495" t="str">
        <f t="shared" si="2"/>
        <v>event_spy_00001_banner</v>
      </c>
      <c r="G4" s="495" t="str">
        <f t="shared" si="3"/>
        <v>event_spy_00001_quest_select</v>
      </c>
      <c r="H4" s="495" t="str">
        <f t="shared" si="4"/>
        <v>hometop_event_spy_00001</v>
      </c>
      <c r="I4" s="495" t="str">
        <f t="shared" si="5"/>
        <v>event_spy_00001_mission</v>
      </c>
      <c r="J4" s="505" t="str">
        <f t="shared" si="6"/>
        <v>event_spy_00001_01</v>
      </c>
      <c r="K4" s="555" t="s">
        <v>2888</v>
      </c>
      <c r="L4" s="555" t="s">
        <v>2889</v>
      </c>
      <c r="M4" s="506"/>
      <c r="N4" s="505" t="s">
        <v>2887</v>
      </c>
      <c r="O4" s="557"/>
    </row>
    <row r="5">
      <c r="A5" s="505" t="s">
        <v>80</v>
      </c>
      <c r="B5" s="90" t="str">
        <f t="array" ref="B5">iferror(INDEX('作品'!D:D,MATCH(A5,'作品'!A:A,0),0),"error")</f>
        <v>ダンダダン</v>
      </c>
      <c r="C5" s="505" t="s">
        <v>2890</v>
      </c>
      <c r="D5" s="46" t="s">
        <v>973</v>
      </c>
      <c r="E5" s="495" t="str">
        <f t="shared" si="1"/>
        <v>event_dan_00001</v>
      </c>
      <c r="F5" s="495" t="str">
        <f t="shared" si="2"/>
        <v>event_dan_00001_banner</v>
      </c>
      <c r="G5" s="495" t="str">
        <f t="shared" si="3"/>
        <v>event_dan_00001_quest_select</v>
      </c>
      <c r="H5" s="495" t="str">
        <f t="shared" si="4"/>
        <v>hometop_event_dan_00001</v>
      </c>
      <c r="I5" s="495" t="str">
        <f t="shared" si="5"/>
        <v>event_dan_00001_mission</v>
      </c>
      <c r="J5" s="505" t="str">
        <f t="shared" si="6"/>
        <v>event_dan_00001_01</v>
      </c>
      <c r="K5" s="555" t="s">
        <v>2891</v>
      </c>
      <c r="L5" s="555" t="s">
        <v>2892</v>
      </c>
      <c r="M5" s="506"/>
      <c r="N5" s="506"/>
      <c r="O5" s="557"/>
    </row>
    <row r="6">
      <c r="A6" s="505" t="s">
        <v>98</v>
      </c>
      <c r="B6" s="90" t="str">
        <f t="array" ref="B6">iferror(INDEX('作品'!D:D,MATCH(A6,'作品'!A:A,0),0),"error")</f>
        <v>株式会社マジルミエ</v>
      </c>
      <c r="C6" s="505" t="s">
        <v>1828</v>
      </c>
      <c r="D6" s="46" t="s">
        <v>973</v>
      </c>
      <c r="E6" s="495" t="str">
        <f t="shared" si="1"/>
        <v>event_mag_00001</v>
      </c>
      <c r="F6" s="495" t="str">
        <f t="shared" si="2"/>
        <v>event_mag_00001_banner</v>
      </c>
      <c r="G6" s="495" t="str">
        <f t="shared" si="3"/>
        <v>event_mag_00001_quest_select</v>
      </c>
      <c r="H6" s="495" t="str">
        <f t="shared" si="4"/>
        <v>hometop_event_mag_00001</v>
      </c>
      <c r="I6" s="495" t="str">
        <f t="shared" si="5"/>
        <v>event_mag_00001_mission</v>
      </c>
      <c r="J6" s="505" t="str">
        <f t="shared" si="6"/>
        <v>event_mag_00001_01</v>
      </c>
      <c r="K6" s="555" t="s">
        <v>2893</v>
      </c>
      <c r="L6" s="555" t="s">
        <v>2894</v>
      </c>
      <c r="M6" s="506"/>
      <c r="N6" s="506"/>
      <c r="O6" s="557"/>
    </row>
    <row r="7">
      <c r="A7" s="505" t="s">
        <v>283</v>
      </c>
      <c r="B7" s="90" t="str">
        <f t="array" ref="B7">iferror(INDEX('作品'!D:D,MATCH(A7,'作品'!A:A,0),0),"error")</f>
        <v>GLOW</v>
      </c>
      <c r="C7" s="505" t="s">
        <v>2895</v>
      </c>
      <c r="D7" s="46" t="s">
        <v>973</v>
      </c>
      <c r="E7" s="495" t="s">
        <v>2651</v>
      </c>
      <c r="F7" s="495" t="s">
        <v>2651</v>
      </c>
      <c r="G7" s="495" t="s">
        <v>2651</v>
      </c>
      <c r="H7" s="495" t="str">
        <f t="shared" si="4"/>
        <v>hometop_event_glo_00001</v>
      </c>
      <c r="I7" s="495" t="s">
        <v>2651</v>
      </c>
      <c r="J7" s="505" t="str">
        <f t="shared" si="6"/>
        <v>event_glo_00001_01</v>
      </c>
      <c r="K7" s="555" t="s">
        <v>2896</v>
      </c>
      <c r="L7" s="555" t="s">
        <v>2897</v>
      </c>
      <c r="M7" s="506"/>
      <c r="N7" s="506"/>
      <c r="O7" s="557"/>
    </row>
    <row r="8">
      <c r="A8" s="505" t="s">
        <v>121</v>
      </c>
      <c r="B8" s="90" t="str">
        <f t="array" ref="B8">iferror(INDEX('作品'!D:D,MATCH(A8,'作品'!A:A,0),0),"error")</f>
        <v>2.5次元の誘惑</v>
      </c>
      <c r="C8" s="505" t="s">
        <v>2898</v>
      </c>
      <c r="D8" s="558" t="s">
        <v>973</v>
      </c>
      <c r="E8" s="495" t="str">
        <f t="shared" ref="E8:E14" si="7">CONCATENATE("event_",A8,"_",D8)</f>
        <v>event_yuw_00001</v>
      </c>
      <c r="F8" s="495" t="str">
        <f t="shared" ref="F8:F14" si="8">CONCATENATE("event_",A8,"_",D8,"_banner")</f>
        <v>event_yuw_00001_banner</v>
      </c>
      <c r="G8" s="495" t="str">
        <f t="shared" ref="G8:G14" si="9">CONCATENATE("event_",A8,"_",D8,"_quest_select")</f>
        <v>event_yuw_00001_quest_select</v>
      </c>
      <c r="H8" s="495" t="str">
        <f t="shared" si="4"/>
        <v>hometop_event_yuw_00001</v>
      </c>
      <c r="I8" s="495" t="str">
        <f t="shared" ref="I8:I14" si="10">CONCATENATE("event_",A8,"_",D8,"_mission")</f>
        <v>event_yuw_00001_mission</v>
      </c>
      <c r="J8" s="505" t="str">
        <f t="shared" si="6"/>
        <v>event_yuw_00001_01</v>
      </c>
      <c r="K8" s="555" t="s">
        <v>2248</v>
      </c>
      <c r="L8" s="558" t="s">
        <v>2899</v>
      </c>
      <c r="M8" s="506"/>
      <c r="N8" s="506"/>
      <c r="O8" s="557"/>
    </row>
    <row r="9">
      <c r="A9" s="505" t="s">
        <v>127</v>
      </c>
      <c r="B9" s="90" t="str">
        <f t="array" ref="B9">iferror(INDEX('作品'!D:D,MATCH(A9,'作品'!A:A,0),0),"error")</f>
        <v>魔都精兵のスレイブ</v>
      </c>
      <c r="C9" s="505" t="s">
        <v>2900</v>
      </c>
      <c r="D9" s="558" t="s">
        <v>973</v>
      </c>
      <c r="E9" s="495" t="str">
        <f t="shared" si="7"/>
        <v>event_sur_00001</v>
      </c>
      <c r="F9" s="495" t="str">
        <f t="shared" si="8"/>
        <v>event_sur_00001_banner</v>
      </c>
      <c r="G9" s="495" t="str">
        <f t="shared" si="9"/>
        <v>event_sur_00001_quest_select</v>
      </c>
      <c r="H9" s="495" t="str">
        <f t="shared" si="4"/>
        <v>hometop_event_sur_00001</v>
      </c>
      <c r="I9" s="495" t="str">
        <f t="shared" si="10"/>
        <v>event_sur_00001_mission</v>
      </c>
      <c r="J9" s="505" t="str">
        <f t="shared" si="6"/>
        <v>event_sur_00001_01</v>
      </c>
      <c r="K9" s="555" t="s">
        <v>2274</v>
      </c>
      <c r="L9" s="555" t="s">
        <v>2901</v>
      </c>
      <c r="M9" s="506"/>
      <c r="N9" s="506"/>
      <c r="O9" s="557"/>
    </row>
    <row r="10">
      <c r="A10" s="505" t="s">
        <v>283</v>
      </c>
      <c r="B10" s="90" t="str">
        <f t="array" ref="B10">iferror(INDEX('作品'!D:D,MATCH(A10,'作品'!A:A,0),0),"error")</f>
        <v>GLOW</v>
      </c>
      <c r="C10" s="505" t="s">
        <v>2902</v>
      </c>
      <c r="D10" s="558" t="s">
        <v>973</v>
      </c>
      <c r="E10" s="495" t="str">
        <f t="shared" si="7"/>
        <v>event_glo_00001</v>
      </c>
      <c r="F10" s="495" t="str">
        <f t="shared" si="8"/>
        <v>event_glo_00001_banner</v>
      </c>
      <c r="G10" s="495" t="str">
        <f t="shared" si="9"/>
        <v>event_glo_00001_quest_select</v>
      </c>
      <c r="H10" s="495" t="str">
        <f t="shared" si="4"/>
        <v>hometop_event_glo_00001</v>
      </c>
      <c r="I10" s="495" t="str">
        <f t="shared" si="10"/>
        <v>event_glo_00001_mission</v>
      </c>
      <c r="J10" s="505" t="s">
        <v>2903</v>
      </c>
      <c r="K10" s="555" t="s">
        <v>2109</v>
      </c>
      <c r="L10" s="555" t="s">
        <v>2904</v>
      </c>
      <c r="M10" s="506"/>
      <c r="N10" s="505" t="s">
        <v>2905</v>
      </c>
      <c r="O10" s="557"/>
    </row>
    <row r="11">
      <c r="A11" s="505" t="s">
        <v>158</v>
      </c>
      <c r="B11" s="90" t="str">
        <f t="array" ref="B11">iferror(INDEX('作品'!D:D,MATCH(A11,'作品'!A:A,0),0),"error")</f>
        <v>【推しの子】</v>
      </c>
      <c r="C11" s="505" t="s">
        <v>2906</v>
      </c>
      <c r="D11" s="558" t="s">
        <v>973</v>
      </c>
      <c r="E11" s="495" t="str">
        <f t="shared" si="7"/>
        <v>event_osh_00001</v>
      </c>
      <c r="F11" s="495" t="str">
        <f t="shared" si="8"/>
        <v>event_osh_00001_banner</v>
      </c>
      <c r="G11" s="495" t="str">
        <f t="shared" si="9"/>
        <v>event_osh_00001_quest_select</v>
      </c>
      <c r="H11" s="495" t="str">
        <f t="shared" si="4"/>
        <v>hometop_event_osh_00001</v>
      </c>
      <c r="I11" s="495" t="str">
        <f t="shared" si="10"/>
        <v>event_osh_00001_mission</v>
      </c>
      <c r="J11" s="505" t="str">
        <f t="shared" ref="J11:J14" si="11">CONCATENATE("event_",A11,"_",D11,"_01")</f>
        <v>event_osh_00001_01</v>
      </c>
      <c r="K11" s="555" t="s">
        <v>2109</v>
      </c>
      <c r="L11" s="555" t="s">
        <v>2904</v>
      </c>
      <c r="M11" s="506"/>
      <c r="N11" s="505"/>
      <c r="O11" s="557"/>
    </row>
    <row r="12">
      <c r="A12" s="505" t="s">
        <v>148</v>
      </c>
      <c r="B12" s="90" t="str">
        <f t="array" ref="B12">iferror(INDEX('作品'!D:D,MATCH(A12,'作品'!A:A,0),0),"error")</f>
        <v>地獄楽</v>
      </c>
      <c r="C12" s="505" t="s">
        <v>2907</v>
      </c>
      <c r="D12" s="558" t="s">
        <v>973</v>
      </c>
      <c r="E12" s="495" t="str">
        <f t="shared" si="7"/>
        <v>event_jig_00001</v>
      </c>
      <c r="F12" s="495" t="str">
        <f t="shared" si="8"/>
        <v>event_jig_00001_banner</v>
      </c>
      <c r="G12" s="495" t="str">
        <f t="shared" si="9"/>
        <v>event_jig_00001_quest_select</v>
      </c>
      <c r="H12" s="495" t="str">
        <f t="shared" si="4"/>
        <v>hometop_event_jig_00001</v>
      </c>
      <c r="I12" s="495" t="str">
        <f t="shared" si="10"/>
        <v>event_jig_00001_mission</v>
      </c>
      <c r="J12" s="505" t="str">
        <f t="shared" si="11"/>
        <v>event_jig_00001_01</v>
      </c>
      <c r="K12" s="555" t="s">
        <v>2334</v>
      </c>
      <c r="L12" s="555" t="s">
        <v>2908</v>
      </c>
      <c r="M12" s="506"/>
      <c r="N12" s="506"/>
      <c r="O12" s="557"/>
    </row>
    <row r="13">
      <c r="A13" s="505" t="s">
        <v>162</v>
      </c>
      <c r="B13" s="90" t="str">
        <f t="array" ref="B13">iferror(INDEX('作品'!D:D,MATCH(A13,'作品'!A:A,0),0),"error")</f>
        <v>幼稚園WARS</v>
      </c>
      <c r="C13" s="505" t="s">
        <v>1595</v>
      </c>
      <c r="D13" s="558" t="s">
        <v>973</v>
      </c>
      <c r="E13" s="495" t="str">
        <f t="shared" si="7"/>
        <v>event_you_00001</v>
      </c>
      <c r="F13" s="495" t="str">
        <f t="shared" si="8"/>
        <v>event_you_00001_banner</v>
      </c>
      <c r="G13" s="495" t="str">
        <f t="shared" si="9"/>
        <v>event_you_00001_quest_select</v>
      </c>
      <c r="H13" s="495" t="str">
        <f t="shared" si="4"/>
        <v>hometop_event_you_00001</v>
      </c>
      <c r="I13" s="495" t="str">
        <f t="shared" si="10"/>
        <v>event_you_00001_mission</v>
      </c>
      <c r="J13" s="505" t="str">
        <f t="shared" si="11"/>
        <v>event_you_00001_01</v>
      </c>
      <c r="K13" s="555" t="s">
        <v>2343</v>
      </c>
      <c r="L13" s="555" t="s">
        <v>2909</v>
      </c>
      <c r="M13" s="506"/>
      <c r="N13" s="506"/>
      <c r="O13" s="557"/>
    </row>
    <row r="14">
      <c r="A14" s="505" t="s">
        <v>166</v>
      </c>
      <c r="B14" s="90" t="str">
        <f t="array" ref="B14">iferror(INDEX('作品'!D:D,MATCH(A14,'作品'!A:A,0),0),"error")</f>
        <v>君のことが大大大大大好きな100人の彼女</v>
      </c>
      <c r="C14" s="505" t="s">
        <v>1615</v>
      </c>
      <c r="D14" s="558" t="s">
        <v>973</v>
      </c>
      <c r="E14" s="495" t="str">
        <f t="shared" si="7"/>
        <v>event_kim_00001</v>
      </c>
      <c r="F14" s="495" t="str">
        <f t="shared" si="8"/>
        <v>event_kim_00001_banner</v>
      </c>
      <c r="G14" s="495" t="str">
        <f t="shared" si="9"/>
        <v>event_kim_00001_quest_select</v>
      </c>
      <c r="H14" s="495" t="str">
        <f t="shared" si="4"/>
        <v>hometop_event_kim_00001</v>
      </c>
      <c r="I14" s="495" t="str">
        <f t="shared" si="10"/>
        <v>event_kim_00001_mission</v>
      </c>
      <c r="J14" s="505" t="str">
        <f t="shared" si="11"/>
        <v>event_kim_00001_01</v>
      </c>
      <c r="K14" s="555" t="s">
        <v>2352</v>
      </c>
      <c r="L14" s="555" t="s">
        <v>2910</v>
      </c>
      <c r="M14" s="506"/>
      <c r="N14" s="506"/>
      <c r="O14" s="557"/>
    </row>
    <row r="15">
      <c r="A15" s="506"/>
      <c r="B15" s="559"/>
      <c r="C15" s="506"/>
      <c r="D15" s="506"/>
      <c r="E15" s="559"/>
      <c r="F15" s="559"/>
      <c r="G15" s="559"/>
      <c r="H15" s="559"/>
      <c r="I15" s="559"/>
      <c r="J15" s="506"/>
      <c r="K15" s="506"/>
      <c r="L15" s="506"/>
      <c r="M15" s="506"/>
      <c r="N15" s="506"/>
      <c r="O15" s="557"/>
    </row>
    <row r="16">
      <c r="A16" s="506"/>
      <c r="B16" s="559"/>
      <c r="C16" s="506"/>
      <c r="D16" s="506"/>
      <c r="E16" s="559"/>
      <c r="F16" s="559"/>
      <c r="G16" s="559"/>
      <c r="H16" s="559"/>
      <c r="I16" s="559"/>
      <c r="J16" s="506"/>
      <c r="K16" s="506"/>
      <c r="L16" s="506"/>
      <c r="M16" s="506"/>
      <c r="N16" s="506"/>
      <c r="O16" s="557"/>
    </row>
    <row r="17">
      <c r="A17" s="560" t="s">
        <v>2911</v>
      </c>
      <c r="B17" s="561"/>
      <c r="C17" s="561"/>
      <c r="D17" s="561"/>
      <c r="E17" s="561"/>
      <c r="F17" s="561"/>
      <c r="G17" s="561"/>
      <c r="H17" s="561"/>
      <c r="I17" s="561"/>
      <c r="J17" s="561"/>
      <c r="K17" s="561"/>
      <c r="L17" s="561"/>
      <c r="M17" s="561"/>
      <c r="N17" s="561"/>
      <c r="O17" s="562"/>
    </row>
    <row r="18">
      <c r="A18" s="505" t="s">
        <v>283</v>
      </c>
      <c r="B18" s="90" t="str">
        <f t="array" ref="B18">iferror(INDEX('作品'!D:D,MATCH(A18,'作品'!A:A,0),0),"error")</f>
        <v>GLOW</v>
      </c>
      <c r="C18" s="505" t="s">
        <v>2912</v>
      </c>
      <c r="D18" s="558" t="s">
        <v>2651</v>
      </c>
      <c r="E18" s="495" t="s">
        <v>2651</v>
      </c>
      <c r="F18" s="495" t="s">
        <v>2651</v>
      </c>
      <c r="G18" s="495" t="s">
        <v>2651</v>
      </c>
      <c r="H18" s="495" t="s">
        <v>2651</v>
      </c>
      <c r="I18" s="495" t="s">
        <v>2651</v>
      </c>
      <c r="J18" s="505" t="s">
        <v>2913</v>
      </c>
      <c r="K18" s="555" t="s">
        <v>2914</v>
      </c>
      <c r="L18" s="555" t="s">
        <v>2915</v>
      </c>
      <c r="M18" s="506"/>
      <c r="N18" s="506"/>
      <c r="O18" s="557"/>
    </row>
    <row r="19">
      <c r="A19" s="506"/>
      <c r="B19" s="559"/>
      <c r="C19" s="506"/>
      <c r="D19" s="506"/>
      <c r="E19" s="559"/>
      <c r="F19" s="559"/>
      <c r="G19" s="559"/>
      <c r="H19" s="559"/>
      <c r="I19" s="559"/>
      <c r="J19" s="506"/>
      <c r="K19" s="563"/>
      <c r="L19" s="563"/>
      <c r="M19" s="506"/>
      <c r="N19" s="506"/>
      <c r="O19" s="557"/>
    </row>
    <row r="20">
      <c r="A20" s="506"/>
      <c r="B20" s="559"/>
      <c r="C20" s="506"/>
      <c r="D20" s="506"/>
      <c r="E20" s="559"/>
      <c r="F20" s="559"/>
      <c r="G20" s="559"/>
      <c r="H20" s="559"/>
      <c r="I20" s="559"/>
      <c r="J20" s="506"/>
      <c r="K20" s="506"/>
      <c r="L20" s="506"/>
      <c r="M20" s="506"/>
      <c r="N20" s="506"/>
      <c r="O20" s="557"/>
    </row>
    <row r="21">
      <c r="A21" s="506"/>
      <c r="B21" s="559"/>
      <c r="C21" s="506"/>
      <c r="D21" s="506"/>
      <c r="E21" s="559"/>
      <c r="F21" s="559"/>
      <c r="G21" s="559"/>
      <c r="H21" s="559"/>
      <c r="I21" s="559"/>
      <c r="J21" s="506"/>
      <c r="K21" s="506"/>
      <c r="L21" s="506"/>
      <c r="M21" s="506"/>
      <c r="N21" s="506"/>
      <c r="O21" s="557"/>
    </row>
    <row r="22">
      <c r="A22" s="506"/>
      <c r="B22" s="559"/>
      <c r="C22" s="506"/>
      <c r="D22" s="506"/>
      <c r="E22" s="559"/>
      <c r="F22" s="559"/>
      <c r="G22" s="559"/>
      <c r="H22" s="559"/>
      <c r="I22" s="559"/>
      <c r="J22" s="506"/>
      <c r="K22" s="506"/>
      <c r="L22" s="506"/>
      <c r="M22" s="506"/>
      <c r="N22" s="506"/>
      <c r="O22" s="557"/>
    </row>
    <row r="23">
      <c r="A23" s="506"/>
      <c r="B23" s="559"/>
      <c r="C23" s="506"/>
      <c r="D23" s="506"/>
      <c r="E23" s="559"/>
      <c r="F23" s="559"/>
      <c r="G23" s="559"/>
      <c r="H23" s="559"/>
      <c r="I23" s="559"/>
      <c r="J23" s="506"/>
      <c r="K23" s="506"/>
      <c r="L23" s="506"/>
      <c r="M23" s="506"/>
      <c r="N23" s="506"/>
      <c r="O23" s="557"/>
    </row>
    <row r="24">
      <c r="A24" s="506"/>
      <c r="B24" s="559"/>
      <c r="C24" s="506"/>
      <c r="D24" s="506"/>
      <c r="E24" s="559"/>
      <c r="F24" s="559"/>
      <c r="G24" s="559"/>
      <c r="H24" s="559"/>
      <c r="I24" s="559"/>
      <c r="J24" s="506"/>
      <c r="K24" s="506"/>
      <c r="L24" s="506"/>
      <c r="M24" s="506"/>
      <c r="N24" s="506"/>
      <c r="O24" s="557"/>
    </row>
    <row r="25">
      <c r="A25" s="506"/>
      <c r="B25" s="559"/>
      <c r="C25" s="506"/>
      <c r="D25" s="506"/>
      <c r="E25" s="559"/>
      <c r="F25" s="559"/>
      <c r="G25" s="559"/>
      <c r="H25" s="559"/>
      <c r="I25" s="559"/>
      <c r="J25" s="506"/>
      <c r="K25" s="506"/>
      <c r="L25" s="506"/>
      <c r="M25" s="506"/>
      <c r="N25" s="506"/>
      <c r="O25" s="557"/>
    </row>
    <row r="26">
      <c r="A26" s="506"/>
      <c r="B26" s="559"/>
      <c r="C26" s="506"/>
      <c r="D26" s="506"/>
      <c r="E26" s="559"/>
      <c r="F26" s="559"/>
      <c r="G26" s="559"/>
      <c r="H26" s="559"/>
      <c r="I26" s="559"/>
      <c r="J26" s="506"/>
      <c r="K26" s="506"/>
      <c r="L26" s="506"/>
      <c r="M26" s="506"/>
      <c r="N26" s="506"/>
      <c r="O26" s="557"/>
    </row>
    <row r="27">
      <c r="A27" s="506"/>
      <c r="B27" s="559"/>
      <c r="C27" s="506"/>
      <c r="D27" s="506"/>
      <c r="E27" s="559"/>
      <c r="F27" s="559"/>
      <c r="G27" s="559"/>
      <c r="H27" s="559"/>
      <c r="I27" s="559"/>
      <c r="J27" s="506"/>
      <c r="K27" s="506"/>
      <c r="L27" s="506"/>
      <c r="M27" s="506"/>
      <c r="N27" s="506"/>
      <c r="O27" s="557"/>
    </row>
    <row r="28">
      <c r="A28" s="506"/>
      <c r="B28" s="559"/>
      <c r="C28" s="506"/>
      <c r="D28" s="506"/>
      <c r="E28" s="559"/>
      <c r="F28" s="559"/>
      <c r="G28" s="559"/>
      <c r="H28" s="559"/>
      <c r="I28" s="559"/>
      <c r="J28" s="506"/>
      <c r="K28" s="506"/>
      <c r="L28" s="506"/>
      <c r="M28" s="506"/>
      <c r="N28" s="506"/>
      <c r="O28" s="557"/>
    </row>
    <row r="29">
      <c r="A29" s="506"/>
      <c r="B29" s="559"/>
      <c r="C29" s="506"/>
      <c r="D29" s="506"/>
      <c r="E29" s="559"/>
      <c r="F29" s="559"/>
      <c r="G29" s="559"/>
      <c r="H29" s="559"/>
      <c r="I29" s="559"/>
      <c r="J29" s="506"/>
      <c r="K29" s="506"/>
      <c r="L29" s="506"/>
      <c r="M29" s="506"/>
      <c r="N29" s="506"/>
      <c r="O29" s="557"/>
    </row>
    <row r="30">
      <c r="A30" s="506"/>
      <c r="B30" s="559"/>
      <c r="C30" s="506"/>
      <c r="D30" s="506"/>
      <c r="E30" s="559"/>
      <c r="F30" s="559"/>
      <c r="G30" s="559"/>
      <c r="H30" s="559"/>
      <c r="I30" s="559"/>
      <c r="J30" s="506"/>
      <c r="K30" s="506"/>
      <c r="L30" s="506"/>
      <c r="M30" s="506"/>
      <c r="N30" s="506"/>
      <c r="O30" s="557"/>
    </row>
    <row r="31">
      <c r="A31" s="506"/>
      <c r="B31" s="559"/>
      <c r="C31" s="506"/>
      <c r="D31" s="506"/>
      <c r="E31" s="559"/>
      <c r="F31" s="559"/>
      <c r="G31" s="559"/>
      <c r="H31" s="559"/>
      <c r="I31" s="559"/>
      <c r="J31" s="506"/>
      <c r="K31" s="506"/>
      <c r="L31" s="506"/>
      <c r="M31" s="506"/>
      <c r="N31" s="506"/>
      <c r="O31" s="557"/>
    </row>
    <row r="32">
      <c r="A32" s="506"/>
      <c r="B32" s="559"/>
      <c r="C32" s="506"/>
      <c r="D32" s="506"/>
      <c r="E32" s="559"/>
      <c r="F32" s="559"/>
      <c r="G32" s="559"/>
      <c r="H32" s="559"/>
      <c r="I32" s="559"/>
      <c r="J32" s="506"/>
      <c r="K32" s="506"/>
      <c r="L32" s="506"/>
      <c r="M32" s="506"/>
      <c r="N32" s="506"/>
      <c r="O32" s="557"/>
    </row>
    <row r="33">
      <c r="A33" s="506"/>
      <c r="B33" s="559"/>
      <c r="C33" s="506"/>
      <c r="D33" s="506"/>
      <c r="E33" s="559"/>
      <c r="F33" s="559"/>
      <c r="G33" s="559"/>
      <c r="H33" s="559"/>
      <c r="I33" s="559"/>
      <c r="J33" s="506"/>
      <c r="K33" s="506"/>
      <c r="L33" s="506"/>
      <c r="M33" s="506"/>
      <c r="N33" s="506"/>
      <c r="O33" s="557"/>
    </row>
    <row r="34">
      <c r="A34" s="506"/>
      <c r="B34" s="559"/>
      <c r="C34" s="506"/>
      <c r="D34" s="506"/>
      <c r="E34" s="559"/>
      <c r="F34" s="559"/>
      <c r="G34" s="559"/>
      <c r="H34" s="559"/>
      <c r="I34" s="559"/>
      <c r="J34" s="506"/>
      <c r="K34" s="506"/>
      <c r="L34" s="506"/>
      <c r="M34" s="506"/>
      <c r="N34" s="506"/>
      <c r="O34" s="557"/>
    </row>
    <row r="35">
      <c r="A35" s="506"/>
      <c r="B35" s="559"/>
      <c r="C35" s="506"/>
      <c r="D35" s="506"/>
      <c r="E35" s="559"/>
      <c r="F35" s="559"/>
      <c r="G35" s="559"/>
      <c r="H35" s="559"/>
      <c r="I35" s="559"/>
      <c r="J35" s="506"/>
      <c r="K35" s="506"/>
      <c r="L35" s="506"/>
      <c r="M35" s="506"/>
      <c r="N35" s="506"/>
      <c r="O35" s="557"/>
    </row>
    <row r="36">
      <c r="A36" s="506"/>
      <c r="B36" s="559"/>
      <c r="C36" s="506"/>
      <c r="D36" s="506"/>
      <c r="E36" s="559"/>
      <c r="F36" s="559"/>
      <c r="G36" s="559"/>
      <c r="H36" s="559"/>
      <c r="I36" s="559"/>
      <c r="J36" s="506"/>
      <c r="K36" s="506"/>
      <c r="L36" s="506"/>
      <c r="M36" s="506"/>
      <c r="N36" s="506"/>
      <c r="O36" s="557"/>
    </row>
    <row r="37">
      <c r="A37" s="506"/>
      <c r="B37" s="559"/>
      <c r="C37" s="506"/>
      <c r="D37" s="506"/>
      <c r="E37" s="559"/>
      <c r="F37" s="559"/>
      <c r="G37" s="559"/>
      <c r="H37" s="559"/>
      <c r="I37" s="559"/>
      <c r="J37" s="506"/>
      <c r="K37" s="506"/>
      <c r="L37" s="506"/>
      <c r="M37" s="506"/>
      <c r="N37" s="506"/>
      <c r="O37" s="557"/>
    </row>
    <row r="38">
      <c r="A38" s="506"/>
      <c r="B38" s="559"/>
      <c r="C38" s="506"/>
      <c r="D38" s="506"/>
      <c r="E38" s="559"/>
      <c r="F38" s="559"/>
      <c r="G38" s="559"/>
      <c r="H38" s="559"/>
      <c r="I38" s="559"/>
      <c r="J38" s="506"/>
      <c r="K38" s="506"/>
      <c r="L38" s="506"/>
      <c r="M38" s="506"/>
      <c r="N38" s="506"/>
      <c r="O38" s="557"/>
    </row>
    <row r="39">
      <c r="A39" s="506"/>
      <c r="B39" s="559"/>
      <c r="C39" s="506"/>
      <c r="D39" s="506"/>
      <c r="E39" s="559"/>
      <c r="F39" s="559"/>
      <c r="G39" s="559"/>
      <c r="H39" s="559"/>
      <c r="I39" s="559"/>
      <c r="J39" s="506"/>
      <c r="K39" s="506"/>
      <c r="L39" s="506"/>
      <c r="M39" s="506"/>
      <c r="N39" s="506"/>
      <c r="O39" s="557"/>
    </row>
    <row r="40">
      <c r="A40" s="506"/>
      <c r="B40" s="559"/>
      <c r="C40" s="506"/>
      <c r="D40" s="506"/>
      <c r="E40" s="559"/>
      <c r="F40" s="559"/>
      <c r="G40" s="559"/>
      <c r="H40" s="559"/>
      <c r="I40" s="559"/>
      <c r="J40" s="506"/>
      <c r="K40" s="506"/>
      <c r="L40" s="506"/>
      <c r="M40" s="506"/>
      <c r="N40" s="506"/>
      <c r="O40" s="557"/>
    </row>
    <row r="41">
      <c r="A41" s="506"/>
      <c r="B41" s="559"/>
      <c r="C41" s="506"/>
      <c r="D41" s="506"/>
      <c r="E41" s="559"/>
      <c r="F41" s="559"/>
      <c r="G41" s="559"/>
      <c r="H41" s="559"/>
      <c r="I41" s="559"/>
      <c r="J41" s="506"/>
      <c r="K41" s="506"/>
      <c r="L41" s="506"/>
      <c r="M41" s="506"/>
      <c r="N41" s="506"/>
      <c r="O41" s="557"/>
    </row>
    <row r="42">
      <c r="A42" s="506"/>
      <c r="B42" s="559"/>
      <c r="C42" s="506"/>
      <c r="D42" s="506"/>
      <c r="E42" s="559"/>
      <c r="F42" s="559"/>
      <c r="G42" s="559"/>
      <c r="H42" s="559"/>
      <c r="I42" s="559"/>
      <c r="J42" s="506"/>
      <c r="K42" s="506"/>
      <c r="L42" s="506"/>
      <c r="M42" s="506"/>
      <c r="N42" s="506"/>
      <c r="O42" s="557"/>
    </row>
    <row r="43">
      <c r="A43" s="506"/>
      <c r="B43" s="559"/>
      <c r="C43" s="506"/>
      <c r="D43" s="506"/>
      <c r="E43" s="559"/>
      <c r="F43" s="559"/>
      <c r="G43" s="559"/>
      <c r="H43" s="559"/>
      <c r="I43" s="559"/>
      <c r="J43" s="506"/>
      <c r="K43" s="506"/>
      <c r="L43" s="506"/>
      <c r="M43" s="506"/>
      <c r="N43" s="506"/>
      <c r="O43" s="557"/>
    </row>
    <row r="44">
      <c r="A44" s="506"/>
      <c r="B44" s="559"/>
      <c r="C44" s="506"/>
      <c r="D44" s="506"/>
      <c r="E44" s="559"/>
      <c r="F44" s="559"/>
      <c r="G44" s="559"/>
      <c r="H44" s="559"/>
      <c r="I44" s="559"/>
      <c r="J44" s="506"/>
      <c r="K44" s="506"/>
      <c r="L44" s="506"/>
      <c r="M44" s="506"/>
      <c r="N44" s="506"/>
      <c r="O44" s="557"/>
    </row>
    <row r="45">
      <c r="A45" s="506"/>
      <c r="B45" s="559"/>
      <c r="C45" s="506"/>
      <c r="D45" s="506"/>
      <c r="E45" s="559"/>
      <c r="F45" s="559"/>
      <c r="G45" s="559"/>
      <c r="H45" s="559"/>
      <c r="I45" s="559"/>
      <c r="J45" s="506"/>
      <c r="K45" s="506"/>
      <c r="L45" s="506"/>
      <c r="M45" s="506"/>
      <c r="N45" s="506"/>
      <c r="O45" s="557"/>
    </row>
    <row r="46">
      <c r="A46" s="506"/>
      <c r="B46" s="559"/>
      <c r="C46" s="506"/>
      <c r="D46" s="506"/>
      <c r="E46" s="559"/>
      <c r="F46" s="559"/>
      <c r="G46" s="559"/>
      <c r="H46" s="559"/>
      <c r="I46" s="559"/>
      <c r="J46" s="506"/>
      <c r="K46" s="506"/>
      <c r="L46" s="506"/>
      <c r="M46" s="506"/>
      <c r="N46" s="506"/>
      <c r="O46" s="557"/>
    </row>
    <row r="47">
      <c r="A47" s="506"/>
      <c r="B47" s="559"/>
      <c r="C47" s="506"/>
      <c r="D47" s="506"/>
      <c r="E47" s="559"/>
      <c r="F47" s="559"/>
      <c r="G47" s="559"/>
      <c r="H47" s="559"/>
      <c r="I47" s="559"/>
      <c r="J47" s="506"/>
      <c r="K47" s="506"/>
      <c r="L47" s="506"/>
      <c r="M47" s="506"/>
      <c r="N47" s="506"/>
      <c r="O47" s="557"/>
    </row>
    <row r="48">
      <c r="A48" s="506"/>
      <c r="B48" s="559"/>
      <c r="C48" s="506"/>
      <c r="D48" s="506"/>
      <c r="E48" s="559"/>
      <c r="F48" s="559"/>
      <c r="G48" s="559"/>
      <c r="H48" s="559"/>
      <c r="I48" s="559"/>
      <c r="J48" s="506"/>
      <c r="K48" s="506"/>
      <c r="L48" s="506"/>
      <c r="M48" s="506"/>
      <c r="N48" s="506"/>
      <c r="O48" s="557"/>
    </row>
    <row r="49">
      <c r="A49" s="506"/>
      <c r="B49" s="559"/>
      <c r="C49" s="506"/>
      <c r="D49" s="506"/>
      <c r="E49" s="559"/>
      <c r="F49" s="559"/>
      <c r="G49" s="559"/>
      <c r="H49" s="559"/>
      <c r="I49" s="559"/>
      <c r="J49" s="506"/>
      <c r="K49" s="506"/>
      <c r="L49" s="506"/>
      <c r="M49" s="506"/>
      <c r="N49" s="506"/>
      <c r="O49" s="557"/>
    </row>
    <row r="50">
      <c r="A50" s="506"/>
      <c r="B50" s="559"/>
      <c r="C50" s="506"/>
      <c r="D50" s="506"/>
      <c r="E50" s="559"/>
      <c r="F50" s="559"/>
      <c r="G50" s="559"/>
      <c r="H50" s="559"/>
      <c r="I50" s="559"/>
      <c r="J50" s="506"/>
      <c r="K50" s="506"/>
      <c r="L50" s="506"/>
      <c r="M50" s="506"/>
      <c r="N50" s="506"/>
      <c r="O50" s="557"/>
    </row>
    <row r="51">
      <c r="A51" s="506"/>
      <c r="B51" s="559"/>
      <c r="C51" s="506"/>
      <c r="D51" s="506"/>
      <c r="E51" s="559"/>
      <c r="F51" s="559"/>
      <c r="G51" s="559"/>
      <c r="H51" s="559"/>
      <c r="I51" s="559"/>
      <c r="J51" s="506"/>
      <c r="K51" s="506"/>
      <c r="L51" s="506"/>
      <c r="M51" s="506"/>
      <c r="N51" s="506"/>
      <c r="O51" s="557"/>
    </row>
    <row r="52">
      <c r="A52" s="506"/>
      <c r="B52" s="559"/>
      <c r="C52" s="506"/>
      <c r="D52" s="506"/>
      <c r="E52" s="559"/>
      <c r="F52" s="559"/>
      <c r="G52" s="559"/>
      <c r="H52" s="559"/>
      <c r="I52" s="559"/>
      <c r="J52" s="506"/>
      <c r="K52" s="506"/>
      <c r="L52" s="506"/>
      <c r="M52" s="506"/>
      <c r="N52" s="506"/>
      <c r="O52" s="557"/>
    </row>
    <row r="53">
      <c r="A53" s="506"/>
      <c r="B53" s="559"/>
      <c r="C53" s="506"/>
      <c r="D53" s="506"/>
      <c r="E53" s="559"/>
      <c r="F53" s="559"/>
      <c r="G53" s="559"/>
      <c r="H53" s="559"/>
      <c r="I53" s="559"/>
      <c r="J53" s="506"/>
      <c r="K53" s="506"/>
      <c r="L53" s="506"/>
      <c r="M53" s="506"/>
      <c r="N53" s="506"/>
      <c r="O53" s="557"/>
    </row>
    <row r="54">
      <c r="A54" s="506"/>
      <c r="B54" s="559"/>
      <c r="C54" s="506"/>
      <c r="D54" s="506"/>
      <c r="E54" s="559"/>
      <c r="F54" s="559"/>
      <c r="G54" s="559"/>
      <c r="H54" s="559"/>
      <c r="I54" s="559"/>
      <c r="J54" s="506"/>
      <c r="K54" s="506"/>
      <c r="L54" s="506"/>
      <c r="M54" s="506"/>
      <c r="N54" s="506"/>
      <c r="O54" s="557"/>
    </row>
    <row r="55">
      <c r="A55" s="506"/>
      <c r="B55" s="559"/>
      <c r="C55" s="506"/>
      <c r="D55" s="506"/>
      <c r="E55" s="559"/>
      <c r="F55" s="559"/>
      <c r="G55" s="559"/>
      <c r="H55" s="559"/>
      <c r="I55" s="559"/>
      <c r="J55" s="506"/>
      <c r="K55" s="506"/>
      <c r="L55" s="506"/>
      <c r="M55" s="506"/>
      <c r="N55" s="506"/>
      <c r="O55" s="557"/>
    </row>
    <row r="56">
      <c r="A56" s="506"/>
      <c r="B56" s="559"/>
      <c r="C56" s="506"/>
      <c r="D56" s="506"/>
      <c r="E56" s="559"/>
      <c r="F56" s="559"/>
      <c r="G56" s="559"/>
      <c r="H56" s="559"/>
      <c r="I56" s="559"/>
      <c r="J56" s="506"/>
      <c r="K56" s="506"/>
      <c r="L56" s="506"/>
      <c r="M56" s="506"/>
      <c r="N56" s="506"/>
      <c r="O56" s="557"/>
    </row>
    <row r="57">
      <c r="A57" s="506"/>
      <c r="B57" s="559"/>
      <c r="C57" s="506"/>
      <c r="D57" s="506"/>
      <c r="E57" s="559"/>
      <c r="F57" s="559"/>
      <c r="G57" s="559"/>
      <c r="H57" s="559"/>
      <c r="I57" s="559"/>
      <c r="J57" s="506"/>
      <c r="K57" s="506"/>
      <c r="L57" s="506"/>
      <c r="M57" s="506"/>
      <c r="N57" s="506"/>
      <c r="O57" s="557"/>
    </row>
    <row r="58">
      <c r="A58" s="506"/>
      <c r="B58" s="559"/>
      <c r="C58" s="506"/>
      <c r="D58" s="506"/>
      <c r="E58" s="559"/>
      <c r="F58" s="559"/>
      <c r="G58" s="559"/>
      <c r="H58" s="559"/>
      <c r="I58" s="559"/>
      <c r="J58" s="506"/>
      <c r="K58" s="506"/>
      <c r="L58" s="506"/>
      <c r="M58" s="506"/>
      <c r="N58" s="506"/>
      <c r="O58" s="557"/>
    </row>
    <row r="59">
      <c r="A59" s="506"/>
      <c r="B59" s="559"/>
      <c r="C59" s="506"/>
      <c r="D59" s="506"/>
      <c r="E59" s="559"/>
      <c r="F59" s="559"/>
      <c r="G59" s="559"/>
      <c r="H59" s="559"/>
      <c r="I59" s="559"/>
      <c r="J59" s="506"/>
      <c r="K59" s="506"/>
      <c r="L59" s="506"/>
      <c r="M59" s="506"/>
      <c r="N59" s="506"/>
      <c r="O59" s="557"/>
    </row>
    <row r="60">
      <c r="A60" s="506"/>
      <c r="B60" s="559"/>
      <c r="C60" s="506"/>
      <c r="D60" s="506"/>
      <c r="E60" s="559"/>
      <c r="F60" s="559"/>
      <c r="G60" s="559"/>
      <c r="H60" s="559"/>
      <c r="I60" s="559"/>
      <c r="J60" s="506"/>
      <c r="K60" s="506"/>
      <c r="L60" s="506"/>
      <c r="M60" s="506"/>
      <c r="N60" s="506"/>
      <c r="O60" s="557"/>
    </row>
    <row r="61">
      <c r="A61" s="506"/>
      <c r="B61" s="559"/>
      <c r="C61" s="506"/>
      <c r="D61" s="506"/>
      <c r="E61" s="559"/>
      <c r="F61" s="559"/>
      <c r="G61" s="559"/>
      <c r="H61" s="559"/>
      <c r="I61" s="559"/>
      <c r="J61" s="506"/>
      <c r="K61" s="506"/>
      <c r="L61" s="506"/>
      <c r="M61" s="506"/>
      <c r="N61" s="506"/>
      <c r="O61" s="557"/>
    </row>
    <row r="62">
      <c r="A62" s="506"/>
      <c r="B62" s="559"/>
      <c r="C62" s="506"/>
      <c r="D62" s="506"/>
      <c r="E62" s="559"/>
      <c r="F62" s="559"/>
      <c r="G62" s="559"/>
      <c r="H62" s="559"/>
      <c r="I62" s="559"/>
      <c r="J62" s="506"/>
      <c r="K62" s="506"/>
      <c r="L62" s="506"/>
      <c r="M62" s="506"/>
      <c r="N62" s="506"/>
      <c r="O62" s="557"/>
    </row>
    <row r="63">
      <c r="A63" s="506"/>
      <c r="B63" s="559"/>
      <c r="C63" s="506"/>
      <c r="D63" s="506"/>
      <c r="E63" s="559"/>
      <c r="F63" s="559"/>
      <c r="G63" s="559"/>
      <c r="H63" s="559"/>
      <c r="I63" s="559"/>
      <c r="J63" s="506"/>
      <c r="K63" s="506"/>
      <c r="L63" s="506"/>
      <c r="M63" s="506"/>
      <c r="N63" s="506"/>
      <c r="O63" s="557"/>
    </row>
    <row r="64">
      <c r="A64" s="506"/>
      <c r="B64" s="559"/>
      <c r="C64" s="506"/>
      <c r="D64" s="506"/>
      <c r="E64" s="559"/>
      <c r="F64" s="559"/>
      <c r="G64" s="559"/>
      <c r="H64" s="559"/>
      <c r="I64" s="559"/>
      <c r="J64" s="506"/>
      <c r="K64" s="506"/>
      <c r="L64" s="506"/>
      <c r="M64" s="506"/>
      <c r="N64" s="506"/>
      <c r="O64" s="557"/>
    </row>
    <row r="65">
      <c r="A65" s="506"/>
      <c r="B65" s="559"/>
      <c r="C65" s="506"/>
      <c r="D65" s="506"/>
      <c r="E65" s="559"/>
      <c r="F65" s="559"/>
      <c r="G65" s="559"/>
      <c r="H65" s="559"/>
      <c r="I65" s="559"/>
      <c r="J65" s="506"/>
      <c r="K65" s="506"/>
      <c r="L65" s="506"/>
      <c r="M65" s="506"/>
      <c r="N65" s="506"/>
      <c r="O65" s="557"/>
    </row>
    <row r="66">
      <c r="A66" s="506"/>
      <c r="B66" s="559"/>
      <c r="C66" s="506"/>
      <c r="D66" s="506"/>
      <c r="E66" s="559"/>
      <c r="F66" s="559"/>
      <c r="G66" s="559"/>
      <c r="H66" s="559"/>
      <c r="I66" s="559"/>
      <c r="J66" s="506"/>
      <c r="K66" s="506"/>
      <c r="L66" s="506"/>
      <c r="M66" s="506"/>
      <c r="N66" s="506"/>
      <c r="O66" s="557"/>
    </row>
    <row r="67">
      <c r="A67" s="506"/>
      <c r="B67" s="559"/>
      <c r="C67" s="506"/>
      <c r="D67" s="506"/>
      <c r="E67" s="559"/>
      <c r="F67" s="559"/>
      <c r="G67" s="559"/>
      <c r="H67" s="559"/>
      <c r="I67" s="559"/>
      <c r="J67" s="506"/>
      <c r="K67" s="506"/>
      <c r="L67" s="506"/>
      <c r="M67" s="506"/>
      <c r="N67" s="506"/>
      <c r="O67" s="557"/>
    </row>
    <row r="68">
      <c r="A68" s="506"/>
      <c r="B68" s="559"/>
      <c r="C68" s="506"/>
      <c r="D68" s="506"/>
      <c r="E68" s="559"/>
      <c r="F68" s="559"/>
      <c r="G68" s="559"/>
      <c r="H68" s="559"/>
      <c r="I68" s="559"/>
      <c r="J68" s="506"/>
      <c r="K68" s="506"/>
      <c r="L68" s="506"/>
      <c r="M68" s="506"/>
      <c r="N68" s="506"/>
      <c r="O68" s="557"/>
    </row>
    <row r="69">
      <c r="A69" s="506"/>
      <c r="B69" s="559"/>
      <c r="C69" s="506"/>
      <c r="D69" s="506"/>
      <c r="E69" s="559"/>
      <c r="F69" s="559"/>
      <c r="G69" s="559"/>
      <c r="H69" s="559"/>
      <c r="I69" s="559"/>
      <c r="J69" s="506"/>
      <c r="K69" s="506"/>
      <c r="L69" s="506"/>
      <c r="M69" s="506"/>
      <c r="N69" s="506"/>
      <c r="O69" s="557"/>
    </row>
    <row r="70">
      <c r="A70" s="506"/>
      <c r="B70" s="559"/>
      <c r="C70" s="506"/>
      <c r="D70" s="506"/>
      <c r="E70" s="559"/>
      <c r="F70" s="559"/>
      <c r="G70" s="559"/>
      <c r="H70" s="559"/>
      <c r="I70" s="559"/>
      <c r="J70" s="506"/>
      <c r="K70" s="506"/>
      <c r="L70" s="506"/>
      <c r="M70" s="506"/>
      <c r="N70" s="506"/>
      <c r="O70" s="557"/>
    </row>
    <row r="71">
      <c r="A71" s="506"/>
      <c r="B71" s="559"/>
      <c r="C71" s="506"/>
      <c r="D71" s="506"/>
      <c r="E71" s="559"/>
      <c r="F71" s="559"/>
      <c r="G71" s="559"/>
      <c r="H71" s="559"/>
      <c r="I71" s="559"/>
      <c r="J71" s="506"/>
      <c r="K71" s="506"/>
      <c r="L71" s="506"/>
      <c r="M71" s="506"/>
      <c r="N71" s="506"/>
      <c r="O71" s="557"/>
    </row>
    <row r="72">
      <c r="A72" s="506"/>
      <c r="B72" s="559"/>
      <c r="C72" s="506"/>
      <c r="D72" s="506"/>
      <c r="E72" s="559"/>
      <c r="F72" s="559"/>
      <c r="G72" s="559"/>
      <c r="H72" s="559"/>
      <c r="I72" s="559"/>
      <c r="J72" s="506"/>
      <c r="K72" s="506"/>
      <c r="L72" s="506"/>
      <c r="M72" s="506"/>
      <c r="N72" s="506"/>
      <c r="O72" s="557"/>
    </row>
    <row r="73">
      <c r="A73" s="506"/>
      <c r="B73" s="559"/>
      <c r="C73" s="506"/>
      <c r="D73" s="506"/>
      <c r="E73" s="559"/>
      <c r="F73" s="559"/>
      <c r="G73" s="559"/>
      <c r="H73" s="559"/>
      <c r="I73" s="559"/>
      <c r="J73" s="506"/>
      <c r="K73" s="506"/>
      <c r="L73" s="506"/>
      <c r="M73" s="506"/>
      <c r="N73" s="506"/>
      <c r="O73" s="557"/>
    </row>
    <row r="74">
      <c r="A74" s="506"/>
      <c r="B74" s="559"/>
      <c r="C74" s="506"/>
      <c r="D74" s="506"/>
      <c r="E74" s="559"/>
      <c r="F74" s="559"/>
      <c r="G74" s="559"/>
      <c r="H74" s="559"/>
      <c r="I74" s="559"/>
      <c r="J74" s="506"/>
      <c r="K74" s="506"/>
      <c r="L74" s="506"/>
      <c r="M74" s="506"/>
      <c r="N74" s="506"/>
      <c r="O74" s="557"/>
    </row>
    <row r="75">
      <c r="A75" s="506"/>
      <c r="B75" s="559"/>
      <c r="C75" s="506"/>
      <c r="D75" s="506"/>
      <c r="E75" s="559"/>
      <c r="F75" s="559"/>
      <c r="G75" s="559"/>
      <c r="H75" s="559"/>
      <c r="I75" s="559"/>
      <c r="J75" s="506"/>
      <c r="K75" s="506"/>
      <c r="L75" s="506"/>
      <c r="M75" s="506"/>
      <c r="N75" s="506"/>
      <c r="O75" s="557"/>
    </row>
    <row r="76">
      <c r="A76" s="506"/>
      <c r="B76" s="559"/>
      <c r="C76" s="506"/>
      <c r="D76" s="506"/>
      <c r="E76" s="559"/>
      <c r="F76" s="559"/>
      <c r="G76" s="559"/>
      <c r="H76" s="559"/>
      <c r="I76" s="559"/>
      <c r="J76" s="506"/>
      <c r="K76" s="506"/>
      <c r="L76" s="506"/>
      <c r="M76" s="506"/>
      <c r="N76" s="506"/>
      <c r="O76" s="557"/>
    </row>
    <row r="77">
      <c r="A77" s="506"/>
      <c r="B77" s="559"/>
      <c r="C77" s="506"/>
      <c r="D77" s="506"/>
      <c r="E77" s="559"/>
      <c r="F77" s="559"/>
      <c r="G77" s="559"/>
      <c r="H77" s="559"/>
      <c r="I77" s="559"/>
      <c r="J77" s="506"/>
      <c r="K77" s="506"/>
      <c r="L77" s="506"/>
      <c r="M77" s="506"/>
      <c r="N77" s="506"/>
      <c r="O77" s="557"/>
    </row>
    <row r="78">
      <c r="A78" s="506"/>
      <c r="B78" s="559"/>
      <c r="C78" s="506"/>
      <c r="D78" s="506"/>
      <c r="E78" s="559"/>
      <c r="F78" s="559"/>
      <c r="G78" s="559"/>
      <c r="H78" s="559"/>
      <c r="I78" s="559"/>
      <c r="J78" s="506"/>
      <c r="K78" s="506"/>
      <c r="L78" s="506"/>
      <c r="M78" s="506"/>
      <c r="N78" s="506"/>
      <c r="O78" s="557"/>
    </row>
    <row r="79">
      <c r="A79" s="506"/>
      <c r="B79" s="559"/>
      <c r="C79" s="506"/>
      <c r="D79" s="506"/>
      <c r="E79" s="559"/>
      <c r="F79" s="559"/>
      <c r="G79" s="559"/>
      <c r="H79" s="559"/>
      <c r="I79" s="559"/>
      <c r="J79" s="506"/>
      <c r="K79" s="506"/>
      <c r="L79" s="506"/>
      <c r="M79" s="506"/>
      <c r="N79" s="506"/>
      <c r="O79" s="557"/>
    </row>
    <row r="80">
      <c r="A80" s="506"/>
      <c r="B80" s="559"/>
      <c r="C80" s="506"/>
      <c r="D80" s="506"/>
      <c r="E80" s="559"/>
      <c r="F80" s="559"/>
      <c r="G80" s="559"/>
      <c r="H80" s="559"/>
      <c r="I80" s="559"/>
      <c r="J80" s="506"/>
      <c r="K80" s="506"/>
      <c r="L80" s="506"/>
      <c r="M80" s="506"/>
      <c r="N80" s="506"/>
      <c r="O80" s="557"/>
    </row>
    <row r="81">
      <c r="A81" s="506"/>
      <c r="B81" s="559"/>
      <c r="C81" s="506"/>
      <c r="D81" s="506"/>
      <c r="E81" s="559"/>
      <c r="F81" s="559"/>
      <c r="G81" s="559"/>
      <c r="H81" s="559"/>
      <c r="I81" s="559"/>
      <c r="J81" s="506"/>
      <c r="K81" s="506"/>
      <c r="L81" s="506"/>
      <c r="M81" s="506"/>
      <c r="N81" s="506"/>
      <c r="O81" s="557"/>
    </row>
    <row r="82">
      <c r="A82" s="506"/>
      <c r="B82" s="559"/>
      <c r="C82" s="506"/>
      <c r="D82" s="506"/>
      <c r="E82" s="559"/>
      <c r="F82" s="559"/>
      <c r="G82" s="559"/>
      <c r="H82" s="559"/>
      <c r="I82" s="559"/>
      <c r="J82" s="506"/>
      <c r="K82" s="506"/>
      <c r="L82" s="506"/>
      <c r="M82" s="506"/>
      <c r="N82" s="506"/>
      <c r="O82" s="557"/>
    </row>
    <row r="83">
      <c r="A83" s="506"/>
      <c r="B83" s="559"/>
      <c r="C83" s="506"/>
      <c r="D83" s="506"/>
      <c r="E83" s="559"/>
      <c r="F83" s="559"/>
      <c r="G83" s="559"/>
      <c r="H83" s="559"/>
      <c r="I83" s="559"/>
      <c r="J83" s="506"/>
      <c r="K83" s="506"/>
      <c r="L83" s="506"/>
      <c r="M83" s="506"/>
      <c r="N83" s="506"/>
      <c r="O83" s="557"/>
    </row>
    <row r="84">
      <c r="A84" s="506"/>
      <c r="B84" s="559"/>
      <c r="C84" s="506"/>
      <c r="D84" s="506"/>
      <c r="E84" s="559"/>
      <c r="F84" s="559"/>
      <c r="G84" s="559"/>
      <c r="H84" s="559"/>
      <c r="I84" s="559"/>
      <c r="J84" s="506"/>
      <c r="K84" s="506"/>
      <c r="L84" s="506"/>
      <c r="M84" s="506"/>
      <c r="N84" s="506"/>
      <c r="O84" s="557"/>
    </row>
    <row r="85">
      <c r="A85" s="506"/>
      <c r="B85" s="559"/>
      <c r="C85" s="506"/>
      <c r="D85" s="506"/>
      <c r="E85" s="559"/>
      <c r="F85" s="559"/>
      <c r="G85" s="559"/>
      <c r="H85" s="559"/>
      <c r="I85" s="559"/>
      <c r="J85" s="506"/>
      <c r="K85" s="506"/>
      <c r="L85" s="506"/>
      <c r="M85" s="506"/>
      <c r="N85" s="506"/>
      <c r="O85" s="557"/>
    </row>
    <row r="86">
      <c r="A86" s="506"/>
      <c r="B86" s="559"/>
      <c r="C86" s="506"/>
      <c r="D86" s="506"/>
      <c r="E86" s="559"/>
      <c r="F86" s="559"/>
      <c r="G86" s="559"/>
      <c r="H86" s="559"/>
      <c r="I86" s="559"/>
      <c r="J86" s="506"/>
      <c r="K86" s="506"/>
      <c r="L86" s="506"/>
      <c r="M86" s="506"/>
      <c r="N86" s="506"/>
      <c r="O86" s="557"/>
    </row>
    <row r="87">
      <c r="A87" s="506"/>
      <c r="B87" s="559"/>
      <c r="C87" s="506"/>
      <c r="D87" s="506"/>
      <c r="E87" s="559"/>
      <c r="F87" s="559"/>
      <c r="G87" s="559"/>
      <c r="H87" s="559"/>
      <c r="I87" s="559"/>
      <c r="J87" s="506"/>
      <c r="K87" s="506"/>
      <c r="L87" s="506"/>
      <c r="M87" s="506"/>
      <c r="N87" s="506"/>
      <c r="O87" s="557"/>
    </row>
    <row r="88">
      <c r="A88" s="506"/>
      <c r="B88" s="559"/>
      <c r="C88" s="506"/>
      <c r="D88" s="506"/>
      <c r="E88" s="559"/>
      <c r="F88" s="559"/>
      <c r="G88" s="559"/>
      <c r="H88" s="559"/>
      <c r="I88" s="559"/>
      <c r="J88" s="506"/>
      <c r="K88" s="506"/>
      <c r="L88" s="506"/>
      <c r="M88" s="506"/>
      <c r="N88" s="506"/>
      <c r="O88" s="557"/>
    </row>
    <row r="89">
      <c r="A89" s="506"/>
      <c r="B89" s="559"/>
      <c r="C89" s="506"/>
      <c r="D89" s="506"/>
      <c r="E89" s="559"/>
      <c r="F89" s="559"/>
      <c r="G89" s="559"/>
      <c r="H89" s="559"/>
      <c r="I89" s="559"/>
      <c r="J89" s="506"/>
      <c r="K89" s="506"/>
      <c r="L89" s="506"/>
      <c r="M89" s="506"/>
      <c r="N89" s="506"/>
      <c r="O89" s="557"/>
    </row>
    <row r="90">
      <c r="A90" s="506"/>
      <c r="B90" s="559"/>
      <c r="C90" s="506"/>
      <c r="D90" s="506"/>
      <c r="E90" s="559"/>
      <c r="F90" s="559"/>
      <c r="G90" s="559"/>
      <c r="H90" s="559"/>
      <c r="I90" s="559"/>
      <c r="J90" s="506"/>
      <c r="K90" s="506"/>
      <c r="L90" s="506"/>
      <c r="M90" s="506"/>
      <c r="N90" s="506"/>
      <c r="O90" s="557"/>
    </row>
    <row r="91">
      <c r="A91" s="506"/>
      <c r="B91" s="559"/>
      <c r="C91" s="506"/>
      <c r="D91" s="506"/>
      <c r="E91" s="559"/>
      <c r="F91" s="559"/>
      <c r="G91" s="559"/>
      <c r="H91" s="559"/>
      <c r="I91" s="559"/>
      <c r="J91" s="506"/>
      <c r="K91" s="506"/>
      <c r="L91" s="506"/>
      <c r="M91" s="506"/>
      <c r="N91" s="506"/>
      <c r="O91" s="557"/>
    </row>
    <row r="92">
      <c r="A92" s="506"/>
      <c r="B92" s="559"/>
      <c r="C92" s="506"/>
      <c r="D92" s="506"/>
      <c r="E92" s="559"/>
      <c r="F92" s="559"/>
      <c r="G92" s="559"/>
      <c r="H92" s="559"/>
      <c r="I92" s="559"/>
      <c r="J92" s="506"/>
      <c r="K92" s="506"/>
      <c r="L92" s="506"/>
      <c r="M92" s="506"/>
      <c r="N92" s="506"/>
      <c r="O92" s="557"/>
    </row>
    <row r="93">
      <c r="A93" s="506"/>
      <c r="B93" s="559"/>
      <c r="C93" s="506"/>
      <c r="D93" s="506"/>
      <c r="E93" s="559"/>
      <c r="F93" s="559"/>
      <c r="G93" s="559"/>
      <c r="H93" s="559"/>
      <c r="I93" s="559"/>
      <c r="J93" s="506"/>
      <c r="K93" s="506"/>
      <c r="L93" s="506"/>
      <c r="M93" s="506"/>
      <c r="N93" s="506"/>
      <c r="O93" s="557"/>
    </row>
    <row r="94">
      <c r="A94" s="506"/>
      <c r="B94" s="559"/>
      <c r="C94" s="506"/>
      <c r="D94" s="506"/>
      <c r="E94" s="559"/>
      <c r="F94" s="559"/>
      <c r="G94" s="559"/>
      <c r="H94" s="559"/>
      <c r="I94" s="559"/>
      <c r="J94" s="506"/>
      <c r="K94" s="506"/>
      <c r="L94" s="506"/>
      <c r="M94" s="506"/>
      <c r="N94" s="506"/>
      <c r="O94" s="557"/>
    </row>
    <row r="95">
      <c r="A95" s="506"/>
      <c r="B95" s="559"/>
      <c r="C95" s="506"/>
      <c r="D95" s="506"/>
      <c r="E95" s="559"/>
      <c r="F95" s="559"/>
      <c r="G95" s="559"/>
      <c r="H95" s="559"/>
      <c r="I95" s="559"/>
      <c r="J95" s="506"/>
      <c r="K95" s="506"/>
      <c r="L95" s="506"/>
      <c r="M95" s="506"/>
      <c r="N95" s="506"/>
      <c r="O95" s="557"/>
    </row>
    <row r="96">
      <c r="A96" s="506"/>
      <c r="B96" s="559"/>
      <c r="C96" s="506"/>
      <c r="D96" s="506"/>
      <c r="E96" s="559"/>
      <c r="F96" s="559"/>
      <c r="G96" s="559"/>
      <c r="H96" s="559"/>
      <c r="I96" s="559"/>
      <c r="J96" s="506"/>
      <c r="K96" s="506"/>
      <c r="L96" s="506"/>
      <c r="M96" s="506"/>
      <c r="N96" s="506"/>
      <c r="O96" s="557"/>
    </row>
    <row r="97">
      <c r="A97" s="506"/>
      <c r="B97" s="559"/>
      <c r="C97" s="506"/>
      <c r="D97" s="506"/>
      <c r="E97" s="559"/>
      <c r="F97" s="559"/>
      <c r="G97" s="559"/>
      <c r="H97" s="559"/>
      <c r="I97" s="559"/>
      <c r="J97" s="506"/>
      <c r="K97" s="506"/>
      <c r="L97" s="506"/>
      <c r="M97" s="506"/>
      <c r="N97" s="506"/>
      <c r="O97" s="557"/>
    </row>
    <row r="98">
      <c r="A98" s="506"/>
      <c r="B98" s="559"/>
      <c r="C98" s="506"/>
      <c r="D98" s="506"/>
      <c r="E98" s="559"/>
      <c r="F98" s="559"/>
      <c r="G98" s="559"/>
      <c r="H98" s="559"/>
      <c r="I98" s="559"/>
      <c r="J98" s="506"/>
      <c r="K98" s="506"/>
      <c r="L98" s="506"/>
      <c r="M98" s="506"/>
      <c r="N98" s="506"/>
      <c r="O98" s="557"/>
    </row>
    <row r="99">
      <c r="A99" s="506"/>
      <c r="B99" s="559"/>
      <c r="C99" s="506"/>
      <c r="D99" s="506"/>
      <c r="E99" s="559"/>
      <c r="F99" s="559"/>
      <c r="G99" s="559"/>
      <c r="H99" s="559"/>
      <c r="I99" s="559"/>
      <c r="J99" s="506"/>
      <c r="K99" s="506"/>
      <c r="L99" s="506"/>
      <c r="M99" s="506"/>
      <c r="N99" s="506"/>
      <c r="O99" s="557"/>
    </row>
    <row r="100">
      <c r="A100" s="506"/>
      <c r="B100" s="559"/>
      <c r="C100" s="506"/>
      <c r="D100" s="506"/>
      <c r="E100" s="559"/>
      <c r="F100" s="559"/>
      <c r="G100" s="559"/>
      <c r="H100" s="559"/>
      <c r="I100" s="559"/>
      <c r="J100" s="506"/>
      <c r="K100" s="506"/>
      <c r="L100" s="506"/>
      <c r="M100" s="506"/>
      <c r="N100" s="506"/>
      <c r="O100" s="557"/>
    </row>
    <row r="101">
      <c r="A101" s="506"/>
      <c r="B101" s="559"/>
      <c r="C101" s="506"/>
      <c r="D101" s="506"/>
      <c r="E101" s="559"/>
      <c r="F101" s="559"/>
      <c r="G101" s="559"/>
      <c r="H101" s="559"/>
      <c r="I101" s="559"/>
      <c r="J101" s="506"/>
      <c r="K101" s="506"/>
      <c r="L101" s="506"/>
      <c r="M101" s="506"/>
      <c r="N101" s="506"/>
      <c r="O101" s="557"/>
    </row>
  </sheetData>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3.25"/>
    <col customWidth="1" min="3" max="3" width="10.75"/>
    <col customWidth="1" min="4" max="4" width="20.25"/>
    <col customWidth="1" min="5" max="5" width="12.0"/>
    <col customWidth="1" min="6" max="6" width="11.5"/>
    <col customWidth="1" min="7" max="7" width="14.88"/>
    <col customWidth="1" min="8" max="8" width="25.75"/>
  </cols>
  <sheetData>
    <row r="1">
      <c r="A1" s="564" t="s">
        <v>2916</v>
      </c>
      <c r="B1" s="565" t="s">
        <v>2917</v>
      </c>
      <c r="C1" s="566" t="s">
        <v>950</v>
      </c>
      <c r="D1" s="566" t="s">
        <v>43</v>
      </c>
      <c r="E1" s="566" t="s">
        <v>951</v>
      </c>
      <c r="F1" s="566" t="s">
        <v>2872</v>
      </c>
      <c r="G1" s="566" t="s">
        <v>399</v>
      </c>
      <c r="H1" s="565" t="s">
        <v>2918</v>
      </c>
      <c r="I1" s="23"/>
    </row>
    <row r="2">
      <c r="A2" s="25" t="s">
        <v>2919</v>
      </c>
      <c r="B2" s="567" t="s">
        <v>2920</v>
      </c>
      <c r="C2" s="125" t="s">
        <v>283</v>
      </c>
      <c r="D2" s="423" t="str">
        <f>vlookup(C2,'作品'!$A$2:$D$43,4,false)</f>
        <v>GLOW</v>
      </c>
      <c r="E2" s="423" t="str">
        <f t="shared" ref="E2:E13" si="1">if(A2="定常","general_","event_")&amp;C2</f>
        <v>general_glo</v>
      </c>
      <c r="F2" s="423" t="str">
        <f t="shared" ref="F2:F13" si="2">text(countif(E$2:E2,E2),"00000")</f>
        <v>00001</v>
      </c>
      <c r="G2" s="423" t="str">
        <f t="shared" ref="G2:G13" si="3">E2&amp;"_"&amp;F2</f>
        <v>general_glo_00001</v>
      </c>
      <c r="H2" s="568" t="str">
        <f t="shared" ref="H2:H13" si="4">G2&amp;"_loginbonus"</f>
        <v>general_glo_00001_loginbonus</v>
      </c>
      <c r="I2" s="23"/>
    </row>
    <row r="3">
      <c r="A3" s="25" t="s">
        <v>2458</v>
      </c>
      <c r="B3" s="567" t="s">
        <v>2921</v>
      </c>
      <c r="C3" s="125" t="s">
        <v>115</v>
      </c>
      <c r="D3" s="423" t="str">
        <f>vlookup(C3,'作品'!$A$2:$D$43,4,false)</f>
        <v>怪獣８号</v>
      </c>
      <c r="E3" s="423" t="str">
        <f t="shared" si="1"/>
        <v>event_kai</v>
      </c>
      <c r="F3" s="423" t="str">
        <f t="shared" si="2"/>
        <v>00001</v>
      </c>
      <c r="G3" s="423" t="str">
        <f t="shared" si="3"/>
        <v>event_kai_00001</v>
      </c>
      <c r="H3" s="568" t="str">
        <f t="shared" si="4"/>
        <v>event_kai_00001_loginbonus</v>
      </c>
      <c r="I3" s="23"/>
    </row>
    <row r="4">
      <c r="A4" s="25" t="s">
        <v>2919</v>
      </c>
      <c r="B4" s="567" t="s">
        <v>2922</v>
      </c>
      <c r="C4" s="125" t="s">
        <v>283</v>
      </c>
      <c r="D4" s="423" t="str">
        <f>vlookup(C4,'作品'!$A$2:$D$43,4,false)</f>
        <v>GLOW</v>
      </c>
      <c r="E4" s="423" t="str">
        <f t="shared" si="1"/>
        <v>general_glo</v>
      </c>
      <c r="F4" s="423" t="str">
        <f t="shared" si="2"/>
        <v>00002</v>
      </c>
      <c r="G4" s="423" t="str">
        <f t="shared" si="3"/>
        <v>general_glo_00002</v>
      </c>
      <c r="H4" s="568" t="str">
        <f t="shared" si="4"/>
        <v>general_glo_00002_loginbonus</v>
      </c>
      <c r="I4" s="23"/>
    </row>
    <row r="5">
      <c r="A5" s="25" t="s">
        <v>2458</v>
      </c>
      <c r="B5" s="567" t="s">
        <v>2923</v>
      </c>
      <c r="C5" s="125" t="s">
        <v>60</v>
      </c>
      <c r="D5" s="423" t="str">
        <f>vlookup(C5,'作品'!$A$2:$D$43,4,false)</f>
        <v>SPY×FAMILY</v>
      </c>
      <c r="E5" s="423" t="str">
        <f t="shared" si="1"/>
        <v>event_spy</v>
      </c>
      <c r="F5" s="423" t="str">
        <f t="shared" si="2"/>
        <v>00001</v>
      </c>
      <c r="G5" s="423" t="str">
        <f t="shared" si="3"/>
        <v>event_spy_00001</v>
      </c>
      <c r="H5" s="568" t="str">
        <f t="shared" si="4"/>
        <v>event_spy_00001_loginbonus</v>
      </c>
      <c r="I5" s="23"/>
    </row>
    <row r="6">
      <c r="A6" s="25" t="s">
        <v>2458</v>
      </c>
      <c r="B6" s="567" t="s">
        <v>2924</v>
      </c>
      <c r="C6" s="125" t="s">
        <v>80</v>
      </c>
      <c r="D6" s="423" t="str">
        <f>vlookup(C6,'作品'!$A$2:$D$43,4,false)</f>
        <v>ダンダダン</v>
      </c>
      <c r="E6" s="423" t="str">
        <f t="shared" si="1"/>
        <v>event_dan</v>
      </c>
      <c r="F6" s="423" t="str">
        <f t="shared" si="2"/>
        <v>00001</v>
      </c>
      <c r="G6" s="423" t="str">
        <f t="shared" si="3"/>
        <v>event_dan_00001</v>
      </c>
      <c r="H6" s="568" t="str">
        <f t="shared" si="4"/>
        <v>event_dan_00001_loginbonus</v>
      </c>
      <c r="I6" s="23"/>
    </row>
    <row r="7">
      <c r="A7" s="25" t="s">
        <v>2458</v>
      </c>
      <c r="B7" s="567" t="s">
        <v>2925</v>
      </c>
      <c r="C7" s="125" t="s">
        <v>98</v>
      </c>
      <c r="D7" s="423" t="str">
        <f>vlookup(C7,'作品'!$A$2:$D$43,4,false)</f>
        <v>株式会社マジルミエ</v>
      </c>
      <c r="E7" s="423" t="str">
        <f t="shared" si="1"/>
        <v>event_mag</v>
      </c>
      <c r="F7" s="423" t="str">
        <f t="shared" si="2"/>
        <v>00001</v>
      </c>
      <c r="G7" s="423" t="str">
        <f t="shared" si="3"/>
        <v>event_mag_00001</v>
      </c>
      <c r="H7" s="568" t="str">
        <f t="shared" si="4"/>
        <v>event_mag_00001_loginbonus</v>
      </c>
      <c r="I7" s="23"/>
    </row>
    <row r="8">
      <c r="A8" s="25" t="s">
        <v>2458</v>
      </c>
      <c r="B8" s="567" t="s">
        <v>2926</v>
      </c>
      <c r="C8" s="125" t="s">
        <v>121</v>
      </c>
      <c r="D8" s="423" t="str">
        <f>vlookup(C8,'作品'!$A$2:$D$43,4,false)</f>
        <v>2.5次元の誘惑</v>
      </c>
      <c r="E8" s="423" t="str">
        <f t="shared" si="1"/>
        <v>event_yuw</v>
      </c>
      <c r="F8" s="423" t="str">
        <f t="shared" si="2"/>
        <v>00001</v>
      </c>
      <c r="G8" s="423" t="str">
        <f t="shared" si="3"/>
        <v>event_yuw_00001</v>
      </c>
      <c r="H8" s="568" t="str">
        <f t="shared" si="4"/>
        <v>event_yuw_00001_loginbonus</v>
      </c>
      <c r="I8" s="23"/>
    </row>
    <row r="9">
      <c r="A9" s="25" t="s">
        <v>2458</v>
      </c>
      <c r="B9" s="567" t="s">
        <v>2927</v>
      </c>
      <c r="C9" s="125" t="s">
        <v>127</v>
      </c>
      <c r="D9" s="423" t="str">
        <f>vlookup(C9,'作品'!$A$2:$D$43,4,false)</f>
        <v>魔都精兵のスレイブ</v>
      </c>
      <c r="E9" s="423" t="str">
        <f t="shared" si="1"/>
        <v>event_sur</v>
      </c>
      <c r="F9" s="423" t="str">
        <f t="shared" si="2"/>
        <v>00001</v>
      </c>
      <c r="G9" s="423" t="str">
        <f t="shared" si="3"/>
        <v>event_sur_00001</v>
      </c>
      <c r="H9" s="568" t="str">
        <f t="shared" si="4"/>
        <v>event_sur_00001_loginbonus</v>
      </c>
      <c r="I9" s="23"/>
    </row>
    <row r="10">
      <c r="A10" s="25" t="s">
        <v>2458</v>
      </c>
      <c r="B10" s="567" t="s">
        <v>2928</v>
      </c>
      <c r="C10" s="125" t="s">
        <v>158</v>
      </c>
      <c r="D10" s="423" t="str">
        <f>vlookup(C10,'作品'!$A$2:$D$43,4,false)</f>
        <v>【推しの子】</v>
      </c>
      <c r="E10" s="423" t="str">
        <f t="shared" si="1"/>
        <v>event_osh</v>
      </c>
      <c r="F10" s="423" t="str">
        <f t="shared" si="2"/>
        <v>00001</v>
      </c>
      <c r="G10" s="423" t="str">
        <f t="shared" si="3"/>
        <v>event_osh_00001</v>
      </c>
      <c r="H10" s="568" t="str">
        <f t="shared" si="4"/>
        <v>event_osh_00001_loginbonus</v>
      </c>
      <c r="I10" s="23"/>
    </row>
    <row r="11">
      <c r="A11" s="25" t="s">
        <v>2458</v>
      </c>
      <c r="B11" s="567" t="s">
        <v>2929</v>
      </c>
      <c r="C11" s="125" t="s">
        <v>148</v>
      </c>
      <c r="D11" s="423" t="str">
        <f>vlookup(C11,'作品'!$A$2:$D$43,4,false)</f>
        <v>地獄楽</v>
      </c>
      <c r="E11" s="423" t="str">
        <f t="shared" si="1"/>
        <v>event_jig</v>
      </c>
      <c r="F11" s="423" t="str">
        <f t="shared" si="2"/>
        <v>00001</v>
      </c>
      <c r="G11" s="423" t="str">
        <f t="shared" si="3"/>
        <v>event_jig_00001</v>
      </c>
      <c r="H11" s="568" t="str">
        <f t="shared" si="4"/>
        <v>event_jig_00001_loginbonus</v>
      </c>
      <c r="I11" s="23"/>
    </row>
    <row r="12">
      <c r="A12" s="25" t="s">
        <v>2458</v>
      </c>
      <c r="B12" s="567" t="s">
        <v>2930</v>
      </c>
      <c r="C12" s="125" t="s">
        <v>162</v>
      </c>
      <c r="D12" s="423" t="str">
        <f>vlookup(C12,'作品'!$A$2:$D$43,4,false)</f>
        <v>幼稚園WARS</v>
      </c>
      <c r="E12" s="423" t="str">
        <f t="shared" si="1"/>
        <v>event_you</v>
      </c>
      <c r="F12" s="423" t="str">
        <f t="shared" si="2"/>
        <v>00001</v>
      </c>
      <c r="G12" s="423" t="str">
        <f t="shared" si="3"/>
        <v>event_you_00001</v>
      </c>
      <c r="H12" s="568" t="str">
        <f t="shared" si="4"/>
        <v>event_you_00001_loginbonus</v>
      </c>
      <c r="I12" s="23"/>
    </row>
    <row r="13">
      <c r="A13" s="25" t="s">
        <v>2458</v>
      </c>
      <c r="B13" s="567" t="s">
        <v>2931</v>
      </c>
      <c r="C13" s="125" t="s">
        <v>166</v>
      </c>
      <c r="D13" s="423" t="str">
        <f>vlookup(C13,'作品'!$A$2:$D$43,4,false)</f>
        <v>君のことが大大大大大好きな100人の彼女</v>
      </c>
      <c r="E13" s="423" t="str">
        <f t="shared" si="1"/>
        <v>event_kim</v>
      </c>
      <c r="F13" s="423" t="str">
        <f t="shared" si="2"/>
        <v>00001</v>
      </c>
      <c r="G13" s="423" t="str">
        <f t="shared" si="3"/>
        <v>event_kim_00001</v>
      </c>
      <c r="H13" s="568" t="str">
        <f t="shared" si="4"/>
        <v>event_kim_00001_loginbonus</v>
      </c>
      <c r="I13" s="23"/>
    </row>
    <row r="14">
      <c r="A14" s="25"/>
      <c r="B14" s="569"/>
      <c r="C14" s="125"/>
      <c r="D14" s="423"/>
      <c r="E14" s="423"/>
      <c r="F14" s="423"/>
      <c r="G14" s="423"/>
      <c r="H14" s="568"/>
      <c r="I14" s="23"/>
    </row>
    <row r="15">
      <c r="A15" s="25"/>
      <c r="B15" s="569"/>
      <c r="C15" s="125"/>
      <c r="D15" s="423"/>
      <c r="E15" s="423"/>
      <c r="F15" s="423"/>
      <c r="G15" s="423"/>
      <c r="H15" s="568"/>
      <c r="I15" s="23"/>
    </row>
    <row r="16">
      <c r="A16" s="25"/>
      <c r="B16" s="569"/>
      <c r="C16" s="125"/>
      <c r="D16" s="423"/>
      <c r="E16" s="423"/>
      <c r="F16" s="423"/>
      <c r="G16" s="423"/>
      <c r="H16" s="568"/>
      <c r="I16" s="23"/>
    </row>
    <row r="17">
      <c r="A17" s="25"/>
      <c r="B17" s="569"/>
      <c r="C17" s="125"/>
      <c r="D17" s="423"/>
      <c r="E17" s="423"/>
      <c r="F17" s="423"/>
      <c r="G17" s="423"/>
      <c r="H17" s="568"/>
      <c r="I17" s="23"/>
    </row>
    <row r="18">
      <c r="A18" s="24"/>
      <c r="B18" s="569"/>
      <c r="C18" s="125"/>
      <c r="D18" s="423"/>
      <c r="E18" s="423"/>
      <c r="F18" s="423"/>
      <c r="G18" s="423"/>
      <c r="H18" s="568"/>
      <c r="I18" s="23"/>
    </row>
    <row r="19">
      <c r="A19" s="557"/>
      <c r="B19" s="570"/>
      <c r="C19" s="534"/>
      <c r="D19" s="571"/>
      <c r="E19" s="571"/>
      <c r="F19" s="571"/>
      <c r="G19" s="571"/>
      <c r="H19" s="572"/>
      <c r="I19" s="23"/>
    </row>
    <row r="20">
      <c r="A20" s="23"/>
      <c r="B20" s="23"/>
      <c r="C20" s="23"/>
      <c r="D20" s="23"/>
      <c r="E20" s="23"/>
      <c r="F20" s="23"/>
      <c r="G20" s="23"/>
      <c r="H20" s="23"/>
      <c r="I20" s="23"/>
    </row>
    <row r="21">
      <c r="A21" s="23"/>
      <c r="B21" s="23"/>
      <c r="C21" s="23"/>
      <c r="D21" s="23"/>
      <c r="E21" s="23"/>
      <c r="F21" s="23"/>
      <c r="G21" s="23"/>
      <c r="H21" s="23"/>
      <c r="I21" s="23"/>
    </row>
  </sheetData>
  <dataValidations>
    <dataValidation type="list" allowBlank="1" sqref="C2:C19">
      <formula1>'作品'!$A$2:$A$43</formula1>
    </dataValidation>
    <dataValidation type="list" allowBlank="1" showErrorMessage="1" sqref="A2:A18">
      <formula1>"定常,イベント"</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75"/>
    <col customWidth="1" min="3" max="3" width="14.88"/>
    <col customWidth="1" min="4" max="4" width="33.38"/>
    <col customWidth="1" min="6" max="6" width="15.0"/>
    <col customWidth="1" min="7" max="7" width="19.13"/>
    <col customWidth="1" min="8" max="8" width="18.63"/>
  </cols>
  <sheetData>
    <row r="1">
      <c r="A1" s="564" t="s">
        <v>2465</v>
      </c>
      <c r="B1" s="565" t="s">
        <v>43</v>
      </c>
      <c r="C1" s="566" t="s">
        <v>2932</v>
      </c>
      <c r="D1" s="566" t="s">
        <v>2933</v>
      </c>
      <c r="E1" s="573" t="s">
        <v>294</v>
      </c>
      <c r="F1" s="574" t="s">
        <v>295</v>
      </c>
      <c r="G1" s="303" t="s">
        <v>2934</v>
      </c>
      <c r="H1" s="574" t="s">
        <v>58</v>
      </c>
      <c r="I1" s="23"/>
    </row>
    <row r="2">
      <c r="A2" s="24" t="s">
        <v>60</v>
      </c>
      <c r="B2" s="25" t="s">
        <v>62</v>
      </c>
      <c r="C2" s="125" t="str">
        <f t="shared" ref="C2:C21" si="1">CONCATENATE("book_",A2,"_00001")</f>
        <v>book_spy_00001</v>
      </c>
      <c r="D2" s="25" t="s">
        <v>62</v>
      </c>
      <c r="E2" s="575">
        <v>45658.0</v>
      </c>
      <c r="F2" s="576">
        <v>390812.49998842593</v>
      </c>
      <c r="G2" s="577"/>
      <c r="H2" s="577"/>
      <c r="I2" s="23"/>
    </row>
    <row r="3">
      <c r="A3" s="24" t="s">
        <v>68</v>
      </c>
      <c r="B3" s="25" t="s">
        <v>70</v>
      </c>
      <c r="C3" s="125" t="str">
        <f t="shared" si="1"/>
        <v>book_aka_00001</v>
      </c>
      <c r="D3" s="25" t="s">
        <v>70</v>
      </c>
      <c r="E3" s="575">
        <v>45658.0</v>
      </c>
      <c r="F3" s="576">
        <v>390812.49998842593</v>
      </c>
      <c r="G3" s="577"/>
      <c r="H3" s="577"/>
      <c r="I3" s="23"/>
    </row>
    <row r="4">
      <c r="A4" s="24" t="s">
        <v>75</v>
      </c>
      <c r="B4" s="25" t="s">
        <v>77</v>
      </c>
      <c r="C4" s="125" t="str">
        <f t="shared" si="1"/>
        <v>book_rik_00001</v>
      </c>
      <c r="D4" s="25" t="s">
        <v>77</v>
      </c>
      <c r="E4" s="575">
        <v>45658.0</v>
      </c>
      <c r="F4" s="576">
        <v>390812.49998842593</v>
      </c>
      <c r="G4" s="577"/>
      <c r="H4" s="577"/>
      <c r="I4" s="23"/>
    </row>
    <row r="5">
      <c r="A5" s="24" t="s">
        <v>80</v>
      </c>
      <c r="B5" s="25" t="s">
        <v>82</v>
      </c>
      <c r="C5" s="125" t="str">
        <f t="shared" si="1"/>
        <v>book_dan_00001</v>
      </c>
      <c r="D5" s="25" t="s">
        <v>82</v>
      </c>
      <c r="E5" s="575">
        <v>45658.0</v>
      </c>
      <c r="F5" s="576">
        <v>390812.49998842593</v>
      </c>
      <c r="G5" s="577"/>
      <c r="H5" s="577"/>
      <c r="I5" s="23"/>
    </row>
    <row r="6">
      <c r="A6" s="24" t="s">
        <v>87</v>
      </c>
      <c r="B6" s="25" t="s">
        <v>89</v>
      </c>
      <c r="C6" s="125" t="str">
        <f t="shared" si="1"/>
        <v>book_gom_00001</v>
      </c>
      <c r="D6" s="25" t="s">
        <v>89</v>
      </c>
      <c r="E6" s="575">
        <v>45658.0</v>
      </c>
      <c r="F6" s="576">
        <v>390812.49998842593</v>
      </c>
      <c r="G6" s="577"/>
      <c r="H6" s="577"/>
      <c r="I6" s="23"/>
    </row>
    <row r="7">
      <c r="A7" s="24" t="s">
        <v>92</v>
      </c>
      <c r="B7" s="25" t="s">
        <v>94</v>
      </c>
      <c r="C7" s="125" t="str">
        <f t="shared" si="1"/>
        <v>book_chi_00001</v>
      </c>
      <c r="D7" s="25" t="s">
        <v>94</v>
      </c>
      <c r="E7" s="575">
        <v>45658.0</v>
      </c>
      <c r="F7" s="576">
        <v>390812.49998842593</v>
      </c>
      <c r="G7" s="577"/>
      <c r="H7" s="577"/>
      <c r="I7" s="23"/>
    </row>
    <row r="8">
      <c r="A8" s="24" t="s">
        <v>109</v>
      </c>
      <c r="B8" s="25" t="s">
        <v>111</v>
      </c>
      <c r="C8" s="125" t="str">
        <f t="shared" si="1"/>
        <v>book_bat_00001</v>
      </c>
      <c r="D8" s="25" t="s">
        <v>111</v>
      </c>
      <c r="E8" s="575">
        <v>45658.0</v>
      </c>
      <c r="F8" s="576">
        <v>390812.49998842593</v>
      </c>
      <c r="G8" s="577"/>
      <c r="H8" s="577"/>
      <c r="I8" s="23"/>
    </row>
    <row r="9">
      <c r="A9" s="24" t="s">
        <v>115</v>
      </c>
      <c r="B9" s="25" t="s">
        <v>117</v>
      </c>
      <c r="C9" s="125" t="str">
        <f t="shared" si="1"/>
        <v>book_kai_00001</v>
      </c>
      <c r="D9" s="25" t="s">
        <v>117</v>
      </c>
      <c r="E9" s="575">
        <v>45658.0</v>
      </c>
      <c r="F9" s="576">
        <v>390812.49998842593</v>
      </c>
      <c r="G9" s="577"/>
      <c r="H9" s="577"/>
      <c r="I9" s="23"/>
    </row>
    <row r="10">
      <c r="A10" s="24" t="s">
        <v>121</v>
      </c>
      <c r="B10" s="25" t="s">
        <v>123</v>
      </c>
      <c r="C10" s="125" t="str">
        <f t="shared" si="1"/>
        <v>book_yuw_00001</v>
      </c>
      <c r="D10" s="25" t="s">
        <v>123</v>
      </c>
      <c r="E10" s="575">
        <v>45658.0</v>
      </c>
      <c r="F10" s="576">
        <v>390812.49998842593</v>
      </c>
      <c r="G10" s="577"/>
      <c r="H10" s="577"/>
      <c r="I10" s="23"/>
    </row>
    <row r="11">
      <c r="A11" s="24" t="s">
        <v>127</v>
      </c>
      <c r="B11" s="25" t="s">
        <v>129</v>
      </c>
      <c r="C11" s="125" t="str">
        <f t="shared" si="1"/>
        <v>book_sur_00001</v>
      </c>
      <c r="D11" s="25" t="s">
        <v>129</v>
      </c>
      <c r="E11" s="575">
        <v>45658.0</v>
      </c>
      <c r="F11" s="576">
        <v>390812.49998842593</v>
      </c>
      <c r="G11" s="577"/>
      <c r="H11" s="577"/>
      <c r="I11" s="23"/>
    </row>
    <row r="12">
      <c r="A12" s="24" t="s">
        <v>132</v>
      </c>
      <c r="B12" s="25" t="s">
        <v>134</v>
      </c>
      <c r="C12" s="125" t="str">
        <f t="shared" si="1"/>
        <v>book_ron_00001</v>
      </c>
      <c r="D12" s="25" t="s">
        <v>134</v>
      </c>
      <c r="E12" s="575">
        <v>45658.0</v>
      </c>
      <c r="F12" s="576">
        <v>390812.49998842593</v>
      </c>
      <c r="G12" s="577"/>
      <c r="H12" s="577"/>
      <c r="I12" s="23"/>
    </row>
    <row r="13">
      <c r="A13" s="24" t="s">
        <v>138</v>
      </c>
      <c r="B13" s="25" t="s">
        <v>140</v>
      </c>
      <c r="C13" s="125" t="str">
        <f t="shared" si="1"/>
        <v>book_aha_00001</v>
      </c>
      <c r="D13" s="25" t="s">
        <v>140</v>
      </c>
      <c r="E13" s="575">
        <v>45658.0</v>
      </c>
      <c r="F13" s="576">
        <v>390812.49998842593</v>
      </c>
      <c r="G13" s="577"/>
      <c r="H13" s="577"/>
      <c r="I13" s="23"/>
    </row>
    <row r="14">
      <c r="A14" s="24" t="s">
        <v>153</v>
      </c>
      <c r="B14" s="25" t="s">
        <v>155</v>
      </c>
      <c r="C14" s="125" t="str">
        <f t="shared" si="1"/>
        <v>book_tak_00001</v>
      </c>
      <c r="D14" s="25" t="s">
        <v>155</v>
      </c>
      <c r="E14" s="575">
        <v>45658.0</v>
      </c>
      <c r="F14" s="576">
        <v>390812.49998842593</v>
      </c>
      <c r="G14" s="577"/>
      <c r="H14" s="577"/>
      <c r="I14" s="23"/>
    </row>
    <row r="15">
      <c r="A15" s="24" t="s">
        <v>148</v>
      </c>
      <c r="B15" s="25" t="s">
        <v>150</v>
      </c>
      <c r="C15" s="125" t="str">
        <f t="shared" si="1"/>
        <v>book_jig_00001</v>
      </c>
      <c r="D15" s="25" t="s">
        <v>150</v>
      </c>
      <c r="E15" s="575">
        <v>45658.0</v>
      </c>
      <c r="F15" s="576">
        <v>390812.49998842593</v>
      </c>
      <c r="G15" s="577"/>
      <c r="H15" s="577"/>
      <c r="I15" s="23"/>
    </row>
    <row r="16">
      <c r="A16" s="25" t="s">
        <v>98</v>
      </c>
      <c r="B16" s="33" t="s">
        <v>100</v>
      </c>
      <c r="C16" s="125" t="str">
        <f t="shared" si="1"/>
        <v>book_mag_00001</v>
      </c>
      <c r="D16" s="33" t="s">
        <v>100</v>
      </c>
      <c r="E16" s="575">
        <v>45658.0</v>
      </c>
      <c r="F16" s="576">
        <v>390812.49998842593</v>
      </c>
      <c r="G16" s="577"/>
      <c r="H16" s="577"/>
      <c r="I16" s="23"/>
    </row>
    <row r="17">
      <c r="A17" s="24" t="s">
        <v>103</v>
      </c>
      <c r="B17" s="33" t="s">
        <v>105</v>
      </c>
      <c r="C17" s="125" t="str">
        <f t="shared" si="1"/>
        <v>book_dos_00001</v>
      </c>
      <c r="D17" s="33" t="s">
        <v>105</v>
      </c>
      <c r="E17" s="575">
        <v>45658.0</v>
      </c>
      <c r="F17" s="576">
        <v>390812.49998842593</v>
      </c>
      <c r="G17" s="577"/>
      <c r="H17" s="577"/>
      <c r="I17" s="23"/>
    </row>
    <row r="18">
      <c r="A18" s="24" t="s">
        <v>143</v>
      </c>
      <c r="B18" s="33" t="s">
        <v>145</v>
      </c>
      <c r="C18" s="125" t="str">
        <f t="shared" si="1"/>
        <v>book_sum_00001</v>
      </c>
      <c r="D18" s="33" t="s">
        <v>145</v>
      </c>
      <c r="E18" s="575">
        <v>45658.0</v>
      </c>
      <c r="F18" s="576">
        <v>390812.49998842593</v>
      </c>
      <c r="G18" s="577"/>
      <c r="H18" s="577"/>
      <c r="I18" s="23"/>
    </row>
    <row r="19">
      <c r="A19" s="578" t="s">
        <v>158</v>
      </c>
      <c r="B19" s="579" t="s">
        <v>159</v>
      </c>
      <c r="C19" s="457" t="str">
        <f t="shared" si="1"/>
        <v>book_osh_00001</v>
      </c>
      <c r="D19" s="579" t="s">
        <v>159</v>
      </c>
      <c r="E19" s="580">
        <v>46023.0</v>
      </c>
      <c r="F19" s="581">
        <v>390812.49998842593</v>
      </c>
      <c r="G19" s="582"/>
      <c r="H19" s="582"/>
      <c r="I19" s="23"/>
    </row>
    <row r="20">
      <c r="A20" s="505" t="s">
        <v>162</v>
      </c>
      <c r="B20" s="33" t="s">
        <v>163</v>
      </c>
      <c r="C20" s="457" t="str">
        <f t="shared" si="1"/>
        <v>book_you_00001</v>
      </c>
      <c r="D20" s="579" t="s">
        <v>163</v>
      </c>
      <c r="E20" s="580">
        <v>46055.625</v>
      </c>
      <c r="F20" s="581">
        <v>390812.49998842593</v>
      </c>
      <c r="G20" s="577"/>
      <c r="H20" s="577"/>
      <c r="I20" s="23"/>
    </row>
    <row r="21">
      <c r="A21" s="505" t="s">
        <v>166</v>
      </c>
      <c r="B21" s="555" t="s">
        <v>167</v>
      </c>
      <c r="C21" s="457" t="str">
        <f t="shared" si="1"/>
        <v>book_kim_00001</v>
      </c>
      <c r="D21" s="555" t="s">
        <v>167</v>
      </c>
      <c r="E21" s="580">
        <v>46069.625</v>
      </c>
      <c r="F21" s="581">
        <v>390812.49998842593</v>
      </c>
      <c r="G21" s="577"/>
      <c r="H21" s="577"/>
      <c r="I21" s="23"/>
    </row>
    <row r="22">
      <c r="A22" s="505"/>
      <c r="B22" s="33"/>
      <c r="C22" s="46"/>
      <c r="D22" s="33"/>
      <c r="E22" s="575"/>
      <c r="F22" s="576"/>
      <c r="G22" s="577"/>
      <c r="H22" s="577"/>
      <c r="I22" s="23"/>
    </row>
    <row r="23">
      <c r="A23" s="505"/>
      <c r="B23" s="33"/>
      <c r="C23" s="46"/>
      <c r="D23" s="33"/>
      <c r="E23" s="575"/>
      <c r="F23" s="576"/>
      <c r="G23" s="577"/>
      <c r="H23" s="577"/>
      <c r="I23" s="23"/>
    </row>
    <row r="24">
      <c r="A24" s="505"/>
      <c r="B24" s="33"/>
      <c r="C24" s="46"/>
      <c r="D24" s="33"/>
      <c r="E24" s="575"/>
      <c r="F24" s="576"/>
      <c r="G24" s="577"/>
      <c r="H24" s="577"/>
      <c r="I24" s="23"/>
    </row>
    <row r="25">
      <c r="A25" s="577"/>
      <c r="B25" s="577"/>
      <c r="C25" s="577"/>
      <c r="D25" s="577"/>
      <c r="E25" s="577"/>
      <c r="F25" s="577"/>
      <c r="G25" s="577"/>
      <c r="H25" s="577"/>
      <c r="I25" s="23"/>
    </row>
    <row r="26">
      <c r="A26" s="23"/>
      <c r="B26" s="23"/>
      <c r="C26" s="23"/>
      <c r="D26" s="23"/>
      <c r="E26" s="23"/>
      <c r="F26" s="23"/>
      <c r="G26" s="23"/>
      <c r="H26" s="23"/>
      <c r="I26" s="23"/>
    </row>
    <row r="27">
      <c r="A27" s="23"/>
      <c r="B27" s="23"/>
      <c r="C27" s="23"/>
      <c r="D27" s="23"/>
      <c r="E27" s="23"/>
      <c r="F27" s="23"/>
      <c r="G27" s="23"/>
      <c r="H27" s="23"/>
      <c r="I27" s="23"/>
    </row>
    <row r="28">
      <c r="A28" s="23"/>
      <c r="B28" s="23"/>
      <c r="C28" s="23"/>
      <c r="D28" s="23"/>
      <c r="E28" s="23"/>
      <c r="F28" s="23"/>
      <c r="G28" s="23"/>
      <c r="H28" s="23"/>
      <c r="I28" s="23"/>
    </row>
    <row r="29">
      <c r="A29" s="23"/>
      <c r="B29" s="23"/>
      <c r="C29" s="23"/>
      <c r="D29" s="23"/>
      <c r="E29" s="23"/>
      <c r="F29" s="23"/>
      <c r="G29" s="23"/>
      <c r="H29" s="23"/>
      <c r="I29" s="23"/>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8.5"/>
    <col customWidth="1" min="2" max="2" width="21.38"/>
    <col customWidth="1" min="3" max="3" width="19.75"/>
    <col customWidth="1" min="4" max="4" width="14.0"/>
    <col customWidth="1" min="5" max="5" width="16.25"/>
    <col customWidth="1" min="6" max="7" width="33.88"/>
    <col customWidth="1" min="8" max="10" width="8.88"/>
  </cols>
  <sheetData>
    <row r="1">
      <c r="A1" s="583" t="s">
        <v>2935</v>
      </c>
      <c r="B1" s="584"/>
      <c r="D1" s="584"/>
      <c r="E1" s="585"/>
      <c r="F1" s="585"/>
      <c r="G1" s="585"/>
      <c r="H1" s="585"/>
      <c r="I1" s="585"/>
      <c r="J1" s="585"/>
    </row>
    <row r="2">
      <c r="A2" s="565" t="s">
        <v>2936</v>
      </c>
      <c r="B2" s="565" t="s">
        <v>2937</v>
      </c>
      <c r="C2" s="566" t="s">
        <v>2938</v>
      </c>
      <c r="D2" s="565" t="s">
        <v>2939</v>
      </c>
      <c r="E2" s="586" t="s">
        <v>951</v>
      </c>
      <c r="F2" s="586" t="s">
        <v>2940</v>
      </c>
      <c r="G2" s="586" t="s">
        <v>2526</v>
      </c>
      <c r="H2" s="585"/>
      <c r="I2" s="585"/>
      <c r="J2" s="585"/>
    </row>
    <row r="3">
      <c r="A3" s="25" t="s">
        <v>2941</v>
      </c>
      <c r="B3" s="587" t="s">
        <v>2941</v>
      </c>
      <c r="C3" s="25" t="s">
        <v>2942</v>
      </c>
      <c r="D3" s="587" t="s">
        <v>2943</v>
      </c>
      <c r="E3" s="588" t="s">
        <v>2944</v>
      </c>
      <c r="F3" s="589" t="str">
        <f t="shared" ref="F3:F25" si="1">if(D3&lt;&gt;"","Icon-"&amp;E3&amp;"_"&amp;D3,"Icon-"&amp;E3)</f>
        <v>Icon-attackup_koma_boost</v>
      </c>
      <c r="G3" s="589"/>
      <c r="H3" s="570"/>
      <c r="I3" s="570"/>
      <c r="J3" s="570"/>
    </row>
    <row r="4">
      <c r="A4" s="25" t="s">
        <v>2945</v>
      </c>
      <c r="B4" s="587" t="s">
        <v>2946</v>
      </c>
      <c r="C4" s="25" t="s">
        <v>2947</v>
      </c>
      <c r="D4" s="587" t="s">
        <v>2948</v>
      </c>
      <c r="E4" s="588" t="s">
        <v>2949</v>
      </c>
      <c r="F4" s="589" t="str">
        <f t="shared" si="1"/>
        <v>Icon-attack_up_normal_koma</v>
      </c>
      <c r="G4" s="589"/>
      <c r="H4" s="570" t="s">
        <v>2950</v>
      </c>
      <c r="I4" s="570" t="s">
        <v>2951</v>
      </c>
      <c r="J4" s="570"/>
    </row>
    <row r="5">
      <c r="A5" s="25" t="s">
        <v>2952</v>
      </c>
      <c r="B5" s="587" t="s">
        <v>2952</v>
      </c>
      <c r="C5" s="25" t="s">
        <v>2947</v>
      </c>
      <c r="D5" s="587" t="s">
        <v>2948</v>
      </c>
      <c r="E5" s="588" t="s">
        <v>2953</v>
      </c>
      <c r="F5" s="589" t="str">
        <f t="shared" si="1"/>
        <v>Icon-speed_up_normal_koma</v>
      </c>
      <c r="G5" s="589"/>
      <c r="H5" s="570" t="s">
        <v>2954</v>
      </c>
      <c r="I5" s="570" t="s">
        <v>2951</v>
      </c>
      <c r="J5" s="570"/>
    </row>
    <row r="6">
      <c r="A6" s="25" t="s">
        <v>2955</v>
      </c>
      <c r="B6" s="587" t="s">
        <v>2955</v>
      </c>
      <c r="C6" s="25" t="s">
        <v>2947</v>
      </c>
      <c r="D6" s="587" t="s">
        <v>2948</v>
      </c>
      <c r="E6" s="588" t="s">
        <v>2956</v>
      </c>
      <c r="F6" s="589" t="str">
        <f t="shared" si="1"/>
        <v>Icon-damage_cut_normal_koma</v>
      </c>
      <c r="G6" s="589"/>
      <c r="H6" s="570" t="s">
        <v>2957</v>
      </c>
      <c r="I6" s="570" t="s">
        <v>2951</v>
      </c>
      <c r="J6" s="570"/>
    </row>
    <row r="7">
      <c r="A7" s="25" t="s">
        <v>2958</v>
      </c>
      <c r="B7" s="587" t="s">
        <v>2958</v>
      </c>
      <c r="C7" s="25" t="s">
        <v>2959</v>
      </c>
      <c r="D7" s="587" t="s">
        <v>2960</v>
      </c>
      <c r="E7" s="588" t="s">
        <v>2961</v>
      </c>
      <c r="F7" s="589" t="str">
        <f t="shared" si="1"/>
        <v>Icon-damage_koma_block</v>
      </c>
      <c r="G7" s="589"/>
      <c r="H7" s="570" t="s">
        <v>2962</v>
      </c>
      <c r="I7" s="570" t="s">
        <v>2951</v>
      </c>
      <c r="J7" s="570"/>
    </row>
    <row r="8">
      <c r="A8" s="25" t="s">
        <v>2963</v>
      </c>
      <c r="B8" s="587" t="s">
        <v>2963</v>
      </c>
      <c r="C8" s="25" t="s">
        <v>2959</v>
      </c>
      <c r="D8" s="587" t="s">
        <v>2960</v>
      </c>
      <c r="E8" s="588" t="s">
        <v>2964</v>
      </c>
      <c r="F8" s="589" t="str">
        <f t="shared" si="1"/>
        <v>Icon-attackdown_koma_block</v>
      </c>
      <c r="G8" s="589"/>
      <c r="H8" s="570" t="s">
        <v>2965</v>
      </c>
      <c r="I8" s="570" t="s">
        <v>2966</v>
      </c>
      <c r="J8" s="570"/>
    </row>
    <row r="9">
      <c r="A9" s="25" t="s">
        <v>2967</v>
      </c>
      <c r="B9" s="587" t="s">
        <v>2967</v>
      </c>
      <c r="C9" s="25" t="s">
        <v>2959</v>
      </c>
      <c r="D9" s="587" t="s">
        <v>2960</v>
      </c>
      <c r="E9" s="588" t="s">
        <v>2968</v>
      </c>
      <c r="F9" s="589" t="str">
        <f t="shared" si="1"/>
        <v>Icon-gust_koma_block</v>
      </c>
      <c r="G9" s="589"/>
      <c r="H9" s="570" t="s">
        <v>2969</v>
      </c>
      <c r="I9" s="570" t="s">
        <v>2970</v>
      </c>
      <c r="J9" s="570"/>
    </row>
    <row r="10">
      <c r="A10" s="25" t="s">
        <v>2971</v>
      </c>
      <c r="B10" s="587" t="s">
        <v>2971</v>
      </c>
      <c r="C10" s="25" t="s">
        <v>2972</v>
      </c>
      <c r="D10" s="587"/>
      <c r="E10" s="590" t="s">
        <v>2973</v>
      </c>
      <c r="F10" s="589" t="str">
        <f t="shared" si="1"/>
        <v>Icon-poison</v>
      </c>
      <c r="G10" s="589"/>
      <c r="H10" s="570" t="s">
        <v>2974</v>
      </c>
      <c r="I10" s="570" t="s">
        <v>2975</v>
      </c>
      <c r="J10" s="570"/>
    </row>
    <row r="11">
      <c r="A11" s="25" t="s">
        <v>2976</v>
      </c>
      <c r="B11" s="587" t="s">
        <v>2976</v>
      </c>
      <c r="C11" s="25" t="s">
        <v>2972</v>
      </c>
      <c r="D11" s="587"/>
      <c r="E11" s="590" t="s">
        <v>2977</v>
      </c>
      <c r="F11" s="589" t="str">
        <f t="shared" si="1"/>
        <v>Icon-burn</v>
      </c>
      <c r="G11" s="589"/>
      <c r="H11" s="570" t="s">
        <v>2978</v>
      </c>
      <c r="I11" s="570" t="s">
        <v>2979</v>
      </c>
      <c r="J11" s="570"/>
    </row>
    <row r="12">
      <c r="A12" s="25" t="s">
        <v>2979</v>
      </c>
      <c r="B12" s="587" t="s">
        <v>2979</v>
      </c>
      <c r="C12" s="25" t="s">
        <v>2972</v>
      </c>
      <c r="D12" s="587"/>
      <c r="E12" s="590" t="s">
        <v>2980</v>
      </c>
      <c r="F12" s="589" t="str">
        <f t="shared" si="1"/>
        <v>Icon-freeze</v>
      </c>
      <c r="G12" s="589"/>
      <c r="H12" s="570" t="s">
        <v>2981</v>
      </c>
      <c r="I12" s="570" t="s">
        <v>2976</v>
      </c>
      <c r="J12" s="570"/>
    </row>
    <row r="13">
      <c r="A13" s="25" t="s">
        <v>2975</v>
      </c>
      <c r="B13" s="587" t="s">
        <v>2975</v>
      </c>
      <c r="C13" s="25" t="s">
        <v>2972</v>
      </c>
      <c r="D13" s="587"/>
      <c r="E13" s="590" t="s">
        <v>2982</v>
      </c>
      <c r="F13" s="589" t="str">
        <f t="shared" si="1"/>
        <v>Icon-stun</v>
      </c>
      <c r="G13" s="589"/>
      <c r="H13" s="570" t="s">
        <v>2983</v>
      </c>
      <c r="I13" s="570" t="s">
        <v>2971</v>
      </c>
      <c r="J13" s="570"/>
    </row>
    <row r="14">
      <c r="A14" s="25" t="s">
        <v>2979</v>
      </c>
      <c r="B14" s="587" t="s">
        <v>2984</v>
      </c>
      <c r="C14" s="25" t="s">
        <v>2984</v>
      </c>
      <c r="D14" s="587" t="s">
        <v>2960</v>
      </c>
      <c r="E14" s="590" t="s">
        <v>2980</v>
      </c>
      <c r="F14" s="589" t="str">
        <f t="shared" si="1"/>
        <v>Icon-freeze_block</v>
      </c>
      <c r="G14" s="589"/>
      <c r="H14" s="570" t="s">
        <v>2985</v>
      </c>
      <c r="I14" s="570" t="s">
        <v>2986</v>
      </c>
      <c r="J14" s="570"/>
    </row>
    <row r="15">
      <c r="A15" s="25" t="s">
        <v>2975</v>
      </c>
      <c r="B15" s="587" t="s">
        <v>2984</v>
      </c>
      <c r="C15" s="25" t="s">
        <v>2984</v>
      </c>
      <c r="D15" s="587" t="s">
        <v>2960</v>
      </c>
      <c r="E15" s="590" t="s">
        <v>2982</v>
      </c>
      <c r="F15" s="589" t="str">
        <f t="shared" si="1"/>
        <v>Icon-stun_block</v>
      </c>
      <c r="G15" s="589"/>
      <c r="H15" s="570" t="s">
        <v>2987</v>
      </c>
      <c r="I15" s="570" t="s">
        <v>2988</v>
      </c>
      <c r="J15" s="570"/>
    </row>
    <row r="16">
      <c r="A16" s="25" t="s">
        <v>2971</v>
      </c>
      <c r="B16" s="587" t="s">
        <v>2989</v>
      </c>
      <c r="C16" s="25" t="s">
        <v>2989</v>
      </c>
      <c r="D16" s="587" t="s">
        <v>2990</v>
      </c>
      <c r="E16" s="590" t="s">
        <v>2991</v>
      </c>
      <c r="F16" s="589" t="str">
        <f t="shared" si="1"/>
        <v>Icon-poison_damage_cut</v>
      </c>
      <c r="G16" s="589"/>
      <c r="H16" s="570" t="s">
        <v>2992</v>
      </c>
      <c r="I16" s="570" t="s">
        <v>2993</v>
      </c>
      <c r="J16" s="570"/>
    </row>
    <row r="17">
      <c r="A17" s="25" t="s">
        <v>2976</v>
      </c>
      <c r="B17" s="587" t="s">
        <v>2989</v>
      </c>
      <c r="C17" s="25" t="s">
        <v>2989</v>
      </c>
      <c r="D17" s="587" t="s">
        <v>2990</v>
      </c>
      <c r="E17" s="590" t="s">
        <v>2994</v>
      </c>
      <c r="F17" s="589" t="str">
        <f t="shared" si="1"/>
        <v>Icon-burn_damage_cut</v>
      </c>
      <c r="G17" s="589"/>
      <c r="H17" s="570" t="s">
        <v>2995</v>
      </c>
      <c r="I17" s="570" t="s">
        <v>2996</v>
      </c>
      <c r="J17" s="570"/>
    </row>
    <row r="18">
      <c r="A18" s="25" t="s">
        <v>2997</v>
      </c>
      <c r="B18" s="587" t="s">
        <v>2997</v>
      </c>
      <c r="C18" s="25" t="s">
        <v>2998</v>
      </c>
      <c r="D18" s="587"/>
      <c r="E18" s="590" t="s">
        <v>2949</v>
      </c>
      <c r="F18" s="589" t="str">
        <f t="shared" si="1"/>
        <v>Icon-attack_up</v>
      </c>
      <c r="G18" s="589"/>
      <c r="H18" s="570" t="s">
        <v>2999</v>
      </c>
      <c r="I18" s="570" t="s">
        <v>3000</v>
      </c>
      <c r="J18" s="570"/>
    </row>
    <row r="19">
      <c r="A19" s="25" t="s">
        <v>3001</v>
      </c>
      <c r="B19" s="587" t="s">
        <v>3001</v>
      </c>
      <c r="C19" s="25" t="s">
        <v>2998</v>
      </c>
      <c r="D19" s="587"/>
      <c r="E19" s="590" t="s">
        <v>2953</v>
      </c>
      <c r="F19" s="589" t="str">
        <f t="shared" si="1"/>
        <v>Icon-speed_up</v>
      </c>
      <c r="G19" s="589"/>
      <c r="H19" s="570"/>
      <c r="I19" s="570"/>
      <c r="J19" s="570"/>
    </row>
    <row r="20">
      <c r="A20" s="25" t="s">
        <v>3002</v>
      </c>
      <c r="B20" s="587" t="s">
        <v>3002</v>
      </c>
      <c r="C20" s="25" t="s">
        <v>3003</v>
      </c>
      <c r="D20" s="587"/>
      <c r="E20" s="590" t="s">
        <v>3004</v>
      </c>
      <c r="F20" s="589" t="str">
        <f t="shared" si="1"/>
        <v>Icon-attack_down</v>
      </c>
      <c r="G20" s="589"/>
      <c r="H20" s="570"/>
      <c r="I20" s="570"/>
      <c r="J20" s="570"/>
    </row>
    <row r="21">
      <c r="A21" s="25" t="s">
        <v>3005</v>
      </c>
      <c r="B21" s="587" t="s">
        <v>3005</v>
      </c>
      <c r="C21" s="25" t="s">
        <v>3003</v>
      </c>
      <c r="D21" s="587"/>
      <c r="E21" s="590" t="s">
        <v>3006</v>
      </c>
      <c r="F21" s="589" t="str">
        <f t="shared" si="1"/>
        <v>Icon-speed_down</v>
      </c>
      <c r="G21" s="589"/>
      <c r="H21" s="570"/>
      <c r="I21" s="570"/>
      <c r="J21" s="570"/>
    </row>
    <row r="22">
      <c r="A22" s="25" t="s">
        <v>2993</v>
      </c>
      <c r="B22" s="587" t="s">
        <v>2993</v>
      </c>
      <c r="C22" s="25" t="s">
        <v>2993</v>
      </c>
      <c r="D22" s="587" t="s">
        <v>2990</v>
      </c>
      <c r="E22" s="590" t="s">
        <v>3007</v>
      </c>
      <c r="F22" s="589" t="str">
        <f t="shared" si="1"/>
        <v>Icon-damage_cut</v>
      </c>
      <c r="G22" s="589"/>
      <c r="H22" s="570"/>
      <c r="I22" s="570"/>
      <c r="J22" s="570"/>
    </row>
    <row r="23">
      <c r="A23" s="25" t="s">
        <v>3008</v>
      </c>
      <c r="B23" s="587" t="s">
        <v>3009</v>
      </c>
      <c r="C23" s="25" t="s">
        <v>3010</v>
      </c>
      <c r="D23" s="587" t="s">
        <v>3011</v>
      </c>
      <c r="E23" s="588" t="s">
        <v>3012</v>
      </c>
      <c r="F23" s="589" t="str">
        <f t="shared" si="1"/>
        <v>Icon-repeat_heal</v>
      </c>
      <c r="G23" s="589"/>
      <c r="H23" s="570"/>
      <c r="I23" s="570"/>
      <c r="J23" s="570"/>
    </row>
    <row r="24">
      <c r="A24" s="25" t="s">
        <v>3013</v>
      </c>
      <c r="B24" s="587" t="s">
        <v>3013</v>
      </c>
      <c r="C24" s="25" t="s">
        <v>3013</v>
      </c>
      <c r="D24" s="587"/>
      <c r="E24" s="588" t="s">
        <v>3014</v>
      </c>
      <c r="F24" s="589" t="str">
        <f t="shared" si="1"/>
        <v>Icon-guts</v>
      </c>
      <c r="G24" s="589" t="s">
        <v>3015</v>
      </c>
      <c r="H24" s="570"/>
      <c r="I24" s="570"/>
      <c r="J24" s="570"/>
    </row>
    <row r="25">
      <c r="A25" s="25" t="s">
        <v>3016</v>
      </c>
      <c r="B25" s="587" t="s">
        <v>3016</v>
      </c>
      <c r="C25" s="25" t="s">
        <v>3017</v>
      </c>
      <c r="D25" s="587"/>
      <c r="E25" s="588" t="s">
        <v>3018</v>
      </c>
      <c r="F25" s="589" t="str">
        <f t="shared" si="1"/>
        <v>Icon-rush_damage_up</v>
      </c>
      <c r="G25" s="589"/>
      <c r="H25" s="570"/>
      <c r="I25" s="570"/>
      <c r="J25" s="570"/>
    </row>
    <row r="26">
      <c r="A26" s="25"/>
      <c r="B26" s="25"/>
      <c r="C26" s="25"/>
      <c r="D26" s="25"/>
      <c r="E26" s="28"/>
      <c r="F26" s="589"/>
      <c r="G26" s="589"/>
      <c r="H26" s="570"/>
      <c r="I26" s="570"/>
      <c r="J26" s="570"/>
    </row>
    <row r="27">
      <c r="A27" s="25"/>
      <c r="B27" s="25"/>
      <c r="C27" s="25"/>
      <c r="D27" s="25"/>
      <c r="E27" s="28"/>
      <c r="F27" s="589"/>
      <c r="G27" s="589"/>
      <c r="H27" s="570"/>
      <c r="I27" s="570"/>
      <c r="J27" s="570"/>
    </row>
    <row r="28">
      <c r="A28" s="25"/>
      <c r="B28" s="28"/>
      <c r="C28" s="25"/>
      <c r="D28" s="25"/>
      <c r="E28" s="28"/>
      <c r="F28" s="589"/>
      <c r="G28" s="589"/>
      <c r="H28" s="570"/>
      <c r="I28" s="570"/>
      <c r="J28" s="570"/>
    </row>
    <row r="29">
      <c r="A29" s="25"/>
      <c r="B29" s="25"/>
      <c r="C29" s="25"/>
      <c r="D29" s="25"/>
      <c r="E29" s="28"/>
      <c r="F29" s="589"/>
      <c r="G29" s="589"/>
      <c r="H29" s="570"/>
      <c r="I29" s="570"/>
      <c r="J29" s="570"/>
    </row>
    <row r="30">
      <c r="A30" s="25"/>
      <c r="B30" s="25"/>
      <c r="C30" s="25"/>
      <c r="D30" s="25"/>
      <c r="E30" s="28"/>
      <c r="F30" s="589"/>
      <c r="G30" s="589"/>
      <c r="H30" s="570"/>
      <c r="I30" s="570"/>
      <c r="J30" s="570"/>
    </row>
    <row r="31">
      <c r="A31" s="25"/>
      <c r="B31" s="25"/>
      <c r="C31" s="25"/>
      <c r="D31" s="25"/>
      <c r="E31" s="28"/>
      <c r="F31" s="569"/>
      <c r="G31" s="569"/>
      <c r="H31" s="570"/>
      <c r="I31" s="570"/>
      <c r="J31" s="570"/>
    </row>
    <row r="32">
      <c r="A32" s="25"/>
      <c r="B32" s="28"/>
      <c r="C32" s="25"/>
      <c r="D32" s="25"/>
      <c r="E32" s="28"/>
      <c r="F32" s="569"/>
      <c r="G32" s="569"/>
      <c r="H32" s="570"/>
      <c r="I32" s="570"/>
      <c r="J32" s="570"/>
    </row>
    <row r="33">
      <c r="A33" s="25"/>
      <c r="B33" s="25"/>
      <c r="C33" s="25"/>
      <c r="D33" s="25"/>
      <c r="E33" s="28"/>
      <c r="F33" s="569"/>
      <c r="G33" s="569"/>
      <c r="H33" s="570"/>
      <c r="I33" s="570"/>
      <c r="J33" s="570"/>
    </row>
    <row r="34">
      <c r="A34" s="25"/>
      <c r="B34" s="25"/>
      <c r="C34" s="25"/>
      <c r="D34" s="25"/>
      <c r="E34" s="591"/>
      <c r="F34" s="569"/>
      <c r="G34" s="569"/>
      <c r="H34" s="570"/>
      <c r="I34" s="570"/>
      <c r="J34" s="570"/>
    </row>
    <row r="35">
      <c r="A35" s="25"/>
      <c r="B35" s="25"/>
      <c r="C35" s="25"/>
      <c r="D35" s="25"/>
      <c r="E35" s="591"/>
      <c r="F35" s="569"/>
      <c r="G35" s="569"/>
      <c r="H35" s="570"/>
      <c r="I35" s="570"/>
      <c r="J35" s="570"/>
    </row>
    <row r="36">
      <c r="A36" s="25"/>
      <c r="B36" s="25"/>
      <c r="C36" s="25"/>
      <c r="D36" s="25"/>
      <c r="E36" s="591"/>
      <c r="F36" s="569"/>
      <c r="G36" s="569"/>
      <c r="H36" s="570"/>
      <c r="I36" s="570"/>
      <c r="J36" s="570"/>
    </row>
    <row r="37">
      <c r="A37" s="25"/>
      <c r="B37" s="25"/>
      <c r="C37" s="25"/>
      <c r="D37" s="25"/>
      <c r="E37" s="591"/>
      <c r="F37" s="592"/>
      <c r="G37" s="592"/>
      <c r="H37" s="593"/>
      <c r="I37" s="593"/>
      <c r="J37" s="593"/>
    </row>
    <row r="38">
      <c r="A38" s="25"/>
      <c r="B38" s="25"/>
      <c r="C38" s="25"/>
      <c r="D38" s="25"/>
      <c r="E38" s="591"/>
      <c r="F38" s="569"/>
      <c r="G38" s="569"/>
      <c r="H38" s="570"/>
      <c r="I38" s="570"/>
      <c r="J38" s="570"/>
    </row>
    <row r="39">
      <c r="A39" s="25"/>
      <c r="B39" s="25"/>
      <c r="C39" s="25"/>
      <c r="D39" s="25"/>
      <c r="E39" s="591"/>
      <c r="F39" s="569"/>
      <c r="G39" s="569"/>
      <c r="H39" s="570"/>
      <c r="I39" s="570"/>
      <c r="J39" s="570"/>
    </row>
    <row r="40">
      <c r="A40" s="25"/>
      <c r="B40" s="25"/>
      <c r="C40" s="25"/>
      <c r="D40" s="25"/>
      <c r="E40" s="591"/>
      <c r="F40" s="569"/>
      <c r="G40" s="569"/>
      <c r="H40" s="570"/>
      <c r="I40" s="570"/>
      <c r="J40" s="570"/>
    </row>
    <row r="41">
      <c r="A41" s="25"/>
      <c r="B41" s="25"/>
      <c r="C41" s="25"/>
      <c r="D41" s="25"/>
      <c r="E41" s="591"/>
      <c r="F41" s="594"/>
      <c r="G41" s="594"/>
      <c r="H41" s="36"/>
      <c r="I41" s="36"/>
      <c r="J41" s="36"/>
    </row>
    <row r="42">
      <c r="A42" s="25"/>
      <c r="B42" s="25"/>
      <c r="C42" s="25"/>
      <c r="D42" s="25"/>
      <c r="E42" s="591"/>
      <c r="F42" s="595"/>
      <c r="G42" s="595"/>
      <c r="H42" s="596"/>
      <c r="I42" s="596"/>
      <c r="J42" s="596"/>
    </row>
    <row r="43">
      <c r="A43" s="25"/>
      <c r="B43" s="25"/>
      <c r="C43" s="25"/>
      <c r="D43" s="25"/>
      <c r="E43" s="591"/>
      <c r="F43" s="595"/>
      <c r="G43" s="595"/>
      <c r="H43" s="596"/>
      <c r="I43" s="596"/>
      <c r="J43" s="596"/>
    </row>
    <row r="44">
      <c r="A44" s="25"/>
      <c r="B44" s="25"/>
      <c r="C44" s="25"/>
      <c r="D44" s="25"/>
      <c r="E44" s="591"/>
      <c r="F44" s="595"/>
      <c r="G44" s="595"/>
      <c r="H44" s="596"/>
      <c r="I44" s="596"/>
      <c r="J44" s="596"/>
    </row>
    <row r="45">
      <c r="A45" s="25"/>
      <c r="B45" s="25"/>
      <c r="C45" s="25"/>
      <c r="D45" s="25"/>
      <c r="E45" s="591"/>
      <c r="F45" s="595"/>
      <c r="G45" s="595"/>
      <c r="H45" s="596"/>
      <c r="I45" s="596"/>
      <c r="J45" s="596"/>
    </row>
    <row r="46">
      <c r="A46" s="25"/>
      <c r="B46" s="25"/>
      <c r="C46" s="25"/>
      <c r="D46" s="25"/>
      <c r="E46" s="591"/>
      <c r="F46" s="595"/>
      <c r="G46" s="595"/>
      <c r="H46" s="596"/>
      <c r="I46" s="596"/>
      <c r="J46" s="596"/>
    </row>
    <row r="47">
      <c r="A47" s="25"/>
      <c r="B47" s="25"/>
      <c r="C47" s="25"/>
      <c r="D47" s="25"/>
      <c r="E47" s="591"/>
      <c r="F47" s="595"/>
      <c r="G47" s="595"/>
      <c r="H47" s="596"/>
      <c r="I47" s="596"/>
      <c r="J47" s="596"/>
    </row>
    <row r="48">
      <c r="A48" s="25"/>
      <c r="B48" s="25"/>
      <c r="C48" s="25"/>
      <c r="D48" s="25"/>
      <c r="E48" s="591"/>
      <c r="F48" s="595"/>
      <c r="G48" s="595"/>
      <c r="H48" s="596"/>
      <c r="I48" s="596"/>
      <c r="J48" s="596"/>
    </row>
    <row r="49">
      <c r="A49" s="25"/>
      <c r="B49" s="25"/>
      <c r="C49" s="25"/>
      <c r="D49" s="25"/>
      <c r="E49" s="591"/>
      <c r="F49" s="595"/>
      <c r="G49" s="595"/>
      <c r="H49" s="596"/>
      <c r="I49" s="596"/>
      <c r="J49" s="596"/>
    </row>
    <row r="50">
      <c r="A50" s="25"/>
      <c r="B50" s="25"/>
      <c r="C50" s="25"/>
      <c r="D50" s="25"/>
      <c r="E50" s="591"/>
      <c r="F50" s="595"/>
      <c r="G50" s="595"/>
      <c r="H50" s="596"/>
      <c r="I50" s="596"/>
      <c r="J50" s="596"/>
    </row>
    <row r="51">
      <c r="A51" s="25"/>
      <c r="B51" s="25"/>
      <c r="C51" s="25"/>
      <c r="D51" s="25"/>
      <c r="E51" s="591"/>
      <c r="F51" s="595"/>
      <c r="G51" s="595"/>
      <c r="H51" s="596"/>
      <c r="I51" s="596"/>
      <c r="J51" s="596"/>
    </row>
    <row r="52">
      <c r="A52" s="25"/>
      <c r="B52" s="25"/>
      <c r="C52" s="25"/>
      <c r="D52" s="25"/>
      <c r="E52" s="591"/>
      <c r="F52" s="595"/>
      <c r="G52" s="595"/>
      <c r="H52" s="596"/>
      <c r="I52" s="596"/>
      <c r="J52" s="596"/>
    </row>
    <row r="53">
      <c r="A53" s="25"/>
      <c r="B53" s="25"/>
      <c r="C53" s="25"/>
      <c r="D53" s="25"/>
      <c r="E53" s="591"/>
      <c r="F53" s="595"/>
      <c r="G53" s="595"/>
      <c r="H53" s="596"/>
      <c r="I53" s="596"/>
      <c r="J53" s="596"/>
    </row>
    <row r="54">
      <c r="A54" s="25"/>
      <c r="B54" s="25"/>
      <c r="C54" s="25"/>
      <c r="D54" s="25"/>
      <c r="E54" s="591"/>
      <c r="F54" s="595"/>
      <c r="G54" s="595"/>
      <c r="H54" s="596"/>
      <c r="I54" s="596"/>
      <c r="J54" s="596"/>
    </row>
    <row r="55">
      <c r="A55" s="33"/>
      <c r="B55" s="33"/>
      <c r="C55" s="33"/>
      <c r="D55" s="33"/>
      <c r="E55" s="591"/>
      <c r="F55" s="595"/>
      <c r="G55" s="595"/>
      <c r="H55" s="596"/>
      <c r="I55" s="596"/>
      <c r="J55" s="596"/>
    </row>
    <row r="56">
      <c r="A56" s="33"/>
      <c r="B56" s="33"/>
      <c r="C56" s="33"/>
      <c r="D56" s="33"/>
      <c r="E56" s="591"/>
      <c r="F56" s="595"/>
      <c r="G56" s="595"/>
      <c r="H56" s="596"/>
      <c r="I56" s="596"/>
      <c r="J56" s="596"/>
    </row>
    <row r="57">
      <c r="A57" s="33"/>
      <c r="B57" s="33"/>
      <c r="C57" s="33"/>
      <c r="D57" s="33"/>
      <c r="E57" s="591"/>
      <c r="F57" s="595"/>
      <c r="G57" s="595"/>
      <c r="H57" s="596"/>
      <c r="I57" s="596"/>
      <c r="J57" s="596"/>
    </row>
    <row r="58">
      <c r="A58" s="23"/>
      <c r="B58" s="23"/>
      <c r="C58" s="23"/>
      <c r="D58" s="23"/>
      <c r="E58" s="596"/>
      <c r="F58" s="596"/>
      <c r="G58" s="596"/>
      <c r="H58" s="596"/>
      <c r="I58" s="596"/>
      <c r="J58" s="596"/>
    </row>
    <row r="59">
      <c r="A59" s="23"/>
      <c r="B59" s="23"/>
      <c r="C59" s="23"/>
      <c r="D59" s="23"/>
      <c r="E59" s="596"/>
      <c r="F59" s="596"/>
      <c r="G59" s="596"/>
      <c r="H59" s="596"/>
      <c r="I59" s="596"/>
      <c r="J59" s="59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7.25"/>
    <col customWidth="1" min="2" max="2" width="24.5"/>
    <col customWidth="1" min="3" max="3" width="20.25"/>
    <col customWidth="1" min="4" max="4" width="13.5"/>
    <col customWidth="1" min="5" max="6" width="19.75"/>
    <col customWidth="1" min="7" max="7" width="43.63"/>
    <col customWidth="1" min="8" max="8" width="14.75"/>
    <col customWidth="1" min="9" max="9" width="28.38"/>
    <col customWidth="1" min="10" max="10" width="10.0"/>
  </cols>
  <sheetData>
    <row r="1">
      <c r="A1" s="583" t="s">
        <v>3019</v>
      </c>
      <c r="B1" s="584"/>
      <c r="D1" s="584"/>
      <c r="E1" s="585"/>
      <c r="F1" s="585"/>
      <c r="G1" s="585"/>
      <c r="H1" s="585"/>
      <c r="I1" s="585"/>
      <c r="J1" s="585"/>
    </row>
    <row r="2">
      <c r="A2" s="565" t="s">
        <v>3020</v>
      </c>
      <c r="B2" s="565" t="s">
        <v>2937</v>
      </c>
      <c r="C2" s="566" t="s">
        <v>2938</v>
      </c>
      <c r="D2" s="566" t="s">
        <v>2939</v>
      </c>
      <c r="E2" s="586" t="s">
        <v>951</v>
      </c>
      <c r="F2" s="586" t="s">
        <v>399</v>
      </c>
      <c r="G2" s="597" t="s">
        <v>3021</v>
      </c>
      <c r="H2" s="597" t="s">
        <v>3022</v>
      </c>
      <c r="I2" s="597" t="s">
        <v>2526</v>
      </c>
      <c r="J2" s="598"/>
    </row>
    <row r="3">
      <c r="A3" s="25" t="s">
        <v>2941</v>
      </c>
      <c r="B3" s="587" t="s">
        <v>2941</v>
      </c>
      <c r="C3" s="25" t="s">
        <v>2942</v>
      </c>
      <c r="D3" s="587" t="s">
        <v>2943</v>
      </c>
      <c r="E3" s="599" t="s">
        <v>2944</v>
      </c>
      <c r="F3" s="591" t="str">
        <f t="shared" ref="F3:F15" si="1">if(D3&lt;&gt;"",E3&amp;"_"&amp;D3,E3)</f>
        <v>attackup_koma_boost</v>
      </c>
      <c r="G3" s="516" t="str">
        <f t="shared" ref="G3:G15" si="2">"unit_ability_icon_"&amp;E3&amp;if(D3="","","_"&amp;D3)</f>
        <v>unit_ability_icon_attackup_koma_boost</v>
      </c>
      <c r="H3" s="516" t="s">
        <v>1120</v>
      </c>
      <c r="I3" s="516"/>
      <c r="J3" s="570"/>
    </row>
    <row r="4">
      <c r="A4" s="25" t="s">
        <v>2946</v>
      </c>
      <c r="B4" s="587" t="s">
        <v>2946</v>
      </c>
      <c r="C4" s="25" t="s">
        <v>2947</v>
      </c>
      <c r="D4" s="587" t="s">
        <v>2948</v>
      </c>
      <c r="E4" s="599" t="s">
        <v>2949</v>
      </c>
      <c r="F4" s="591" t="str">
        <f t="shared" si="1"/>
        <v>attack_up_normal_koma</v>
      </c>
      <c r="G4" s="516" t="str">
        <f t="shared" si="2"/>
        <v>unit_ability_icon_attack_up_normal_koma</v>
      </c>
      <c r="H4" s="516" t="s">
        <v>1120</v>
      </c>
      <c r="I4" s="516"/>
      <c r="J4" s="570"/>
    </row>
    <row r="5">
      <c r="A5" s="25" t="s">
        <v>2952</v>
      </c>
      <c r="B5" s="587" t="s">
        <v>2952</v>
      </c>
      <c r="C5" s="25" t="s">
        <v>2947</v>
      </c>
      <c r="D5" s="587" t="s">
        <v>2948</v>
      </c>
      <c r="E5" s="599" t="s">
        <v>2953</v>
      </c>
      <c r="F5" s="591" t="str">
        <f t="shared" si="1"/>
        <v>speed_up_normal_koma</v>
      </c>
      <c r="G5" s="516" t="str">
        <f t="shared" si="2"/>
        <v>unit_ability_icon_speed_up_normal_koma</v>
      </c>
      <c r="H5" s="516" t="s">
        <v>1120</v>
      </c>
      <c r="I5" s="516"/>
      <c r="J5" s="570"/>
    </row>
    <row r="6">
      <c r="A6" s="25" t="s">
        <v>2955</v>
      </c>
      <c r="B6" s="587" t="s">
        <v>2955</v>
      </c>
      <c r="C6" s="25" t="s">
        <v>2947</v>
      </c>
      <c r="D6" s="587" t="s">
        <v>2948</v>
      </c>
      <c r="E6" s="599" t="s">
        <v>3023</v>
      </c>
      <c r="F6" s="591" t="str">
        <f t="shared" si="1"/>
        <v>damege_cut_normal_koma</v>
      </c>
      <c r="G6" s="516" t="str">
        <f t="shared" si="2"/>
        <v>unit_ability_icon_damege_cut_normal_koma</v>
      </c>
      <c r="H6" s="516" t="s">
        <v>1120</v>
      </c>
      <c r="I6" s="516"/>
      <c r="J6" s="570"/>
    </row>
    <row r="7">
      <c r="A7" s="25" t="s">
        <v>2958</v>
      </c>
      <c r="B7" s="587" t="s">
        <v>2958</v>
      </c>
      <c r="C7" s="25" t="s">
        <v>2959</v>
      </c>
      <c r="D7" s="587" t="s">
        <v>2960</v>
      </c>
      <c r="E7" s="599" t="s">
        <v>2961</v>
      </c>
      <c r="F7" s="591" t="str">
        <f t="shared" si="1"/>
        <v>damage_koma_block</v>
      </c>
      <c r="G7" s="516" t="str">
        <f t="shared" si="2"/>
        <v>unit_ability_icon_damage_koma_block</v>
      </c>
      <c r="H7" s="516" t="s">
        <v>1120</v>
      </c>
      <c r="I7" s="516"/>
      <c r="J7" s="570"/>
    </row>
    <row r="8">
      <c r="A8" s="25" t="s">
        <v>2963</v>
      </c>
      <c r="B8" s="587" t="s">
        <v>2963</v>
      </c>
      <c r="C8" s="25" t="s">
        <v>2959</v>
      </c>
      <c r="D8" s="587" t="s">
        <v>2960</v>
      </c>
      <c r="E8" s="599" t="s">
        <v>2964</v>
      </c>
      <c r="F8" s="591" t="str">
        <f t="shared" si="1"/>
        <v>attackdown_koma_block</v>
      </c>
      <c r="G8" s="516" t="str">
        <f t="shared" si="2"/>
        <v>unit_ability_icon_attackdown_koma_block</v>
      </c>
      <c r="H8" s="516" t="s">
        <v>1120</v>
      </c>
      <c r="I8" s="516"/>
      <c r="J8" s="570"/>
    </row>
    <row r="9">
      <c r="A9" s="25" t="s">
        <v>2967</v>
      </c>
      <c r="B9" s="587" t="s">
        <v>2967</v>
      </c>
      <c r="C9" s="25" t="s">
        <v>2959</v>
      </c>
      <c r="D9" s="587" t="s">
        <v>2960</v>
      </c>
      <c r="E9" s="599" t="s">
        <v>2968</v>
      </c>
      <c r="F9" s="591" t="str">
        <f t="shared" si="1"/>
        <v>gust_koma_block</v>
      </c>
      <c r="G9" s="516" t="str">
        <f t="shared" si="2"/>
        <v>unit_ability_icon_gust_koma_block</v>
      </c>
      <c r="H9" s="516" t="s">
        <v>1120</v>
      </c>
      <c r="I9" s="516"/>
      <c r="J9" s="570"/>
    </row>
    <row r="10">
      <c r="A10" s="25" t="s">
        <v>3024</v>
      </c>
      <c r="B10" s="587" t="s">
        <v>3024</v>
      </c>
      <c r="C10" s="25" t="s">
        <v>2989</v>
      </c>
      <c r="D10" s="587" t="s">
        <v>2990</v>
      </c>
      <c r="E10" s="599" t="s">
        <v>3025</v>
      </c>
      <c r="F10" s="591" t="str">
        <f t="shared" si="1"/>
        <v>poison_damge_cut</v>
      </c>
      <c r="G10" s="516" t="str">
        <f t="shared" si="2"/>
        <v>unit_ability_icon_poison_damge_cut</v>
      </c>
      <c r="H10" s="516" t="s">
        <v>1120</v>
      </c>
      <c r="I10" s="516"/>
      <c r="J10" s="596"/>
    </row>
    <row r="11">
      <c r="A11" s="25" t="s">
        <v>3026</v>
      </c>
      <c r="B11" s="587" t="s">
        <v>3026</v>
      </c>
      <c r="C11" s="25" t="s">
        <v>2989</v>
      </c>
      <c r="D11" s="587" t="s">
        <v>2990</v>
      </c>
      <c r="E11" s="599" t="s">
        <v>2994</v>
      </c>
      <c r="F11" s="591" t="str">
        <f t="shared" si="1"/>
        <v>burn_damage_cut</v>
      </c>
      <c r="G11" s="516" t="str">
        <f t="shared" si="2"/>
        <v>unit_ability_icon_burn_damage_cut</v>
      </c>
      <c r="H11" s="516" t="s">
        <v>1120</v>
      </c>
      <c r="I11" s="516"/>
      <c r="J11" s="596"/>
    </row>
    <row r="12">
      <c r="A12" s="25" t="s">
        <v>3027</v>
      </c>
      <c r="B12" s="587" t="s">
        <v>3027</v>
      </c>
      <c r="C12" s="25" t="s">
        <v>3028</v>
      </c>
      <c r="D12" s="587" t="s">
        <v>2960</v>
      </c>
      <c r="E12" s="599" t="s">
        <v>2980</v>
      </c>
      <c r="F12" s="591" t="str">
        <f t="shared" si="1"/>
        <v>freeze_block</v>
      </c>
      <c r="G12" s="516" t="str">
        <f t="shared" si="2"/>
        <v>unit_ability_icon_freeze_block</v>
      </c>
      <c r="H12" s="516" t="s">
        <v>1120</v>
      </c>
      <c r="I12" s="516"/>
      <c r="J12" s="596"/>
    </row>
    <row r="13">
      <c r="A13" s="25" t="s">
        <v>3029</v>
      </c>
      <c r="B13" s="587" t="s">
        <v>3029</v>
      </c>
      <c r="C13" s="25" t="s">
        <v>3028</v>
      </c>
      <c r="D13" s="587" t="s">
        <v>2960</v>
      </c>
      <c r="E13" s="599" t="s">
        <v>2982</v>
      </c>
      <c r="F13" s="591" t="str">
        <f t="shared" si="1"/>
        <v>stun_block</v>
      </c>
      <c r="G13" s="516" t="str">
        <f t="shared" si="2"/>
        <v>unit_ability_icon_stun_block</v>
      </c>
      <c r="H13" s="516" t="s">
        <v>1120</v>
      </c>
      <c r="I13" s="516"/>
      <c r="J13" s="596"/>
    </row>
    <row r="14">
      <c r="A14" s="25" t="s">
        <v>3030</v>
      </c>
      <c r="B14" s="587" t="s">
        <v>3030</v>
      </c>
      <c r="C14" s="25" t="s">
        <v>3028</v>
      </c>
      <c r="D14" s="587" t="s">
        <v>2960</v>
      </c>
      <c r="E14" s="599" t="s">
        <v>3031</v>
      </c>
      <c r="F14" s="591" t="str">
        <f t="shared" si="1"/>
        <v>knockback_block</v>
      </c>
      <c r="G14" s="516" t="str">
        <f t="shared" si="2"/>
        <v>unit_ability_icon_knockback_block</v>
      </c>
      <c r="H14" s="516" t="s">
        <v>1120</v>
      </c>
      <c r="I14" s="516"/>
      <c r="J14" s="596"/>
    </row>
    <row r="15">
      <c r="A15" s="25" t="s">
        <v>3013</v>
      </c>
      <c r="B15" s="587" t="s">
        <v>3013</v>
      </c>
      <c r="C15" s="25" t="s">
        <v>3013</v>
      </c>
      <c r="D15" s="587"/>
      <c r="E15" s="599" t="s">
        <v>3014</v>
      </c>
      <c r="F15" s="591" t="str">
        <f t="shared" si="1"/>
        <v>guts</v>
      </c>
      <c r="G15" s="516" t="str">
        <f t="shared" si="2"/>
        <v>unit_ability_icon_guts</v>
      </c>
      <c r="H15" s="516" t="s">
        <v>1120</v>
      </c>
      <c r="I15" s="516"/>
      <c r="J15" s="596"/>
    </row>
    <row r="16">
      <c r="A16" s="25"/>
      <c r="B16" s="591"/>
      <c r="C16" s="25"/>
      <c r="D16" s="25"/>
      <c r="E16" s="591"/>
      <c r="F16" s="591"/>
      <c r="G16" s="516"/>
      <c r="H16" s="516"/>
      <c r="I16" s="516"/>
      <c r="J16" s="596"/>
    </row>
    <row r="17">
      <c r="A17" s="25"/>
      <c r="B17" s="591"/>
      <c r="C17" s="25"/>
      <c r="D17" s="25"/>
      <c r="E17" s="591"/>
      <c r="F17" s="591"/>
      <c r="G17" s="516"/>
      <c r="H17" s="516"/>
      <c r="I17" s="516"/>
      <c r="J17" s="596"/>
    </row>
    <row r="18">
      <c r="A18" s="25"/>
      <c r="B18" s="591"/>
      <c r="C18" s="25"/>
      <c r="D18" s="25"/>
      <c r="E18" s="591"/>
      <c r="F18" s="591"/>
      <c r="G18" s="516"/>
      <c r="H18" s="516"/>
      <c r="I18" s="516"/>
      <c r="J18" s="596"/>
    </row>
    <row r="19">
      <c r="A19" s="25"/>
      <c r="B19" s="591"/>
      <c r="C19" s="25"/>
      <c r="D19" s="25"/>
      <c r="E19" s="591"/>
      <c r="F19" s="591"/>
      <c r="G19" s="516"/>
      <c r="H19" s="516"/>
      <c r="I19" s="516"/>
      <c r="J19" s="596"/>
    </row>
    <row r="20">
      <c r="A20" s="33"/>
      <c r="B20" s="516"/>
      <c r="C20" s="33"/>
      <c r="D20" s="33"/>
      <c r="E20" s="516"/>
      <c r="F20" s="516"/>
      <c r="G20" s="516"/>
      <c r="H20" s="516"/>
      <c r="I20" s="516"/>
      <c r="J20" s="596"/>
    </row>
    <row r="21">
      <c r="A21" s="33"/>
      <c r="B21" s="516"/>
      <c r="C21" s="33"/>
      <c r="D21" s="33"/>
      <c r="E21" s="516"/>
      <c r="F21" s="516"/>
      <c r="G21" s="516"/>
      <c r="H21" s="516"/>
      <c r="I21" s="516"/>
      <c r="J21" s="596"/>
    </row>
    <row r="22">
      <c r="A22" s="33"/>
      <c r="B22" s="516"/>
      <c r="C22" s="33"/>
      <c r="D22" s="33"/>
      <c r="E22" s="516"/>
      <c r="F22" s="516"/>
      <c r="G22" s="516"/>
      <c r="H22" s="516"/>
      <c r="I22" s="516"/>
      <c r="J22" s="596"/>
    </row>
    <row r="23">
      <c r="A23" s="23"/>
      <c r="B23" s="596"/>
      <c r="C23" s="23"/>
      <c r="D23" s="23"/>
      <c r="E23" s="596"/>
      <c r="F23" s="596"/>
      <c r="G23" s="596"/>
      <c r="H23" s="596"/>
      <c r="I23" s="596"/>
      <c r="J23" s="596"/>
    </row>
    <row r="24">
      <c r="A24" s="23"/>
      <c r="B24" s="596"/>
      <c r="C24" s="23"/>
      <c r="D24" s="23"/>
      <c r="E24" s="596"/>
      <c r="F24" s="596"/>
      <c r="G24" s="596"/>
      <c r="H24" s="596"/>
      <c r="I24" s="596"/>
      <c r="J24" s="596"/>
    </row>
  </sheetData>
  <dataValidations>
    <dataValidation type="list" allowBlank="1" showErrorMessage="1" sqref="H3:H22">
      <formula1>"作成済み,作成依頼中,未発注"</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4.25"/>
    <col customWidth="1" min="3" max="3" width="19.75"/>
    <col customWidth="1" min="4" max="4" width="11.63"/>
    <col customWidth="1" min="5" max="5" width="18.63"/>
    <col customWidth="1" min="6" max="6" width="25.0"/>
    <col customWidth="1" min="7" max="7" width="25.88"/>
    <col customWidth="1" min="8" max="8" width="18.38"/>
    <col customWidth="1" min="9" max="11" width="17.88"/>
    <col customWidth="1" min="12" max="12" width="19.0"/>
  </cols>
  <sheetData>
    <row r="1">
      <c r="A1" s="418" t="s">
        <v>3032</v>
      </c>
      <c r="B1" s="418" t="s">
        <v>3033</v>
      </c>
      <c r="C1" s="418" t="s">
        <v>43</v>
      </c>
      <c r="D1" s="418" t="s">
        <v>2872</v>
      </c>
      <c r="E1" s="418" t="s">
        <v>3034</v>
      </c>
      <c r="F1" s="418" t="s">
        <v>3035</v>
      </c>
      <c r="G1" s="418" t="s">
        <v>2876</v>
      </c>
      <c r="H1" s="418" t="s">
        <v>2878</v>
      </c>
      <c r="I1" s="533"/>
      <c r="J1" s="533"/>
      <c r="K1" s="533"/>
      <c r="L1" s="600"/>
    </row>
    <row r="2">
      <c r="A2" s="601" t="s">
        <v>3036</v>
      </c>
      <c r="B2" s="505" t="s">
        <v>3037</v>
      </c>
      <c r="C2" s="423" t="str">
        <f>if(B2&lt;&gt;"", iferror(vlookup(B2,'作品'!$A$2:$D$43,4,false),"定常系ガシャ"),"error")</f>
        <v>定常系ガシャ</v>
      </c>
      <c r="D2" s="423" t="str">
        <f t="shared" ref="D2:D34" si="1">text(countif(B$2:B2,B2),"00000")</f>
        <v>00001</v>
      </c>
      <c r="E2" s="587" t="str">
        <f t="shared" ref="E2:E34" si="2">B2&amp;"_"&amp;D2</f>
        <v>startdash_00001</v>
      </c>
      <c r="F2" s="602" t="str">
        <f t="shared" ref="F2:F34" si="3">"gacha_banner_"&amp;$E2</f>
        <v>gacha_banner_startdash_00001</v>
      </c>
      <c r="G2" s="603" t="s">
        <v>2651</v>
      </c>
      <c r="H2" s="505"/>
      <c r="I2" s="533"/>
      <c r="J2" s="533"/>
      <c r="K2" s="533"/>
      <c r="L2" s="600"/>
    </row>
    <row r="3">
      <c r="A3" s="601" t="s">
        <v>3038</v>
      </c>
      <c r="B3" s="505" t="s">
        <v>3039</v>
      </c>
      <c r="C3" s="423" t="str">
        <f>if(B3&lt;&gt;"", iferror(vlookup(B3,'作品'!$A$2:$D$43,4,false),"定常系ガシャ"),"error")</f>
        <v>定常系ガシャ</v>
      </c>
      <c r="D3" s="423" t="str">
        <f t="shared" si="1"/>
        <v>00001</v>
      </c>
      <c r="E3" s="587" t="str">
        <f t="shared" si="2"/>
        <v>medal_00001</v>
      </c>
      <c r="F3" s="602" t="str">
        <f t="shared" si="3"/>
        <v>gacha_banner_medal_00001</v>
      </c>
      <c r="G3" s="603" t="s">
        <v>2651</v>
      </c>
      <c r="H3" s="505"/>
      <c r="I3" s="533"/>
      <c r="J3" s="533"/>
      <c r="K3" s="533"/>
      <c r="L3" s="600"/>
    </row>
    <row r="4">
      <c r="A4" s="601" t="s">
        <v>3040</v>
      </c>
      <c r="B4" s="505" t="s">
        <v>3041</v>
      </c>
      <c r="C4" s="423" t="str">
        <f>if(B4&lt;&gt;"", iferror(vlookup(B4,'作品'!$A$2:$D$43,4,false),"定常系ガシャ"),"error")</f>
        <v>定常系ガシャ</v>
      </c>
      <c r="D4" s="423" t="str">
        <f t="shared" si="1"/>
        <v>00001</v>
      </c>
      <c r="E4" s="587" t="str">
        <f t="shared" si="2"/>
        <v>special_00001</v>
      </c>
      <c r="F4" s="602" t="str">
        <f t="shared" si="3"/>
        <v>gacha_banner_special_00001</v>
      </c>
      <c r="G4" s="603" t="s">
        <v>2651</v>
      </c>
      <c r="H4" s="505"/>
      <c r="I4" s="533"/>
      <c r="J4" s="533"/>
      <c r="K4" s="533"/>
      <c r="L4" s="600"/>
    </row>
    <row r="5">
      <c r="A5" s="604" t="s">
        <v>3042</v>
      </c>
      <c r="B5" s="605" t="s">
        <v>2527</v>
      </c>
      <c r="C5" s="606" t="str">
        <f>if(B5&lt;&gt;"", iferror(vlookup(B5,'作品'!$A$2:$D$43,4,false),"定常系ガシャ"),"error")</f>
        <v>定常系ガシャ</v>
      </c>
      <c r="D5" s="606" t="str">
        <f t="shared" si="1"/>
        <v>00001</v>
      </c>
      <c r="E5" s="607" t="str">
        <f t="shared" si="2"/>
        <v>normal_00001</v>
      </c>
      <c r="F5" s="607" t="str">
        <f t="shared" si="3"/>
        <v>gacha_banner_normal_00001</v>
      </c>
      <c r="G5" s="605" t="s">
        <v>2651</v>
      </c>
      <c r="H5" s="505"/>
      <c r="I5" s="533"/>
      <c r="J5" s="533"/>
      <c r="K5" s="533"/>
      <c r="L5" s="600"/>
    </row>
    <row r="6">
      <c r="A6" s="601" t="s">
        <v>3043</v>
      </c>
      <c r="B6" s="125" t="s">
        <v>115</v>
      </c>
      <c r="C6" s="423" t="str">
        <f>if(B6&lt;&gt;"", iferror(vlookup(B6,'作品'!$A$2:$D$43,4,false),"定常系ガシャ"),"error")</f>
        <v>怪獣８号</v>
      </c>
      <c r="D6" s="423" t="str">
        <f t="shared" si="1"/>
        <v>00001</v>
      </c>
      <c r="E6" s="587" t="str">
        <f t="shared" si="2"/>
        <v>kai_00001</v>
      </c>
      <c r="F6" s="602" t="str">
        <f t="shared" si="3"/>
        <v>gacha_banner_kai_00001</v>
      </c>
      <c r="G6" s="603" t="str">
        <f>"hometop_gacha_"&amp;$E6</f>
        <v>hometop_gacha_kai_00001</v>
      </c>
      <c r="H6" s="505"/>
      <c r="I6" s="533"/>
      <c r="J6" s="533"/>
      <c r="K6" s="533"/>
      <c r="L6" s="600"/>
    </row>
    <row r="7" ht="16.5" customHeight="1">
      <c r="A7" s="601" t="s">
        <v>3044</v>
      </c>
      <c r="B7" s="505" t="s">
        <v>3045</v>
      </c>
      <c r="C7" s="423" t="str">
        <f>if(B7&lt;&gt;"", iferror(vlookup(B7,'作品'!$A$2:$D$43,4,false),"定常系ガシャ"),"error")</f>
        <v>定常系ガシャ</v>
      </c>
      <c r="D7" s="423" t="str">
        <f t="shared" si="1"/>
        <v>00001</v>
      </c>
      <c r="E7" s="587" t="str">
        <f t="shared" si="2"/>
        <v>UR_Ticket_00001</v>
      </c>
      <c r="F7" s="602" t="str">
        <f t="shared" si="3"/>
        <v>gacha_banner_UR_Ticket_00001</v>
      </c>
      <c r="G7" s="603" t="s">
        <v>2651</v>
      </c>
      <c r="H7" s="505"/>
      <c r="I7" s="533"/>
      <c r="J7" s="533"/>
      <c r="K7" s="533"/>
      <c r="L7" s="600"/>
    </row>
    <row r="8">
      <c r="A8" s="601" t="s">
        <v>3046</v>
      </c>
      <c r="B8" s="125" t="s">
        <v>2655</v>
      </c>
      <c r="C8" s="423" t="str">
        <f>if(B8&lt;&gt;"", iferror(vlookup(B8,'作品'!$A$2:$D$43,4,false),"定常系ガシャ"),"error")</f>
        <v>定常系ガシャ</v>
      </c>
      <c r="D8" s="423" t="str">
        <f t="shared" si="1"/>
        <v>00001</v>
      </c>
      <c r="E8" s="587" t="str">
        <f t="shared" si="2"/>
        <v>tutorial_00001</v>
      </c>
      <c r="F8" s="602" t="str">
        <f t="shared" si="3"/>
        <v>gacha_banner_tutorial_00001</v>
      </c>
      <c r="G8" s="603" t="s">
        <v>2651</v>
      </c>
      <c r="H8" s="505"/>
      <c r="I8" s="533"/>
      <c r="J8" s="533"/>
      <c r="K8" s="533"/>
      <c r="L8" s="600"/>
    </row>
    <row r="9">
      <c r="A9" s="601" t="s">
        <v>3047</v>
      </c>
      <c r="B9" s="125" t="s">
        <v>60</v>
      </c>
      <c r="C9" s="423" t="str">
        <f>if(B9&lt;&gt;"", iferror(vlookup(B9,'作品'!$A$2:$D$43,4,false),"定常系ガシャ"),"error")</f>
        <v>SPY×FAMILY</v>
      </c>
      <c r="D9" s="423" t="str">
        <f t="shared" si="1"/>
        <v>00001</v>
      </c>
      <c r="E9" s="587" t="str">
        <f t="shared" si="2"/>
        <v>spy_00001</v>
      </c>
      <c r="F9" s="602" t="str">
        <f t="shared" si="3"/>
        <v>gacha_banner_spy_00001</v>
      </c>
      <c r="G9" s="603" t="str">
        <f t="shared" ref="G9:G34" si="4">"hometop_gacha_"&amp;$E9</f>
        <v>hometop_gacha_spy_00001</v>
      </c>
      <c r="H9" s="505"/>
      <c r="I9" s="533"/>
      <c r="J9" s="533"/>
      <c r="K9" s="533"/>
      <c r="L9" s="600"/>
    </row>
    <row r="10">
      <c r="A10" s="601" t="s">
        <v>3048</v>
      </c>
      <c r="B10" s="125" t="s">
        <v>60</v>
      </c>
      <c r="C10" s="423" t="str">
        <f>if(B10&lt;&gt;"", iferror(vlookup(B10,'作品'!$A$2:$D$43,4,false),"定常系ガシャ"),"error")</f>
        <v>SPY×FAMILY</v>
      </c>
      <c r="D10" s="423" t="str">
        <f t="shared" si="1"/>
        <v>00002</v>
      </c>
      <c r="E10" s="587" t="str">
        <f t="shared" si="2"/>
        <v>spy_00002</v>
      </c>
      <c r="F10" s="602" t="str">
        <f t="shared" si="3"/>
        <v>gacha_banner_spy_00002</v>
      </c>
      <c r="G10" s="603" t="str">
        <f t="shared" si="4"/>
        <v>hometop_gacha_spy_00002</v>
      </c>
      <c r="H10" s="505"/>
      <c r="I10" s="533"/>
      <c r="J10" s="533"/>
      <c r="K10" s="533"/>
      <c r="L10" s="600"/>
    </row>
    <row r="11">
      <c r="A11" s="601" t="s">
        <v>3049</v>
      </c>
      <c r="B11" s="125" t="s">
        <v>80</v>
      </c>
      <c r="C11" s="423" t="str">
        <f>if(B11&lt;&gt;"", iferror(vlookup(B11,'作品'!$A$2:$D$43,4,false),"定常系ガシャ"),"error")</f>
        <v>ダンダダン</v>
      </c>
      <c r="D11" s="423" t="str">
        <f t="shared" si="1"/>
        <v>00001</v>
      </c>
      <c r="E11" s="587" t="str">
        <f t="shared" si="2"/>
        <v>dan_00001</v>
      </c>
      <c r="F11" s="602" t="str">
        <f t="shared" si="3"/>
        <v>gacha_banner_dan_00001</v>
      </c>
      <c r="G11" s="603" t="str">
        <f t="shared" si="4"/>
        <v>hometop_gacha_dan_00001</v>
      </c>
      <c r="H11" s="505"/>
      <c r="I11" s="533"/>
      <c r="J11" s="533"/>
      <c r="K11" s="533"/>
      <c r="L11" s="600"/>
    </row>
    <row r="12">
      <c r="A12" s="601" t="s">
        <v>3050</v>
      </c>
      <c r="B12" s="125" t="s">
        <v>80</v>
      </c>
      <c r="C12" s="423" t="str">
        <f>if(B12&lt;&gt;"", iferror(vlookup(B12,'作品'!$A$2:$D$43,4,false),"定常系ガシャ"),"error")</f>
        <v>ダンダダン</v>
      </c>
      <c r="D12" s="423" t="str">
        <f t="shared" si="1"/>
        <v>00002</v>
      </c>
      <c r="E12" s="587" t="str">
        <f t="shared" si="2"/>
        <v>dan_00002</v>
      </c>
      <c r="F12" s="602" t="str">
        <f t="shared" si="3"/>
        <v>gacha_banner_dan_00002</v>
      </c>
      <c r="G12" s="603" t="str">
        <f t="shared" si="4"/>
        <v>hometop_gacha_dan_00002</v>
      </c>
      <c r="H12" s="505"/>
      <c r="I12" s="533"/>
      <c r="J12" s="533"/>
      <c r="K12" s="533"/>
      <c r="L12" s="600"/>
    </row>
    <row r="13">
      <c r="A13" s="601" t="s">
        <v>3051</v>
      </c>
      <c r="B13" s="125" t="s">
        <v>98</v>
      </c>
      <c r="C13" s="423" t="str">
        <f>if(B13&lt;&gt;"", iferror(vlookup(B13,'作品'!$A$2:$D$43,4,false),"定常系ガシャ"),"error")</f>
        <v>株式会社マジルミエ</v>
      </c>
      <c r="D13" s="423" t="str">
        <f t="shared" si="1"/>
        <v>00001</v>
      </c>
      <c r="E13" s="587" t="str">
        <f t="shared" si="2"/>
        <v>mag_00001</v>
      </c>
      <c r="F13" s="602" t="str">
        <f t="shared" si="3"/>
        <v>gacha_banner_mag_00001</v>
      </c>
      <c r="G13" s="603" t="str">
        <f t="shared" si="4"/>
        <v>hometop_gacha_mag_00001</v>
      </c>
      <c r="H13" s="505"/>
      <c r="I13" s="533"/>
      <c r="J13" s="533"/>
      <c r="K13" s="533"/>
      <c r="L13" s="600"/>
    </row>
    <row r="14">
      <c r="A14" s="601" t="s">
        <v>3052</v>
      </c>
      <c r="B14" s="125" t="s">
        <v>98</v>
      </c>
      <c r="C14" s="423" t="str">
        <f>if(B14&lt;&gt;"", iferror(vlookup(B14,'作品'!$A$2:$D$43,4,false),"定常系ガシャ"),"error")</f>
        <v>株式会社マジルミエ</v>
      </c>
      <c r="D14" s="423" t="str">
        <f t="shared" si="1"/>
        <v>00002</v>
      </c>
      <c r="E14" s="587" t="str">
        <f t="shared" si="2"/>
        <v>mag_00002</v>
      </c>
      <c r="F14" s="602" t="str">
        <f t="shared" si="3"/>
        <v>gacha_banner_mag_00002</v>
      </c>
      <c r="G14" s="603" t="str">
        <f t="shared" si="4"/>
        <v>hometop_gacha_mag_00002</v>
      </c>
      <c r="H14" s="505"/>
      <c r="I14" s="533"/>
      <c r="J14" s="533"/>
      <c r="K14" s="533"/>
      <c r="L14" s="600"/>
    </row>
    <row r="15">
      <c r="A15" s="601" t="s">
        <v>3053</v>
      </c>
      <c r="B15" s="125" t="s">
        <v>121</v>
      </c>
      <c r="C15" s="423" t="str">
        <f>if(B15&lt;&gt;"", iferror(vlookup(B15,'作品'!$A$2:$D$43,4,false),"定常系ガシャ"),"error")</f>
        <v>2.5次元の誘惑</v>
      </c>
      <c r="D15" s="423" t="str">
        <f t="shared" si="1"/>
        <v>00001</v>
      </c>
      <c r="E15" s="587" t="str">
        <f t="shared" si="2"/>
        <v>yuw_00001</v>
      </c>
      <c r="F15" s="602" t="str">
        <f t="shared" si="3"/>
        <v>gacha_banner_yuw_00001</v>
      </c>
      <c r="G15" s="603" t="str">
        <f t="shared" si="4"/>
        <v>hometop_gacha_yuw_00001</v>
      </c>
      <c r="H15" s="505" t="s">
        <v>3054</v>
      </c>
      <c r="I15" s="533"/>
      <c r="J15" s="533"/>
      <c r="K15" s="533"/>
      <c r="L15" s="600"/>
    </row>
    <row r="16">
      <c r="A16" s="601" t="s">
        <v>3055</v>
      </c>
      <c r="B16" s="125" t="s">
        <v>121</v>
      </c>
      <c r="C16" s="423" t="str">
        <f>if(B16&lt;&gt;"", iferror(vlookup(B16,'作品'!$A$2:$D$43,4,false),"定常系ガシャ"),"error")</f>
        <v>2.5次元の誘惑</v>
      </c>
      <c r="D16" s="423" t="str">
        <f t="shared" si="1"/>
        <v>00002</v>
      </c>
      <c r="E16" s="587" t="str">
        <f t="shared" si="2"/>
        <v>yuw_00002</v>
      </c>
      <c r="F16" s="602" t="str">
        <f t="shared" si="3"/>
        <v>gacha_banner_yuw_00002</v>
      </c>
      <c r="G16" s="603" t="str">
        <f t="shared" si="4"/>
        <v>hometop_gacha_yuw_00002</v>
      </c>
      <c r="H16" s="505" t="s">
        <v>3054</v>
      </c>
      <c r="I16" s="533"/>
      <c r="J16" s="533"/>
      <c r="K16" s="533"/>
      <c r="L16" s="600"/>
    </row>
    <row r="17">
      <c r="A17" s="601" t="s">
        <v>3056</v>
      </c>
      <c r="B17" s="125" t="s">
        <v>127</v>
      </c>
      <c r="C17" s="423" t="str">
        <f>if(B17&lt;&gt;"", iferror(vlookup(B17,'作品'!$A$2:$D$43,4,false),"定常系ガシャ"),"error")</f>
        <v>魔都精兵のスレイブ</v>
      </c>
      <c r="D17" s="423" t="str">
        <f t="shared" si="1"/>
        <v>00001</v>
      </c>
      <c r="E17" s="587" t="str">
        <f t="shared" si="2"/>
        <v>sur_00001</v>
      </c>
      <c r="F17" s="602" t="str">
        <f t="shared" si="3"/>
        <v>gacha_banner_sur_00001</v>
      </c>
      <c r="G17" s="603" t="str">
        <f t="shared" si="4"/>
        <v>hometop_gacha_sur_00001</v>
      </c>
      <c r="H17" s="505"/>
      <c r="I17" s="533"/>
      <c r="J17" s="533"/>
      <c r="K17" s="533"/>
      <c r="L17" s="600"/>
    </row>
    <row r="18">
      <c r="A18" s="601" t="s">
        <v>3057</v>
      </c>
      <c r="B18" s="125" t="s">
        <v>127</v>
      </c>
      <c r="C18" s="423" t="str">
        <f>if(B18&lt;&gt;"", iferror(vlookup(B18,'作品'!$A$2:$D$43,4,false),"定常系ガシャ"),"error")</f>
        <v>魔都精兵のスレイブ</v>
      </c>
      <c r="D18" s="423" t="str">
        <f t="shared" si="1"/>
        <v>00002</v>
      </c>
      <c r="E18" s="587" t="str">
        <f t="shared" si="2"/>
        <v>sur_00002</v>
      </c>
      <c r="F18" s="602" t="str">
        <f t="shared" si="3"/>
        <v>gacha_banner_sur_00002</v>
      </c>
      <c r="G18" s="603" t="str">
        <f t="shared" si="4"/>
        <v>hometop_gacha_sur_00002</v>
      </c>
      <c r="H18" s="505"/>
      <c r="I18" s="533"/>
      <c r="J18" s="533"/>
      <c r="K18" s="533"/>
      <c r="L18" s="600"/>
    </row>
    <row r="19">
      <c r="A19" s="601" t="s">
        <v>3058</v>
      </c>
      <c r="B19" s="125" t="s">
        <v>283</v>
      </c>
      <c r="C19" s="423" t="str">
        <f>if(B19&lt;&gt;"", iferror(vlookup(B19,'作品'!$A$2:$D$43,4,false),"定常系ガシャ"),"error")</f>
        <v>GLOW</v>
      </c>
      <c r="D19" s="423" t="str">
        <f t="shared" si="1"/>
        <v>00001</v>
      </c>
      <c r="E19" s="587" t="str">
        <f t="shared" si="2"/>
        <v>glo_00001</v>
      </c>
      <c r="F19" s="602" t="str">
        <f t="shared" si="3"/>
        <v>gacha_banner_glo_00001</v>
      </c>
      <c r="G19" s="603" t="str">
        <f t="shared" si="4"/>
        <v>hometop_gacha_glo_00001</v>
      </c>
      <c r="H19" s="505"/>
      <c r="I19" s="533"/>
      <c r="J19" s="533"/>
      <c r="K19" s="533"/>
      <c r="L19" s="600"/>
    </row>
    <row r="20">
      <c r="A20" s="601" t="s">
        <v>3059</v>
      </c>
      <c r="B20" s="125" t="s">
        <v>283</v>
      </c>
      <c r="C20" s="423" t="str">
        <f>if(B20&lt;&gt;"", iferror(vlookup(B20,'作品'!$A$2:$D$43,4,false),"定常系ガシャ"),"error")</f>
        <v>GLOW</v>
      </c>
      <c r="D20" s="423" t="str">
        <f t="shared" si="1"/>
        <v>00002</v>
      </c>
      <c r="E20" s="587" t="str">
        <f t="shared" si="2"/>
        <v>glo_00002</v>
      </c>
      <c r="F20" s="602" t="str">
        <f t="shared" si="3"/>
        <v>gacha_banner_glo_00002</v>
      </c>
      <c r="G20" s="603" t="str">
        <f t="shared" si="4"/>
        <v>hometop_gacha_glo_00002</v>
      </c>
      <c r="H20" s="505"/>
      <c r="I20" s="533"/>
      <c r="J20" s="533"/>
      <c r="K20" s="533"/>
      <c r="L20" s="600"/>
    </row>
    <row r="21">
      <c r="A21" s="601" t="s">
        <v>3060</v>
      </c>
      <c r="B21" s="125" t="s">
        <v>283</v>
      </c>
      <c r="C21" s="423" t="str">
        <f>if(B21&lt;&gt;"", iferror(vlookup(B21,'作品'!$A$2:$D$43,4,false),"定常系ガシャ"),"error")</f>
        <v>GLOW</v>
      </c>
      <c r="D21" s="423" t="str">
        <f t="shared" si="1"/>
        <v>00003</v>
      </c>
      <c r="E21" s="587" t="str">
        <f t="shared" si="2"/>
        <v>glo_00003</v>
      </c>
      <c r="F21" s="602" t="str">
        <f t="shared" si="3"/>
        <v>gacha_banner_glo_00003</v>
      </c>
      <c r="G21" s="603" t="str">
        <f t="shared" si="4"/>
        <v>hometop_gacha_glo_00003</v>
      </c>
      <c r="H21" s="505"/>
      <c r="I21" s="533"/>
      <c r="J21" s="533"/>
      <c r="K21" s="533"/>
      <c r="L21" s="600"/>
    </row>
    <row r="22">
      <c r="A22" s="601" t="s">
        <v>3061</v>
      </c>
      <c r="B22" s="125" t="s">
        <v>283</v>
      </c>
      <c r="C22" s="423" t="str">
        <f>if(B22&lt;&gt;"", iferror(vlookup(B22,'作品'!$A$2:$D$43,4,false),"定常系ガシャ"),"error")</f>
        <v>GLOW</v>
      </c>
      <c r="D22" s="423" t="str">
        <f t="shared" si="1"/>
        <v>00004</v>
      </c>
      <c r="E22" s="587" t="str">
        <f t="shared" si="2"/>
        <v>glo_00004</v>
      </c>
      <c r="F22" s="602" t="str">
        <f t="shared" si="3"/>
        <v>gacha_banner_glo_00004</v>
      </c>
      <c r="G22" s="603" t="str">
        <f t="shared" si="4"/>
        <v>hometop_gacha_glo_00004</v>
      </c>
      <c r="H22" s="505"/>
      <c r="I22" s="533"/>
      <c r="J22" s="533"/>
      <c r="K22" s="533"/>
      <c r="L22" s="600"/>
    </row>
    <row r="23">
      <c r="A23" s="601" t="s">
        <v>3062</v>
      </c>
      <c r="B23" s="125" t="s">
        <v>283</v>
      </c>
      <c r="C23" s="423" t="str">
        <f>if(B23&lt;&gt;"", iferror(vlookup(B23,'作品'!$A$2:$D$43,4,false),"定常系ガシャ"),"error")</f>
        <v>GLOW</v>
      </c>
      <c r="D23" s="423" t="str">
        <f t="shared" si="1"/>
        <v>00005</v>
      </c>
      <c r="E23" s="587" t="str">
        <f t="shared" si="2"/>
        <v>glo_00005</v>
      </c>
      <c r="F23" s="602" t="str">
        <f t="shared" si="3"/>
        <v>gacha_banner_glo_00005</v>
      </c>
      <c r="G23" s="603" t="str">
        <f t="shared" si="4"/>
        <v>hometop_gacha_glo_00005</v>
      </c>
      <c r="H23" s="505"/>
      <c r="I23" s="533"/>
      <c r="J23" s="533"/>
      <c r="K23" s="533"/>
      <c r="L23" s="600"/>
    </row>
    <row r="24">
      <c r="A24" s="601" t="s">
        <v>3063</v>
      </c>
      <c r="B24" s="125" t="s">
        <v>158</v>
      </c>
      <c r="C24" s="423" t="str">
        <f>if(B24&lt;&gt;"", iferror(vlookup(B24,'作品'!$A$2:$D$43,4,false),"定常系ガシャ"),"error")</f>
        <v>【推しの子】</v>
      </c>
      <c r="D24" s="423" t="str">
        <f t="shared" si="1"/>
        <v>00001</v>
      </c>
      <c r="E24" s="587" t="str">
        <f t="shared" si="2"/>
        <v>osh_00001</v>
      </c>
      <c r="F24" s="602" t="str">
        <f t="shared" si="3"/>
        <v>gacha_banner_osh_00001</v>
      </c>
      <c r="G24" s="603" t="str">
        <f t="shared" si="4"/>
        <v>hometop_gacha_osh_00001</v>
      </c>
      <c r="H24" s="505"/>
      <c r="I24" s="533"/>
      <c r="J24" s="533"/>
      <c r="K24" s="533"/>
      <c r="L24" s="600"/>
    </row>
    <row r="25">
      <c r="A25" s="601" t="s">
        <v>3064</v>
      </c>
      <c r="B25" s="125" t="s">
        <v>158</v>
      </c>
      <c r="C25" s="423" t="str">
        <f>if(B25&lt;&gt;"", iferror(vlookup(B25,'作品'!$A$2:$D$43,4,false),"定常系ガシャ"),"error")</f>
        <v>【推しの子】</v>
      </c>
      <c r="D25" s="423" t="str">
        <f t="shared" si="1"/>
        <v>00002</v>
      </c>
      <c r="E25" s="587" t="str">
        <f t="shared" si="2"/>
        <v>osh_00002</v>
      </c>
      <c r="F25" s="602" t="str">
        <f t="shared" si="3"/>
        <v>gacha_banner_osh_00002</v>
      </c>
      <c r="G25" s="603" t="str">
        <f t="shared" si="4"/>
        <v>hometop_gacha_osh_00002</v>
      </c>
      <c r="H25" s="505"/>
      <c r="I25" s="533"/>
      <c r="J25" s="533"/>
      <c r="K25" s="533"/>
      <c r="L25" s="600"/>
    </row>
    <row r="26">
      <c r="A26" s="601" t="s">
        <v>3065</v>
      </c>
      <c r="B26" s="125" t="s">
        <v>148</v>
      </c>
      <c r="C26" s="423" t="str">
        <f>if(B26&lt;&gt;"", iferror(vlookup(B26,'作品'!$A$2:$D$43,4,false),"定常系ガシャ"),"error")</f>
        <v>地獄楽</v>
      </c>
      <c r="D26" s="423" t="str">
        <f t="shared" si="1"/>
        <v>00001</v>
      </c>
      <c r="E26" s="587" t="str">
        <f t="shared" si="2"/>
        <v>jig_00001</v>
      </c>
      <c r="F26" s="602" t="str">
        <f t="shared" si="3"/>
        <v>gacha_banner_jig_00001</v>
      </c>
      <c r="G26" s="603" t="str">
        <f t="shared" si="4"/>
        <v>hometop_gacha_jig_00001</v>
      </c>
      <c r="H26" s="505"/>
      <c r="I26" s="533"/>
      <c r="J26" s="533"/>
      <c r="K26" s="533"/>
      <c r="L26" s="600"/>
    </row>
    <row r="27">
      <c r="A27" s="601" t="s">
        <v>3066</v>
      </c>
      <c r="B27" s="125" t="s">
        <v>148</v>
      </c>
      <c r="C27" s="423" t="str">
        <f>if(B27&lt;&gt;"", iferror(vlookup(B27,'作品'!$A$2:$D$43,4,false),"定常系ガシャ"),"error")</f>
        <v>地獄楽</v>
      </c>
      <c r="D27" s="423" t="str">
        <f t="shared" si="1"/>
        <v>00002</v>
      </c>
      <c r="E27" s="587" t="str">
        <f t="shared" si="2"/>
        <v>jig_00002</v>
      </c>
      <c r="F27" s="602" t="str">
        <f t="shared" si="3"/>
        <v>gacha_banner_jig_00002</v>
      </c>
      <c r="G27" s="603" t="str">
        <f t="shared" si="4"/>
        <v>hometop_gacha_jig_00002</v>
      </c>
      <c r="H27" s="505"/>
      <c r="I27" s="533"/>
      <c r="J27" s="533"/>
      <c r="K27" s="533"/>
      <c r="L27" s="600"/>
    </row>
    <row r="28">
      <c r="A28" s="601" t="s">
        <v>3067</v>
      </c>
      <c r="B28" s="125" t="s">
        <v>162</v>
      </c>
      <c r="C28" s="423" t="str">
        <f>if(B28&lt;&gt;"", iferror(vlookup(B28,'作品'!$A$2:$D$43,4,false),"定常系ガシャ"),"error")</f>
        <v>幼稚園WARS</v>
      </c>
      <c r="D28" s="423" t="str">
        <f t="shared" si="1"/>
        <v>00001</v>
      </c>
      <c r="E28" s="587" t="str">
        <f t="shared" si="2"/>
        <v>you_00001</v>
      </c>
      <c r="F28" s="602" t="str">
        <f t="shared" si="3"/>
        <v>gacha_banner_you_00001</v>
      </c>
      <c r="G28" s="603" t="str">
        <f t="shared" si="4"/>
        <v>hometop_gacha_you_00001</v>
      </c>
      <c r="H28" s="505"/>
      <c r="I28" s="533"/>
      <c r="J28" s="533"/>
      <c r="K28" s="533"/>
      <c r="L28" s="600"/>
    </row>
    <row r="29">
      <c r="A29" s="601" t="s">
        <v>3068</v>
      </c>
      <c r="B29" s="125" t="s">
        <v>166</v>
      </c>
      <c r="C29" s="423" t="str">
        <f>if(B29&lt;&gt;"", iferror(vlookup(B29,'作品'!$A$2:$D$43,4,false),"定常系ガシャ"),"error")</f>
        <v>君のことが大大大大大好きな100人の彼女</v>
      </c>
      <c r="D29" s="423" t="str">
        <f t="shared" si="1"/>
        <v>00001</v>
      </c>
      <c r="E29" s="587" t="str">
        <f t="shared" si="2"/>
        <v>kim_00001</v>
      </c>
      <c r="F29" s="602" t="str">
        <f t="shared" si="3"/>
        <v>gacha_banner_kim_00001</v>
      </c>
      <c r="G29" s="603" t="str">
        <f t="shared" si="4"/>
        <v>hometop_gacha_kim_00001</v>
      </c>
      <c r="H29" s="505"/>
      <c r="I29" s="533"/>
      <c r="J29" s="533"/>
      <c r="K29" s="533"/>
      <c r="L29" s="600"/>
    </row>
    <row r="30">
      <c r="A30" s="601" t="s">
        <v>3069</v>
      </c>
      <c r="B30" s="125" t="s">
        <v>166</v>
      </c>
      <c r="C30" s="423" t="str">
        <f>if(B30&lt;&gt;"", iferror(vlookup(B30,'作品'!$A$2:$D$43,4,false),"定常系ガシャ"),"error")</f>
        <v>君のことが大大大大大好きな100人の彼女</v>
      </c>
      <c r="D30" s="423" t="str">
        <f t="shared" si="1"/>
        <v>00002</v>
      </c>
      <c r="E30" s="587" t="str">
        <f t="shared" si="2"/>
        <v>kim_00002</v>
      </c>
      <c r="F30" s="602" t="str">
        <f t="shared" si="3"/>
        <v>gacha_banner_kim_00002</v>
      </c>
      <c r="G30" s="603" t="str">
        <f t="shared" si="4"/>
        <v>hometop_gacha_kim_00002</v>
      </c>
      <c r="H30" s="505"/>
      <c r="I30" s="533"/>
      <c r="J30" s="533"/>
      <c r="K30" s="533"/>
      <c r="L30" s="600"/>
    </row>
    <row r="31">
      <c r="A31" s="601" t="s">
        <v>3070</v>
      </c>
      <c r="B31" s="125" t="s">
        <v>172</v>
      </c>
      <c r="C31" s="423" t="str">
        <f>if(B31&lt;&gt;"", iferror(vlookup(B31,'作品'!$A$2:$D$43,4,false),"定常系ガシャ"),"error")</f>
        <v>ふつうの軽音部</v>
      </c>
      <c r="D31" s="423" t="str">
        <f t="shared" si="1"/>
        <v>00001</v>
      </c>
      <c r="E31" s="587" t="str">
        <f t="shared" si="2"/>
        <v>hut_00001</v>
      </c>
      <c r="F31" s="602" t="str">
        <f t="shared" si="3"/>
        <v>gacha_banner_hut_00001</v>
      </c>
      <c r="G31" s="603" t="str">
        <f t="shared" si="4"/>
        <v>hometop_gacha_hut_00001</v>
      </c>
      <c r="H31" s="505"/>
      <c r="I31" s="533"/>
      <c r="J31" s="533"/>
      <c r="K31" s="533"/>
      <c r="L31" s="600"/>
    </row>
    <row r="32">
      <c r="A32" s="601" t="s">
        <v>3071</v>
      </c>
      <c r="B32" s="125" t="s">
        <v>283</v>
      </c>
      <c r="C32" s="423" t="str">
        <f>if(B32&lt;&gt;"", iferror(vlookup(B32,'作品'!$A$2:$D$43,4,false),"定常系ガシャ"),"error")</f>
        <v>GLOW</v>
      </c>
      <c r="D32" s="423" t="str">
        <f t="shared" si="1"/>
        <v>00006</v>
      </c>
      <c r="E32" s="587" t="str">
        <f t="shared" si="2"/>
        <v>glo_00006</v>
      </c>
      <c r="F32" s="602" t="str">
        <f t="shared" si="3"/>
        <v>gacha_banner_glo_00006</v>
      </c>
      <c r="G32" s="603" t="str">
        <f t="shared" si="4"/>
        <v>hometop_gacha_glo_00006</v>
      </c>
      <c r="H32" s="505"/>
      <c r="I32" s="533"/>
      <c r="J32" s="533"/>
      <c r="K32" s="533"/>
      <c r="L32" s="600"/>
    </row>
    <row r="33">
      <c r="A33" s="601"/>
      <c r="B33" s="125"/>
      <c r="C33" s="423" t="str">
        <f>if(B33&lt;&gt;"", iferror(vlookup(B33,'作品'!$A$2:$D$43,4,false),"定常系ガシャ"),"error")</f>
        <v>error</v>
      </c>
      <c r="D33" s="423" t="str">
        <f t="shared" si="1"/>
        <v>00000</v>
      </c>
      <c r="E33" s="587" t="str">
        <f t="shared" si="2"/>
        <v>_00000</v>
      </c>
      <c r="F33" s="602" t="str">
        <f t="shared" si="3"/>
        <v>gacha_banner__00000</v>
      </c>
      <c r="G33" s="603" t="str">
        <f t="shared" si="4"/>
        <v>hometop_gacha__00000</v>
      </c>
      <c r="H33" s="505"/>
      <c r="I33" s="533"/>
      <c r="J33" s="533"/>
      <c r="K33" s="533"/>
      <c r="L33" s="600"/>
    </row>
    <row r="34">
      <c r="A34" s="601"/>
      <c r="B34" s="125"/>
      <c r="C34" s="423" t="str">
        <f>if(B34&lt;&gt;"", iferror(vlookup(B34,'作品'!$A$2:$D$43,4,false),"定常系ガシャ"),"error")</f>
        <v>error</v>
      </c>
      <c r="D34" s="423" t="str">
        <f t="shared" si="1"/>
        <v>00000</v>
      </c>
      <c r="E34" s="587" t="str">
        <f t="shared" si="2"/>
        <v>_00000</v>
      </c>
      <c r="F34" s="602" t="str">
        <f t="shared" si="3"/>
        <v>gacha_banner__00000</v>
      </c>
      <c r="G34" s="603" t="str">
        <f t="shared" si="4"/>
        <v>hometop_gacha__00000</v>
      </c>
      <c r="H34" s="505"/>
      <c r="I34" s="533"/>
      <c r="J34" s="533"/>
      <c r="K34" s="533"/>
      <c r="L34" s="600"/>
    </row>
    <row r="35">
      <c r="A35" s="533"/>
      <c r="B35" s="533"/>
      <c r="C35" s="533"/>
      <c r="D35" s="533"/>
      <c r="E35" s="533"/>
      <c r="F35" s="533"/>
      <c r="G35" s="533"/>
      <c r="H35" s="533"/>
      <c r="I35" s="533"/>
      <c r="J35" s="533"/>
      <c r="K35" s="533"/>
      <c r="L35" s="600"/>
    </row>
    <row r="36">
      <c r="A36" s="533"/>
      <c r="B36" s="533"/>
      <c r="C36" s="533"/>
      <c r="D36" s="533"/>
      <c r="E36" s="533"/>
      <c r="F36" s="533"/>
      <c r="G36" s="533"/>
      <c r="H36" s="533"/>
      <c r="I36" s="533"/>
      <c r="J36" s="533"/>
      <c r="K36" s="533"/>
      <c r="L36" s="600"/>
    </row>
    <row r="37">
      <c r="A37" s="533"/>
      <c r="B37" s="533"/>
      <c r="C37" s="533"/>
      <c r="D37" s="533"/>
      <c r="E37" s="533"/>
      <c r="F37" s="533"/>
      <c r="G37" s="533"/>
      <c r="H37" s="533"/>
      <c r="I37" s="533"/>
      <c r="J37" s="533"/>
      <c r="K37" s="533"/>
      <c r="L37" s="600"/>
    </row>
    <row r="38">
      <c r="A38" s="533"/>
      <c r="B38" s="533"/>
      <c r="C38" s="533"/>
      <c r="D38" s="533"/>
      <c r="E38" s="533"/>
      <c r="F38" s="533"/>
      <c r="G38" s="533"/>
      <c r="H38" s="533"/>
      <c r="I38" s="533"/>
      <c r="J38" s="533"/>
      <c r="K38" s="533"/>
      <c r="L38" s="600"/>
    </row>
    <row r="39">
      <c r="A39" s="533"/>
      <c r="B39" s="533"/>
      <c r="C39" s="533"/>
      <c r="D39" s="533"/>
      <c r="E39" s="533"/>
      <c r="F39" s="533"/>
      <c r="G39" s="533"/>
      <c r="H39" s="533"/>
      <c r="I39" s="533"/>
      <c r="J39" s="533"/>
      <c r="K39" s="533"/>
      <c r="L39" s="600"/>
    </row>
    <row r="40">
      <c r="A40" s="533"/>
      <c r="B40" s="533"/>
      <c r="C40" s="533"/>
      <c r="D40" s="533"/>
      <c r="E40" s="533"/>
      <c r="F40" s="533"/>
      <c r="G40" s="533"/>
      <c r="H40" s="533"/>
      <c r="I40" s="533"/>
      <c r="J40" s="533"/>
      <c r="K40" s="533"/>
      <c r="L40" s="600"/>
    </row>
    <row r="41">
      <c r="A41" s="533"/>
      <c r="B41" s="533"/>
      <c r="C41" s="533"/>
      <c r="D41" s="533"/>
      <c r="E41" s="533"/>
      <c r="F41" s="533"/>
      <c r="G41" s="533"/>
      <c r="H41" s="533"/>
      <c r="I41" s="533"/>
      <c r="J41" s="533"/>
      <c r="K41" s="533"/>
      <c r="L41" s="600"/>
    </row>
  </sheetData>
  <conditionalFormatting sqref="C2:C34">
    <cfRule type="cellIs" dxfId="2" priority="1" operator="equal">
      <formula>"error"</formula>
    </cfRule>
  </conditionalFormatting>
  <dataValidations>
    <dataValidation type="list" allowBlank="1" sqref="B2:B34">
      <formula1>'作品'!$A$2:$A$43</formula1>
    </dataValidation>
  </dataValidation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75"/>
    <col customWidth="1" min="2" max="2" width="17.88"/>
    <col customWidth="1" min="3" max="4" width="11.25"/>
    <col customWidth="1" min="5" max="5" width="14.25"/>
    <col customWidth="1" min="6" max="6" width="27.38"/>
    <col customWidth="1" min="7" max="7" width="27.13"/>
    <col customWidth="1" min="8" max="8" width="43.0"/>
  </cols>
  <sheetData>
    <row r="1">
      <c r="A1" s="418" t="s">
        <v>3032</v>
      </c>
      <c r="B1" s="418" t="s">
        <v>3072</v>
      </c>
      <c r="C1" s="418" t="s">
        <v>3033</v>
      </c>
      <c r="D1" s="418" t="s">
        <v>2872</v>
      </c>
      <c r="E1" s="418" t="s">
        <v>399</v>
      </c>
      <c r="F1" s="418" t="s">
        <v>3073</v>
      </c>
      <c r="G1" s="418" t="s">
        <v>2876</v>
      </c>
      <c r="H1" s="418" t="s">
        <v>2526</v>
      </c>
    </row>
    <row r="2">
      <c r="A2" s="60" t="s">
        <v>3074</v>
      </c>
      <c r="B2" s="608" t="s">
        <v>3075</v>
      </c>
      <c r="C2" s="505"/>
      <c r="D2" s="608" t="str">
        <f t="shared" ref="D2:D23" si="1">text(countif(B$2:B2,B2),"00000")</f>
        <v>00001</v>
      </c>
      <c r="E2" s="608" t="str">
        <f t="shared" ref="E2:E23" si="2">switch(B2,"特別割引プリズム","increase_prism_","プリズム","prism_","コイン","coin_")&amp;D2</f>
        <v>increase_prism_00001</v>
      </c>
      <c r="F2" s="608" t="str">
        <f t="shared" ref="F2:F23" si="3">"shop_product_"&amp;E2</f>
        <v>shop_product_increase_prism_00001</v>
      </c>
      <c r="G2" s="608" t="s">
        <v>2651</v>
      </c>
      <c r="H2" s="60" t="s">
        <v>3076</v>
      </c>
    </row>
    <row r="3">
      <c r="A3" s="60" t="s">
        <v>3077</v>
      </c>
      <c r="B3" s="608" t="s">
        <v>3075</v>
      </c>
      <c r="C3" s="505"/>
      <c r="D3" s="608" t="str">
        <f t="shared" si="1"/>
        <v>00002</v>
      </c>
      <c r="E3" s="608" t="str">
        <f t="shared" si="2"/>
        <v>increase_prism_00002</v>
      </c>
      <c r="F3" s="608" t="str">
        <f t="shared" si="3"/>
        <v>shop_product_increase_prism_00002</v>
      </c>
      <c r="G3" s="608" t="s">
        <v>2651</v>
      </c>
      <c r="H3" s="60" t="s">
        <v>3078</v>
      </c>
    </row>
    <row r="4">
      <c r="A4" s="60" t="s">
        <v>3079</v>
      </c>
      <c r="B4" s="608" t="s">
        <v>3075</v>
      </c>
      <c r="C4" s="505"/>
      <c r="D4" s="608" t="str">
        <f t="shared" si="1"/>
        <v>00003</v>
      </c>
      <c r="E4" s="608" t="str">
        <f t="shared" si="2"/>
        <v>increase_prism_00003</v>
      </c>
      <c r="F4" s="608" t="str">
        <f t="shared" si="3"/>
        <v>shop_product_increase_prism_00003</v>
      </c>
      <c r="G4" s="608" t="s">
        <v>2651</v>
      </c>
      <c r="H4" s="60" t="s">
        <v>3080</v>
      </c>
    </row>
    <row r="5">
      <c r="A5" s="60" t="s">
        <v>3081</v>
      </c>
      <c r="B5" s="608" t="s">
        <v>3075</v>
      </c>
      <c r="C5" s="505"/>
      <c r="D5" s="608" t="str">
        <f t="shared" si="1"/>
        <v>00004</v>
      </c>
      <c r="E5" s="608" t="str">
        <f t="shared" si="2"/>
        <v>increase_prism_00004</v>
      </c>
      <c r="F5" s="608" t="str">
        <f t="shared" si="3"/>
        <v>shop_product_increase_prism_00004</v>
      </c>
      <c r="G5" s="608" t="s">
        <v>2651</v>
      </c>
      <c r="H5" s="60" t="s">
        <v>3082</v>
      </c>
    </row>
    <row r="6">
      <c r="A6" s="60" t="s">
        <v>3083</v>
      </c>
      <c r="B6" s="608" t="s">
        <v>3075</v>
      </c>
      <c r="C6" s="505"/>
      <c r="D6" s="608" t="str">
        <f t="shared" si="1"/>
        <v>00005</v>
      </c>
      <c r="E6" s="608" t="str">
        <f t="shared" si="2"/>
        <v>increase_prism_00005</v>
      </c>
      <c r="F6" s="608" t="str">
        <f t="shared" si="3"/>
        <v>shop_product_increase_prism_00005</v>
      </c>
      <c r="G6" s="608" t="s">
        <v>2651</v>
      </c>
      <c r="H6" s="60" t="s">
        <v>3084</v>
      </c>
    </row>
    <row r="7">
      <c r="A7" s="60" t="s">
        <v>3085</v>
      </c>
      <c r="B7" s="608" t="s">
        <v>3075</v>
      </c>
      <c r="C7" s="505"/>
      <c r="D7" s="608" t="str">
        <f t="shared" si="1"/>
        <v>00006</v>
      </c>
      <c r="E7" s="608" t="str">
        <f t="shared" si="2"/>
        <v>increase_prism_00006</v>
      </c>
      <c r="F7" s="608" t="str">
        <f t="shared" si="3"/>
        <v>shop_product_increase_prism_00006</v>
      </c>
      <c r="G7" s="608" t="s">
        <v>2651</v>
      </c>
      <c r="H7" s="60" t="s">
        <v>3086</v>
      </c>
    </row>
    <row r="8">
      <c r="A8" s="60" t="s">
        <v>3087</v>
      </c>
      <c r="B8" s="608" t="s">
        <v>2047</v>
      </c>
      <c r="C8" s="505"/>
      <c r="D8" s="608" t="str">
        <f t="shared" si="1"/>
        <v>00001</v>
      </c>
      <c r="E8" s="608" t="str">
        <f t="shared" si="2"/>
        <v>prism_00001</v>
      </c>
      <c r="F8" s="608" t="str">
        <f t="shared" si="3"/>
        <v>shop_product_prism_00001</v>
      </c>
      <c r="G8" s="608" t="s">
        <v>2651</v>
      </c>
      <c r="H8" s="60"/>
    </row>
    <row r="9">
      <c r="A9" s="60" t="s">
        <v>3088</v>
      </c>
      <c r="B9" s="608" t="s">
        <v>2047</v>
      </c>
      <c r="C9" s="505"/>
      <c r="D9" s="608" t="str">
        <f t="shared" si="1"/>
        <v>00002</v>
      </c>
      <c r="E9" s="608" t="str">
        <f t="shared" si="2"/>
        <v>prism_00002</v>
      </c>
      <c r="F9" s="608" t="str">
        <f t="shared" si="3"/>
        <v>shop_product_prism_00002</v>
      </c>
      <c r="G9" s="608" t="s">
        <v>2651</v>
      </c>
      <c r="H9" s="60"/>
    </row>
    <row r="10">
      <c r="A10" s="60" t="s">
        <v>3089</v>
      </c>
      <c r="B10" s="608" t="s">
        <v>2047</v>
      </c>
      <c r="C10" s="505"/>
      <c r="D10" s="608" t="str">
        <f t="shared" si="1"/>
        <v>00003</v>
      </c>
      <c r="E10" s="608" t="str">
        <f t="shared" si="2"/>
        <v>prism_00003</v>
      </c>
      <c r="F10" s="608" t="str">
        <f t="shared" si="3"/>
        <v>shop_product_prism_00003</v>
      </c>
      <c r="G10" s="608" t="s">
        <v>2651</v>
      </c>
      <c r="H10" s="60"/>
    </row>
    <row r="11">
      <c r="A11" s="60" t="s">
        <v>3090</v>
      </c>
      <c r="B11" s="608" t="s">
        <v>2047</v>
      </c>
      <c r="C11" s="505"/>
      <c r="D11" s="608" t="str">
        <f t="shared" si="1"/>
        <v>00004</v>
      </c>
      <c r="E11" s="608" t="str">
        <f t="shared" si="2"/>
        <v>prism_00004</v>
      </c>
      <c r="F11" s="608" t="str">
        <f t="shared" si="3"/>
        <v>shop_product_prism_00004</v>
      </c>
      <c r="G11" s="608" t="s">
        <v>2651</v>
      </c>
      <c r="H11" s="60"/>
    </row>
    <row r="12">
      <c r="A12" s="60" t="s">
        <v>3091</v>
      </c>
      <c r="B12" s="608" t="s">
        <v>2047</v>
      </c>
      <c r="C12" s="505"/>
      <c r="D12" s="608" t="str">
        <f t="shared" si="1"/>
        <v>00005</v>
      </c>
      <c r="E12" s="608" t="str">
        <f t="shared" si="2"/>
        <v>prism_00005</v>
      </c>
      <c r="F12" s="608" t="str">
        <f t="shared" si="3"/>
        <v>shop_product_prism_00005</v>
      </c>
      <c r="G12" s="608" t="s">
        <v>2651</v>
      </c>
      <c r="H12" s="60"/>
    </row>
    <row r="13">
      <c r="A13" s="60" t="s">
        <v>3092</v>
      </c>
      <c r="B13" s="608" t="s">
        <v>2047</v>
      </c>
      <c r="C13" s="505"/>
      <c r="D13" s="608" t="str">
        <f t="shared" si="1"/>
        <v>00006</v>
      </c>
      <c r="E13" s="608" t="str">
        <f t="shared" si="2"/>
        <v>prism_00006</v>
      </c>
      <c r="F13" s="608" t="str">
        <f t="shared" si="3"/>
        <v>shop_product_prism_00006</v>
      </c>
      <c r="G13" s="608" t="s">
        <v>2651</v>
      </c>
      <c r="H13" s="60"/>
    </row>
    <row r="14">
      <c r="A14" s="60" t="s">
        <v>3093</v>
      </c>
      <c r="B14" s="608" t="s">
        <v>2053</v>
      </c>
      <c r="C14" s="505"/>
      <c r="D14" s="608" t="str">
        <f t="shared" si="1"/>
        <v>00001</v>
      </c>
      <c r="E14" s="608" t="str">
        <f t="shared" si="2"/>
        <v>coin_00001</v>
      </c>
      <c r="F14" s="608" t="str">
        <f t="shared" si="3"/>
        <v>shop_product_coin_00001</v>
      </c>
      <c r="G14" s="608" t="s">
        <v>2651</v>
      </c>
      <c r="H14" s="60"/>
    </row>
    <row r="15">
      <c r="A15" s="60" t="s">
        <v>3094</v>
      </c>
      <c r="B15" s="608" t="s">
        <v>2053</v>
      </c>
      <c r="C15" s="505"/>
      <c r="D15" s="608" t="str">
        <f t="shared" si="1"/>
        <v>00002</v>
      </c>
      <c r="E15" s="608" t="str">
        <f t="shared" si="2"/>
        <v>coin_00002</v>
      </c>
      <c r="F15" s="608" t="str">
        <f t="shared" si="3"/>
        <v>shop_product_coin_00002</v>
      </c>
      <c r="G15" s="608" t="s">
        <v>2651</v>
      </c>
      <c r="H15" s="60"/>
    </row>
    <row r="16">
      <c r="A16" s="60" t="s">
        <v>3095</v>
      </c>
      <c r="B16" s="608" t="s">
        <v>2053</v>
      </c>
      <c r="C16" s="505"/>
      <c r="D16" s="608" t="str">
        <f t="shared" si="1"/>
        <v>00003</v>
      </c>
      <c r="E16" s="608" t="str">
        <f t="shared" si="2"/>
        <v>coin_00003</v>
      </c>
      <c r="F16" s="608" t="str">
        <f t="shared" si="3"/>
        <v>shop_product_coin_00003</v>
      </c>
      <c r="G16" s="608" t="s">
        <v>2651</v>
      </c>
      <c r="H16" s="60"/>
    </row>
    <row r="17">
      <c r="A17" s="60" t="s">
        <v>3096</v>
      </c>
      <c r="B17" s="608" t="s">
        <v>2053</v>
      </c>
      <c r="C17" s="505"/>
      <c r="D17" s="608" t="str">
        <f t="shared" si="1"/>
        <v>00004</v>
      </c>
      <c r="E17" s="608" t="str">
        <f t="shared" si="2"/>
        <v>coin_00004</v>
      </c>
      <c r="F17" s="608" t="str">
        <f t="shared" si="3"/>
        <v>shop_product_coin_00004</v>
      </c>
      <c r="G17" s="608" t="s">
        <v>2651</v>
      </c>
      <c r="H17" s="60"/>
    </row>
    <row r="18">
      <c r="A18" s="60" t="s">
        <v>3097</v>
      </c>
      <c r="B18" s="608" t="s">
        <v>2053</v>
      </c>
      <c r="C18" s="505"/>
      <c r="D18" s="608" t="str">
        <f t="shared" si="1"/>
        <v>00005</v>
      </c>
      <c r="E18" s="608" t="str">
        <f t="shared" si="2"/>
        <v>coin_00005</v>
      </c>
      <c r="F18" s="608" t="str">
        <f t="shared" si="3"/>
        <v>shop_product_coin_00005</v>
      </c>
      <c r="G18" s="608" t="s">
        <v>2651</v>
      </c>
      <c r="H18" s="60"/>
    </row>
    <row r="19">
      <c r="A19" s="60" t="s">
        <v>3098</v>
      </c>
      <c r="B19" s="608" t="s">
        <v>2053</v>
      </c>
      <c r="C19" s="505"/>
      <c r="D19" s="608" t="str">
        <f t="shared" si="1"/>
        <v>00006</v>
      </c>
      <c r="E19" s="608" t="str">
        <f t="shared" si="2"/>
        <v>coin_00006</v>
      </c>
      <c r="F19" s="608" t="str">
        <f t="shared" si="3"/>
        <v>shop_product_coin_00006</v>
      </c>
      <c r="G19" s="608" t="s">
        <v>2651</v>
      </c>
      <c r="H19" s="60"/>
    </row>
    <row r="20" ht="15.0" customHeight="1">
      <c r="A20" s="60"/>
      <c r="B20" s="608"/>
      <c r="C20" s="505"/>
      <c r="D20" s="608" t="str">
        <f t="shared" si="1"/>
        <v>00000</v>
      </c>
      <c r="E20" s="608" t="str">
        <f t="shared" si="2"/>
        <v>#N/A</v>
      </c>
      <c r="F20" s="608" t="str">
        <f t="shared" si="3"/>
        <v>#N/A</v>
      </c>
      <c r="G20" s="608" t="s">
        <v>2651</v>
      </c>
      <c r="H20" s="60"/>
    </row>
    <row r="21">
      <c r="A21" s="60"/>
      <c r="B21" s="608"/>
      <c r="C21" s="505"/>
      <c r="D21" s="608" t="str">
        <f t="shared" si="1"/>
        <v>00000</v>
      </c>
      <c r="E21" s="608" t="str">
        <f t="shared" si="2"/>
        <v>#N/A</v>
      </c>
      <c r="F21" s="608" t="str">
        <f t="shared" si="3"/>
        <v>#N/A</v>
      </c>
      <c r="G21" s="608" t="s">
        <v>2651</v>
      </c>
      <c r="H21" s="60"/>
    </row>
    <row r="22" ht="15.0" customHeight="1">
      <c r="A22" s="60"/>
      <c r="B22" s="608"/>
      <c r="C22" s="505"/>
      <c r="D22" s="608" t="str">
        <f t="shared" si="1"/>
        <v>00000</v>
      </c>
      <c r="E22" s="608" t="str">
        <f t="shared" si="2"/>
        <v>#N/A</v>
      </c>
      <c r="F22" s="608" t="str">
        <f t="shared" si="3"/>
        <v>#N/A</v>
      </c>
      <c r="G22" s="608" t="s">
        <v>2651</v>
      </c>
      <c r="H22" s="60"/>
    </row>
    <row r="23">
      <c r="A23" s="60"/>
      <c r="B23" s="608"/>
      <c r="C23" s="505"/>
      <c r="D23" s="608" t="str">
        <f t="shared" si="1"/>
        <v>00000</v>
      </c>
      <c r="E23" s="608" t="str">
        <f t="shared" si="2"/>
        <v>#N/A</v>
      </c>
      <c r="F23" s="608" t="str">
        <f t="shared" si="3"/>
        <v>#N/A</v>
      </c>
      <c r="G23" s="608" t="s">
        <v>2651</v>
      </c>
      <c r="H23" s="60"/>
    </row>
  </sheetData>
  <dataValidations>
    <dataValidation type="list" allowBlank="1" showErrorMessage="1" sqref="B2:B23">
      <formula1>"特別割引プリズム,プリズム,コイン,交換所"</formula1>
    </dataValidation>
    <dataValidation type="list" allowBlank="1" sqref="C2:C23">
      <formula1>'作品'!$A$2:$A$43</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75"/>
    <col customWidth="1" min="2" max="2" width="17.88"/>
    <col customWidth="1" min="3" max="4" width="11.25"/>
    <col customWidth="1" min="5" max="5" width="18.88"/>
    <col customWidth="1" min="6" max="6" width="27.38"/>
    <col customWidth="1" min="7" max="7" width="43.0"/>
  </cols>
  <sheetData>
    <row r="1">
      <c r="A1" s="418" t="s">
        <v>3032</v>
      </c>
      <c r="B1" s="418" t="s">
        <v>3072</v>
      </c>
      <c r="C1" s="418" t="s">
        <v>3033</v>
      </c>
      <c r="D1" s="418" t="s">
        <v>2872</v>
      </c>
      <c r="E1" s="418" t="s">
        <v>399</v>
      </c>
      <c r="F1" s="418" t="s">
        <v>3099</v>
      </c>
      <c r="G1" s="418" t="s">
        <v>2526</v>
      </c>
    </row>
    <row r="2">
      <c r="A2" s="60" t="s">
        <v>3100</v>
      </c>
      <c r="B2" s="608" t="s">
        <v>3101</v>
      </c>
      <c r="C2" s="505" t="s">
        <v>283</v>
      </c>
      <c r="D2" s="608" t="str">
        <f t="shared" ref="D2:D3" si="1">text(countif(B$2:B2,B2),"00000")</f>
        <v>00001</v>
      </c>
      <c r="E2" s="608" t="str">
        <f t="shared" ref="E2:E5" si="2">C2&amp;"_"&amp; switch(B2,"特別割引プリズム","increase_prism_","プリズム","prism_","コイン","coin_","交換所","exchange_")&amp;D2</f>
        <v>glo_exchange_00001</v>
      </c>
      <c r="F2" s="608" t="str">
        <f t="shared" ref="F2:F5" si="3">"shop_"&amp;E2</f>
        <v>shop_glo_exchange_00001</v>
      </c>
      <c r="G2" s="60"/>
    </row>
    <row r="3">
      <c r="A3" s="60" t="s">
        <v>3102</v>
      </c>
      <c r="B3" s="608" t="s">
        <v>3101</v>
      </c>
      <c r="C3" s="505" t="s">
        <v>283</v>
      </c>
      <c r="D3" s="608" t="str">
        <f t="shared" si="1"/>
        <v>00002</v>
      </c>
      <c r="E3" s="608" t="str">
        <f t="shared" si="2"/>
        <v>glo_exchange_00002</v>
      </c>
      <c r="F3" s="608" t="str">
        <f t="shared" si="3"/>
        <v>shop_glo_exchange_00002</v>
      </c>
      <c r="G3" s="60"/>
    </row>
    <row r="4">
      <c r="A4" s="60" t="s">
        <v>3103</v>
      </c>
      <c r="B4" s="608" t="s">
        <v>3101</v>
      </c>
      <c r="C4" s="505" t="s">
        <v>158</v>
      </c>
      <c r="D4" s="608" t="str">
        <f t="shared" ref="D4:D5" si="4">text(countif(A$2:A4,A4),"00000")</f>
        <v>00001</v>
      </c>
      <c r="E4" s="608" t="str">
        <f t="shared" si="2"/>
        <v>osh_exchange_00001</v>
      </c>
      <c r="F4" s="608" t="str">
        <f t="shared" si="3"/>
        <v>shop_osh_exchange_00001</v>
      </c>
      <c r="G4" s="60"/>
    </row>
    <row r="5">
      <c r="A5" s="516" t="s">
        <v>3104</v>
      </c>
      <c r="B5" s="608" t="s">
        <v>3101</v>
      </c>
      <c r="C5" s="505" t="s">
        <v>166</v>
      </c>
      <c r="D5" s="608" t="str">
        <f t="shared" si="4"/>
        <v>00001</v>
      </c>
      <c r="E5" s="608" t="str">
        <f t="shared" si="2"/>
        <v>kim_exchange_00001</v>
      </c>
      <c r="F5" s="608" t="str">
        <f t="shared" si="3"/>
        <v>shop_kim_exchange_00001</v>
      </c>
      <c r="G5" s="60"/>
    </row>
    <row r="6">
      <c r="A6" s="60"/>
      <c r="B6" s="608" t="s">
        <v>3101</v>
      </c>
      <c r="C6" s="505"/>
      <c r="D6" s="608"/>
      <c r="E6" s="608"/>
      <c r="F6" s="608"/>
      <c r="G6" s="60"/>
    </row>
    <row r="7">
      <c r="A7" s="60"/>
      <c r="B7" s="608"/>
      <c r="C7" s="505"/>
      <c r="D7" s="608"/>
      <c r="E7" s="608"/>
      <c r="F7" s="608"/>
      <c r="G7" s="60"/>
    </row>
    <row r="8">
      <c r="A8" s="60"/>
      <c r="B8" s="608" t="s">
        <v>3101</v>
      </c>
      <c r="C8" s="505"/>
      <c r="D8" s="608" t="str">
        <f>text(countif(A$2:A8,A8),"00000")</f>
        <v>00000</v>
      </c>
      <c r="E8" s="608" t="str">
        <f>C8&amp;"_"&amp; switch(B8,"特別割引プリズム","increase_prism_","プリズム","prism_","コイン","coin_","交換所","exchange_")&amp;D8</f>
        <v>_exchange_00000</v>
      </c>
      <c r="F8" s="608" t="str">
        <f>"shop_"&amp;C8&amp;"_"&amp;E8</f>
        <v>shop___exchange_00000</v>
      </c>
      <c r="G8" s="60"/>
    </row>
  </sheetData>
  <dataValidations>
    <dataValidation type="list" allowBlank="1" showErrorMessage="1" sqref="B2:B8">
      <formula1>"特別割引プリズム,プリズム,コイン,交換所"</formula1>
    </dataValidation>
    <dataValidation type="list" allowBlank="1" sqref="C2:C8">
      <formula1>'作品'!$A$2:$A$43</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0"/>
    <col customWidth="1" min="2" max="2" width="11.25"/>
    <col customWidth="1" min="3" max="3" width="14.25"/>
    <col customWidth="1" min="4" max="4" width="27.38"/>
    <col customWidth="1" min="5" max="6" width="27.13"/>
    <col customWidth="1" min="7" max="7" width="36.63"/>
  </cols>
  <sheetData>
    <row r="1">
      <c r="A1" s="418" t="s">
        <v>3032</v>
      </c>
      <c r="B1" s="418" t="s">
        <v>2872</v>
      </c>
      <c r="C1" s="418" t="s">
        <v>399</v>
      </c>
      <c r="D1" s="418" t="s">
        <v>3105</v>
      </c>
      <c r="E1" s="418" t="s">
        <v>2876</v>
      </c>
      <c r="F1" s="418" t="s">
        <v>3106</v>
      </c>
      <c r="G1" s="418" t="s">
        <v>2526</v>
      </c>
    </row>
    <row r="2">
      <c r="A2" s="60" t="s">
        <v>3107</v>
      </c>
      <c r="B2" s="608" t="str">
        <f>text(1,"00000")</f>
        <v>00001</v>
      </c>
      <c r="C2" s="608" t="str">
        <f t="shared" ref="C2:C32" si="1">"pack_"&amp;B2</f>
        <v>pack_00001</v>
      </c>
      <c r="D2" s="608" t="str">
        <f t="shared" ref="D2:D15" si="2">"shop_pack_banner_"&amp;C2</f>
        <v>shop_pack_banner_pack_00001</v>
      </c>
      <c r="E2" s="608" t="str">
        <f t="shared" ref="E2:E6" si="3">"hometop_shop_"&amp;$C2</f>
        <v>hometop_shop_pack_00001</v>
      </c>
      <c r="F2" s="505" t="s">
        <v>3108</v>
      </c>
      <c r="G2" s="60"/>
    </row>
    <row r="3">
      <c r="A3" s="60" t="s">
        <v>3109</v>
      </c>
      <c r="B3" s="608" t="str">
        <f>text(B2+1,"00000")</f>
        <v>00002</v>
      </c>
      <c r="C3" s="608" t="str">
        <f t="shared" si="1"/>
        <v>pack_00002</v>
      </c>
      <c r="D3" s="608" t="str">
        <f t="shared" si="2"/>
        <v>shop_pack_banner_pack_00002</v>
      </c>
      <c r="E3" s="608" t="str">
        <f t="shared" si="3"/>
        <v>hometop_shop_pack_00002</v>
      </c>
      <c r="F3" s="505" t="s">
        <v>3108</v>
      </c>
      <c r="G3" s="60"/>
    </row>
    <row r="4">
      <c r="A4" s="60" t="s">
        <v>3110</v>
      </c>
      <c r="B4" s="608" t="str">
        <f t="shared" ref="B4:B32" si="4">if(A4&lt;&gt;"", text(B3+1,"00000"),dddd)</f>
        <v>00003</v>
      </c>
      <c r="C4" s="608" t="str">
        <f t="shared" si="1"/>
        <v>pack_00003</v>
      </c>
      <c r="D4" s="608" t="str">
        <f t="shared" si="2"/>
        <v>shop_pack_banner_pack_00003</v>
      </c>
      <c r="E4" s="608" t="str">
        <f t="shared" si="3"/>
        <v>hometop_shop_pack_00003</v>
      </c>
      <c r="F4" s="505" t="s">
        <v>3108</v>
      </c>
      <c r="G4" s="60"/>
    </row>
    <row r="5">
      <c r="A5" s="609" t="s">
        <v>3111</v>
      </c>
      <c r="B5" s="608" t="str">
        <f t="shared" si="4"/>
        <v>00004</v>
      </c>
      <c r="C5" s="608" t="str">
        <f t="shared" si="1"/>
        <v>pack_00004</v>
      </c>
      <c r="D5" s="608" t="str">
        <f t="shared" si="2"/>
        <v>shop_pack_banner_pack_00004</v>
      </c>
      <c r="E5" s="608" t="str">
        <f t="shared" si="3"/>
        <v>hometop_shop_pack_00004</v>
      </c>
      <c r="F5" s="505" t="s">
        <v>3108</v>
      </c>
      <c r="G5" s="609"/>
    </row>
    <row r="6">
      <c r="A6" s="60" t="s">
        <v>3112</v>
      </c>
      <c r="B6" s="608" t="str">
        <f t="shared" si="4"/>
        <v>00005</v>
      </c>
      <c r="C6" s="608" t="str">
        <f t="shared" si="1"/>
        <v>pack_00005</v>
      </c>
      <c r="D6" s="608" t="str">
        <f t="shared" si="2"/>
        <v>shop_pack_banner_pack_00005</v>
      </c>
      <c r="E6" s="608" t="str">
        <f t="shared" si="3"/>
        <v>hometop_shop_pack_00005</v>
      </c>
      <c r="F6" s="505" t="s">
        <v>3108</v>
      </c>
      <c r="G6" s="60"/>
    </row>
    <row r="7">
      <c r="A7" s="60" t="s">
        <v>3113</v>
      </c>
      <c r="B7" s="608" t="str">
        <f t="shared" si="4"/>
        <v>00006</v>
      </c>
      <c r="C7" s="608" t="str">
        <f t="shared" si="1"/>
        <v>pack_00006</v>
      </c>
      <c r="D7" s="608" t="str">
        <f t="shared" si="2"/>
        <v>shop_pack_banner_pack_00006</v>
      </c>
      <c r="E7" s="610" t="s">
        <v>2651</v>
      </c>
      <c r="F7" s="505"/>
      <c r="G7" s="60"/>
    </row>
    <row r="8">
      <c r="A8" s="60" t="s">
        <v>3114</v>
      </c>
      <c r="B8" s="608" t="str">
        <f t="shared" si="4"/>
        <v>00007</v>
      </c>
      <c r="C8" s="608" t="str">
        <f t="shared" si="1"/>
        <v>pack_00007</v>
      </c>
      <c r="D8" s="608" t="str">
        <f t="shared" si="2"/>
        <v>shop_pack_banner_pack_00007</v>
      </c>
      <c r="E8" s="610" t="s">
        <v>2651</v>
      </c>
      <c r="F8" s="505"/>
      <c r="G8" s="60"/>
    </row>
    <row r="9">
      <c r="A9" s="60" t="s">
        <v>3115</v>
      </c>
      <c r="B9" s="608" t="str">
        <f t="shared" si="4"/>
        <v>00008</v>
      </c>
      <c r="C9" s="608" t="str">
        <f t="shared" si="1"/>
        <v>pack_00008</v>
      </c>
      <c r="D9" s="608" t="str">
        <f t="shared" si="2"/>
        <v>shop_pack_banner_pack_00008</v>
      </c>
      <c r="E9" s="610" t="s">
        <v>2651</v>
      </c>
      <c r="F9" s="505"/>
      <c r="G9" s="60"/>
    </row>
    <row r="10">
      <c r="A10" s="60" t="s">
        <v>3116</v>
      </c>
      <c r="B10" s="608" t="str">
        <f t="shared" si="4"/>
        <v>00009</v>
      </c>
      <c r="C10" s="608" t="str">
        <f t="shared" si="1"/>
        <v>pack_00009</v>
      </c>
      <c r="D10" s="608" t="str">
        <f t="shared" si="2"/>
        <v>shop_pack_banner_pack_00009</v>
      </c>
      <c r="E10" s="610" t="s">
        <v>2651</v>
      </c>
      <c r="F10" s="505"/>
      <c r="G10" s="60"/>
    </row>
    <row r="11">
      <c r="A11" s="60" t="s">
        <v>3117</v>
      </c>
      <c r="B11" s="608" t="str">
        <f t="shared" si="4"/>
        <v>00010</v>
      </c>
      <c r="C11" s="608" t="str">
        <f t="shared" si="1"/>
        <v>pack_00010</v>
      </c>
      <c r="D11" s="608" t="str">
        <f t="shared" si="2"/>
        <v>shop_pack_banner_pack_00010</v>
      </c>
      <c r="E11" s="610" t="s">
        <v>2651</v>
      </c>
      <c r="F11" s="611"/>
      <c r="G11" s="611"/>
    </row>
    <row r="12">
      <c r="A12" s="60" t="s">
        <v>3118</v>
      </c>
      <c r="B12" s="608" t="str">
        <f t="shared" si="4"/>
        <v>00011</v>
      </c>
      <c r="C12" s="608" t="str">
        <f t="shared" si="1"/>
        <v>pack_00011</v>
      </c>
      <c r="D12" s="608" t="str">
        <f t="shared" si="2"/>
        <v>shop_pack_banner_pack_00011</v>
      </c>
      <c r="E12" s="610" t="s">
        <v>2651</v>
      </c>
      <c r="F12" s="611"/>
      <c r="G12" s="611"/>
    </row>
    <row r="13">
      <c r="A13" s="60" t="s">
        <v>3119</v>
      </c>
      <c r="B13" s="608" t="str">
        <f t="shared" si="4"/>
        <v>00012</v>
      </c>
      <c r="C13" s="608" t="str">
        <f t="shared" si="1"/>
        <v>pack_00012</v>
      </c>
      <c r="D13" s="608" t="str">
        <f t="shared" si="2"/>
        <v>shop_pack_banner_pack_00012</v>
      </c>
      <c r="E13" s="610" t="s">
        <v>2651</v>
      </c>
      <c r="F13" s="505"/>
      <c r="G13" s="60" t="s">
        <v>3120</v>
      </c>
    </row>
    <row r="14">
      <c r="A14" s="60" t="s">
        <v>3121</v>
      </c>
      <c r="B14" s="608" t="str">
        <f t="shared" si="4"/>
        <v>00013</v>
      </c>
      <c r="C14" s="608" t="str">
        <f t="shared" si="1"/>
        <v>pack_00013</v>
      </c>
      <c r="D14" s="608" t="str">
        <f t="shared" si="2"/>
        <v>shop_pack_banner_pack_00013</v>
      </c>
      <c r="E14" s="610" t="s">
        <v>2651</v>
      </c>
      <c r="F14" s="611"/>
      <c r="G14" s="612" t="s">
        <v>3122</v>
      </c>
    </row>
    <row r="15">
      <c r="A15" s="60" t="s">
        <v>3123</v>
      </c>
      <c r="B15" s="608" t="str">
        <f t="shared" si="4"/>
        <v>00014</v>
      </c>
      <c r="C15" s="608" t="str">
        <f t="shared" si="1"/>
        <v>pack_00014</v>
      </c>
      <c r="D15" s="608" t="str">
        <f t="shared" si="2"/>
        <v>shop_pack_banner_pack_00014</v>
      </c>
      <c r="E15" s="610" t="s">
        <v>2651</v>
      </c>
      <c r="F15" s="611"/>
      <c r="G15" s="612" t="s">
        <v>3124</v>
      </c>
    </row>
    <row r="16">
      <c r="A16" s="612" t="s">
        <v>3125</v>
      </c>
      <c r="B16" s="608" t="str">
        <f t="shared" si="4"/>
        <v>00015</v>
      </c>
      <c r="C16" s="608" t="str">
        <f t="shared" si="1"/>
        <v>pack_00015</v>
      </c>
      <c r="D16" s="610" t="s">
        <v>2651</v>
      </c>
      <c r="E16" s="608" t="str">
        <f t="shared" ref="E16:E19" si="5">"hometop_shop_"&amp;$C16</f>
        <v>hometop_shop_pack_00015</v>
      </c>
      <c r="F16" s="611"/>
      <c r="G16" s="612"/>
    </row>
    <row r="17">
      <c r="A17" s="612" t="s">
        <v>3126</v>
      </c>
      <c r="B17" s="608" t="str">
        <f t="shared" si="4"/>
        <v>00016</v>
      </c>
      <c r="C17" s="608" t="str">
        <f t="shared" si="1"/>
        <v>pack_00016</v>
      </c>
      <c r="D17" s="610" t="s">
        <v>2651</v>
      </c>
      <c r="E17" s="608" t="str">
        <f t="shared" si="5"/>
        <v>hometop_shop_pack_00016</v>
      </c>
      <c r="F17" s="611"/>
      <c r="G17" s="612"/>
    </row>
    <row r="18">
      <c r="A18" s="60" t="s">
        <v>3127</v>
      </c>
      <c r="B18" s="608" t="str">
        <f t="shared" si="4"/>
        <v>00017</v>
      </c>
      <c r="C18" s="608" t="str">
        <f t="shared" si="1"/>
        <v>pack_00017</v>
      </c>
      <c r="D18" s="608" t="str">
        <f>"shop_pack_banner_"&amp;C18</f>
        <v>shop_pack_banner_pack_00017</v>
      </c>
      <c r="E18" s="608" t="str">
        <f t="shared" si="5"/>
        <v>hometop_shop_pack_00017</v>
      </c>
      <c r="F18" s="611"/>
      <c r="G18" s="612"/>
    </row>
    <row r="19">
      <c r="A19" s="612" t="s">
        <v>3128</v>
      </c>
      <c r="B19" s="608" t="str">
        <f t="shared" si="4"/>
        <v>00018</v>
      </c>
      <c r="C19" s="608" t="str">
        <f t="shared" si="1"/>
        <v>pack_00018</v>
      </c>
      <c r="D19" s="610" t="s">
        <v>2651</v>
      </c>
      <c r="E19" s="608" t="str">
        <f t="shared" si="5"/>
        <v>hometop_shop_pack_00018</v>
      </c>
      <c r="F19" s="611"/>
      <c r="G19" s="612" t="s">
        <v>3129</v>
      </c>
    </row>
    <row r="20">
      <c r="A20" s="60" t="s">
        <v>3130</v>
      </c>
      <c r="B20" s="608" t="str">
        <f t="shared" si="4"/>
        <v>00019</v>
      </c>
      <c r="C20" s="608" t="str">
        <f t="shared" si="1"/>
        <v>pack_00019</v>
      </c>
      <c r="D20" s="608" t="str">
        <f t="shared" ref="D20:D21" si="6">"shop_pack_banner_"&amp;C20</f>
        <v>shop_pack_banner_pack_00019</v>
      </c>
      <c r="E20" s="610" t="s">
        <v>2651</v>
      </c>
      <c r="F20" s="611"/>
      <c r="G20" s="612"/>
    </row>
    <row r="21">
      <c r="A21" s="60" t="s">
        <v>3131</v>
      </c>
      <c r="B21" s="608" t="str">
        <f t="shared" si="4"/>
        <v>00020</v>
      </c>
      <c r="C21" s="608" t="str">
        <f t="shared" si="1"/>
        <v>pack_00020</v>
      </c>
      <c r="D21" s="608" t="str">
        <f t="shared" si="6"/>
        <v>shop_pack_banner_pack_00020</v>
      </c>
      <c r="E21" s="610" t="s">
        <v>2651</v>
      </c>
      <c r="F21" s="612" t="s">
        <v>2913</v>
      </c>
      <c r="G21" s="612" t="s">
        <v>3132</v>
      </c>
    </row>
    <row r="22">
      <c r="A22" s="612" t="s">
        <v>3133</v>
      </c>
      <c r="B22" s="608" t="str">
        <f t="shared" si="4"/>
        <v>00021</v>
      </c>
      <c r="C22" s="608" t="str">
        <f t="shared" si="1"/>
        <v>pack_00021</v>
      </c>
      <c r="D22" s="610" t="s">
        <v>2651</v>
      </c>
      <c r="E22" s="608" t="str">
        <f>"hometop_shop_"&amp;$C22</f>
        <v>hometop_shop_pack_00021</v>
      </c>
      <c r="F22" s="611"/>
      <c r="G22" s="612" t="s">
        <v>3134</v>
      </c>
    </row>
    <row r="23">
      <c r="A23" s="60" t="s">
        <v>3135</v>
      </c>
      <c r="B23" s="608" t="str">
        <f t="shared" si="4"/>
        <v>00022</v>
      </c>
      <c r="C23" s="608" t="str">
        <f t="shared" si="1"/>
        <v>pack_00022</v>
      </c>
      <c r="D23" s="608" t="str">
        <f t="shared" ref="D23:D32" si="7">"shop_pack_banner_"&amp;C23</f>
        <v>shop_pack_banner_pack_00022</v>
      </c>
      <c r="E23" s="610" t="s">
        <v>2651</v>
      </c>
      <c r="F23" s="611"/>
      <c r="G23" s="612"/>
    </row>
    <row r="24">
      <c r="A24" s="60" t="s">
        <v>3136</v>
      </c>
      <c r="B24" s="608" t="str">
        <f t="shared" si="4"/>
        <v>00023</v>
      </c>
      <c r="C24" s="608" t="str">
        <f t="shared" si="1"/>
        <v>pack_00023</v>
      </c>
      <c r="D24" s="608" t="str">
        <f t="shared" si="7"/>
        <v>shop_pack_banner_pack_00023</v>
      </c>
      <c r="E24" s="610" t="s">
        <v>2651</v>
      </c>
      <c r="F24" s="611"/>
      <c r="G24" s="612"/>
    </row>
    <row r="25">
      <c r="A25" s="60" t="s">
        <v>3137</v>
      </c>
      <c r="B25" s="608" t="str">
        <f t="shared" si="4"/>
        <v>00024</v>
      </c>
      <c r="C25" s="608" t="str">
        <f t="shared" si="1"/>
        <v>pack_00024</v>
      </c>
      <c r="D25" s="608" t="str">
        <f t="shared" si="7"/>
        <v>shop_pack_banner_pack_00024</v>
      </c>
      <c r="E25" s="610" t="s">
        <v>2651</v>
      </c>
      <c r="F25" s="611"/>
      <c r="G25" s="612"/>
    </row>
    <row r="26">
      <c r="A26" s="60" t="s">
        <v>3138</v>
      </c>
      <c r="B26" s="608" t="str">
        <f t="shared" si="4"/>
        <v>00025</v>
      </c>
      <c r="C26" s="608" t="str">
        <f t="shared" si="1"/>
        <v>pack_00025</v>
      </c>
      <c r="D26" s="608" t="str">
        <f t="shared" si="7"/>
        <v>shop_pack_banner_pack_00025</v>
      </c>
      <c r="E26" s="610" t="s">
        <v>2651</v>
      </c>
      <c r="F26" s="611"/>
      <c r="G26" s="612"/>
    </row>
    <row r="27">
      <c r="A27" s="60" t="s">
        <v>3139</v>
      </c>
      <c r="B27" s="608" t="str">
        <f t="shared" si="4"/>
        <v>00026</v>
      </c>
      <c r="C27" s="608" t="str">
        <f t="shared" si="1"/>
        <v>pack_00026</v>
      </c>
      <c r="D27" s="608" t="str">
        <f t="shared" si="7"/>
        <v>shop_pack_banner_pack_00026</v>
      </c>
      <c r="E27" s="610" t="s">
        <v>2651</v>
      </c>
      <c r="F27" s="611"/>
      <c r="G27" s="612"/>
    </row>
    <row r="28">
      <c r="A28" s="60" t="s">
        <v>3140</v>
      </c>
      <c r="B28" s="608" t="str">
        <f t="shared" si="4"/>
        <v>00027</v>
      </c>
      <c r="C28" s="608" t="str">
        <f t="shared" si="1"/>
        <v>pack_00027</v>
      </c>
      <c r="D28" s="608" t="str">
        <f t="shared" si="7"/>
        <v>shop_pack_banner_pack_00027</v>
      </c>
      <c r="E28" s="610" t="s">
        <v>2651</v>
      </c>
      <c r="F28" s="611"/>
      <c r="G28" s="612"/>
    </row>
    <row r="29">
      <c r="A29" s="60" t="s">
        <v>3141</v>
      </c>
      <c r="B29" s="608" t="str">
        <f t="shared" si="4"/>
        <v>00028</v>
      </c>
      <c r="C29" s="608" t="str">
        <f t="shared" si="1"/>
        <v>pack_00028</v>
      </c>
      <c r="D29" s="608" t="str">
        <f t="shared" si="7"/>
        <v>shop_pack_banner_pack_00028</v>
      </c>
      <c r="E29" s="610" t="s">
        <v>2651</v>
      </c>
      <c r="F29" s="611"/>
      <c r="G29" s="612"/>
    </row>
    <row r="30">
      <c r="A30" s="60" t="s">
        <v>3142</v>
      </c>
      <c r="B30" s="608" t="str">
        <f t="shared" si="4"/>
        <v>00029</v>
      </c>
      <c r="C30" s="608" t="str">
        <f t="shared" si="1"/>
        <v>pack_00029</v>
      </c>
      <c r="D30" s="608" t="str">
        <f t="shared" si="7"/>
        <v>shop_pack_banner_pack_00029</v>
      </c>
      <c r="E30" s="610" t="s">
        <v>2651</v>
      </c>
      <c r="F30" s="611"/>
      <c r="G30" s="612"/>
    </row>
    <row r="31">
      <c r="A31" s="60" t="s">
        <v>3143</v>
      </c>
      <c r="B31" s="608" t="str">
        <f t="shared" si="4"/>
        <v>00030</v>
      </c>
      <c r="C31" s="608" t="str">
        <f t="shared" si="1"/>
        <v>pack_00030</v>
      </c>
      <c r="D31" s="608" t="str">
        <f t="shared" si="7"/>
        <v>shop_pack_banner_pack_00030</v>
      </c>
      <c r="E31" s="610" t="s">
        <v>2651</v>
      </c>
      <c r="F31" s="611"/>
      <c r="G31" s="612"/>
    </row>
    <row r="32">
      <c r="A32" s="60" t="s">
        <v>3144</v>
      </c>
      <c r="B32" s="608" t="str">
        <f t="shared" si="4"/>
        <v>00031</v>
      </c>
      <c r="C32" s="608" t="str">
        <f t="shared" si="1"/>
        <v>pack_00031</v>
      </c>
      <c r="D32" s="608" t="str">
        <f t="shared" si="7"/>
        <v>shop_pack_banner_pack_00031</v>
      </c>
      <c r="E32" s="610" t="s">
        <v>2651</v>
      </c>
      <c r="F32" s="611"/>
      <c r="G32" s="612"/>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5"/>
    <col customWidth="1" min="2" max="2" width="18.88"/>
    <col customWidth="1" min="3" max="3" width="11.25"/>
    <col customWidth="1" min="4" max="4" width="27.38"/>
    <col customWidth="1" min="5" max="5" width="27.13"/>
    <col customWidth="1" min="6" max="6" width="36.5"/>
  </cols>
  <sheetData>
    <row r="1">
      <c r="A1" s="418" t="s">
        <v>3145</v>
      </c>
      <c r="B1" s="418" t="s">
        <v>3146</v>
      </c>
      <c r="C1" s="418" t="s">
        <v>2872</v>
      </c>
      <c r="D1" s="418" t="s">
        <v>2876</v>
      </c>
      <c r="E1" s="418" t="s">
        <v>2878</v>
      </c>
      <c r="F1" s="418" t="s">
        <v>2526</v>
      </c>
    </row>
    <row r="2">
      <c r="A2" s="613" t="s">
        <v>3147</v>
      </c>
      <c r="B2" s="610" t="s">
        <v>3148</v>
      </c>
      <c r="C2" s="610" t="str">
        <f t="shared" ref="C2:C8" si="1">if(B2="あり", text(countif($B$2:B2,"あり"),"00000"),"なし")</f>
        <v>00001</v>
      </c>
      <c r="D2" s="610" t="str">
        <f t="shared" ref="D2:D8" si="2">if(B2="あり","hometop_shop_pass_"&amp;C2,"なし")</f>
        <v>hometop_shop_pass_00001</v>
      </c>
      <c r="E2" s="614"/>
      <c r="F2" s="613" t="s">
        <v>1763</v>
      </c>
    </row>
    <row r="3">
      <c r="A3" s="615" t="s">
        <v>3149</v>
      </c>
      <c r="B3" s="610" t="s">
        <v>3148</v>
      </c>
      <c r="C3" s="616" t="str">
        <f t="shared" si="1"/>
        <v>00002</v>
      </c>
      <c r="D3" s="616" t="str">
        <f t="shared" si="2"/>
        <v>hometop_shop_pass_00002</v>
      </c>
      <c r="E3" s="614"/>
      <c r="F3" s="613" t="s">
        <v>1763</v>
      </c>
      <c r="G3" s="548"/>
      <c r="H3" s="548"/>
    </row>
    <row r="4">
      <c r="A4" s="60" t="s">
        <v>3150</v>
      </c>
      <c r="B4" s="617" t="s">
        <v>3148</v>
      </c>
      <c r="C4" s="617" t="str">
        <f t="shared" si="1"/>
        <v>00003</v>
      </c>
      <c r="D4" s="608" t="str">
        <f t="shared" si="2"/>
        <v>hometop_shop_pass_00003</v>
      </c>
      <c r="E4" s="505" t="s">
        <v>3108</v>
      </c>
      <c r="F4" s="60"/>
    </row>
    <row r="5">
      <c r="A5" s="60" t="s">
        <v>3151</v>
      </c>
      <c r="B5" s="617" t="s">
        <v>3148</v>
      </c>
      <c r="C5" s="617" t="str">
        <f t="shared" si="1"/>
        <v>00004</v>
      </c>
      <c r="D5" s="608" t="str">
        <f t="shared" si="2"/>
        <v>hometop_shop_pass_00004</v>
      </c>
      <c r="E5" s="505"/>
      <c r="F5" s="60"/>
    </row>
    <row r="6">
      <c r="A6" s="60"/>
      <c r="B6" s="617"/>
      <c r="C6" s="617" t="str">
        <f t="shared" si="1"/>
        <v>なし</v>
      </c>
      <c r="D6" s="608" t="str">
        <f t="shared" si="2"/>
        <v>なし</v>
      </c>
      <c r="E6" s="505"/>
      <c r="F6" s="60"/>
    </row>
    <row r="7">
      <c r="A7" s="60"/>
      <c r="B7" s="617"/>
      <c r="C7" s="617" t="str">
        <f t="shared" si="1"/>
        <v>なし</v>
      </c>
      <c r="D7" s="608" t="str">
        <f t="shared" si="2"/>
        <v>なし</v>
      </c>
      <c r="E7" s="505"/>
      <c r="F7" s="60"/>
    </row>
    <row r="8">
      <c r="A8" s="60"/>
      <c r="B8" s="617"/>
      <c r="C8" s="617" t="str">
        <f t="shared" si="1"/>
        <v>なし</v>
      </c>
      <c r="D8" s="608" t="str">
        <f t="shared" si="2"/>
        <v>なし</v>
      </c>
      <c r="E8" s="505"/>
      <c r="F8" s="60"/>
    </row>
  </sheetData>
  <dataValidations>
    <dataValidation type="list" allowBlank="1" showErrorMessage="1" sqref="B2:B8">
      <formula1>"あり,なし"</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5"/>
    <col customWidth="1" min="2" max="2" width="18.88"/>
    <col customWidth="1" min="3" max="3" width="11.25"/>
    <col customWidth="1" min="4" max="5" width="27.38"/>
    <col customWidth="1" min="6" max="6" width="36.5"/>
  </cols>
  <sheetData>
    <row r="1">
      <c r="A1" s="418" t="s">
        <v>3152</v>
      </c>
      <c r="B1" s="418" t="s">
        <v>3146</v>
      </c>
      <c r="C1" s="418" t="s">
        <v>2872</v>
      </c>
      <c r="D1" s="418" t="s">
        <v>2876</v>
      </c>
      <c r="E1" s="418" t="s">
        <v>2878</v>
      </c>
      <c r="F1" s="418" t="s">
        <v>2526</v>
      </c>
    </row>
    <row r="2">
      <c r="A2" s="60" t="s">
        <v>3075</v>
      </c>
      <c r="B2" s="618" t="s">
        <v>2651</v>
      </c>
      <c r="C2" s="618" t="str">
        <f t="shared" ref="C2:C8" si="1">if(B2="あり", text(countif($B$2:B2,"あり"),"00000"),"なし")</f>
        <v>なし</v>
      </c>
      <c r="D2" s="608" t="str">
        <f t="shared" ref="D2:D8" si="2">if(B2="あり","hometop_campaign_"&amp;C2,"なし")</f>
        <v>なし</v>
      </c>
      <c r="E2" s="505"/>
      <c r="F2" s="60"/>
    </row>
    <row r="3">
      <c r="A3" s="341" t="s">
        <v>3153</v>
      </c>
      <c r="B3" s="618" t="s">
        <v>3148</v>
      </c>
      <c r="C3" s="222" t="str">
        <f t="shared" si="1"/>
        <v>00001</v>
      </c>
      <c r="D3" s="608" t="str">
        <f t="shared" si="2"/>
        <v>hometop_campaign_00001</v>
      </c>
      <c r="E3" s="505" t="s">
        <v>3108</v>
      </c>
      <c r="F3" s="60"/>
      <c r="G3" s="548"/>
      <c r="H3" s="548"/>
    </row>
    <row r="4">
      <c r="A4" s="60" t="s">
        <v>3154</v>
      </c>
      <c r="B4" s="618" t="s">
        <v>3148</v>
      </c>
      <c r="C4" s="618" t="str">
        <f t="shared" si="1"/>
        <v>00002</v>
      </c>
      <c r="D4" s="608" t="str">
        <f t="shared" si="2"/>
        <v>hometop_campaign_00002</v>
      </c>
      <c r="E4" s="505"/>
      <c r="F4" s="60"/>
    </row>
    <row r="5">
      <c r="A5" s="60" t="s">
        <v>3155</v>
      </c>
      <c r="B5" s="618" t="s">
        <v>3148</v>
      </c>
      <c r="C5" s="618" t="str">
        <f t="shared" si="1"/>
        <v>00003</v>
      </c>
      <c r="D5" s="608" t="str">
        <f t="shared" si="2"/>
        <v>hometop_campaign_00003</v>
      </c>
      <c r="E5" s="505"/>
      <c r="F5" s="60"/>
    </row>
    <row r="6">
      <c r="A6" s="60" t="s">
        <v>3156</v>
      </c>
      <c r="B6" s="618" t="s">
        <v>3148</v>
      </c>
      <c r="C6" s="618" t="str">
        <f t="shared" si="1"/>
        <v>00004</v>
      </c>
      <c r="D6" s="608" t="str">
        <f t="shared" si="2"/>
        <v>hometop_campaign_00004</v>
      </c>
      <c r="E6" s="505"/>
      <c r="F6" s="60"/>
    </row>
    <row r="7">
      <c r="A7" s="60"/>
      <c r="B7" s="617"/>
      <c r="C7" s="617" t="str">
        <f t="shared" si="1"/>
        <v>なし</v>
      </c>
      <c r="D7" s="608" t="str">
        <f t="shared" si="2"/>
        <v>なし</v>
      </c>
      <c r="E7" s="505"/>
      <c r="F7" s="60"/>
    </row>
    <row r="8">
      <c r="A8" s="60"/>
      <c r="B8" s="617"/>
      <c r="C8" s="617" t="str">
        <f t="shared" si="1"/>
        <v>なし</v>
      </c>
      <c r="D8" s="608" t="str">
        <f t="shared" si="2"/>
        <v>なし</v>
      </c>
      <c r="E8" s="505"/>
      <c r="F8" s="60"/>
    </row>
  </sheetData>
  <dataValidations>
    <dataValidation type="list" allowBlank="1" showErrorMessage="1" sqref="B2:B8">
      <formula1>"あり,なし"</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5"/>
    <col customWidth="1" min="2" max="2" width="14.63"/>
    <col customWidth="1" min="3" max="3" width="27.38"/>
    <col customWidth="1" min="4" max="4" width="36.5"/>
  </cols>
  <sheetData>
    <row r="1">
      <c r="A1" s="418" t="s">
        <v>3157</v>
      </c>
      <c r="B1" s="418" t="s">
        <v>399</v>
      </c>
      <c r="C1" s="418" t="s">
        <v>3158</v>
      </c>
      <c r="D1" s="418" t="s">
        <v>2526</v>
      </c>
    </row>
    <row r="2">
      <c r="A2" s="60" t="s">
        <v>3159</v>
      </c>
      <c r="B2" s="617" t="s">
        <v>3160</v>
      </c>
      <c r="C2" s="608" t="str">
        <f t="shared" ref="C2:C5" si="1">"shop_pass_icon_"&amp;B2</f>
        <v>shop_pass_icon_premium</v>
      </c>
      <c r="D2" s="60" t="s">
        <v>3161</v>
      </c>
    </row>
    <row r="3">
      <c r="A3" s="60" t="s">
        <v>3162</v>
      </c>
      <c r="B3" s="617" t="s">
        <v>3163</v>
      </c>
      <c r="C3" s="608" t="str">
        <f t="shared" si="1"/>
        <v>shop_pass_icon_monthly</v>
      </c>
      <c r="D3" s="60" t="s">
        <v>3161</v>
      </c>
    </row>
    <row r="4">
      <c r="A4" s="60" t="s">
        <v>3164</v>
      </c>
      <c r="B4" s="617" t="s">
        <v>3165</v>
      </c>
      <c r="C4" s="608" t="str">
        <f t="shared" si="1"/>
        <v>shop_pass_icon_weekly</v>
      </c>
      <c r="D4" s="60" t="s">
        <v>3161</v>
      </c>
    </row>
    <row r="5">
      <c r="A5" s="60" t="s">
        <v>3166</v>
      </c>
      <c r="B5" s="617" t="s">
        <v>3167</v>
      </c>
      <c r="C5" s="608" t="str">
        <f t="shared" si="1"/>
        <v>shop_pass_icon_newyear2026</v>
      </c>
      <c r="D5" s="60"/>
    </row>
    <row r="6">
      <c r="A6" s="60"/>
      <c r="B6" s="617"/>
      <c r="C6" s="608"/>
      <c r="D6" s="60"/>
    </row>
    <row r="7">
      <c r="A7" s="60"/>
      <c r="B7" s="617"/>
      <c r="C7" s="608"/>
      <c r="D7" s="60"/>
    </row>
    <row r="8">
      <c r="A8" s="60"/>
      <c r="B8" s="617"/>
      <c r="C8" s="608"/>
      <c r="D8" s="60"/>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40.38"/>
    <col customWidth="1" min="3" max="3" width="11.25"/>
    <col customWidth="1" min="4" max="4" width="13.38"/>
    <col customWidth="1" min="5" max="5" width="11.25"/>
    <col customWidth="1" min="6" max="7" width="23.63"/>
    <col customWidth="1" min="8" max="8" width="36.5"/>
  </cols>
  <sheetData>
    <row r="1">
      <c r="A1" s="418" t="s">
        <v>3072</v>
      </c>
      <c r="B1" s="418" t="s">
        <v>3168</v>
      </c>
      <c r="C1" s="418" t="s">
        <v>950</v>
      </c>
      <c r="D1" s="418" t="s">
        <v>3169</v>
      </c>
      <c r="E1" s="418" t="s">
        <v>2872</v>
      </c>
      <c r="F1" s="418" t="s">
        <v>3170</v>
      </c>
      <c r="G1" s="418" t="s">
        <v>2878</v>
      </c>
      <c r="H1" s="418" t="s">
        <v>2526</v>
      </c>
    </row>
    <row r="2">
      <c r="A2" s="45" t="s">
        <v>3171</v>
      </c>
      <c r="B2" s="60" t="s">
        <v>3107</v>
      </c>
      <c r="C2" s="125" t="s">
        <v>60</v>
      </c>
      <c r="D2" s="608" t="str">
        <f t="shared" ref="D2:D9" si="1">switch(A2,"パス","shop_pass_","パック","shop_pack_","ガシャ","gacha_"&amp;C2&amp;"_","イベント","event_"&amp;C2&amp;"_","降臨バトル","advent_"&amp;C2&amp;"_","キャンペーン","campaign_","その他","other_")</f>
        <v>shop_pack_</v>
      </c>
      <c r="E2" s="608" t="str">
        <f t="shared" ref="E2:E47" si="2">text(countif(D$2:D2,D2),"00000")</f>
        <v>00001</v>
      </c>
      <c r="F2" s="608" t="str">
        <f t="shared" ref="F2:F47" si="3">"notice_"&amp;D2&amp;E2</f>
        <v>notice_shop_pack_00001</v>
      </c>
      <c r="G2" s="505"/>
      <c r="H2" s="60"/>
    </row>
    <row r="3">
      <c r="A3" s="45" t="s">
        <v>3171</v>
      </c>
      <c r="B3" s="60" t="s">
        <v>3172</v>
      </c>
      <c r="C3" s="125" t="s">
        <v>283</v>
      </c>
      <c r="D3" s="608" t="str">
        <f t="shared" si="1"/>
        <v>shop_pack_</v>
      </c>
      <c r="E3" s="608" t="str">
        <f t="shared" si="2"/>
        <v>00002</v>
      </c>
      <c r="F3" s="608" t="str">
        <f t="shared" si="3"/>
        <v>notice_shop_pack_00002</v>
      </c>
      <c r="G3" s="505"/>
      <c r="H3" s="60"/>
    </row>
    <row r="4">
      <c r="A4" s="45" t="s">
        <v>3171</v>
      </c>
      <c r="B4" s="60" t="s">
        <v>3112</v>
      </c>
      <c r="C4" s="125" t="s">
        <v>283</v>
      </c>
      <c r="D4" s="608" t="str">
        <f t="shared" si="1"/>
        <v>shop_pack_</v>
      </c>
      <c r="E4" s="608" t="str">
        <f t="shared" si="2"/>
        <v>00003</v>
      </c>
      <c r="F4" s="608" t="str">
        <f t="shared" si="3"/>
        <v>notice_shop_pack_00003</v>
      </c>
      <c r="G4" s="505"/>
      <c r="H4" s="60"/>
    </row>
    <row r="5">
      <c r="A5" s="157" t="s">
        <v>3173</v>
      </c>
      <c r="B5" s="171" t="s">
        <v>3147</v>
      </c>
      <c r="C5" s="161"/>
      <c r="D5" s="619" t="str">
        <f t="shared" si="1"/>
        <v>shop_pass_</v>
      </c>
      <c r="E5" s="619" t="str">
        <f t="shared" si="2"/>
        <v>00001</v>
      </c>
      <c r="F5" s="619" t="str">
        <f t="shared" si="3"/>
        <v>notice_shop_pass_00001</v>
      </c>
      <c r="G5" s="505"/>
      <c r="H5" s="613" t="s">
        <v>1763</v>
      </c>
    </row>
    <row r="6">
      <c r="A6" s="157" t="s">
        <v>3173</v>
      </c>
      <c r="B6" s="171" t="s">
        <v>3149</v>
      </c>
      <c r="C6" s="161"/>
      <c r="D6" s="619" t="str">
        <f t="shared" si="1"/>
        <v>shop_pass_</v>
      </c>
      <c r="E6" s="619" t="str">
        <f t="shared" si="2"/>
        <v>00002</v>
      </c>
      <c r="F6" s="619" t="str">
        <f t="shared" si="3"/>
        <v>notice_shop_pass_00002</v>
      </c>
      <c r="G6" s="505"/>
      <c r="H6" s="613" t="s">
        <v>1763</v>
      </c>
    </row>
    <row r="7">
      <c r="A7" s="45" t="s">
        <v>3173</v>
      </c>
      <c r="B7" s="60" t="s">
        <v>3150</v>
      </c>
      <c r="C7" s="125"/>
      <c r="D7" s="608" t="str">
        <f t="shared" si="1"/>
        <v>shop_pass_</v>
      </c>
      <c r="E7" s="608" t="str">
        <f t="shared" si="2"/>
        <v>00003</v>
      </c>
      <c r="F7" s="608" t="str">
        <f t="shared" si="3"/>
        <v>notice_shop_pass_00003</v>
      </c>
      <c r="G7" s="505"/>
      <c r="H7" s="60"/>
    </row>
    <row r="8">
      <c r="A8" s="45" t="s">
        <v>2458</v>
      </c>
      <c r="B8" s="60" t="s">
        <v>3174</v>
      </c>
      <c r="C8" s="125" t="s">
        <v>115</v>
      </c>
      <c r="D8" s="608" t="str">
        <f t="shared" si="1"/>
        <v>event_kai_</v>
      </c>
      <c r="E8" s="608" t="str">
        <f t="shared" si="2"/>
        <v>00001</v>
      </c>
      <c r="F8" s="608" t="str">
        <f t="shared" si="3"/>
        <v>notice_event_kai_00001</v>
      </c>
      <c r="G8" s="505" t="s">
        <v>3108</v>
      </c>
      <c r="H8" s="60"/>
    </row>
    <row r="9">
      <c r="A9" s="45" t="s">
        <v>3175</v>
      </c>
      <c r="B9" s="60" t="s">
        <v>3176</v>
      </c>
      <c r="C9" s="125" t="s">
        <v>115</v>
      </c>
      <c r="D9" s="608" t="str">
        <f t="shared" si="1"/>
        <v>gacha_kai_</v>
      </c>
      <c r="E9" s="608" t="str">
        <f t="shared" si="2"/>
        <v>00001</v>
      </c>
      <c r="F9" s="608" t="str">
        <f t="shared" si="3"/>
        <v>notice_gacha_kai_00001</v>
      </c>
      <c r="G9" s="505" t="s">
        <v>3108</v>
      </c>
      <c r="H9" s="60"/>
    </row>
    <row r="10">
      <c r="A10" s="45" t="s">
        <v>3175</v>
      </c>
      <c r="B10" s="60" t="s">
        <v>3177</v>
      </c>
      <c r="C10" s="125"/>
      <c r="D10" s="608" t="s">
        <v>3178</v>
      </c>
      <c r="E10" s="608" t="str">
        <f t="shared" si="2"/>
        <v>00001</v>
      </c>
      <c r="F10" s="608" t="str">
        <f t="shared" si="3"/>
        <v>notice_gacha_00001</v>
      </c>
      <c r="G10" s="505"/>
      <c r="H10" s="60"/>
    </row>
    <row r="11">
      <c r="A11" s="45" t="s">
        <v>3179</v>
      </c>
      <c r="B11" s="60" t="s">
        <v>3075</v>
      </c>
      <c r="C11" s="125"/>
      <c r="D11" s="608" t="str">
        <f t="shared" ref="D11:D14" si="4">switch(A11,"パス","shop_pass_","パック","shop_pack_","ガシャ","gacha_"&amp;C11&amp;"_","イベント","event_"&amp;C11&amp;"_","降臨バトル","advent_"&amp;C11&amp;"_","キャンペーン","campaign_","その他","other_")</f>
        <v>campaign_</v>
      </c>
      <c r="E11" s="608" t="str">
        <f t="shared" si="2"/>
        <v>00001</v>
      </c>
      <c r="F11" s="608" t="str">
        <f t="shared" si="3"/>
        <v>notice_campaign_00001</v>
      </c>
      <c r="G11" s="505"/>
      <c r="H11" s="60"/>
    </row>
    <row r="12">
      <c r="A12" s="45" t="s">
        <v>3180</v>
      </c>
      <c r="B12" s="60" t="s">
        <v>3181</v>
      </c>
      <c r="C12" s="125"/>
      <c r="D12" s="608" t="str">
        <f t="shared" si="4"/>
        <v>other_</v>
      </c>
      <c r="E12" s="608" t="str">
        <f t="shared" si="2"/>
        <v>00001</v>
      </c>
      <c r="F12" s="608" t="str">
        <f t="shared" si="3"/>
        <v>notice_other_00001</v>
      </c>
      <c r="G12" s="505"/>
      <c r="H12" s="60"/>
    </row>
    <row r="13">
      <c r="A13" s="45" t="s">
        <v>3180</v>
      </c>
      <c r="B13" s="60" t="s">
        <v>3182</v>
      </c>
      <c r="C13" s="125"/>
      <c r="D13" s="608" t="str">
        <f t="shared" si="4"/>
        <v>other_</v>
      </c>
      <c r="E13" s="608" t="str">
        <f t="shared" si="2"/>
        <v>00002</v>
      </c>
      <c r="F13" s="608" t="str">
        <f t="shared" si="3"/>
        <v>notice_other_00002</v>
      </c>
      <c r="G13" s="505"/>
      <c r="H13" s="60"/>
    </row>
    <row r="14">
      <c r="A14" s="45" t="s">
        <v>3179</v>
      </c>
      <c r="B14" s="60" t="s">
        <v>3153</v>
      </c>
      <c r="C14" s="125"/>
      <c r="D14" s="608" t="str">
        <f t="shared" si="4"/>
        <v>campaign_</v>
      </c>
      <c r="E14" s="608" t="str">
        <f t="shared" si="2"/>
        <v>00002</v>
      </c>
      <c r="F14" s="608" t="str">
        <f t="shared" si="3"/>
        <v>notice_campaign_00002</v>
      </c>
      <c r="G14" s="505"/>
      <c r="H14" s="60"/>
    </row>
    <row r="15">
      <c r="A15" s="45" t="s">
        <v>3183</v>
      </c>
      <c r="B15" s="60" t="s">
        <v>3184</v>
      </c>
      <c r="C15" s="125"/>
      <c r="D15" s="608" t="s">
        <v>3185</v>
      </c>
      <c r="E15" s="608" t="str">
        <f t="shared" si="2"/>
        <v>00001</v>
      </c>
      <c r="F15" s="608" t="str">
        <f t="shared" si="3"/>
        <v>notice_pvp_00001</v>
      </c>
      <c r="G15" s="505"/>
      <c r="H15" s="60"/>
    </row>
    <row r="16">
      <c r="A16" s="45" t="s">
        <v>3171</v>
      </c>
      <c r="B16" s="60" t="s">
        <v>3109</v>
      </c>
      <c r="C16" s="125"/>
      <c r="D16" s="608" t="str">
        <f t="shared" ref="D16:D45" si="5">switch(A16,"パス","shop_pass_","パック","shop_pack_","ガシャ","gacha_"&amp;C16&amp;"_","イベント","event_"&amp;C16&amp;"_","降臨バトル","advent_"&amp;C16&amp;"_","キャンペーン","campaign_","その他","other_")</f>
        <v>shop_pack_</v>
      </c>
      <c r="E16" s="608" t="str">
        <f t="shared" si="2"/>
        <v>00004</v>
      </c>
      <c r="F16" s="608" t="str">
        <f t="shared" si="3"/>
        <v>notice_shop_pack_00004</v>
      </c>
      <c r="G16" s="505"/>
      <c r="H16" s="60"/>
    </row>
    <row r="17">
      <c r="A17" s="45" t="s">
        <v>3171</v>
      </c>
      <c r="B17" s="60" t="s">
        <v>3110</v>
      </c>
      <c r="C17" s="125"/>
      <c r="D17" s="608" t="str">
        <f t="shared" si="5"/>
        <v>shop_pack_</v>
      </c>
      <c r="E17" s="608" t="str">
        <f t="shared" si="2"/>
        <v>00005</v>
      </c>
      <c r="F17" s="608" t="str">
        <f t="shared" si="3"/>
        <v>notice_shop_pack_00005</v>
      </c>
      <c r="G17" s="505"/>
      <c r="H17" s="60"/>
    </row>
    <row r="18">
      <c r="A18" s="45" t="s">
        <v>3175</v>
      </c>
      <c r="B18" s="60" t="s">
        <v>3047</v>
      </c>
      <c r="C18" s="125" t="s">
        <v>60</v>
      </c>
      <c r="D18" s="608" t="str">
        <f t="shared" si="5"/>
        <v>gacha_spy_</v>
      </c>
      <c r="E18" s="608" t="str">
        <f t="shared" si="2"/>
        <v>00001</v>
      </c>
      <c r="F18" s="608" t="str">
        <f t="shared" si="3"/>
        <v>notice_gacha_spy_00001</v>
      </c>
      <c r="G18" s="505" t="s">
        <v>3186</v>
      </c>
      <c r="H18" s="60"/>
    </row>
    <row r="19">
      <c r="A19" s="45" t="s">
        <v>3175</v>
      </c>
      <c r="B19" s="60" t="s">
        <v>3048</v>
      </c>
      <c r="C19" s="125" t="s">
        <v>60</v>
      </c>
      <c r="D19" s="608" t="str">
        <f t="shared" si="5"/>
        <v>gacha_spy_</v>
      </c>
      <c r="E19" s="608" t="str">
        <f t="shared" si="2"/>
        <v>00002</v>
      </c>
      <c r="F19" s="608" t="str">
        <f t="shared" si="3"/>
        <v>notice_gacha_spy_00002</v>
      </c>
      <c r="G19" s="505" t="s">
        <v>3186</v>
      </c>
      <c r="H19" s="60"/>
    </row>
    <row r="20">
      <c r="A20" s="45" t="s">
        <v>2458</v>
      </c>
      <c r="B20" s="60" t="s">
        <v>1032</v>
      </c>
      <c r="C20" s="125" t="s">
        <v>60</v>
      </c>
      <c r="D20" s="608" t="str">
        <f t="shared" si="5"/>
        <v>event_spy_</v>
      </c>
      <c r="E20" s="608" t="str">
        <f t="shared" si="2"/>
        <v>00001</v>
      </c>
      <c r="F20" s="608" t="str">
        <f t="shared" si="3"/>
        <v>notice_event_spy_00001</v>
      </c>
      <c r="G20" s="505" t="s">
        <v>3186</v>
      </c>
      <c r="H20" s="60"/>
    </row>
    <row r="21">
      <c r="A21" s="45" t="s">
        <v>3175</v>
      </c>
      <c r="B21" s="60" t="s">
        <v>3187</v>
      </c>
      <c r="C21" s="125" t="s">
        <v>80</v>
      </c>
      <c r="D21" s="608" t="str">
        <f t="shared" si="5"/>
        <v>gacha_dan_</v>
      </c>
      <c r="E21" s="608" t="str">
        <f t="shared" si="2"/>
        <v>00001</v>
      </c>
      <c r="F21" s="608" t="str">
        <f t="shared" si="3"/>
        <v>notice_gacha_dan_00001</v>
      </c>
      <c r="G21" s="505" t="s">
        <v>3188</v>
      </c>
      <c r="H21" s="60"/>
    </row>
    <row r="22">
      <c r="A22" s="45" t="s">
        <v>3175</v>
      </c>
      <c r="B22" s="60" t="s">
        <v>3189</v>
      </c>
      <c r="C22" s="125" t="s">
        <v>80</v>
      </c>
      <c r="D22" s="608" t="str">
        <f t="shared" si="5"/>
        <v>gacha_dan_</v>
      </c>
      <c r="E22" s="608" t="str">
        <f t="shared" si="2"/>
        <v>00002</v>
      </c>
      <c r="F22" s="608" t="str">
        <f t="shared" si="3"/>
        <v>notice_gacha_dan_00002</v>
      </c>
      <c r="G22" s="505" t="s">
        <v>3188</v>
      </c>
      <c r="H22" s="60"/>
    </row>
    <row r="23">
      <c r="A23" s="45" t="s">
        <v>2458</v>
      </c>
      <c r="B23" s="60" t="s">
        <v>2890</v>
      </c>
      <c r="C23" s="125" t="s">
        <v>80</v>
      </c>
      <c r="D23" s="608" t="str">
        <f t="shared" si="5"/>
        <v>event_dan_</v>
      </c>
      <c r="E23" s="608" t="str">
        <f t="shared" si="2"/>
        <v>00001</v>
      </c>
      <c r="F23" s="608" t="str">
        <f t="shared" si="3"/>
        <v>notice_event_dan_00001</v>
      </c>
      <c r="G23" s="505" t="s">
        <v>3188</v>
      </c>
      <c r="H23" s="60"/>
    </row>
    <row r="24">
      <c r="A24" s="45" t="s">
        <v>3175</v>
      </c>
      <c r="B24" s="60" t="s">
        <v>3036</v>
      </c>
      <c r="C24" s="125" t="s">
        <v>3037</v>
      </c>
      <c r="D24" s="608" t="str">
        <f t="shared" si="5"/>
        <v>gacha_startdash_</v>
      </c>
      <c r="E24" s="608" t="str">
        <f t="shared" si="2"/>
        <v>00001</v>
      </c>
      <c r="F24" s="608" t="str">
        <f t="shared" si="3"/>
        <v>notice_gacha_startdash_00001</v>
      </c>
      <c r="G24" s="505"/>
      <c r="H24" s="60"/>
    </row>
    <row r="25">
      <c r="A25" s="45" t="s">
        <v>3175</v>
      </c>
      <c r="B25" s="60" t="s">
        <v>3053</v>
      </c>
      <c r="C25" s="125" t="s">
        <v>121</v>
      </c>
      <c r="D25" s="608" t="str">
        <f t="shared" si="5"/>
        <v>gacha_yuw_</v>
      </c>
      <c r="E25" s="608" t="str">
        <f t="shared" si="2"/>
        <v>00001</v>
      </c>
      <c r="F25" s="608" t="str">
        <f t="shared" si="3"/>
        <v>notice_gacha_yuw_00001</v>
      </c>
      <c r="G25" s="505" t="s">
        <v>3054</v>
      </c>
      <c r="H25" s="60"/>
    </row>
    <row r="26">
      <c r="A26" s="45" t="s">
        <v>3175</v>
      </c>
      <c r="B26" s="60" t="s">
        <v>3055</v>
      </c>
      <c r="C26" s="125" t="s">
        <v>121</v>
      </c>
      <c r="D26" s="608" t="str">
        <f t="shared" si="5"/>
        <v>gacha_yuw_</v>
      </c>
      <c r="E26" s="608" t="str">
        <f t="shared" si="2"/>
        <v>00002</v>
      </c>
      <c r="F26" s="608" t="str">
        <f t="shared" si="3"/>
        <v>notice_gacha_yuw_00002</v>
      </c>
      <c r="G26" s="505" t="s">
        <v>3054</v>
      </c>
      <c r="H26" s="60"/>
    </row>
    <row r="27">
      <c r="A27" s="45" t="s">
        <v>2458</v>
      </c>
      <c r="B27" s="60" t="s">
        <v>3190</v>
      </c>
      <c r="C27" s="125" t="s">
        <v>121</v>
      </c>
      <c r="D27" s="608" t="str">
        <f t="shared" si="5"/>
        <v>event_yuw_</v>
      </c>
      <c r="E27" s="608" t="str">
        <f t="shared" si="2"/>
        <v>00001</v>
      </c>
      <c r="F27" s="608" t="str">
        <f t="shared" si="3"/>
        <v>notice_event_yuw_00001</v>
      </c>
      <c r="G27" s="505" t="s">
        <v>3054</v>
      </c>
      <c r="H27" s="60"/>
    </row>
    <row r="28">
      <c r="A28" s="45" t="s">
        <v>3175</v>
      </c>
      <c r="B28" s="60" t="s">
        <v>3058</v>
      </c>
      <c r="C28" s="125" t="s">
        <v>283</v>
      </c>
      <c r="D28" s="608" t="str">
        <f t="shared" si="5"/>
        <v>gacha_glo_</v>
      </c>
      <c r="E28" s="608" t="str">
        <f t="shared" si="2"/>
        <v>00001</v>
      </c>
      <c r="F28" s="608" t="str">
        <f t="shared" si="3"/>
        <v>notice_gacha_glo_00001</v>
      </c>
      <c r="G28" s="505" t="s">
        <v>3054</v>
      </c>
      <c r="H28" s="60"/>
    </row>
    <row r="29">
      <c r="A29" s="45" t="s">
        <v>3171</v>
      </c>
      <c r="B29" s="60" t="s">
        <v>3191</v>
      </c>
      <c r="C29" s="125" t="s">
        <v>283</v>
      </c>
      <c r="D29" s="608" t="str">
        <f t="shared" si="5"/>
        <v>shop_pack_</v>
      </c>
      <c r="E29" s="608" t="str">
        <f t="shared" si="2"/>
        <v>00006</v>
      </c>
      <c r="F29" s="608" t="str">
        <f t="shared" si="3"/>
        <v>notice_shop_pack_00006</v>
      </c>
      <c r="G29" s="505"/>
      <c r="H29" s="60"/>
    </row>
    <row r="30">
      <c r="A30" s="45" t="s">
        <v>3171</v>
      </c>
      <c r="B30" s="60" t="s">
        <v>3192</v>
      </c>
      <c r="C30" s="125" t="s">
        <v>283</v>
      </c>
      <c r="D30" s="608" t="str">
        <f t="shared" si="5"/>
        <v>shop_pack_</v>
      </c>
      <c r="E30" s="608" t="str">
        <f t="shared" si="2"/>
        <v>00007</v>
      </c>
      <c r="F30" s="608" t="str">
        <f t="shared" si="3"/>
        <v>notice_shop_pack_00007</v>
      </c>
      <c r="G30" s="505"/>
      <c r="H30" s="60"/>
    </row>
    <row r="31">
      <c r="A31" s="45" t="s">
        <v>3171</v>
      </c>
      <c r="B31" s="60" t="s">
        <v>3193</v>
      </c>
      <c r="C31" s="125" t="s">
        <v>283</v>
      </c>
      <c r="D31" s="608" t="str">
        <f t="shared" si="5"/>
        <v>shop_pack_</v>
      </c>
      <c r="E31" s="608" t="str">
        <f t="shared" si="2"/>
        <v>00008</v>
      </c>
      <c r="F31" s="608" t="str">
        <f t="shared" si="3"/>
        <v>notice_shop_pack_00008</v>
      </c>
      <c r="G31" s="505"/>
      <c r="H31" s="60"/>
    </row>
    <row r="32">
      <c r="A32" s="45" t="s">
        <v>3171</v>
      </c>
      <c r="B32" s="60" t="s">
        <v>3125</v>
      </c>
      <c r="C32" s="125" t="s">
        <v>283</v>
      </c>
      <c r="D32" s="608" t="str">
        <f t="shared" si="5"/>
        <v>shop_pack_</v>
      </c>
      <c r="E32" s="608" t="str">
        <f t="shared" si="2"/>
        <v>00009</v>
      </c>
      <c r="F32" s="608" t="str">
        <f t="shared" si="3"/>
        <v>notice_shop_pack_00009</v>
      </c>
      <c r="G32" s="505"/>
      <c r="H32" s="60"/>
    </row>
    <row r="33">
      <c r="A33" s="45" t="s">
        <v>3179</v>
      </c>
      <c r="B33" s="60" t="s">
        <v>3154</v>
      </c>
      <c r="C33" s="125" t="s">
        <v>283</v>
      </c>
      <c r="D33" s="608" t="str">
        <f t="shared" si="5"/>
        <v>campaign_</v>
      </c>
      <c r="E33" s="608" t="str">
        <f t="shared" si="2"/>
        <v>00003</v>
      </c>
      <c r="F33" s="608" t="str">
        <f t="shared" si="3"/>
        <v>notice_campaign_00003</v>
      </c>
      <c r="G33" s="505"/>
      <c r="H33" s="60"/>
    </row>
    <row r="34">
      <c r="A34" s="45" t="s">
        <v>3171</v>
      </c>
      <c r="B34" s="60" t="s">
        <v>3116</v>
      </c>
      <c r="C34" s="125" t="s">
        <v>283</v>
      </c>
      <c r="D34" s="608" t="str">
        <f t="shared" si="5"/>
        <v>shop_pack_</v>
      </c>
      <c r="E34" s="608" t="str">
        <f t="shared" si="2"/>
        <v>00010</v>
      </c>
      <c r="F34" s="608" t="str">
        <f t="shared" si="3"/>
        <v>notice_shop_pack_00010</v>
      </c>
      <c r="G34" s="505"/>
      <c r="H34" s="60"/>
    </row>
    <row r="35">
      <c r="A35" s="45" t="s">
        <v>3171</v>
      </c>
      <c r="B35" s="60" t="s">
        <v>3117</v>
      </c>
      <c r="C35" s="125" t="s">
        <v>283</v>
      </c>
      <c r="D35" s="608" t="str">
        <f t="shared" si="5"/>
        <v>shop_pack_</v>
      </c>
      <c r="E35" s="608" t="str">
        <f t="shared" si="2"/>
        <v>00011</v>
      </c>
      <c r="F35" s="608" t="str">
        <f t="shared" si="3"/>
        <v>notice_shop_pack_00011</v>
      </c>
      <c r="G35" s="505"/>
      <c r="H35" s="60"/>
    </row>
    <row r="36">
      <c r="A36" s="45" t="s">
        <v>3171</v>
      </c>
      <c r="B36" s="60" t="s">
        <v>3118</v>
      </c>
      <c r="C36" s="125" t="s">
        <v>283</v>
      </c>
      <c r="D36" s="620" t="str">
        <f t="shared" si="5"/>
        <v>shop_pack_</v>
      </c>
      <c r="E36" s="608" t="str">
        <f t="shared" si="2"/>
        <v>00012</v>
      </c>
      <c r="F36" s="608" t="str">
        <f t="shared" si="3"/>
        <v>notice_shop_pack_00012</v>
      </c>
      <c r="G36" s="505"/>
      <c r="H36" s="60"/>
    </row>
    <row r="37">
      <c r="A37" s="45" t="s">
        <v>3171</v>
      </c>
      <c r="B37" s="60" t="s">
        <v>3194</v>
      </c>
      <c r="C37" s="125" t="s">
        <v>283</v>
      </c>
      <c r="D37" s="620" t="str">
        <f t="shared" si="5"/>
        <v>shop_pack_</v>
      </c>
      <c r="E37" s="608" t="str">
        <f t="shared" si="2"/>
        <v>00013</v>
      </c>
      <c r="F37" s="608" t="str">
        <f t="shared" si="3"/>
        <v>notice_shop_pack_00013</v>
      </c>
      <c r="G37" s="505"/>
      <c r="H37" s="60"/>
    </row>
    <row r="38">
      <c r="A38" s="45" t="s">
        <v>3179</v>
      </c>
      <c r="B38" s="60" t="s">
        <v>3155</v>
      </c>
      <c r="C38" s="125" t="s">
        <v>283</v>
      </c>
      <c r="D38" s="608" t="str">
        <f t="shared" si="5"/>
        <v>campaign_</v>
      </c>
      <c r="E38" s="608" t="str">
        <f t="shared" si="2"/>
        <v>00004</v>
      </c>
      <c r="F38" s="608" t="str">
        <f t="shared" si="3"/>
        <v>notice_campaign_00004</v>
      </c>
      <c r="G38" s="505"/>
      <c r="H38" s="60"/>
    </row>
    <row r="39">
      <c r="A39" s="45" t="s">
        <v>2454</v>
      </c>
      <c r="B39" s="60" t="s">
        <v>3195</v>
      </c>
      <c r="C39" s="46" t="s">
        <v>115</v>
      </c>
      <c r="D39" s="608" t="str">
        <f t="shared" si="5"/>
        <v>advent_kai_</v>
      </c>
      <c r="E39" s="608" t="str">
        <f t="shared" si="2"/>
        <v>00001</v>
      </c>
      <c r="F39" s="608" t="str">
        <f t="shared" si="3"/>
        <v>notice_advent_kai_00001</v>
      </c>
      <c r="G39" s="505"/>
      <c r="H39" s="60"/>
    </row>
    <row r="40">
      <c r="A40" s="45" t="s">
        <v>2454</v>
      </c>
      <c r="B40" s="60" t="s">
        <v>3196</v>
      </c>
      <c r="C40" s="46" t="s">
        <v>98</v>
      </c>
      <c r="D40" s="608" t="str">
        <f t="shared" si="5"/>
        <v>advent_mag_</v>
      </c>
      <c r="E40" s="608" t="str">
        <f t="shared" si="2"/>
        <v>00001</v>
      </c>
      <c r="F40" s="608" t="str">
        <f t="shared" si="3"/>
        <v>notice_advent_mag_00001</v>
      </c>
      <c r="G40" s="505"/>
      <c r="H40" s="60"/>
    </row>
    <row r="41">
      <c r="A41" s="45" t="s">
        <v>2454</v>
      </c>
      <c r="B41" s="60" t="s">
        <v>3197</v>
      </c>
      <c r="C41" s="46" t="s">
        <v>121</v>
      </c>
      <c r="D41" s="608" t="str">
        <f t="shared" si="5"/>
        <v>advent_yuw_</v>
      </c>
      <c r="E41" s="608" t="str">
        <f t="shared" si="2"/>
        <v>00001</v>
      </c>
      <c r="F41" s="608" t="str">
        <f t="shared" si="3"/>
        <v>notice_advent_yuw_00001</v>
      </c>
      <c r="G41" s="505"/>
      <c r="H41" s="60"/>
    </row>
    <row r="42">
      <c r="A42" s="45" t="s">
        <v>2454</v>
      </c>
      <c r="B42" s="60" t="s">
        <v>3198</v>
      </c>
      <c r="C42" s="46" t="s">
        <v>127</v>
      </c>
      <c r="D42" s="608" t="str">
        <f t="shared" si="5"/>
        <v>advent_sur_</v>
      </c>
      <c r="E42" s="608" t="str">
        <f t="shared" si="2"/>
        <v>00001</v>
      </c>
      <c r="F42" s="608" t="str">
        <f t="shared" si="3"/>
        <v>notice_advent_sur_00001</v>
      </c>
      <c r="G42" s="505"/>
      <c r="H42" s="60"/>
    </row>
    <row r="43">
      <c r="A43" s="45" t="s">
        <v>2454</v>
      </c>
      <c r="B43" s="60" t="s">
        <v>3199</v>
      </c>
      <c r="C43" s="46" t="s">
        <v>283</v>
      </c>
      <c r="D43" s="608" t="str">
        <f t="shared" si="5"/>
        <v>advent_glo_</v>
      </c>
      <c r="E43" s="608" t="str">
        <f t="shared" si="2"/>
        <v>00001</v>
      </c>
      <c r="F43" s="608" t="str">
        <f t="shared" si="3"/>
        <v>notice_advent_glo_00001</v>
      </c>
      <c r="G43" s="505"/>
      <c r="H43" s="60"/>
    </row>
    <row r="44">
      <c r="A44" s="45" t="s">
        <v>3171</v>
      </c>
      <c r="B44" s="60" t="s">
        <v>3127</v>
      </c>
      <c r="C44" s="46" t="s">
        <v>283</v>
      </c>
      <c r="D44" s="608" t="str">
        <f t="shared" si="5"/>
        <v>shop_pack_</v>
      </c>
      <c r="E44" s="608" t="str">
        <f t="shared" si="2"/>
        <v>00014</v>
      </c>
      <c r="F44" s="608" t="str">
        <f t="shared" si="3"/>
        <v>notice_shop_pack_00014</v>
      </c>
      <c r="G44" s="505"/>
      <c r="H44" s="60"/>
    </row>
    <row r="45">
      <c r="A45" s="45" t="s">
        <v>3175</v>
      </c>
      <c r="B45" s="60" t="s">
        <v>3065</v>
      </c>
      <c r="C45" s="125" t="s">
        <v>148</v>
      </c>
      <c r="D45" s="608" t="str">
        <f t="shared" si="5"/>
        <v>gacha_jig_</v>
      </c>
      <c r="E45" s="608" t="str">
        <f t="shared" si="2"/>
        <v>00001</v>
      </c>
      <c r="F45" s="608" t="str">
        <f t="shared" si="3"/>
        <v>notice_gacha_jig_00001</v>
      </c>
      <c r="G45" s="505"/>
      <c r="H45" s="60"/>
    </row>
    <row r="46">
      <c r="A46" s="45" t="s">
        <v>3175</v>
      </c>
      <c r="B46" s="60" t="s">
        <v>3066</v>
      </c>
      <c r="C46" s="125" t="s">
        <v>148</v>
      </c>
      <c r="D46" s="608" t="str">
        <f>switch(A46,"パス","shop_pass_","パック","shop_pack_","ガシャ","gacha_"&amp;C46&amp;"_","イベント","event_"&amp;C46&amp;"_","降臨バトル","advent_"&amp;C46&amp;"_","キャンペーン","campaign_","SNS","other_","その他","other_")</f>
        <v>gacha_jig_</v>
      </c>
      <c r="E46" s="608" t="str">
        <f t="shared" si="2"/>
        <v>00002</v>
      </c>
      <c r="F46" s="608" t="str">
        <f t="shared" si="3"/>
        <v>notice_gacha_jig_00002</v>
      </c>
      <c r="G46" s="505"/>
      <c r="H46" s="60"/>
    </row>
    <row r="47">
      <c r="A47" s="45" t="s">
        <v>3175</v>
      </c>
      <c r="B47" s="60" t="s">
        <v>3067</v>
      </c>
      <c r="C47" s="125" t="s">
        <v>162</v>
      </c>
      <c r="D47" s="608" t="str">
        <f>switch(A47,"パス","shop_pass_","パック","shop_pack_","ガシャ","gacha_"&amp;C47&amp;"_","イベント","event_"&amp;C47&amp;"_","降臨バトル","advent_"&amp;C47&amp;"_","キャンペーン","campaign_","その他","other_")</f>
        <v>gacha_you_</v>
      </c>
      <c r="E47" s="608" t="str">
        <f t="shared" si="2"/>
        <v>00001</v>
      </c>
      <c r="F47" s="608" t="str">
        <f t="shared" si="3"/>
        <v>notice_gacha_you_00001</v>
      </c>
      <c r="G47" s="505"/>
      <c r="H47" s="60"/>
    </row>
    <row r="48">
      <c r="A48" s="45"/>
      <c r="B48" s="60"/>
      <c r="C48" s="125"/>
      <c r="D48" s="608"/>
      <c r="E48" s="608"/>
      <c r="F48" s="608"/>
      <c r="G48" s="505"/>
      <c r="H48" s="60"/>
    </row>
    <row r="49">
      <c r="A49" s="45" t="s">
        <v>3200</v>
      </c>
      <c r="B49" s="60" t="s">
        <v>3201</v>
      </c>
      <c r="C49" s="46" t="s">
        <v>283</v>
      </c>
      <c r="D49" s="608" t="str">
        <f t="shared" ref="D49:D66" si="6">switch(A49,"パス","shop_pass_","パック","shop_pack_","ガシャ","gacha_"&amp;C49&amp;"_","イベント","event_"&amp;C49&amp;"_","降臨バトル","advent_"&amp;C49&amp;"_","キャンペーン","campaign_","SNS","sns_","その他","other_")</f>
        <v>sns_</v>
      </c>
      <c r="E49" s="608" t="str">
        <f t="shared" ref="E49:E109" si="7">text(countif(D$2:D49,D49),"00000")</f>
        <v>00001</v>
      </c>
      <c r="F49" s="608" t="str">
        <f t="shared" ref="F49:F109" si="8">"notice_"&amp;D49&amp;E49</f>
        <v>notice_sns_00001</v>
      </c>
      <c r="G49" s="505"/>
      <c r="H49" s="60"/>
    </row>
    <row r="50">
      <c r="A50" s="45" t="s">
        <v>3200</v>
      </c>
      <c r="B50" s="60" t="s">
        <v>3202</v>
      </c>
      <c r="C50" s="46" t="s">
        <v>283</v>
      </c>
      <c r="D50" s="608" t="str">
        <f t="shared" si="6"/>
        <v>sns_</v>
      </c>
      <c r="E50" s="608" t="str">
        <f t="shared" si="7"/>
        <v>00002</v>
      </c>
      <c r="F50" s="608" t="str">
        <f t="shared" si="8"/>
        <v>notice_sns_00002</v>
      </c>
      <c r="G50" s="505"/>
      <c r="H50" s="60"/>
    </row>
    <row r="51">
      <c r="A51" s="45" t="s">
        <v>3179</v>
      </c>
      <c r="B51" s="60" t="s">
        <v>3203</v>
      </c>
      <c r="C51" s="46" t="s">
        <v>283</v>
      </c>
      <c r="D51" s="608" t="str">
        <f t="shared" si="6"/>
        <v>campaign_</v>
      </c>
      <c r="E51" s="608" t="str">
        <f t="shared" si="7"/>
        <v>00005</v>
      </c>
      <c r="F51" s="608" t="str">
        <f t="shared" si="8"/>
        <v>notice_campaign_00005</v>
      </c>
      <c r="G51" s="505"/>
      <c r="H51" s="60"/>
    </row>
    <row r="52">
      <c r="A52" s="45" t="s">
        <v>3200</v>
      </c>
      <c r="B52" s="60" t="s">
        <v>3204</v>
      </c>
      <c r="C52" s="46" t="s">
        <v>283</v>
      </c>
      <c r="D52" s="608" t="str">
        <f t="shared" si="6"/>
        <v>sns_</v>
      </c>
      <c r="E52" s="608" t="str">
        <f t="shared" si="7"/>
        <v>00003</v>
      </c>
      <c r="F52" s="608" t="str">
        <f t="shared" si="8"/>
        <v>notice_sns_00003</v>
      </c>
      <c r="G52" s="505"/>
      <c r="H52" s="60"/>
    </row>
    <row r="53">
      <c r="A53" s="45" t="s">
        <v>3200</v>
      </c>
      <c r="B53" s="60" t="s">
        <v>3205</v>
      </c>
      <c r="C53" s="46" t="s">
        <v>283</v>
      </c>
      <c r="D53" s="608" t="str">
        <f t="shared" si="6"/>
        <v>sns_</v>
      </c>
      <c r="E53" s="608" t="str">
        <f t="shared" si="7"/>
        <v>00004</v>
      </c>
      <c r="F53" s="608" t="str">
        <f t="shared" si="8"/>
        <v>notice_sns_00004</v>
      </c>
      <c r="G53" s="505"/>
      <c r="H53" s="60"/>
    </row>
    <row r="54">
      <c r="A54" s="45" t="s">
        <v>3200</v>
      </c>
      <c r="B54" s="60" t="s">
        <v>3206</v>
      </c>
      <c r="C54" s="46" t="s">
        <v>283</v>
      </c>
      <c r="D54" s="608" t="str">
        <f t="shared" si="6"/>
        <v>sns_</v>
      </c>
      <c r="E54" s="608" t="str">
        <f t="shared" si="7"/>
        <v>00005</v>
      </c>
      <c r="F54" s="608" t="str">
        <f t="shared" si="8"/>
        <v>notice_sns_00005</v>
      </c>
      <c r="G54" s="505"/>
      <c r="H54" s="60"/>
    </row>
    <row r="55">
      <c r="A55" s="45" t="s">
        <v>3179</v>
      </c>
      <c r="B55" s="60" t="s">
        <v>3207</v>
      </c>
      <c r="C55" s="46" t="s">
        <v>283</v>
      </c>
      <c r="D55" s="608" t="str">
        <f t="shared" si="6"/>
        <v>campaign_</v>
      </c>
      <c r="E55" s="608" t="str">
        <f t="shared" si="7"/>
        <v>00006</v>
      </c>
      <c r="F55" s="608" t="str">
        <f t="shared" si="8"/>
        <v>notice_campaign_00006</v>
      </c>
      <c r="G55" s="505"/>
      <c r="H55" s="60"/>
    </row>
    <row r="56">
      <c r="A56" s="45" t="s">
        <v>3200</v>
      </c>
      <c r="B56" s="60" t="s">
        <v>3208</v>
      </c>
      <c r="C56" s="46" t="s">
        <v>283</v>
      </c>
      <c r="D56" s="608" t="str">
        <f t="shared" si="6"/>
        <v>sns_</v>
      </c>
      <c r="E56" s="608" t="str">
        <f t="shared" si="7"/>
        <v>00006</v>
      </c>
      <c r="F56" s="608" t="str">
        <f t="shared" si="8"/>
        <v>notice_sns_00006</v>
      </c>
      <c r="G56" s="505"/>
      <c r="H56" s="60"/>
    </row>
    <row r="57">
      <c r="A57" s="45" t="s">
        <v>3200</v>
      </c>
      <c r="B57" s="621" t="s">
        <v>3209</v>
      </c>
      <c r="C57" s="46" t="s">
        <v>283</v>
      </c>
      <c r="D57" s="608" t="str">
        <f t="shared" si="6"/>
        <v>sns_</v>
      </c>
      <c r="E57" s="608" t="str">
        <f t="shared" si="7"/>
        <v>00007</v>
      </c>
      <c r="F57" s="608" t="str">
        <f t="shared" si="8"/>
        <v>notice_sns_00007</v>
      </c>
      <c r="G57" s="505"/>
      <c r="H57" s="60"/>
    </row>
    <row r="58">
      <c r="A58" s="45" t="s">
        <v>3200</v>
      </c>
      <c r="B58" s="621" t="s">
        <v>3210</v>
      </c>
      <c r="C58" s="46" t="s">
        <v>283</v>
      </c>
      <c r="D58" s="608" t="str">
        <f t="shared" si="6"/>
        <v>sns_</v>
      </c>
      <c r="E58" s="608" t="str">
        <f t="shared" si="7"/>
        <v>00008</v>
      </c>
      <c r="F58" s="608" t="str">
        <f t="shared" si="8"/>
        <v>notice_sns_00008</v>
      </c>
      <c r="G58" s="505"/>
      <c r="H58" s="60"/>
    </row>
    <row r="59">
      <c r="A59" s="45" t="s">
        <v>3200</v>
      </c>
      <c r="B59" s="621" t="s">
        <v>3211</v>
      </c>
      <c r="C59" s="46" t="s">
        <v>283</v>
      </c>
      <c r="D59" s="608" t="str">
        <f t="shared" si="6"/>
        <v>sns_</v>
      </c>
      <c r="E59" s="608" t="str">
        <f t="shared" si="7"/>
        <v>00009</v>
      </c>
      <c r="F59" s="608" t="str">
        <f t="shared" si="8"/>
        <v>notice_sns_00009</v>
      </c>
      <c r="G59" s="505"/>
      <c r="H59" s="60"/>
    </row>
    <row r="60">
      <c r="A60" s="45" t="s">
        <v>3200</v>
      </c>
      <c r="B60" s="621" t="s">
        <v>3212</v>
      </c>
      <c r="C60" s="46" t="s">
        <v>283</v>
      </c>
      <c r="D60" s="608" t="str">
        <f t="shared" si="6"/>
        <v>sns_</v>
      </c>
      <c r="E60" s="608" t="str">
        <f t="shared" si="7"/>
        <v>00010</v>
      </c>
      <c r="F60" s="608" t="str">
        <f t="shared" si="8"/>
        <v>notice_sns_00010</v>
      </c>
      <c r="G60" s="505"/>
      <c r="H60" s="60"/>
    </row>
    <row r="61">
      <c r="A61" s="45" t="s">
        <v>3179</v>
      </c>
      <c r="B61" s="621" t="s">
        <v>3213</v>
      </c>
      <c r="C61" s="46" t="s">
        <v>158</v>
      </c>
      <c r="D61" s="608" t="str">
        <f t="shared" si="6"/>
        <v>campaign_</v>
      </c>
      <c r="E61" s="608" t="str">
        <f t="shared" si="7"/>
        <v>00007</v>
      </c>
      <c r="F61" s="608" t="str">
        <f t="shared" si="8"/>
        <v>notice_campaign_00007</v>
      </c>
      <c r="G61" s="505"/>
      <c r="H61" s="60"/>
    </row>
    <row r="62">
      <c r="A62" s="45" t="s">
        <v>3179</v>
      </c>
      <c r="B62" s="60" t="s">
        <v>3214</v>
      </c>
      <c r="C62" s="46" t="s">
        <v>283</v>
      </c>
      <c r="D62" s="608" t="str">
        <f t="shared" si="6"/>
        <v>campaign_</v>
      </c>
      <c r="E62" s="608" t="str">
        <f t="shared" si="7"/>
        <v>00008</v>
      </c>
      <c r="F62" s="608" t="str">
        <f t="shared" si="8"/>
        <v>notice_campaign_00008</v>
      </c>
      <c r="G62" s="505"/>
      <c r="H62" s="60"/>
    </row>
    <row r="63">
      <c r="A63" s="45" t="s">
        <v>3200</v>
      </c>
      <c r="B63" s="60" t="s">
        <v>3215</v>
      </c>
      <c r="C63" s="46" t="s">
        <v>283</v>
      </c>
      <c r="D63" s="608" t="str">
        <f t="shared" si="6"/>
        <v>sns_</v>
      </c>
      <c r="E63" s="608" t="str">
        <f t="shared" si="7"/>
        <v>00011</v>
      </c>
      <c r="F63" s="608" t="str">
        <f t="shared" si="8"/>
        <v>notice_sns_00011</v>
      </c>
      <c r="G63" s="505"/>
      <c r="H63" s="60"/>
    </row>
    <row r="64">
      <c r="A64" s="45" t="s">
        <v>3179</v>
      </c>
      <c r="B64" s="621" t="s">
        <v>3216</v>
      </c>
      <c r="C64" s="46" t="s">
        <v>283</v>
      </c>
      <c r="D64" s="608" t="str">
        <f t="shared" si="6"/>
        <v>campaign_</v>
      </c>
      <c r="E64" s="608" t="str">
        <f t="shared" si="7"/>
        <v>00009</v>
      </c>
      <c r="F64" s="608" t="str">
        <f t="shared" si="8"/>
        <v>notice_campaign_00009</v>
      </c>
      <c r="G64" s="505"/>
      <c r="H64" s="60"/>
    </row>
    <row r="65">
      <c r="A65" s="45" t="s">
        <v>3179</v>
      </c>
      <c r="B65" s="621" t="s">
        <v>3217</v>
      </c>
      <c r="C65" s="46" t="s">
        <v>283</v>
      </c>
      <c r="D65" s="608" t="str">
        <f t="shared" si="6"/>
        <v>campaign_</v>
      </c>
      <c r="E65" s="608" t="str">
        <f t="shared" si="7"/>
        <v>00010</v>
      </c>
      <c r="F65" s="608" t="str">
        <f t="shared" si="8"/>
        <v>notice_campaign_00010</v>
      </c>
      <c r="G65" s="505"/>
      <c r="H65" s="60"/>
    </row>
    <row r="66">
      <c r="A66" s="45" t="s">
        <v>3179</v>
      </c>
      <c r="B66" s="621" t="s">
        <v>3218</v>
      </c>
      <c r="C66" s="46" t="s">
        <v>283</v>
      </c>
      <c r="D66" s="608" t="str">
        <f t="shared" si="6"/>
        <v>campaign_</v>
      </c>
      <c r="E66" s="608" t="str">
        <f t="shared" si="7"/>
        <v>00011</v>
      </c>
      <c r="F66" s="608" t="str">
        <f t="shared" si="8"/>
        <v>notice_campaign_00011</v>
      </c>
      <c r="G66" s="505"/>
      <c r="H66" s="60"/>
    </row>
    <row r="67">
      <c r="A67" s="45" t="s">
        <v>2454</v>
      </c>
      <c r="B67" s="60" t="s">
        <v>3219</v>
      </c>
      <c r="C67" s="46" t="s">
        <v>158</v>
      </c>
      <c r="D67" s="608" t="str">
        <f>switch(A67,"パス","shop_pass_","パック","shop_pack_","ガシャ","gacha_"&amp;C67&amp;"_","イベント","event_"&amp;C67&amp;"_","降臨バトル","advent_"&amp;C67&amp;"_","キャンペーン","campaign_","その他","other_")</f>
        <v>advent_osh_</v>
      </c>
      <c r="E67" s="608" t="str">
        <f t="shared" si="7"/>
        <v>00001</v>
      </c>
      <c r="F67" s="608" t="str">
        <f t="shared" si="8"/>
        <v>notice_advent_osh_00001</v>
      </c>
      <c r="G67" s="505"/>
      <c r="H67" s="60"/>
    </row>
    <row r="68">
      <c r="A68" s="45" t="s">
        <v>3180</v>
      </c>
      <c r="B68" s="60" t="s">
        <v>3220</v>
      </c>
      <c r="C68" s="46" t="s">
        <v>283</v>
      </c>
      <c r="D68" s="608" t="str">
        <f t="shared" ref="D68:D71" si="9">switch(A68,"パス","shop_pass_","パック","shop_pack_","ガシャ","gacha_"&amp;C68&amp;"_","イベント","event_"&amp;C68&amp;"_","降臨バトル","advent_"&amp;C68&amp;"_","キャンペーン","campaign_","SNS","sns_","その他","other_")</f>
        <v>other_</v>
      </c>
      <c r="E68" s="608" t="str">
        <f t="shared" si="7"/>
        <v>00003</v>
      </c>
      <c r="F68" s="608" t="str">
        <f t="shared" si="8"/>
        <v>notice_other_00003</v>
      </c>
      <c r="G68" s="505"/>
      <c r="H68" s="60"/>
    </row>
    <row r="69">
      <c r="A69" s="45" t="s">
        <v>3175</v>
      </c>
      <c r="B69" s="60" t="s">
        <v>3221</v>
      </c>
      <c r="C69" s="46" t="s">
        <v>283</v>
      </c>
      <c r="D69" s="608" t="str">
        <f t="shared" si="9"/>
        <v>gacha_glo_</v>
      </c>
      <c r="E69" s="608" t="str">
        <f t="shared" si="7"/>
        <v>00002</v>
      </c>
      <c r="F69" s="608" t="str">
        <f t="shared" si="8"/>
        <v>notice_gacha_glo_00002</v>
      </c>
      <c r="G69" s="505"/>
      <c r="H69" s="60"/>
    </row>
    <row r="70">
      <c r="A70" s="45" t="s">
        <v>3175</v>
      </c>
      <c r="B70" s="60" t="s">
        <v>3222</v>
      </c>
      <c r="C70" s="46" t="s">
        <v>158</v>
      </c>
      <c r="D70" s="608" t="str">
        <f t="shared" si="9"/>
        <v>gacha_osh_</v>
      </c>
      <c r="E70" s="608" t="str">
        <f t="shared" si="7"/>
        <v>00001</v>
      </c>
      <c r="F70" s="608" t="str">
        <f t="shared" si="8"/>
        <v>notice_gacha_osh_00001</v>
      </c>
      <c r="G70" s="505"/>
      <c r="H70" s="60"/>
    </row>
    <row r="71">
      <c r="A71" s="45" t="s">
        <v>3175</v>
      </c>
      <c r="B71" s="60" t="s">
        <v>3223</v>
      </c>
      <c r="C71" s="46" t="s">
        <v>158</v>
      </c>
      <c r="D71" s="608" t="str">
        <f t="shared" si="9"/>
        <v>gacha_osh_</v>
      </c>
      <c r="E71" s="608" t="str">
        <f t="shared" si="7"/>
        <v>00002</v>
      </c>
      <c r="F71" s="608" t="str">
        <f t="shared" si="8"/>
        <v>notice_gacha_osh_00002</v>
      </c>
      <c r="G71" s="505"/>
      <c r="H71" s="60"/>
    </row>
    <row r="72">
      <c r="A72" s="454" t="s">
        <v>3101</v>
      </c>
      <c r="B72" s="622" t="s">
        <v>3224</v>
      </c>
      <c r="C72" s="46" t="s">
        <v>158</v>
      </c>
      <c r="D72" s="608" t="str">
        <f>switch(A72,"パス","shop_pass_","パック","shop_pack_","ガシャ","gacha_"&amp;C72&amp;"_","イベント","event_"&amp;C72&amp;"_","降臨バトル","advent_"&amp;C72&amp;"_","キャンペーン","campaign_","SNS","sns_","その他","other_","交換所","exchange_"&amp;C72&amp;"_")</f>
        <v>exchange_osh_</v>
      </c>
      <c r="E72" s="608" t="str">
        <f t="shared" si="7"/>
        <v>00001</v>
      </c>
      <c r="F72" s="608" t="str">
        <f t="shared" si="8"/>
        <v>notice_exchange_osh_00001</v>
      </c>
      <c r="G72" s="623"/>
      <c r="H72" s="622"/>
    </row>
    <row r="73">
      <c r="A73" s="454" t="s">
        <v>3200</v>
      </c>
      <c r="B73" s="622" t="s">
        <v>3225</v>
      </c>
      <c r="C73" s="401" t="s">
        <v>158</v>
      </c>
      <c r="D73" s="608" t="str">
        <f t="shared" ref="D73:D80" si="10">switch(A73,"パス","shop_pass_","パック","shop_pack_","ガシャ","gacha_"&amp;C73&amp;"_","イベント","event_"&amp;C73&amp;"_","降臨バトル","advent_"&amp;C73&amp;"_","キャンペーン","campaign_","SNS","sns_","その他","other_")</f>
        <v>sns_</v>
      </c>
      <c r="E73" s="608" t="str">
        <f t="shared" si="7"/>
        <v>00012</v>
      </c>
      <c r="F73" s="608" t="str">
        <f t="shared" si="8"/>
        <v>notice_sns_00012</v>
      </c>
      <c r="G73" s="623"/>
      <c r="H73" s="622"/>
    </row>
    <row r="74">
      <c r="A74" s="454" t="s">
        <v>3200</v>
      </c>
      <c r="B74" s="60" t="s">
        <v>3226</v>
      </c>
      <c r="C74" s="401" t="s">
        <v>158</v>
      </c>
      <c r="D74" s="608" t="str">
        <f t="shared" si="10"/>
        <v>sns_</v>
      </c>
      <c r="E74" s="608" t="str">
        <f t="shared" si="7"/>
        <v>00013</v>
      </c>
      <c r="F74" s="608" t="str">
        <f t="shared" si="8"/>
        <v>notice_sns_00013</v>
      </c>
      <c r="G74" s="505"/>
      <c r="H74" s="60"/>
    </row>
    <row r="75">
      <c r="A75" s="454" t="s">
        <v>3200</v>
      </c>
      <c r="B75" s="60" t="s">
        <v>3227</v>
      </c>
      <c r="C75" s="401" t="s">
        <v>158</v>
      </c>
      <c r="D75" s="608" t="str">
        <f t="shared" si="10"/>
        <v>sns_</v>
      </c>
      <c r="E75" s="608" t="str">
        <f t="shared" si="7"/>
        <v>00014</v>
      </c>
      <c r="F75" s="608" t="str">
        <f t="shared" si="8"/>
        <v>notice_sns_00014</v>
      </c>
      <c r="G75" s="505"/>
      <c r="H75" s="60"/>
    </row>
    <row r="76">
      <c r="A76" s="454" t="s">
        <v>3200</v>
      </c>
      <c r="B76" s="60" t="s">
        <v>3228</v>
      </c>
      <c r="C76" s="401" t="s">
        <v>158</v>
      </c>
      <c r="D76" s="608" t="str">
        <f t="shared" si="10"/>
        <v>sns_</v>
      </c>
      <c r="E76" s="608" t="str">
        <f t="shared" si="7"/>
        <v>00015</v>
      </c>
      <c r="F76" s="608" t="str">
        <f t="shared" si="8"/>
        <v>notice_sns_00015</v>
      </c>
      <c r="G76" s="505"/>
      <c r="H76" s="60"/>
    </row>
    <row r="77">
      <c r="A77" s="454" t="s">
        <v>3200</v>
      </c>
      <c r="B77" s="60" t="s">
        <v>3229</v>
      </c>
      <c r="C77" s="401" t="s">
        <v>158</v>
      </c>
      <c r="D77" s="608" t="str">
        <f t="shared" si="10"/>
        <v>sns_</v>
      </c>
      <c r="E77" s="608" t="str">
        <f t="shared" si="7"/>
        <v>00016</v>
      </c>
      <c r="F77" s="608" t="str">
        <f t="shared" si="8"/>
        <v>notice_sns_00016</v>
      </c>
      <c r="G77" s="505"/>
      <c r="H77" s="60"/>
      <c r="I77" s="624"/>
      <c r="J77" s="624"/>
      <c r="K77" s="624"/>
    </row>
    <row r="78">
      <c r="A78" s="45" t="s">
        <v>3200</v>
      </c>
      <c r="B78" s="60" t="s">
        <v>3230</v>
      </c>
      <c r="C78" s="401" t="s">
        <v>158</v>
      </c>
      <c r="D78" s="608" t="str">
        <f t="shared" si="10"/>
        <v>sns_</v>
      </c>
      <c r="E78" s="608" t="str">
        <f t="shared" si="7"/>
        <v>00017</v>
      </c>
      <c r="F78" s="608" t="str">
        <f t="shared" si="8"/>
        <v>notice_sns_00017</v>
      </c>
      <c r="G78" s="505"/>
      <c r="H78" s="60"/>
    </row>
    <row r="79">
      <c r="A79" s="45" t="s">
        <v>3175</v>
      </c>
      <c r="B79" s="60" t="s">
        <v>3231</v>
      </c>
      <c r="C79" s="46" t="s">
        <v>283</v>
      </c>
      <c r="D79" s="608" t="str">
        <f t="shared" si="10"/>
        <v>gacha_glo_</v>
      </c>
      <c r="E79" s="608" t="str">
        <f t="shared" si="7"/>
        <v>00003</v>
      </c>
      <c r="F79" s="608" t="str">
        <f t="shared" si="8"/>
        <v>notice_gacha_glo_00003</v>
      </c>
      <c r="G79" s="505"/>
      <c r="H79" s="60"/>
    </row>
    <row r="80">
      <c r="A80" s="45" t="s">
        <v>3200</v>
      </c>
      <c r="B80" s="60" t="s">
        <v>3232</v>
      </c>
      <c r="C80" s="46" t="s">
        <v>283</v>
      </c>
      <c r="D80" s="608" t="str">
        <f t="shared" si="10"/>
        <v>sns_</v>
      </c>
      <c r="E80" s="608" t="str">
        <f t="shared" si="7"/>
        <v>00018</v>
      </c>
      <c r="F80" s="608" t="str">
        <f t="shared" si="8"/>
        <v>notice_sns_00018</v>
      </c>
      <c r="G80" s="505"/>
      <c r="H80" s="60"/>
    </row>
    <row r="81">
      <c r="A81" s="45" t="s">
        <v>3179</v>
      </c>
      <c r="B81" s="60" t="s">
        <v>3233</v>
      </c>
      <c r="C81" s="46" t="s">
        <v>283</v>
      </c>
      <c r="D81" s="608" t="str">
        <f>switch(A81,"パス","shop_pass_","パック","shop_pack_","ガシャ","gacha_"&amp;C83&amp;"_","イベント","event_"&amp;C83&amp;"_","降臨バトル","advent_"&amp;C83&amp;"_","キャンペーン","campaign_","SNS","sns_","その他","other_")</f>
        <v>campaign_</v>
      </c>
      <c r="E81" s="608" t="str">
        <f t="shared" si="7"/>
        <v>00012</v>
      </c>
      <c r="F81" s="608" t="str">
        <f t="shared" si="8"/>
        <v>notice_campaign_00012</v>
      </c>
      <c r="G81" s="505"/>
      <c r="H81" s="60"/>
      <c r="I81" s="624"/>
      <c r="J81" s="624"/>
      <c r="K81" s="624"/>
    </row>
    <row r="82">
      <c r="A82" s="45" t="s">
        <v>3179</v>
      </c>
      <c r="B82" s="60" t="s">
        <v>3234</v>
      </c>
      <c r="C82" s="46" t="s">
        <v>283</v>
      </c>
      <c r="D82" s="608" t="str">
        <f>switch(A82,"パス","shop_pass_","パック","shop_pack_","ガシャ","gacha_"&amp;C82&amp;"_","イベント","event_"&amp;C82&amp;"_","降臨バトル","advent_"&amp;C82&amp;"_","キャンペーン","campaign_","SNS","sns_","その他","other_")</f>
        <v>campaign_</v>
      </c>
      <c r="E82" s="608" t="str">
        <f t="shared" si="7"/>
        <v>00013</v>
      </c>
      <c r="F82" s="608" t="str">
        <f t="shared" si="8"/>
        <v>notice_campaign_00013</v>
      </c>
      <c r="G82" s="505"/>
      <c r="H82" s="60"/>
    </row>
    <row r="83">
      <c r="A83" s="45" t="s">
        <v>3180</v>
      </c>
      <c r="B83" s="60" t="s">
        <v>3235</v>
      </c>
      <c r="C83" s="46" t="s">
        <v>283</v>
      </c>
      <c r="D83" s="608" t="str">
        <f>switch(A83,"パス","shop_pass_","パック","shop_pack_","ガシャ","gacha_"&amp;#REF!&amp;"_","イベント","event_"&amp;#REF!&amp;"_","降臨バトル","advent_"&amp;#REF!&amp;"_","キャンペーン","campaign_","SNS","sns_","その他","other_")</f>
        <v>other_</v>
      </c>
      <c r="E83" s="608" t="str">
        <f t="shared" si="7"/>
        <v>00004</v>
      </c>
      <c r="F83" s="608" t="str">
        <f t="shared" si="8"/>
        <v>notice_other_00004</v>
      </c>
      <c r="G83" s="505"/>
      <c r="H83" s="60"/>
    </row>
    <row r="84">
      <c r="A84" s="45" t="s">
        <v>3175</v>
      </c>
      <c r="B84" s="60" t="s">
        <v>3236</v>
      </c>
      <c r="C84" s="46" t="s">
        <v>283</v>
      </c>
      <c r="D84" s="608" t="str">
        <f t="shared" ref="D84:D85" si="11">switch(A84,"パス","shop_pass_","パック","shop_pack_","ガシャ","gacha_"&amp;C84&amp;"_","イベント","event_"&amp;C84&amp;"_","降臨バトル","advent_"&amp;C84&amp;"_","キャンペーン","campaign_","SNS","sns_","その他","other_")</f>
        <v>gacha_glo_</v>
      </c>
      <c r="E84" s="608" t="str">
        <f t="shared" si="7"/>
        <v>00004</v>
      </c>
      <c r="F84" s="608" t="str">
        <f t="shared" si="8"/>
        <v>notice_gacha_glo_00004</v>
      </c>
      <c r="G84" s="505"/>
      <c r="H84" s="60"/>
    </row>
    <row r="85">
      <c r="A85" s="45" t="s">
        <v>3175</v>
      </c>
      <c r="B85" s="60" t="s">
        <v>3237</v>
      </c>
      <c r="C85" s="46" t="s">
        <v>283</v>
      </c>
      <c r="D85" s="608" t="str">
        <f t="shared" si="11"/>
        <v>gacha_glo_</v>
      </c>
      <c r="E85" s="608" t="str">
        <f t="shared" si="7"/>
        <v>00005</v>
      </c>
      <c r="F85" s="608" t="str">
        <f t="shared" si="8"/>
        <v>notice_gacha_glo_00005</v>
      </c>
      <c r="G85" s="505"/>
      <c r="H85" s="60"/>
      <c r="I85" s="624"/>
      <c r="J85" s="624"/>
      <c r="K85" s="624"/>
    </row>
    <row r="86">
      <c r="A86" s="45" t="s">
        <v>3171</v>
      </c>
      <c r="B86" s="60" t="s">
        <v>3238</v>
      </c>
      <c r="C86" s="125" t="s">
        <v>283</v>
      </c>
      <c r="D86" s="608" t="str">
        <f t="shared" ref="D86:D89" si="12">switch(A86,"パス","shop_pass_","パック","shop_pack_","ガシャ","gacha_"&amp;C86&amp;"_","イベント","event_"&amp;C86&amp;"_","降臨バトル","advent_"&amp;C86&amp;"_","キャンペーン","campaign_","その他","other_")</f>
        <v>shop_pack_</v>
      </c>
      <c r="E86" s="608" t="str">
        <f t="shared" si="7"/>
        <v>00015</v>
      </c>
      <c r="F86" s="608" t="str">
        <f t="shared" si="8"/>
        <v>notice_shop_pack_00015</v>
      </c>
      <c r="G86" s="505"/>
      <c r="H86" s="60"/>
    </row>
    <row r="87">
      <c r="A87" s="45" t="s">
        <v>3171</v>
      </c>
      <c r="B87" s="60" t="s">
        <v>3239</v>
      </c>
      <c r="C87" s="125" t="s">
        <v>283</v>
      </c>
      <c r="D87" s="608" t="str">
        <f t="shared" si="12"/>
        <v>shop_pack_</v>
      </c>
      <c r="E87" s="608" t="str">
        <f t="shared" si="7"/>
        <v>00016</v>
      </c>
      <c r="F87" s="608" t="str">
        <f t="shared" si="8"/>
        <v>notice_shop_pack_00016</v>
      </c>
      <c r="G87" s="505"/>
      <c r="H87" s="60"/>
    </row>
    <row r="88">
      <c r="A88" s="45" t="s">
        <v>3171</v>
      </c>
      <c r="B88" s="60" t="s">
        <v>3240</v>
      </c>
      <c r="C88" s="125" t="s">
        <v>283</v>
      </c>
      <c r="D88" s="620" t="str">
        <f t="shared" si="12"/>
        <v>shop_pack_</v>
      </c>
      <c r="E88" s="608" t="str">
        <f t="shared" si="7"/>
        <v>00017</v>
      </c>
      <c r="F88" s="608" t="str">
        <f t="shared" si="8"/>
        <v>notice_shop_pack_00017</v>
      </c>
      <c r="G88" s="505"/>
      <c r="H88" s="60"/>
    </row>
    <row r="89">
      <c r="A89" s="45" t="s">
        <v>3171</v>
      </c>
      <c r="B89" s="60" t="s">
        <v>3241</v>
      </c>
      <c r="C89" s="125" t="s">
        <v>283</v>
      </c>
      <c r="D89" s="620" t="str">
        <f t="shared" si="12"/>
        <v>shop_pack_</v>
      </c>
      <c r="E89" s="608" t="str">
        <f t="shared" si="7"/>
        <v>00018</v>
      </c>
      <c r="F89" s="608" t="str">
        <f t="shared" si="8"/>
        <v>notice_shop_pack_00018</v>
      </c>
      <c r="G89" s="505"/>
      <c r="H89" s="60"/>
    </row>
    <row r="90">
      <c r="A90" s="45" t="s">
        <v>3171</v>
      </c>
      <c r="B90" s="60" t="s">
        <v>3130</v>
      </c>
      <c r="C90" s="46" t="s">
        <v>283</v>
      </c>
      <c r="D90" s="608" t="str">
        <f>switch(A90,"パス","shop_pass_","パック","shop_pack_","ガシャ","gacha_"&amp;C90&amp;"_","イベント","event_"&amp;C90&amp;"_","降臨バトル","advent_"&amp;C90&amp;"_","キャンペーン","campaign_","SNS","sns_","その他","other_")</f>
        <v>shop_pack_</v>
      </c>
      <c r="E90" s="608" t="str">
        <f t="shared" si="7"/>
        <v>00019</v>
      </c>
      <c r="F90" s="608" t="str">
        <f t="shared" si="8"/>
        <v>notice_shop_pack_00019</v>
      </c>
      <c r="G90" s="505"/>
      <c r="H90" s="60"/>
      <c r="I90" s="624"/>
      <c r="J90" s="624"/>
      <c r="K90" s="624"/>
    </row>
    <row r="91">
      <c r="A91" s="45" t="s">
        <v>3179</v>
      </c>
      <c r="B91" s="60" t="s">
        <v>3156</v>
      </c>
      <c r="C91" s="125" t="s">
        <v>283</v>
      </c>
      <c r="D91" s="608" t="str">
        <f>switch(A91,"パス","shop_pass_","パック","shop_pack_","ガシャ","gacha_"&amp;C91&amp;"_","イベント","event_"&amp;C91&amp;"_","降臨バトル","advent_"&amp;C91&amp;"_","キャンペーン","campaign_","その他","other_")</f>
        <v>campaign_</v>
      </c>
      <c r="E91" s="608" t="str">
        <f t="shared" si="7"/>
        <v>00014</v>
      </c>
      <c r="F91" s="608" t="str">
        <f t="shared" si="8"/>
        <v>notice_campaign_00014</v>
      </c>
      <c r="G91" s="505"/>
      <c r="H91" s="60"/>
    </row>
    <row r="92">
      <c r="A92" s="45" t="s">
        <v>3173</v>
      </c>
      <c r="B92" s="60" t="s">
        <v>3151</v>
      </c>
      <c r="C92" s="46" t="s">
        <v>283</v>
      </c>
      <c r="D92" s="608" t="str">
        <f t="shared" ref="D92:D93" si="13">switch(A92,"パス","shop_pass_","パック","shop_pack_","ガシャ","gacha_"&amp;C92&amp;"_","イベント","event_"&amp;C92&amp;"_","降臨バトル","advent_"&amp;C92&amp;"_","キャンペーン","campaign_","SNS","sns_","その他","other_")</f>
        <v>shop_pass_</v>
      </c>
      <c r="E92" s="608" t="str">
        <f t="shared" si="7"/>
        <v>00004</v>
      </c>
      <c r="F92" s="608" t="str">
        <f t="shared" si="8"/>
        <v>notice_shop_pass_00004</v>
      </c>
      <c r="G92" s="505"/>
      <c r="H92" s="60"/>
      <c r="I92" s="624"/>
      <c r="J92" s="624"/>
      <c r="K92" s="624"/>
    </row>
    <row r="93">
      <c r="A93" s="45" t="s">
        <v>3180</v>
      </c>
      <c r="B93" s="60" t="s">
        <v>3242</v>
      </c>
      <c r="C93" s="46" t="s">
        <v>283</v>
      </c>
      <c r="D93" s="608" t="str">
        <f t="shared" si="13"/>
        <v>other_</v>
      </c>
      <c r="E93" s="608" t="str">
        <f t="shared" si="7"/>
        <v>00005</v>
      </c>
      <c r="F93" s="608" t="str">
        <f t="shared" si="8"/>
        <v>notice_other_00005</v>
      </c>
      <c r="G93" s="505"/>
      <c r="H93" s="60"/>
      <c r="I93" s="624"/>
      <c r="J93" s="624"/>
      <c r="K93" s="624"/>
    </row>
    <row r="94">
      <c r="A94" s="45" t="s">
        <v>3175</v>
      </c>
      <c r="B94" s="60" t="s">
        <v>3068</v>
      </c>
      <c r="C94" s="125" t="s">
        <v>166</v>
      </c>
      <c r="D94" s="608" t="str">
        <f>switch(A94,"パス","shop_pass_","パック","shop_pack_","ガシャ","gacha_"&amp;C94&amp;"_","イベント","event_"&amp;C94&amp;"_","降臨バトル","advent_"&amp;C94&amp;"_","キャンペーン","campaign_","その他","other_")</f>
        <v>gacha_kim_</v>
      </c>
      <c r="E94" s="608" t="str">
        <f t="shared" si="7"/>
        <v>00001</v>
      </c>
      <c r="F94" s="608" t="str">
        <f t="shared" si="8"/>
        <v>notice_gacha_kim_00001</v>
      </c>
      <c r="G94" s="505"/>
      <c r="H94" s="60"/>
      <c r="I94" s="624"/>
      <c r="J94" s="624"/>
      <c r="K94" s="624"/>
    </row>
    <row r="95">
      <c r="A95" s="45" t="s">
        <v>3175</v>
      </c>
      <c r="B95" s="60" t="s">
        <v>3243</v>
      </c>
      <c r="C95" s="46" t="s">
        <v>283</v>
      </c>
      <c r="D95" s="608" t="str">
        <f>switch(A95,"パス","shop_pass_","パック","shop_pack_","ガシャ","gacha_"&amp;C95&amp;"_","イベント","event_"&amp;C95&amp;"_","降臨バトル","advent_"&amp;C95&amp;"_","キャンペーン","campaign_","SNS","sns_","その他","other_")</f>
        <v>gacha_glo_</v>
      </c>
      <c r="E95" s="608" t="str">
        <f t="shared" si="7"/>
        <v>00006</v>
      </c>
      <c r="F95" s="608" t="str">
        <f t="shared" si="8"/>
        <v>notice_gacha_glo_00006</v>
      </c>
      <c r="G95" s="505"/>
      <c r="H95" s="60"/>
      <c r="I95" s="624"/>
      <c r="J95" s="624"/>
      <c r="K95" s="624"/>
    </row>
    <row r="96">
      <c r="A96" s="45" t="s">
        <v>3171</v>
      </c>
      <c r="B96" s="60" t="s">
        <v>3244</v>
      </c>
      <c r="C96" s="125" t="s">
        <v>283</v>
      </c>
      <c r="D96" s="620" t="str">
        <f>switch(A96,"パス","shop_pass_","パック","shop_pack_","ガシャ","gacha_"&amp;C96&amp;"_","イベント","event_"&amp;C96&amp;"_","降臨バトル","advent_"&amp;C96&amp;"_","キャンペーン","campaign_","その他","other_")</f>
        <v>shop_pack_</v>
      </c>
      <c r="E96" s="608" t="str">
        <f t="shared" si="7"/>
        <v>00020</v>
      </c>
      <c r="F96" s="608" t="str">
        <f t="shared" si="8"/>
        <v>notice_shop_pack_00020</v>
      </c>
      <c r="G96" s="505"/>
      <c r="H96" s="60"/>
    </row>
    <row r="97">
      <c r="A97" s="45" t="s">
        <v>3171</v>
      </c>
      <c r="B97" s="60" t="s">
        <v>3135</v>
      </c>
      <c r="C97" s="46" t="s">
        <v>283</v>
      </c>
      <c r="D97" s="608" t="str">
        <f t="shared" ref="D97:D109" si="14">switch(A97,"パス","shop_pass_","パック","shop_pack_","ガシャ","gacha_"&amp;C97&amp;"_","イベント","event_"&amp;C97&amp;"_","降臨バトル","advent_"&amp;C97&amp;"_","キャンペーン","campaign_","SNS","sns_","その他","other_")</f>
        <v>shop_pack_</v>
      </c>
      <c r="E97" s="608" t="str">
        <f t="shared" si="7"/>
        <v>00021</v>
      </c>
      <c r="F97" s="608" t="str">
        <f t="shared" si="8"/>
        <v>notice_shop_pack_00021</v>
      </c>
      <c r="G97" s="505"/>
      <c r="H97" s="60"/>
      <c r="I97" s="624"/>
      <c r="J97" s="624"/>
      <c r="K97" s="624"/>
    </row>
    <row r="98">
      <c r="A98" s="45" t="s">
        <v>3171</v>
      </c>
      <c r="B98" s="60" t="s">
        <v>3136</v>
      </c>
      <c r="C98" s="46" t="s">
        <v>283</v>
      </c>
      <c r="D98" s="608" t="str">
        <f t="shared" si="14"/>
        <v>shop_pack_</v>
      </c>
      <c r="E98" s="608" t="str">
        <f t="shared" si="7"/>
        <v>00022</v>
      </c>
      <c r="F98" s="608" t="str">
        <f t="shared" si="8"/>
        <v>notice_shop_pack_00022</v>
      </c>
      <c r="G98" s="505"/>
      <c r="H98" s="60"/>
      <c r="I98" s="624"/>
      <c r="J98" s="624"/>
      <c r="K98" s="624"/>
    </row>
    <row r="99">
      <c r="A99" s="45" t="s">
        <v>3171</v>
      </c>
      <c r="B99" s="60" t="s">
        <v>3137</v>
      </c>
      <c r="C99" s="46" t="s">
        <v>283</v>
      </c>
      <c r="D99" s="608" t="str">
        <f t="shared" si="14"/>
        <v>shop_pack_</v>
      </c>
      <c r="E99" s="608" t="str">
        <f t="shared" si="7"/>
        <v>00023</v>
      </c>
      <c r="F99" s="608" t="str">
        <f t="shared" si="8"/>
        <v>notice_shop_pack_00023</v>
      </c>
      <c r="G99" s="505"/>
      <c r="H99" s="60"/>
      <c r="I99" s="624"/>
      <c r="J99" s="624"/>
      <c r="K99" s="624"/>
    </row>
    <row r="100">
      <c r="A100" s="45" t="s">
        <v>3171</v>
      </c>
      <c r="B100" s="60" t="s">
        <v>3138</v>
      </c>
      <c r="C100" s="46" t="s">
        <v>283</v>
      </c>
      <c r="D100" s="608" t="str">
        <f t="shared" si="14"/>
        <v>shop_pack_</v>
      </c>
      <c r="E100" s="608" t="str">
        <f t="shared" si="7"/>
        <v>00024</v>
      </c>
      <c r="F100" s="608" t="str">
        <f t="shared" si="8"/>
        <v>notice_shop_pack_00024</v>
      </c>
      <c r="G100" s="505"/>
      <c r="H100" s="60"/>
      <c r="I100" s="624"/>
      <c r="J100" s="624"/>
      <c r="K100" s="624"/>
    </row>
    <row r="101">
      <c r="A101" s="45" t="s">
        <v>3171</v>
      </c>
      <c r="B101" s="60" t="s">
        <v>3139</v>
      </c>
      <c r="C101" s="46" t="s">
        <v>283</v>
      </c>
      <c r="D101" s="608" t="str">
        <f t="shared" si="14"/>
        <v>shop_pack_</v>
      </c>
      <c r="E101" s="608" t="str">
        <f t="shared" si="7"/>
        <v>00025</v>
      </c>
      <c r="F101" s="608" t="str">
        <f t="shared" si="8"/>
        <v>notice_shop_pack_00025</v>
      </c>
      <c r="G101" s="505"/>
      <c r="H101" s="60"/>
      <c r="I101" s="624"/>
      <c r="J101" s="624"/>
      <c r="K101" s="624"/>
    </row>
    <row r="102">
      <c r="A102" s="45" t="s">
        <v>3171</v>
      </c>
      <c r="B102" s="60" t="s">
        <v>3140</v>
      </c>
      <c r="C102" s="46" t="s">
        <v>283</v>
      </c>
      <c r="D102" s="608" t="str">
        <f t="shared" si="14"/>
        <v>shop_pack_</v>
      </c>
      <c r="E102" s="608" t="str">
        <f t="shared" si="7"/>
        <v>00026</v>
      </c>
      <c r="F102" s="608" t="str">
        <f t="shared" si="8"/>
        <v>notice_shop_pack_00026</v>
      </c>
      <c r="G102" s="505"/>
      <c r="H102" s="60"/>
      <c r="I102" s="624"/>
      <c r="J102" s="624"/>
      <c r="K102" s="624"/>
    </row>
    <row r="103">
      <c r="A103" s="45" t="s">
        <v>3171</v>
      </c>
      <c r="B103" s="60" t="s">
        <v>3141</v>
      </c>
      <c r="C103" s="46" t="s">
        <v>283</v>
      </c>
      <c r="D103" s="608" t="str">
        <f t="shared" si="14"/>
        <v>shop_pack_</v>
      </c>
      <c r="E103" s="608" t="str">
        <f t="shared" si="7"/>
        <v>00027</v>
      </c>
      <c r="F103" s="608" t="str">
        <f t="shared" si="8"/>
        <v>notice_shop_pack_00027</v>
      </c>
      <c r="G103" s="505"/>
      <c r="H103" s="60"/>
      <c r="I103" s="624"/>
      <c r="J103" s="624"/>
      <c r="K103" s="624"/>
    </row>
    <row r="104">
      <c r="A104" s="45" t="s">
        <v>3171</v>
      </c>
      <c r="B104" s="60" t="s">
        <v>3142</v>
      </c>
      <c r="C104" s="46" t="s">
        <v>283</v>
      </c>
      <c r="D104" s="608" t="str">
        <f t="shared" si="14"/>
        <v>shop_pack_</v>
      </c>
      <c r="E104" s="608" t="str">
        <f t="shared" si="7"/>
        <v>00028</v>
      </c>
      <c r="F104" s="608" t="str">
        <f t="shared" si="8"/>
        <v>notice_shop_pack_00028</v>
      </c>
      <c r="G104" s="505"/>
      <c r="H104" s="60"/>
      <c r="I104" s="624"/>
      <c r="J104" s="624"/>
      <c r="K104" s="624"/>
    </row>
    <row r="105">
      <c r="A105" s="45" t="s">
        <v>3171</v>
      </c>
      <c r="B105" s="60" t="s">
        <v>3143</v>
      </c>
      <c r="C105" s="46" t="s">
        <v>283</v>
      </c>
      <c r="D105" s="608" t="str">
        <f t="shared" si="14"/>
        <v>shop_pack_</v>
      </c>
      <c r="E105" s="608" t="str">
        <f t="shared" si="7"/>
        <v>00029</v>
      </c>
      <c r="F105" s="608" t="str">
        <f t="shared" si="8"/>
        <v>notice_shop_pack_00029</v>
      </c>
      <c r="G105" s="505"/>
      <c r="H105" s="60"/>
      <c r="I105" s="624"/>
      <c r="J105" s="624"/>
      <c r="K105" s="624"/>
    </row>
    <row r="106">
      <c r="A106" s="45" t="s">
        <v>3171</v>
      </c>
      <c r="B106" s="60" t="s">
        <v>3144</v>
      </c>
      <c r="C106" s="46" t="s">
        <v>283</v>
      </c>
      <c r="D106" s="608" t="str">
        <f t="shared" si="14"/>
        <v>shop_pack_</v>
      </c>
      <c r="E106" s="608" t="str">
        <f t="shared" si="7"/>
        <v>00030</v>
      </c>
      <c r="F106" s="608" t="str">
        <f t="shared" si="8"/>
        <v>notice_shop_pack_00030</v>
      </c>
      <c r="G106" s="505"/>
      <c r="H106" s="60"/>
      <c r="I106" s="624"/>
      <c r="J106" s="624"/>
      <c r="K106" s="624"/>
    </row>
    <row r="107">
      <c r="A107" s="45"/>
      <c r="B107" s="60"/>
      <c r="C107" s="46"/>
      <c r="D107" s="608" t="str">
        <f t="shared" si="14"/>
        <v>#N/A</v>
      </c>
      <c r="E107" s="608" t="str">
        <f t="shared" si="7"/>
        <v>00001</v>
      </c>
      <c r="F107" s="608" t="str">
        <f t="shared" si="8"/>
        <v>#N/A</v>
      </c>
      <c r="G107" s="505"/>
      <c r="H107" s="60"/>
      <c r="I107" s="624"/>
      <c r="J107" s="624"/>
      <c r="K107" s="624"/>
    </row>
    <row r="108">
      <c r="A108" s="45"/>
      <c r="B108" s="60"/>
      <c r="C108" s="46"/>
      <c r="D108" s="608" t="str">
        <f t="shared" si="14"/>
        <v>#N/A</v>
      </c>
      <c r="E108" s="608" t="str">
        <f t="shared" si="7"/>
        <v>00002</v>
      </c>
      <c r="F108" s="608" t="str">
        <f t="shared" si="8"/>
        <v>#N/A</v>
      </c>
      <c r="G108" s="505"/>
      <c r="H108" s="60"/>
      <c r="I108" s="624"/>
      <c r="J108" s="624"/>
      <c r="K108" s="624"/>
    </row>
    <row r="109">
      <c r="A109" s="45"/>
      <c r="B109" s="60"/>
      <c r="C109" s="46"/>
      <c r="D109" s="608" t="str">
        <f t="shared" si="14"/>
        <v>#N/A</v>
      </c>
      <c r="E109" s="608" t="str">
        <f t="shared" si="7"/>
        <v>00003</v>
      </c>
      <c r="F109" s="608" t="str">
        <f t="shared" si="8"/>
        <v>#N/A</v>
      </c>
      <c r="G109" s="505"/>
      <c r="H109" s="60"/>
      <c r="I109" s="624"/>
      <c r="J109" s="624"/>
      <c r="K109" s="624"/>
    </row>
  </sheetData>
  <dataValidations>
    <dataValidation type="list" allowBlank="1" sqref="C2:C109">
      <formula1>'作品'!$A$2:$A$43</formula1>
    </dataValidation>
    <dataValidation type="list" allowBlank="1" showErrorMessage="1" sqref="A2:A109">
      <formula1>"パス,パック,ガシャ,イベント,降臨バトル,キャンペーン,その他,ランクマッチ,SNS,交換所"</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39.0"/>
    <col customWidth="1" min="3" max="3" width="11.25"/>
    <col customWidth="1" min="4" max="4" width="13.38"/>
    <col customWidth="1" min="5" max="5" width="11.25"/>
    <col customWidth="1" min="6" max="6" width="23.63"/>
    <col customWidth="1" min="7" max="7" width="36.5"/>
  </cols>
  <sheetData>
    <row r="1">
      <c r="A1" s="418" t="s">
        <v>3072</v>
      </c>
      <c r="B1" s="418" t="s">
        <v>3168</v>
      </c>
      <c r="C1" s="418" t="s">
        <v>950</v>
      </c>
      <c r="D1" s="418" t="s">
        <v>3169</v>
      </c>
      <c r="E1" s="418" t="s">
        <v>2872</v>
      </c>
      <c r="F1" s="418" t="s">
        <v>3245</v>
      </c>
      <c r="G1" s="418" t="s">
        <v>2526</v>
      </c>
    </row>
    <row r="2">
      <c r="A2" s="45" t="s">
        <v>3179</v>
      </c>
      <c r="B2" s="60" t="s">
        <v>3075</v>
      </c>
      <c r="C2" s="125"/>
      <c r="D2" s="608" t="str">
        <f t="shared" ref="D2:D13" si="1">switch(A2,"パス","shop_pass_","パック","shop_pack_","ガシャ","gacha_"&amp;C2&amp;"_","イベント","event_"&amp;C2&amp;"_","降臨バトル","advent_"&amp;C2&amp;"_","キャンペーン","campaign_","その他","other_")</f>
        <v>campaign_</v>
      </c>
      <c r="E2" s="608" t="str">
        <f t="shared" ref="E2:E39" si="2">text(countif(D$2:D2,D2),"00000")</f>
        <v>00001</v>
      </c>
      <c r="F2" s="608" t="str">
        <f t="shared" ref="F2:F39" si="3">"IGN_"&amp;D2&amp;E2</f>
        <v>IGN_campaign_00001</v>
      </c>
      <c r="G2" s="60"/>
    </row>
    <row r="3">
      <c r="A3" s="45" t="s">
        <v>3171</v>
      </c>
      <c r="B3" s="60" t="s">
        <v>3107</v>
      </c>
      <c r="C3" s="125"/>
      <c r="D3" s="608" t="str">
        <f t="shared" si="1"/>
        <v>shop_pack_</v>
      </c>
      <c r="E3" s="608" t="str">
        <f t="shared" si="2"/>
        <v>00001</v>
      </c>
      <c r="F3" s="608" t="str">
        <f t="shared" si="3"/>
        <v>IGN_shop_pack_00001</v>
      </c>
      <c r="G3" s="60"/>
    </row>
    <row r="4">
      <c r="A4" s="45" t="s">
        <v>3171</v>
      </c>
      <c r="B4" s="60" t="s">
        <v>3112</v>
      </c>
      <c r="C4" s="125"/>
      <c r="D4" s="608" t="str">
        <f t="shared" si="1"/>
        <v>shop_pack_</v>
      </c>
      <c r="E4" s="608" t="str">
        <f t="shared" si="2"/>
        <v>00002</v>
      </c>
      <c r="F4" s="608" t="str">
        <f t="shared" si="3"/>
        <v>IGN_shop_pack_00002</v>
      </c>
      <c r="G4" s="60"/>
    </row>
    <row r="5">
      <c r="A5" s="45" t="s">
        <v>3179</v>
      </c>
      <c r="B5" s="60" t="s">
        <v>3153</v>
      </c>
      <c r="C5" s="125"/>
      <c r="D5" s="608" t="str">
        <f t="shared" si="1"/>
        <v>campaign_</v>
      </c>
      <c r="E5" s="608" t="str">
        <f t="shared" si="2"/>
        <v>00002</v>
      </c>
      <c r="F5" s="608" t="str">
        <f t="shared" si="3"/>
        <v>IGN_campaign_00002</v>
      </c>
      <c r="G5" s="60"/>
    </row>
    <row r="6">
      <c r="A6" s="45" t="s">
        <v>3171</v>
      </c>
      <c r="B6" s="60" t="s">
        <v>3109</v>
      </c>
      <c r="C6" s="125"/>
      <c r="D6" s="608" t="str">
        <f t="shared" si="1"/>
        <v>shop_pack_</v>
      </c>
      <c r="E6" s="608" t="str">
        <f t="shared" si="2"/>
        <v>00003</v>
      </c>
      <c r="F6" s="608" t="str">
        <f t="shared" si="3"/>
        <v>IGN_shop_pack_00003</v>
      </c>
      <c r="G6" s="60"/>
    </row>
    <row r="7">
      <c r="A7" s="45" t="s">
        <v>3171</v>
      </c>
      <c r="B7" s="60" t="s">
        <v>3110</v>
      </c>
      <c r="C7" s="125"/>
      <c r="D7" s="608" t="str">
        <f t="shared" si="1"/>
        <v>shop_pack_</v>
      </c>
      <c r="E7" s="608" t="str">
        <f t="shared" si="2"/>
        <v>00004</v>
      </c>
      <c r="F7" s="608" t="str">
        <f t="shared" si="3"/>
        <v>IGN_shop_pack_00004</v>
      </c>
      <c r="G7" s="60"/>
    </row>
    <row r="8">
      <c r="A8" s="45" t="s">
        <v>2454</v>
      </c>
      <c r="B8" s="60" t="s">
        <v>3196</v>
      </c>
      <c r="C8" s="125" t="s">
        <v>98</v>
      </c>
      <c r="D8" s="608" t="str">
        <f t="shared" si="1"/>
        <v>advent_mag_</v>
      </c>
      <c r="E8" s="608" t="str">
        <f t="shared" si="2"/>
        <v>00001</v>
      </c>
      <c r="F8" s="608" t="str">
        <f t="shared" si="3"/>
        <v>IGN_advent_mag_00001</v>
      </c>
      <c r="G8" s="60"/>
    </row>
    <row r="9">
      <c r="A9" s="45" t="s">
        <v>2454</v>
      </c>
      <c r="B9" s="60" t="s">
        <v>3195</v>
      </c>
      <c r="C9" s="125" t="s">
        <v>115</v>
      </c>
      <c r="D9" s="608" t="str">
        <f t="shared" si="1"/>
        <v>advent_kai_</v>
      </c>
      <c r="E9" s="608" t="str">
        <f t="shared" si="2"/>
        <v>00001</v>
      </c>
      <c r="F9" s="608" t="str">
        <f t="shared" si="3"/>
        <v>IGN_advent_kai_00001</v>
      </c>
      <c r="G9" s="60"/>
    </row>
    <row r="10">
      <c r="A10" s="45" t="s">
        <v>2454</v>
      </c>
      <c r="B10" s="60" t="s">
        <v>3197</v>
      </c>
      <c r="C10" s="46" t="s">
        <v>121</v>
      </c>
      <c r="D10" s="608" t="str">
        <f t="shared" si="1"/>
        <v>advent_yuw_</v>
      </c>
      <c r="E10" s="608" t="str">
        <f t="shared" si="2"/>
        <v>00001</v>
      </c>
      <c r="F10" s="608" t="str">
        <f t="shared" si="3"/>
        <v>IGN_advent_yuw_00001</v>
      </c>
      <c r="G10" s="60"/>
    </row>
    <row r="11">
      <c r="A11" s="45" t="s">
        <v>2454</v>
      </c>
      <c r="B11" s="60" t="s">
        <v>3198</v>
      </c>
      <c r="C11" s="46" t="s">
        <v>127</v>
      </c>
      <c r="D11" s="608" t="str">
        <f t="shared" si="1"/>
        <v>advent_sur_</v>
      </c>
      <c r="E11" s="608" t="str">
        <f t="shared" si="2"/>
        <v>00001</v>
      </c>
      <c r="F11" s="608" t="str">
        <f t="shared" si="3"/>
        <v>IGN_advent_sur_00001</v>
      </c>
      <c r="G11" s="60"/>
    </row>
    <row r="12">
      <c r="A12" s="45" t="s">
        <v>2454</v>
      </c>
      <c r="B12" s="60" t="s">
        <v>3199</v>
      </c>
      <c r="C12" s="46" t="s">
        <v>283</v>
      </c>
      <c r="D12" s="608" t="str">
        <f t="shared" si="1"/>
        <v>advent_glo_</v>
      </c>
      <c r="E12" s="608" t="str">
        <f t="shared" si="2"/>
        <v>00001</v>
      </c>
      <c r="F12" s="608" t="str">
        <f t="shared" si="3"/>
        <v>IGN_advent_glo_00001</v>
      </c>
      <c r="G12" s="60"/>
    </row>
    <row r="13">
      <c r="A13" s="45" t="s">
        <v>2458</v>
      </c>
      <c r="B13" s="60" t="s">
        <v>3207</v>
      </c>
      <c r="C13" s="46" t="s">
        <v>283</v>
      </c>
      <c r="D13" s="608" t="str">
        <f t="shared" si="1"/>
        <v>event_glo_</v>
      </c>
      <c r="E13" s="608" t="str">
        <f t="shared" si="2"/>
        <v>00001</v>
      </c>
      <c r="F13" s="608" t="str">
        <f t="shared" si="3"/>
        <v>IGN_event_glo_00001</v>
      </c>
      <c r="G13" s="60"/>
    </row>
    <row r="14">
      <c r="A14" s="45" t="s">
        <v>2458</v>
      </c>
      <c r="B14" s="60" t="s">
        <v>3212</v>
      </c>
      <c r="C14" s="46" t="s">
        <v>283</v>
      </c>
      <c r="D14" s="608" t="str">
        <f t="shared" ref="D14:D39" si="4">IFERROR(
 SWITCH(
   A14,
   "パス","shop_pass_",
   "パック","shop_pack_",
   "ガシャ","gacha_"&amp;C14&amp;"_",
   "イベント","event_"&amp;C14&amp;"_",
   "降臨バトル","advent_"&amp;C14&amp;"_",
   "キャンペーン","campaign_",
   "その他","other_"
 ),
 ""
)
</f>
        <v>event_glo_</v>
      </c>
      <c r="E14" s="608" t="str">
        <f t="shared" si="2"/>
        <v>00002</v>
      </c>
      <c r="F14" s="608" t="str">
        <f t="shared" si="3"/>
        <v>IGN_event_glo_00002</v>
      </c>
      <c r="G14" s="60"/>
    </row>
    <row r="15">
      <c r="A15" s="45" t="s">
        <v>3180</v>
      </c>
      <c r="B15" s="60" t="s">
        <v>3246</v>
      </c>
      <c r="C15" s="46" t="s">
        <v>283</v>
      </c>
      <c r="D15" s="608" t="str">
        <f t="shared" si="4"/>
        <v>other_</v>
      </c>
      <c r="E15" s="608" t="str">
        <f t="shared" si="2"/>
        <v>00001</v>
      </c>
      <c r="F15" s="608" t="str">
        <f t="shared" si="3"/>
        <v>IGN_other_00001</v>
      </c>
      <c r="G15" s="60"/>
    </row>
    <row r="16">
      <c r="A16" s="45"/>
      <c r="B16" s="60"/>
      <c r="C16" s="46"/>
      <c r="D16" s="608" t="str">
        <f t="shared" si="4"/>
        <v/>
      </c>
      <c r="E16" s="608" t="str">
        <f t="shared" si="2"/>
        <v>00001</v>
      </c>
      <c r="F16" s="608" t="str">
        <f t="shared" si="3"/>
        <v>IGN_00001</v>
      </c>
      <c r="G16" s="60"/>
    </row>
    <row r="17">
      <c r="A17" s="45"/>
      <c r="B17" s="60"/>
      <c r="C17" s="46"/>
      <c r="D17" s="608" t="str">
        <f t="shared" si="4"/>
        <v/>
      </c>
      <c r="E17" s="608" t="str">
        <f t="shared" si="2"/>
        <v>00002</v>
      </c>
      <c r="F17" s="608" t="str">
        <f t="shared" si="3"/>
        <v>IGN_00002</v>
      </c>
      <c r="G17" s="60"/>
    </row>
    <row r="18">
      <c r="A18" s="45"/>
      <c r="B18" s="60"/>
      <c r="C18" s="46"/>
      <c r="D18" s="608" t="str">
        <f t="shared" si="4"/>
        <v/>
      </c>
      <c r="E18" s="608" t="str">
        <f t="shared" si="2"/>
        <v>00003</v>
      </c>
      <c r="F18" s="608" t="str">
        <f t="shared" si="3"/>
        <v>IGN_00003</v>
      </c>
      <c r="G18" s="60"/>
    </row>
    <row r="19">
      <c r="A19" s="45"/>
      <c r="B19" s="60"/>
      <c r="C19" s="46"/>
      <c r="D19" s="608" t="str">
        <f t="shared" si="4"/>
        <v/>
      </c>
      <c r="E19" s="608" t="str">
        <f t="shared" si="2"/>
        <v>00004</v>
      </c>
      <c r="F19" s="608" t="str">
        <f t="shared" si="3"/>
        <v>IGN_00004</v>
      </c>
      <c r="G19" s="60"/>
    </row>
    <row r="20">
      <c r="A20" s="45"/>
      <c r="B20" s="60"/>
      <c r="C20" s="46"/>
      <c r="D20" s="608" t="str">
        <f t="shared" si="4"/>
        <v/>
      </c>
      <c r="E20" s="608" t="str">
        <f t="shared" si="2"/>
        <v>00005</v>
      </c>
      <c r="F20" s="608" t="str">
        <f t="shared" si="3"/>
        <v>IGN_00005</v>
      </c>
      <c r="G20" s="60"/>
    </row>
    <row r="21">
      <c r="A21" s="45"/>
      <c r="B21" s="60"/>
      <c r="C21" s="46"/>
      <c r="D21" s="608" t="str">
        <f t="shared" si="4"/>
        <v/>
      </c>
      <c r="E21" s="608" t="str">
        <f t="shared" si="2"/>
        <v>00006</v>
      </c>
      <c r="F21" s="608" t="str">
        <f t="shared" si="3"/>
        <v>IGN_00006</v>
      </c>
      <c r="G21" s="60"/>
    </row>
    <row r="22">
      <c r="A22" s="45"/>
      <c r="B22" s="60"/>
      <c r="C22" s="46"/>
      <c r="D22" s="608" t="str">
        <f t="shared" si="4"/>
        <v/>
      </c>
      <c r="E22" s="608" t="str">
        <f t="shared" si="2"/>
        <v>00007</v>
      </c>
      <c r="F22" s="608" t="str">
        <f t="shared" si="3"/>
        <v>IGN_00007</v>
      </c>
      <c r="G22" s="60"/>
    </row>
    <row r="23">
      <c r="A23" s="45"/>
      <c r="B23" s="60"/>
      <c r="C23" s="46"/>
      <c r="D23" s="608" t="str">
        <f t="shared" si="4"/>
        <v/>
      </c>
      <c r="E23" s="608" t="str">
        <f t="shared" si="2"/>
        <v>00008</v>
      </c>
      <c r="F23" s="608" t="str">
        <f t="shared" si="3"/>
        <v>IGN_00008</v>
      </c>
      <c r="G23" s="60"/>
    </row>
    <row r="24">
      <c r="A24" s="45"/>
      <c r="B24" s="60"/>
      <c r="C24" s="46"/>
      <c r="D24" s="608" t="str">
        <f t="shared" si="4"/>
        <v/>
      </c>
      <c r="E24" s="608" t="str">
        <f t="shared" si="2"/>
        <v>00009</v>
      </c>
      <c r="F24" s="608" t="str">
        <f t="shared" si="3"/>
        <v>IGN_00009</v>
      </c>
      <c r="G24" s="60"/>
    </row>
    <row r="25">
      <c r="A25" s="45"/>
      <c r="B25" s="60"/>
      <c r="C25" s="46"/>
      <c r="D25" s="608" t="str">
        <f t="shared" si="4"/>
        <v/>
      </c>
      <c r="E25" s="608" t="str">
        <f t="shared" si="2"/>
        <v>00010</v>
      </c>
      <c r="F25" s="608" t="str">
        <f t="shared" si="3"/>
        <v>IGN_00010</v>
      </c>
      <c r="G25" s="60"/>
    </row>
    <row r="26">
      <c r="A26" s="45"/>
      <c r="B26" s="60"/>
      <c r="C26" s="46"/>
      <c r="D26" s="608" t="str">
        <f t="shared" si="4"/>
        <v/>
      </c>
      <c r="E26" s="608" t="str">
        <f t="shared" si="2"/>
        <v>00011</v>
      </c>
      <c r="F26" s="608" t="str">
        <f t="shared" si="3"/>
        <v>IGN_00011</v>
      </c>
      <c r="G26" s="60"/>
    </row>
    <row r="27">
      <c r="A27" s="45"/>
      <c r="B27" s="60"/>
      <c r="C27" s="46"/>
      <c r="D27" s="608" t="str">
        <f t="shared" si="4"/>
        <v/>
      </c>
      <c r="E27" s="608" t="str">
        <f t="shared" si="2"/>
        <v>00012</v>
      </c>
      <c r="F27" s="608" t="str">
        <f t="shared" si="3"/>
        <v>IGN_00012</v>
      </c>
      <c r="G27" s="60"/>
    </row>
    <row r="28">
      <c r="A28" s="45"/>
      <c r="B28" s="60"/>
      <c r="C28" s="46"/>
      <c r="D28" s="608" t="str">
        <f t="shared" si="4"/>
        <v/>
      </c>
      <c r="E28" s="608" t="str">
        <f t="shared" si="2"/>
        <v>00013</v>
      </c>
      <c r="F28" s="608" t="str">
        <f t="shared" si="3"/>
        <v>IGN_00013</v>
      </c>
      <c r="G28" s="60"/>
    </row>
    <row r="29">
      <c r="A29" s="45"/>
      <c r="B29" s="60"/>
      <c r="C29" s="46"/>
      <c r="D29" s="608" t="str">
        <f t="shared" si="4"/>
        <v/>
      </c>
      <c r="E29" s="608" t="str">
        <f t="shared" si="2"/>
        <v>00014</v>
      </c>
      <c r="F29" s="608" t="str">
        <f t="shared" si="3"/>
        <v>IGN_00014</v>
      </c>
      <c r="G29" s="60"/>
    </row>
    <row r="30">
      <c r="A30" s="45"/>
      <c r="B30" s="60"/>
      <c r="C30" s="46"/>
      <c r="D30" s="608" t="str">
        <f t="shared" si="4"/>
        <v/>
      </c>
      <c r="E30" s="608" t="str">
        <f t="shared" si="2"/>
        <v>00015</v>
      </c>
      <c r="F30" s="608" t="str">
        <f t="shared" si="3"/>
        <v>IGN_00015</v>
      </c>
      <c r="G30" s="60"/>
    </row>
    <row r="31">
      <c r="A31" s="45"/>
      <c r="B31" s="60"/>
      <c r="C31" s="46"/>
      <c r="D31" s="608" t="str">
        <f t="shared" si="4"/>
        <v/>
      </c>
      <c r="E31" s="608" t="str">
        <f t="shared" si="2"/>
        <v>00016</v>
      </c>
      <c r="F31" s="608" t="str">
        <f t="shared" si="3"/>
        <v>IGN_00016</v>
      </c>
      <c r="G31" s="60"/>
    </row>
    <row r="32">
      <c r="A32" s="45"/>
      <c r="B32" s="60"/>
      <c r="C32" s="46"/>
      <c r="D32" s="608" t="str">
        <f t="shared" si="4"/>
        <v/>
      </c>
      <c r="E32" s="608" t="str">
        <f t="shared" si="2"/>
        <v>00017</v>
      </c>
      <c r="F32" s="608" t="str">
        <f t="shared" si="3"/>
        <v>IGN_00017</v>
      </c>
      <c r="G32" s="60"/>
    </row>
    <row r="33">
      <c r="A33" s="45"/>
      <c r="B33" s="60"/>
      <c r="C33" s="46"/>
      <c r="D33" s="608" t="str">
        <f t="shared" si="4"/>
        <v/>
      </c>
      <c r="E33" s="608" t="str">
        <f t="shared" si="2"/>
        <v>00018</v>
      </c>
      <c r="F33" s="608" t="str">
        <f t="shared" si="3"/>
        <v>IGN_00018</v>
      </c>
      <c r="G33" s="60"/>
    </row>
    <row r="34">
      <c r="A34" s="45"/>
      <c r="B34" s="60"/>
      <c r="C34" s="46"/>
      <c r="D34" s="608" t="str">
        <f t="shared" si="4"/>
        <v/>
      </c>
      <c r="E34" s="608" t="str">
        <f t="shared" si="2"/>
        <v>00019</v>
      </c>
      <c r="F34" s="608" t="str">
        <f t="shared" si="3"/>
        <v>IGN_00019</v>
      </c>
      <c r="G34" s="60"/>
    </row>
    <row r="35">
      <c r="A35" s="45"/>
      <c r="B35" s="60"/>
      <c r="C35" s="46"/>
      <c r="D35" s="608" t="str">
        <f t="shared" si="4"/>
        <v/>
      </c>
      <c r="E35" s="608" t="str">
        <f t="shared" si="2"/>
        <v>00020</v>
      </c>
      <c r="F35" s="608" t="str">
        <f t="shared" si="3"/>
        <v>IGN_00020</v>
      </c>
      <c r="G35" s="60"/>
    </row>
    <row r="36">
      <c r="A36" s="45"/>
      <c r="B36" s="60"/>
      <c r="C36" s="46"/>
      <c r="D36" s="608" t="str">
        <f t="shared" si="4"/>
        <v/>
      </c>
      <c r="E36" s="608" t="str">
        <f t="shared" si="2"/>
        <v>00021</v>
      </c>
      <c r="F36" s="608" t="str">
        <f t="shared" si="3"/>
        <v>IGN_00021</v>
      </c>
      <c r="G36" s="60"/>
    </row>
    <row r="37">
      <c r="A37" s="45"/>
      <c r="B37" s="60"/>
      <c r="C37" s="46"/>
      <c r="D37" s="608" t="str">
        <f t="shared" si="4"/>
        <v/>
      </c>
      <c r="E37" s="608" t="str">
        <f t="shared" si="2"/>
        <v>00022</v>
      </c>
      <c r="F37" s="608" t="str">
        <f t="shared" si="3"/>
        <v>IGN_00022</v>
      </c>
      <c r="G37" s="60"/>
    </row>
    <row r="38">
      <c r="A38" s="45"/>
      <c r="B38" s="60"/>
      <c r="C38" s="46"/>
      <c r="D38" s="608" t="str">
        <f t="shared" si="4"/>
        <v/>
      </c>
      <c r="E38" s="608" t="str">
        <f t="shared" si="2"/>
        <v>00023</v>
      </c>
      <c r="F38" s="608" t="str">
        <f t="shared" si="3"/>
        <v>IGN_00023</v>
      </c>
      <c r="G38" s="60"/>
    </row>
    <row r="39">
      <c r="A39" s="45"/>
      <c r="B39" s="60"/>
      <c r="C39" s="46"/>
      <c r="D39" s="608" t="str">
        <f t="shared" si="4"/>
        <v/>
      </c>
      <c r="E39" s="608" t="str">
        <f t="shared" si="2"/>
        <v>00024</v>
      </c>
      <c r="F39" s="608" t="str">
        <f t="shared" si="3"/>
        <v>IGN_00024</v>
      </c>
      <c r="G39" s="60"/>
    </row>
  </sheetData>
  <dataValidations>
    <dataValidation type="list" allowBlank="1" sqref="C2:C39">
      <formula1>'作品'!$A$2:$A$43</formula1>
    </dataValidation>
    <dataValidation type="list" allowBlank="1" showErrorMessage="1" sqref="A2:A39">
      <formula1>"パス,パック,ガシャ,イベント,降臨バトル,キャンペーン,その他"</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5"/>
    <col customWidth="1" min="2" max="2" width="18.88"/>
    <col customWidth="1" min="3" max="4" width="11.25"/>
    <col customWidth="1" min="5" max="5" width="27.38"/>
    <col customWidth="1" min="6" max="6" width="36.5"/>
  </cols>
  <sheetData>
    <row r="1">
      <c r="A1" s="418" t="s">
        <v>3183</v>
      </c>
      <c r="B1" s="418" t="s">
        <v>2783</v>
      </c>
      <c r="C1" s="418" t="s">
        <v>3169</v>
      </c>
      <c r="D1" s="418" t="s">
        <v>2872</v>
      </c>
      <c r="E1" s="418" t="s">
        <v>3247</v>
      </c>
      <c r="F1" s="418" t="s">
        <v>2526</v>
      </c>
    </row>
    <row r="2">
      <c r="A2" s="60" t="s">
        <v>3248</v>
      </c>
      <c r="B2" s="617" t="s">
        <v>3249</v>
      </c>
      <c r="C2" s="608" t="str">
        <f>switch(B2,"ホーム画面","hometop_","イベント画面","_contnt_top","お知らせ","notice_","IGN","ign_","未入力")</f>
        <v>hometop_</v>
      </c>
      <c r="D2" s="608" t="str">
        <f t="shared" ref="D2:D6" si="1">text(countif($B$2:B2,B2),"00000")</f>
        <v>00001</v>
      </c>
      <c r="E2" s="608" t="str">
        <f t="shared" ref="E2:E6" si="2">switch(B2,"イベント画面","pvp_"&amp;D2&amp;C2,C2&amp;"pvp_"&amp;D2)</f>
        <v>hometop_pvp_00001</v>
      </c>
      <c r="F2" s="60"/>
    </row>
    <row r="3">
      <c r="A3" s="60" t="s">
        <v>3250</v>
      </c>
      <c r="B3" s="617" t="s">
        <v>3251</v>
      </c>
      <c r="C3" s="608" t="str">
        <f>switch(B3,"ホーム画面","hometop_","イベント画面","_content_top","お知らせ","notice_","IGN","ign_","未入力")</f>
        <v>_content_top</v>
      </c>
      <c r="D3" s="608" t="str">
        <f t="shared" si="1"/>
        <v>00001</v>
      </c>
      <c r="E3" s="608" t="str">
        <f t="shared" si="2"/>
        <v>pvp_00001_content_top</v>
      </c>
      <c r="F3" s="60"/>
    </row>
    <row r="4">
      <c r="A4" s="60"/>
      <c r="B4" s="617"/>
      <c r="C4" s="608" t="str">
        <f t="shared" ref="C4:C6" si="3">switch(B4,"ホーム画面","hometop_","イベント画面","_contnt_top","お知らせ","notice_","IGN","ign_","未入力")</f>
        <v>未入力</v>
      </c>
      <c r="D4" s="608" t="str">
        <f t="shared" si="1"/>
        <v>00000</v>
      </c>
      <c r="E4" s="608" t="str">
        <f t="shared" si="2"/>
        <v>未入力pvp_00000</v>
      </c>
      <c r="F4" s="60"/>
    </row>
    <row r="5">
      <c r="A5" s="60"/>
      <c r="B5" s="617"/>
      <c r="C5" s="608" t="str">
        <f t="shared" si="3"/>
        <v>未入力</v>
      </c>
      <c r="D5" s="608" t="str">
        <f t="shared" si="1"/>
        <v>00000</v>
      </c>
      <c r="E5" s="608" t="str">
        <f t="shared" si="2"/>
        <v>未入力pvp_00000</v>
      </c>
      <c r="F5" s="60"/>
    </row>
    <row r="6">
      <c r="A6" s="60"/>
      <c r="B6" s="617"/>
      <c r="C6" s="608" t="str">
        <f t="shared" si="3"/>
        <v>未入力</v>
      </c>
      <c r="D6" s="608" t="str">
        <f t="shared" si="1"/>
        <v>00000</v>
      </c>
      <c r="E6" s="608" t="str">
        <f t="shared" si="2"/>
        <v>未入力pvp_00000</v>
      </c>
      <c r="F6" s="60"/>
    </row>
  </sheetData>
  <dataValidations>
    <dataValidation type="list" allowBlank="1" showErrorMessage="1" sqref="B2:B6">
      <formula1>"ホーム画面,イベント画面,お知らせ,IGN"</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14.63"/>
    <col customWidth="1" min="4" max="4" width="21.0"/>
    <col customWidth="1" min="5" max="5" width="22.75"/>
    <col customWidth="1" min="6" max="6" width="17.38"/>
    <col customWidth="1" min="7" max="7" width="37.0"/>
    <col customWidth="1" min="8" max="8" width="30.0"/>
    <col customWidth="1" min="9" max="9" width="34.75"/>
    <col customWidth="1" min="10" max="10" width="27.63"/>
    <col customWidth="1" min="11" max="11" width="46.25"/>
    <col customWidth="1" min="12" max="13" width="15.75"/>
    <col customWidth="1" min="14" max="14" width="11.63"/>
  </cols>
  <sheetData>
    <row r="1">
      <c r="A1" s="625"/>
      <c r="B1" s="625"/>
      <c r="C1" s="625"/>
      <c r="D1" s="531" t="s">
        <v>3252</v>
      </c>
      <c r="H1" s="626"/>
      <c r="I1" s="626"/>
      <c r="J1" s="626"/>
      <c r="K1" s="626"/>
      <c r="L1" s="627"/>
      <c r="M1" s="628"/>
      <c r="N1" s="628"/>
      <c r="O1" s="626"/>
    </row>
    <row r="2">
      <c r="A2" s="625"/>
      <c r="B2" s="625"/>
      <c r="C2" s="625"/>
      <c r="D2" s="629" t="s">
        <v>3253</v>
      </c>
      <c r="E2" s="626"/>
      <c r="F2" s="630"/>
      <c r="G2" s="630"/>
      <c r="H2" s="626"/>
      <c r="I2" s="626"/>
      <c r="J2" s="626"/>
      <c r="K2" s="626"/>
      <c r="L2" s="627"/>
      <c r="M2" s="628"/>
      <c r="N2" s="628"/>
      <c r="O2" s="626"/>
    </row>
    <row r="3">
      <c r="A3" s="402" t="s">
        <v>3254</v>
      </c>
      <c r="B3" s="402" t="s">
        <v>3255</v>
      </c>
      <c r="C3" s="402" t="s">
        <v>290</v>
      </c>
      <c r="D3" s="303" t="s">
        <v>43</v>
      </c>
      <c r="E3" s="631" t="s">
        <v>3256</v>
      </c>
      <c r="F3" s="631" t="s">
        <v>951</v>
      </c>
      <c r="G3" s="403" t="s">
        <v>3257</v>
      </c>
      <c r="H3" s="632" t="s">
        <v>399</v>
      </c>
      <c r="I3" s="632" t="s">
        <v>2043</v>
      </c>
      <c r="J3" s="631" t="s">
        <v>3258</v>
      </c>
      <c r="K3" s="631" t="s">
        <v>424</v>
      </c>
      <c r="L3" s="406" t="s">
        <v>294</v>
      </c>
      <c r="M3" s="407" t="s">
        <v>295</v>
      </c>
      <c r="N3" s="303" t="s">
        <v>3259</v>
      </c>
      <c r="O3" s="631" t="s">
        <v>427</v>
      </c>
    </row>
    <row r="4">
      <c r="A4" s="633" t="s">
        <v>3260</v>
      </c>
      <c r="B4" s="634" t="s">
        <v>3261</v>
      </c>
      <c r="C4" s="635" t="s">
        <v>60</v>
      </c>
      <c r="D4" s="636" t="str">
        <f t="array" ref="D4">iferror(INDEX('作品'!D:D,MATCH(left(C4,3),'作品'!A:A,0),0),"error")</f>
        <v>SPY×FAMILY</v>
      </c>
      <c r="E4" s="425" t="s">
        <v>2527</v>
      </c>
      <c r="F4" s="125" t="s">
        <v>973</v>
      </c>
      <c r="G4" s="423" t="str">
        <f t="shared" ref="G4:G23" si="1">"emblem_"&amp;E4&amp;"_"&amp;C4&amp;"_"&amp;F4</f>
        <v>emblem_normal_spy_00001</v>
      </c>
      <c r="H4" s="423" t="str">
        <f t="shared" ref="H4:H23" si="2">E4&amp;"_"&amp;C4&amp;"_"&amp;F4</f>
        <v>normal_spy_00001</v>
      </c>
      <c r="I4" s="423" t="str">
        <f t="shared" ref="I4:I23" si="3">"emblem_icon_"&amp;E4&amp;"_"&amp;C4&amp;"_"&amp;F4</f>
        <v>emblem_icon_normal_spy_00001</v>
      </c>
      <c r="J4" s="425" t="str">
        <f t="shared" ref="J4:J21" si="4">D4</f>
        <v>SPY×FAMILY</v>
      </c>
      <c r="K4" s="637" t="s">
        <v>3262</v>
      </c>
      <c r="L4" s="638">
        <v>45658.0</v>
      </c>
      <c r="M4" s="639">
        <v>390812.49998842593</v>
      </c>
      <c r="N4" s="363" t="s">
        <v>986</v>
      </c>
      <c r="O4" s="640" t="s">
        <v>3263</v>
      </c>
    </row>
    <row r="5">
      <c r="A5" s="634" t="s">
        <v>3260</v>
      </c>
      <c r="B5" s="634" t="s">
        <v>3264</v>
      </c>
      <c r="C5" s="635" t="s">
        <v>68</v>
      </c>
      <c r="D5" s="636" t="str">
        <f t="array" ref="D5">iferror(INDEX('作品'!D:D,MATCH(left(C5,3),'作品'!A:A,0),0),"error")</f>
        <v>ラーメン赤猫</v>
      </c>
      <c r="E5" s="425" t="s">
        <v>2527</v>
      </c>
      <c r="F5" s="125" t="s">
        <v>973</v>
      </c>
      <c r="G5" s="423" t="str">
        <f t="shared" si="1"/>
        <v>emblem_normal_aka_00001</v>
      </c>
      <c r="H5" s="423" t="str">
        <f t="shared" si="2"/>
        <v>normal_aka_00001</v>
      </c>
      <c r="I5" s="423" t="str">
        <f t="shared" si="3"/>
        <v>emblem_icon_normal_aka_00001</v>
      </c>
      <c r="J5" s="425" t="str">
        <f t="shared" si="4"/>
        <v>ラーメン赤猫</v>
      </c>
      <c r="K5" s="637" t="s">
        <v>3265</v>
      </c>
      <c r="L5" s="638">
        <v>45658.0</v>
      </c>
      <c r="M5" s="639">
        <v>390812.49998842593</v>
      </c>
      <c r="N5" s="363" t="s">
        <v>986</v>
      </c>
      <c r="O5" s="640" t="s">
        <v>3263</v>
      </c>
    </row>
    <row r="6">
      <c r="A6" s="634" t="s">
        <v>3260</v>
      </c>
      <c r="B6" s="634" t="s">
        <v>3260</v>
      </c>
      <c r="C6" s="635" t="s">
        <v>75</v>
      </c>
      <c r="D6" s="636" t="str">
        <f t="array" ref="D6">iferror(INDEX('作品'!D:D,MATCH(left(C6,3),'作品'!A:A,0),0),"error")</f>
        <v>トマトイプーのリコピン</v>
      </c>
      <c r="E6" s="425" t="s">
        <v>2527</v>
      </c>
      <c r="F6" s="125" t="s">
        <v>973</v>
      </c>
      <c r="G6" s="423" t="str">
        <f t="shared" si="1"/>
        <v>emblem_normal_rik_00001</v>
      </c>
      <c r="H6" s="423" t="str">
        <f t="shared" si="2"/>
        <v>normal_rik_00001</v>
      </c>
      <c r="I6" s="423" t="str">
        <f t="shared" si="3"/>
        <v>emblem_icon_normal_rik_00001</v>
      </c>
      <c r="J6" s="425" t="str">
        <f t="shared" si="4"/>
        <v>トマトイプーのリコピン</v>
      </c>
      <c r="K6" s="142" t="s">
        <v>3266</v>
      </c>
      <c r="L6" s="638">
        <v>45658.0</v>
      </c>
      <c r="M6" s="639">
        <v>390812.49998842593</v>
      </c>
      <c r="N6" s="641" t="s">
        <v>986</v>
      </c>
      <c r="O6" s="640" t="s">
        <v>3263</v>
      </c>
    </row>
    <row r="7">
      <c r="A7" s="634" t="s">
        <v>3260</v>
      </c>
      <c r="B7" s="634"/>
      <c r="C7" s="635" t="s">
        <v>80</v>
      </c>
      <c r="D7" s="636" t="str">
        <f t="array" ref="D7">iferror(INDEX('作品'!D:D,MATCH(left(C7,3),'作品'!A:A,0),0),"error")</f>
        <v>ダンダダン</v>
      </c>
      <c r="E7" s="425" t="s">
        <v>2527</v>
      </c>
      <c r="F7" s="125" t="s">
        <v>973</v>
      </c>
      <c r="G7" s="423" t="str">
        <f t="shared" si="1"/>
        <v>emblem_normal_dan_00001</v>
      </c>
      <c r="H7" s="423" t="str">
        <f t="shared" si="2"/>
        <v>normal_dan_00001</v>
      </c>
      <c r="I7" s="423" t="str">
        <f t="shared" si="3"/>
        <v>emblem_icon_normal_dan_00001</v>
      </c>
      <c r="J7" s="425" t="str">
        <f t="shared" si="4"/>
        <v>ダンダダン</v>
      </c>
      <c r="K7" s="142" t="s">
        <v>3267</v>
      </c>
      <c r="L7" s="638">
        <v>45658.0</v>
      </c>
      <c r="M7" s="639">
        <v>390812.49998842593</v>
      </c>
      <c r="N7" s="641" t="s">
        <v>986</v>
      </c>
      <c r="O7" s="640" t="s">
        <v>3263</v>
      </c>
    </row>
    <row r="8">
      <c r="A8" s="634" t="s">
        <v>3260</v>
      </c>
      <c r="B8" s="634"/>
      <c r="C8" s="635" t="s">
        <v>87</v>
      </c>
      <c r="D8" s="636" t="str">
        <f t="array" ref="D8">iferror(INDEX('作品'!D:D,MATCH(left(C8,3),'作品'!A:A,0),0),"error")</f>
        <v>姫様“拷問”の時間です</v>
      </c>
      <c r="E8" s="425" t="s">
        <v>2527</v>
      </c>
      <c r="F8" s="125" t="s">
        <v>973</v>
      </c>
      <c r="G8" s="423" t="str">
        <f t="shared" si="1"/>
        <v>emblem_normal_gom_00001</v>
      </c>
      <c r="H8" s="423" t="str">
        <f t="shared" si="2"/>
        <v>normal_gom_00001</v>
      </c>
      <c r="I8" s="423" t="str">
        <f t="shared" si="3"/>
        <v>emblem_icon_normal_gom_00001</v>
      </c>
      <c r="J8" s="425" t="str">
        <f t="shared" si="4"/>
        <v>姫様“拷問”の時間です</v>
      </c>
      <c r="K8" s="142" t="s">
        <v>3268</v>
      </c>
      <c r="L8" s="638">
        <v>45658.0</v>
      </c>
      <c r="M8" s="639">
        <v>390812.49998842593</v>
      </c>
      <c r="N8" s="641" t="s">
        <v>986</v>
      </c>
      <c r="O8" s="640" t="s">
        <v>3263</v>
      </c>
    </row>
    <row r="9">
      <c r="A9" s="634" t="s">
        <v>3260</v>
      </c>
      <c r="B9" s="634"/>
      <c r="C9" s="635" t="s">
        <v>92</v>
      </c>
      <c r="D9" s="636" t="str">
        <f t="array" ref="D9">iferror(INDEX('作品'!D:D,MATCH(left(C9,3),'作品'!A:A,0),0),"error")</f>
        <v>チェンソーマン</v>
      </c>
      <c r="E9" s="425" t="s">
        <v>2527</v>
      </c>
      <c r="F9" s="125" t="s">
        <v>973</v>
      </c>
      <c r="G9" s="423" t="str">
        <f t="shared" si="1"/>
        <v>emblem_normal_chi_00001</v>
      </c>
      <c r="H9" s="423" t="str">
        <f t="shared" si="2"/>
        <v>normal_chi_00001</v>
      </c>
      <c r="I9" s="423" t="str">
        <f t="shared" si="3"/>
        <v>emblem_icon_normal_chi_00001</v>
      </c>
      <c r="J9" s="425" t="str">
        <f t="shared" si="4"/>
        <v>チェンソーマン</v>
      </c>
      <c r="K9" s="142" t="s">
        <v>3269</v>
      </c>
      <c r="L9" s="638">
        <v>45658.0</v>
      </c>
      <c r="M9" s="639">
        <v>390812.49998842593</v>
      </c>
      <c r="N9" s="641" t="s">
        <v>986</v>
      </c>
      <c r="O9" s="640" t="s">
        <v>3263</v>
      </c>
    </row>
    <row r="10">
      <c r="A10" s="634" t="s">
        <v>3260</v>
      </c>
      <c r="B10" s="634"/>
      <c r="C10" s="635" t="s">
        <v>109</v>
      </c>
      <c r="D10" s="636" t="str">
        <f t="array" ref="D10">iferror(INDEX('作品'!D:D,MATCH(left(C10,3),'作品'!A:A,0),0),"error")</f>
        <v>忘却バッテリー</v>
      </c>
      <c r="E10" s="425" t="s">
        <v>2527</v>
      </c>
      <c r="F10" s="125" t="s">
        <v>973</v>
      </c>
      <c r="G10" s="423" t="str">
        <f t="shared" si="1"/>
        <v>emblem_normal_bat_00001</v>
      </c>
      <c r="H10" s="423" t="str">
        <f t="shared" si="2"/>
        <v>normal_bat_00001</v>
      </c>
      <c r="I10" s="423" t="str">
        <f t="shared" si="3"/>
        <v>emblem_icon_normal_bat_00001</v>
      </c>
      <c r="J10" s="425" t="str">
        <f t="shared" si="4"/>
        <v>忘却バッテリー</v>
      </c>
      <c r="K10" s="306" t="s">
        <v>3270</v>
      </c>
      <c r="L10" s="638">
        <v>45658.0</v>
      </c>
      <c r="M10" s="639">
        <v>390812.49998842593</v>
      </c>
      <c r="N10" s="641" t="s">
        <v>986</v>
      </c>
      <c r="O10" s="115" t="s">
        <v>3271</v>
      </c>
    </row>
    <row r="11">
      <c r="A11" s="634" t="s">
        <v>3260</v>
      </c>
      <c r="B11" s="634"/>
      <c r="C11" s="635" t="s">
        <v>115</v>
      </c>
      <c r="D11" s="636" t="str">
        <f t="array" ref="D11">iferror(INDEX('作品'!D:D,MATCH(left(C11,3),'作品'!A:A,0),0),"error")</f>
        <v>怪獣８号</v>
      </c>
      <c r="E11" s="425" t="s">
        <v>2527</v>
      </c>
      <c r="F11" s="125" t="s">
        <v>973</v>
      </c>
      <c r="G11" s="423" t="str">
        <f t="shared" si="1"/>
        <v>emblem_normal_kai_00001</v>
      </c>
      <c r="H11" s="423" t="str">
        <f t="shared" si="2"/>
        <v>normal_kai_00001</v>
      </c>
      <c r="I11" s="423" t="str">
        <f t="shared" si="3"/>
        <v>emblem_icon_normal_kai_00001</v>
      </c>
      <c r="J11" s="425" t="str">
        <f t="shared" si="4"/>
        <v>怪獣８号</v>
      </c>
      <c r="K11" s="142" t="s">
        <v>3272</v>
      </c>
      <c r="L11" s="638">
        <v>45658.0</v>
      </c>
      <c r="M11" s="639">
        <v>390812.49998842593</v>
      </c>
      <c r="N11" s="641" t="s">
        <v>986</v>
      </c>
      <c r="O11" s="640" t="s">
        <v>3263</v>
      </c>
    </row>
    <row r="12">
      <c r="A12" s="634" t="s">
        <v>3260</v>
      </c>
      <c r="B12" s="634"/>
      <c r="C12" s="635" t="s">
        <v>121</v>
      </c>
      <c r="D12" s="90" t="str">
        <f t="array" ref="D12">iferror(INDEX('作品'!D:D,MATCH(left(C12,3),'作品'!A:A,0),0),"error")</f>
        <v>2.5次元の誘惑</v>
      </c>
      <c r="E12" s="425" t="s">
        <v>2527</v>
      </c>
      <c r="F12" s="125" t="s">
        <v>973</v>
      </c>
      <c r="G12" s="423" t="str">
        <f t="shared" si="1"/>
        <v>emblem_normal_yuw_00001</v>
      </c>
      <c r="H12" s="423" t="str">
        <f t="shared" si="2"/>
        <v>normal_yuw_00001</v>
      </c>
      <c r="I12" s="423" t="str">
        <f t="shared" si="3"/>
        <v>emblem_icon_normal_yuw_00001</v>
      </c>
      <c r="J12" s="425" t="str">
        <f t="shared" si="4"/>
        <v>2.5次元の誘惑</v>
      </c>
      <c r="K12" s="142" t="s">
        <v>3273</v>
      </c>
      <c r="L12" s="638">
        <v>45658.0</v>
      </c>
      <c r="M12" s="639">
        <v>390812.49998842593</v>
      </c>
      <c r="N12" s="641" t="s">
        <v>986</v>
      </c>
      <c r="O12" s="115" t="s">
        <v>3271</v>
      </c>
    </row>
    <row r="13">
      <c r="A13" s="634" t="s">
        <v>3260</v>
      </c>
      <c r="B13" s="634"/>
      <c r="C13" s="635" t="s">
        <v>127</v>
      </c>
      <c r="D13" s="636" t="str">
        <f t="array" ref="D13">iferror(INDEX('作品'!D:D,MATCH(left(C13,3),'作品'!A:A,0),0),"error")</f>
        <v>魔都精兵のスレイブ</v>
      </c>
      <c r="E13" s="425" t="s">
        <v>2527</v>
      </c>
      <c r="F13" s="125" t="s">
        <v>973</v>
      </c>
      <c r="G13" s="423" t="str">
        <f t="shared" si="1"/>
        <v>emblem_normal_sur_00001</v>
      </c>
      <c r="H13" s="423" t="str">
        <f t="shared" si="2"/>
        <v>normal_sur_00001</v>
      </c>
      <c r="I13" s="423" t="str">
        <f t="shared" si="3"/>
        <v>emblem_icon_normal_sur_00001</v>
      </c>
      <c r="J13" s="425" t="str">
        <f t="shared" si="4"/>
        <v>魔都精兵のスレイブ</v>
      </c>
      <c r="K13" s="142" t="s">
        <v>3274</v>
      </c>
      <c r="L13" s="638">
        <v>45658.0</v>
      </c>
      <c r="M13" s="639">
        <v>390812.49998842593</v>
      </c>
      <c r="N13" s="641" t="s">
        <v>986</v>
      </c>
      <c r="O13" s="640" t="s">
        <v>3263</v>
      </c>
    </row>
    <row r="14">
      <c r="A14" s="634" t="s">
        <v>3260</v>
      </c>
      <c r="B14" s="634"/>
      <c r="C14" s="635" t="s">
        <v>132</v>
      </c>
      <c r="D14" s="636" t="str">
        <f t="array" ref="D14">iferror(INDEX('作品'!D:D,MATCH(left(C14,3),'作品'!A:A,0),0),"error")</f>
        <v>鴨乃橋ロンの禁断推理</v>
      </c>
      <c r="E14" s="425" t="s">
        <v>2527</v>
      </c>
      <c r="F14" s="125" t="s">
        <v>973</v>
      </c>
      <c r="G14" s="423" t="str">
        <f t="shared" si="1"/>
        <v>emblem_normal_ron_00001</v>
      </c>
      <c r="H14" s="423" t="str">
        <f t="shared" si="2"/>
        <v>normal_ron_00001</v>
      </c>
      <c r="I14" s="423" t="str">
        <f t="shared" si="3"/>
        <v>emblem_icon_normal_ron_00001</v>
      </c>
      <c r="J14" s="425" t="str">
        <f t="shared" si="4"/>
        <v>鴨乃橋ロンの禁断推理</v>
      </c>
      <c r="K14" s="142" t="s">
        <v>3275</v>
      </c>
      <c r="L14" s="638">
        <v>45658.0</v>
      </c>
      <c r="M14" s="639">
        <v>390812.49998842593</v>
      </c>
      <c r="N14" s="641" t="s">
        <v>986</v>
      </c>
      <c r="O14" s="115" t="s">
        <v>3271</v>
      </c>
    </row>
    <row r="15">
      <c r="A15" s="634" t="s">
        <v>3260</v>
      </c>
      <c r="B15" s="634"/>
      <c r="C15" s="635" t="s">
        <v>138</v>
      </c>
      <c r="D15" s="636" t="str">
        <f t="array" ref="D15">iferror(INDEX('作品'!D:D,MATCH(left(C15,3),'作品'!A:A,0),0),"error")</f>
        <v>阿波連さんははかれない</v>
      </c>
      <c r="E15" s="425" t="s">
        <v>2527</v>
      </c>
      <c r="F15" s="125" t="s">
        <v>973</v>
      </c>
      <c r="G15" s="423" t="str">
        <f t="shared" si="1"/>
        <v>emblem_normal_aha_00001</v>
      </c>
      <c r="H15" s="423" t="str">
        <f t="shared" si="2"/>
        <v>normal_aha_00001</v>
      </c>
      <c r="I15" s="423" t="str">
        <f t="shared" si="3"/>
        <v>emblem_icon_normal_aha_00001</v>
      </c>
      <c r="J15" s="425" t="str">
        <f t="shared" si="4"/>
        <v>阿波連さんははかれない</v>
      </c>
      <c r="K15" s="142" t="s">
        <v>3276</v>
      </c>
      <c r="L15" s="638">
        <v>45658.0</v>
      </c>
      <c r="M15" s="639">
        <v>390812.49998842593</v>
      </c>
      <c r="N15" s="641" t="s">
        <v>986</v>
      </c>
      <c r="O15" s="115" t="s">
        <v>3271</v>
      </c>
    </row>
    <row r="16">
      <c r="A16" s="634" t="s">
        <v>3260</v>
      </c>
      <c r="B16" s="634"/>
      <c r="C16" s="635" t="s">
        <v>153</v>
      </c>
      <c r="D16" s="636" t="str">
        <f t="array" ref="D16">iferror(INDEX('作品'!D:D,MATCH(left(C16,3),'作品'!A:A,0),0),"error")</f>
        <v>タコピーの原罪</v>
      </c>
      <c r="E16" s="425" t="s">
        <v>2527</v>
      </c>
      <c r="F16" s="125" t="s">
        <v>973</v>
      </c>
      <c r="G16" s="423" t="str">
        <f t="shared" si="1"/>
        <v>emblem_normal_tak_00001</v>
      </c>
      <c r="H16" s="423" t="str">
        <f t="shared" si="2"/>
        <v>normal_tak_00001</v>
      </c>
      <c r="I16" s="423" t="str">
        <f t="shared" si="3"/>
        <v>emblem_icon_normal_tak_00001</v>
      </c>
      <c r="J16" s="425" t="str">
        <f t="shared" si="4"/>
        <v>タコピーの原罪</v>
      </c>
      <c r="K16" s="142" t="s">
        <v>3277</v>
      </c>
      <c r="L16" s="638">
        <v>45658.0</v>
      </c>
      <c r="M16" s="639">
        <v>390812.49998842593</v>
      </c>
      <c r="N16" s="641" t="s">
        <v>986</v>
      </c>
      <c r="O16" s="640" t="s">
        <v>3263</v>
      </c>
    </row>
    <row r="17">
      <c r="A17" s="634" t="s">
        <v>3260</v>
      </c>
      <c r="B17" s="634"/>
      <c r="C17" s="635" t="s">
        <v>148</v>
      </c>
      <c r="D17" s="636" t="str">
        <f t="array" ref="D17">iferror(INDEX('作品'!D:D,MATCH(left(C17,3),'作品'!A:A,0),0),"error")</f>
        <v>地獄楽</v>
      </c>
      <c r="E17" s="425" t="s">
        <v>2527</v>
      </c>
      <c r="F17" s="125" t="s">
        <v>973</v>
      </c>
      <c r="G17" s="423" t="str">
        <f t="shared" si="1"/>
        <v>emblem_normal_jig_00001</v>
      </c>
      <c r="H17" s="423" t="str">
        <f t="shared" si="2"/>
        <v>normal_jig_00001</v>
      </c>
      <c r="I17" s="423" t="str">
        <f t="shared" si="3"/>
        <v>emblem_icon_normal_jig_00001</v>
      </c>
      <c r="J17" s="425" t="str">
        <f t="shared" si="4"/>
        <v>地獄楽</v>
      </c>
      <c r="K17" s="142" t="s">
        <v>3278</v>
      </c>
      <c r="L17" s="638">
        <v>45658.0</v>
      </c>
      <c r="M17" s="639">
        <v>390812.49998842593</v>
      </c>
      <c r="N17" s="641" t="s">
        <v>986</v>
      </c>
      <c r="O17" s="640" t="s">
        <v>3263</v>
      </c>
    </row>
    <row r="18">
      <c r="A18" s="634" t="s">
        <v>3260</v>
      </c>
      <c r="B18" s="634"/>
      <c r="C18" s="635" t="s">
        <v>98</v>
      </c>
      <c r="D18" s="636" t="str">
        <f t="array" ref="D18">iferror(INDEX('作品'!D:D,MATCH(left(C18,3),'作品'!A:A,0),0),"error")</f>
        <v>株式会社マジルミエ</v>
      </c>
      <c r="E18" s="425" t="s">
        <v>2527</v>
      </c>
      <c r="F18" s="125" t="s">
        <v>973</v>
      </c>
      <c r="G18" s="423" t="str">
        <f t="shared" si="1"/>
        <v>emblem_normal_mag_00001</v>
      </c>
      <c r="H18" s="423" t="str">
        <f t="shared" si="2"/>
        <v>normal_mag_00001</v>
      </c>
      <c r="I18" s="423" t="str">
        <f t="shared" si="3"/>
        <v>emblem_icon_normal_mag_00001</v>
      </c>
      <c r="J18" s="425" t="str">
        <f t="shared" si="4"/>
        <v>株式会社マジルミエ</v>
      </c>
      <c r="K18" s="142" t="s">
        <v>3279</v>
      </c>
      <c r="L18" s="638">
        <v>45658.0</v>
      </c>
      <c r="M18" s="639">
        <v>390812.49998842593</v>
      </c>
      <c r="N18" s="641" t="s">
        <v>986</v>
      </c>
      <c r="O18" s="640" t="s">
        <v>3263</v>
      </c>
    </row>
    <row r="19">
      <c r="A19" s="634" t="s">
        <v>3280</v>
      </c>
      <c r="B19" s="634"/>
      <c r="C19" s="635" t="s">
        <v>103</v>
      </c>
      <c r="D19" s="636" t="str">
        <f t="array" ref="D19">iferror(INDEX('作品'!D:D,MATCH(left(C19,3),'作品'!A:A,0),0),"error")</f>
        <v>道産子ギャルはなまらめんこい</v>
      </c>
      <c r="E19" s="425" t="s">
        <v>2527</v>
      </c>
      <c r="F19" s="125" t="s">
        <v>973</v>
      </c>
      <c r="G19" s="423" t="str">
        <f t="shared" si="1"/>
        <v>emblem_normal_dos_00001</v>
      </c>
      <c r="H19" s="423" t="str">
        <f t="shared" si="2"/>
        <v>normal_dos_00001</v>
      </c>
      <c r="I19" s="423" t="str">
        <f t="shared" si="3"/>
        <v>emblem_icon_normal_dos_00001</v>
      </c>
      <c r="J19" s="425" t="str">
        <f t="shared" si="4"/>
        <v>道産子ギャルはなまらめんこい</v>
      </c>
      <c r="K19" s="142" t="s">
        <v>3281</v>
      </c>
      <c r="L19" s="638">
        <v>45658.0</v>
      </c>
      <c r="M19" s="639">
        <v>390812.49998842593</v>
      </c>
      <c r="N19" s="641" t="s">
        <v>986</v>
      </c>
      <c r="O19" s="115" t="s">
        <v>3271</v>
      </c>
    </row>
    <row r="20">
      <c r="A20" s="634" t="s">
        <v>3260</v>
      </c>
      <c r="B20" s="634"/>
      <c r="C20" s="635" t="s">
        <v>143</v>
      </c>
      <c r="D20" s="90" t="str">
        <f t="array" ref="D20">iferror(INDEX('作品'!D:D,MATCH(left(C20,3),'作品'!A:A,0),0),"error")</f>
        <v>サマータイムレンダ</v>
      </c>
      <c r="E20" s="425" t="s">
        <v>2527</v>
      </c>
      <c r="F20" s="125" t="s">
        <v>973</v>
      </c>
      <c r="G20" s="423" t="str">
        <f t="shared" si="1"/>
        <v>emblem_normal_sum_00001</v>
      </c>
      <c r="H20" s="423" t="str">
        <f t="shared" si="2"/>
        <v>normal_sum_00001</v>
      </c>
      <c r="I20" s="423" t="str">
        <f t="shared" si="3"/>
        <v>emblem_icon_normal_sum_00001</v>
      </c>
      <c r="J20" s="425" t="str">
        <f t="shared" si="4"/>
        <v>サマータイムレンダ</v>
      </c>
      <c r="K20" s="142" t="s">
        <v>3282</v>
      </c>
      <c r="L20" s="638">
        <v>45658.0</v>
      </c>
      <c r="M20" s="639">
        <v>390812.49998842593</v>
      </c>
      <c r="N20" s="641" t="s">
        <v>986</v>
      </c>
      <c r="O20" s="640" t="s">
        <v>3263</v>
      </c>
    </row>
    <row r="21">
      <c r="A21" s="634" t="s">
        <v>3283</v>
      </c>
      <c r="B21" s="634" t="s">
        <v>3261</v>
      </c>
      <c r="C21" s="634" t="s">
        <v>158</v>
      </c>
      <c r="D21" s="90" t="str">
        <f t="array" ref="D21">iferror(INDEX('作品'!D:D,MATCH(left(C21,3),'作品'!A:A,0),0),"error")</f>
        <v>【推しの子】</v>
      </c>
      <c r="E21" s="425" t="s">
        <v>2527</v>
      </c>
      <c r="F21" s="125" t="s">
        <v>973</v>
      </c>
      <c r="G21" s="423" t="str">
        <f t="shared" si="1"/>
        <v>emblem_normal_osh_00001</v>
      </c>
      <c r="H21" s="423" t="str">
        <f t="shared" si="2"/>
        <v>normal_osh_00001</v>
      </c>
      <c r="I21" s="423" t="str">
        <f t="shared" si="3"/>
        <v>emblem_icon_normal_osh_00001</v>
      </c>
      <c r="J21" s="425" t="str">
        <f t="shared" si="4"/>
        <v>【推しの子】</v>
      </c>
      <c r="K21" s="142" t="str">
        <f>"メインクエスト『"&amp;J21&amp;"』のステージを全てクリアした証"</f>
        <v>メインクエスト『【推しの子】』のステージを全てクリアした証</v>
      </c>
      <c r="L21" s="638">
        <v>46023.0</v>
      </c>
      <c r="M21" s="639">
        <v>390812.49998842593</v>
      </c>
      <c r="N21" s="576"/>
      <c r="O21" s="132"/>
    </row>
    <row r="22">
      <c r="A22" s="635"/>
      <c r="B22" s="635"/>
      <c r="C22" s="635"/>
      <c r="D22" s="90" t="str">
        <f t="array" ref="D22">iferror(INDEX('作品'!D:D,MATCH(left(C22,3),'作品'!A:A,0),0),"error")</f>
        <v>error</v>
      </c>
      <c r="E22" s="425" t="s">
        <v>2527</v>
      </c>
      <c r="F22" s="125" t="s">
        <v>973</v>
      </c>
      <c r="G22" s="423" t="str">
        <f t="shared" si="1"/>
        <v>emblem_normal__00001</v>
      </c>
      <c r="H22" s="423" t="str">
        <f t="shared" si="2"/>
        <v>normal__00001</v>
      </c>
      <c r="I22" s="423" t="str">
        <f t="shared" si="3"/>
        <v>emblem_icon_normal__00001</v>
      </c>
      <c r="J22" s="425"/>
      <c r="K22" s="142"/>
      <c r="L22" s="638"/>
      <c r="M22" s="639"/>
      <c r="N22" s="576"/>
      <c r="O22" s="132"/>
    </row>
    <row r="23">
      <c r="A23" s="642"/>
      <c r="B23" s="642"/>
      <c r="C23" s="635"/>
      <c r="D23" s="90" t="str">
        <f t="array" ref="D23">iferror(INDEX('作品'!D:D,MATCH(left(C23,3),'作品'!A:A,0),0),"error")</f>
        <v>error</v>
      </c>
      <c r="E23" s="425" t="s">
        <v>2527</v>
      </c>
      <c r="F23" s="125" t="s">
        <v>973</v>
      </c>
      <c r="G23" s="423" t="str">
        <f t="shared" si="1"/>
        <v>emblem_normal__00001</v>
      </c>
      <c r="H23" s="423" t="str">
        <f t="shared" si="2"/>
        <v>normal__00001</v>
      </c>
      <c r="I23" s="423" t="str">
        <f t="shared" si="3"/>
        <v>emblem_icon_normal__00001</v>
      </c>
      <c r="J23" s="132"/>
      <c r="K23" s="132"/>
      <c r="L23" s="638"/>
      <c r="M23" s="639"/>
      <c r="N23" s="576"/>
      <c r="O23" s="132"/>
    </row>
    <row r="24" ht="18.0" customHeight="1">
      <c r="A24" s="643" t="s">
        <v>2458</v>
      </c>
      <c r="B24" s="643"/>
      <c r="C24" s="643"/>
      <c r="D24" s="643"/>
      <c r="E24" s="643"/>
      <c r="F24" s="643"/>
      <c r="G24" s="643"/>
      <c r="H24" s="643"/>
      <c r="I24" s="643"/>
      <c r="J24" s="643"/>
      <c r="K24" s="643"/>
      <c r="L24" s="643"/>
      <c r="M24" s="643"/>
      <c r="N24" s="643"/>
      <c r="O24" s="644"/>
    </row>
    <row r="25">
      <c r="A25" s="634" t="s">
        <v>3283</v>
      </c>
      <c r="B25" s="634" t="s">
        <v>3264</v>
      </c>
      <c r="C25" s="645" t="s">
        <v>283</v>
      </c>
      <c r="D25" s="90" t="str">
        <f t="array" ref="D25">iferror(INDEX('作品'!D:D,MATCH(left(C25,3),'作品'!A:A,0),0),"error")</f>
        <v>GLOW</v>
      </c>
      <c r="E25" s="646" t="s">
        <v>2459</v>
      </c>
      <c r="F25" s="125" t="s">
        <v>973</v>
      </c>
      <c r="G25" s="423" t="str">
        <f t="shared" ref="G25:G26" si="5">"emblem_"&amp;E25&amp;"_"&amp;C25&amp;"_"&amp;F25</f>
        <v>emblem_event_glo_00001</v>
      </c>
      <c r="H25" s="423" t="str">
        <f t="shared" ref="H25:H26" si="6">E25&amp;"_"&amp;C25&amp;"_"&amp;F25</f>
        <v>event_glo_00001</v>
      </c>
      <c r="I25" s="423" t="str">
        <f t="shared" ref="I25:I26" si="7">"emblem_icon_"&amp;E25&amp;"_"&amp;C25&amp;"_"&amp;F25</f>
        <v>emblem_icon_event_glo_00001</v>
      </c>
      <c r="J25" s="142" t="s">
        <v>3284</v>
      </c>
      <c r="K25" s="645" t="s">
        <v>3285</v>
      </c>
      <c r="L25" s="638">
        <v>46023.0</v>
      </c>
      <c r="M25" s="164">
        <v>390812.49998842593</v>
      </c>
      <c r="N25" s="132"/>
      <c r="O25" s="132"/>
    </row>
    <row r="26">
      <c r="A26" s="634" t="s">
        <v>3283</v>
      </c>
      <c r="B26" s="634" t="s">
        <v>3264</v>
      </c>
      <c r="C26" s="645" t="s">
        <v>283</v>
      </c>
      <c r="D26" s="90" t="str">
        <f t="array" ref="D26">iferror(INDEX('作品'!D:D,MATCH(left(C26,3),'作品'!A:A,0),0),"error")</f>
        <v>GLOW</v>
      </c>
      <c r="E26" s="646" t="s">
        <v>2459</v>
      </c>
      <c r="F26" s="125" t="s">
        <v>990</v>
      </c>
      <c r="G26" s="423" t="str">
        <f t="shared" si="5"/>
        <v>emblem_event_glo_00002</v>
      </c>
      <c r="H26" s="423" t="str">
        <f t="shared" si="6"/>
        <v>event_glo_00002</v>
      </c>
      <c r="I26" s="423" t="str">
        <f t="shared" si="7"/>
        <v>emblem_icon_event_glo_00002</v>
      </c>
      <c r="J26" s="142" t="s">
        <v>3286</v>
      </c>
      <c r="K26" s="645" t="s">
        <v>3287</v>
      </c>
      <c r="L26" s="638">
        <v>46023.0</v>
      </c>
      <c r="M26" s="164">
        <v>390812.49998842593</v>
      </c>
      <c r="N26" s="132"/>
      <c r="O26" s="132"/>
    </row>
    <row r="27">
      <c r="A27" s="634" t="s">
        <v>3264</v>
      </c>
      <c r="B27" s="634" t="s">
        <v>3264</v>
      </c>
      <c r="C27" s="645"/>
      <c r="D27" s="645"/>
      <c r="E27" s="646"/>
      <c r="F27" s="125"/>
      <c r="G27" s="236"/>
      <c r="H27" s="236"/>
      <c r="I27" s="236"/>
      <c r="J27" s="132"/>
      <c r="K27" s="132"/>
      <c r="L27" s="273"/>
      <c r="M27" s="273"/>
      <c r="N27" s="132"/>
      <c r="O27" s="132"/>
    </row>
    <row r="28">
      <c r="A28" s="634" t="s">
        <v>3260</v>
      </c>
      <c r="B28" s="634" t="s">
        <v>3260</v>
      </c>
      <c r="C28" s="645" t="s">
        <v>115</v>
      </c>
      <c r="D28" s="90" t="str">
        <f t="array" ref="D28">iferror(INDEX('作品'!D:D,MATCH(left(C28,3),'作品'!A:A,0),0),"error")</f>
        <v>怪獣８号</v>
      </c>
      <c r="E28" s="425" t="s">
        <v>2459</v>
      </c>
      <c r="F28" s="125" t="s">
        <v>973</v>
      </c>
      <c r="G28" s="423" t="str">
        <f t="shared" ref="G28:G69" si="8">"emblem_"&amp;E28&amp;"_"&amp;C28&amp;"_"&amp;F28</f>
        <v>emblem_event_kai_00001</v>
      </c>
      <c r="H28" s="423" t="str">
        <f t="shared" ref="H28:H69" si="9">E28&amp;"_"&amp;C28&amp;"_"&amp;F28</f>
        <v>event_kai_00001</v>
      </c>
      <c r="I28" s="423" t="str">
        <f t="shared" ref="I28:I69" si="10">"emblem_icon_"&amp;E28&amp;"_"&amp;C28&amp;"_"&amp;F28</f>
        <v>emblem_icon_event_kai_00001</v>
      </c>
      <c r="J28" s="142" t="s">
        <v>3288</v>
      </c>
      <c r="K28" s="142" t="s">
        <v>3289</v>
      </c>
      <c r="L28" s="638">
        <v>45922.0</v>
      </c>
      <c r="M28" s="639">
        <v>390812.49998842593</v>
      </c>
      <c r="N28" s="142" t="s">
        <v>986</v>
      </c>
      <c r="O28" s="640" t="s">
        <v>3263</v>
      </c>
    </row>
    <row r="29">
      <c r="A29" s="634" t="s">
        <v>3260</v>
      </c>
      <c r="B29" s="634" t="s">
        <v>3260</v>
      </c>
      <c r="C29" s="645" t="s">
        <v>115</v>
      </c>
      <c r="D29" s="90" t="str">
        <f t="array" ref="D29">iferror(INDEX('作品'!D:D,MATCH(left(C29,3),'作品'!A:A,0),0),"error")</f>
        <v>怪獣８号</v>
      </c>
      <c r="E29" s="425" t="s">
        <v>2459</v>
      </c>
      <c r="F29" s="125" t="s">
        <v>990</v>
      </c>
      <c r="G29" s="423" t="str">
        <f t="shared" si="8"/>
        <v>emblem_event_kai_00002</v>
      </c>
      <c r="H29" s="423" t="str">
        <f t="shared" si="9"/>
        <v>event_kai_00002</v>
      </c>
      <c r="I29" s="423" t="str">
        <f t="shared" si="10"/>
        <v>emblem_icon_event_kai_00002</v>
      </c>
      <c r="J29" s="142" t="s">
        <v>117</v>
      </c>
      <c r="K29" s="142" t="s">
        <v>3290</v>
      </c>
      <c r="L29" s="638">
        <v>45922.0</v>
      </c>
      <c r="M29" s="639">
        <v>390812.49998842593</v>
      </c>
      <c r="N29" s="142" t="s">
        <v>986</v>
      </c>
      <c r="O29" s="640" t="s">
        <v>3263</v>
      </c>
    </row>
    <row r="30">
      <c r="A30" s="634" t="s">
        <v>3260</v>
      </c>
      <c r="B30" s="634" t="s">
        <v>3260</v>
      </c>
      <c r="C30" s="645" t="s">
        <v>115</v>
      </c>
      <c r="D30" s="90" t="str">
        <f t="array" ref="D30">iferror(INDEX('作品'!D:D,MATCH(left(C30,3),'作品'!A:A,0),0),"error")</f>
        <v>怪獣８号</v>
      </c>
      <c r="E30" s="425" t="s">
        <v>2459</v>
      </c>
      <c r="F30" s="125" t="s">
        <v>1267</v>
      </c>
      <c r="G30" s="423" t="str">
        <f t="shared" si="8"/>
        <v>emblem_event_kai_00003</v>
      </c>
      <c r="H30" s="423" t="str">
        <f t="shared" si="9"/>
        <v>event_kai_00003</v>
      </c>
      <c r="I30" s="423" t="str">
        <f t="shared" si="10"/>
        <v>emblem_icon_event_kai_00003</v>
      </c>
      <c r="J30" s="142" t="s">
        <v>1790</v>
      </c>
      <c r="K30" s="142" t="s">
        <v>3291</v>
      </c>
      <c r="L30" s="638">
        <v>45922.0</v>
      </c>
      <c r="M30" s="639">
        <v>390812.49998842593</v>
      </c>
      <c r="N30" s="142" t="s">
        <v>986</v>
      </c>
      <c r="O30" s="640" t="s">
        <v>3263</v>
      </c>
    </row>
    <row r="31">
      <c r="A31" s="634" t="s">
        <v>3260</v>
      </c>
      <c r="B31" s="634" t="s">
        <v>3260</v>
      </c>
      <c r="C31" s="645" t="s">
        <v>115</v>
      </c>
      <c r="D31" s="90" t="str">
        <f t="array" ref="D31">iferror(INDEX('作品'!D:D,MATCH(left(C31,3),'作品'!A:A,0),0),"error")</f>
        <v>怪獣８号</v>
      </c>
      <c r="E31" s="425" t="s">
        <v>2459</v>
      </c>
      <c r="F31" s="125" t="s">
        <v>1878</v>
      </c>
      <c r="G31" s="423" t="str">
        <f t="shared" si="8"/>
        <v>emblem_event_kai_00004</v>
      </c>
      <c r="H31" s="423" t="str">
        <f t="shared" si="9"/>
        <v>event_kai_00004</v>
      </c>
      <c r="I31" s="423" t="str">
        <f t="shared" si="10"/>
        <v>emblem_icon_event_kai_00004</v>
      </c>
      <c r="J31" s="142" t="s">
        <v>1793</v>
      </c>
      <c r="K31" s="142" t="s">
        <v>3292</v>
      </c>
      <c r="L31" s="638">
        <v>45922.0</v>
      </c>
      <c r="M31" s="639">
        <v>390812.49998842593</v>
      </c>
      <c r="N31" s="142" t="s">
        <v>986</v>
      </c>
      <c r="O31" s="640" t="s">
        <v>3263</v>
      </c>
    </row>
    <row r="32">
      <c r="A32" s="634" t="s">
        <v>3260</v>
      </c>
      <c r="B32" s="634" t="s">
        <v>3260</v>
      </c>
      <c r="C32" s="645" t="s">
        <v>80</v>
      </c>
      <c r="D32" s="90" t="str">
        <f t="array" ref="D32">iferror(INDEX('作品'!D:D,MATCH(left(C32,3),'作品'!A:A,0),0),"error")</f>
        <v>ダンダダン</v>
      </c>
      <c r="E32" s="425" t="s">
        <v>2459</v>
      </c>
      <c r="F32" s="125" t="s">
        <v>973</v>
      </c>
      <c r="G32" s="423" t="str">
        <f t="shared" si="8"/>
        <v>emblem_event_dan_00001</v>
      </c>
      <c r="H32" s="423" t="str">
        <f t="shared" si="9"/>
        <v>event_dan_00001</v>
      </c>
      <c r="I32" s="423" t="str">
        <f t="shared" si="10"/>
        <v>emblem_icon_event_dan_00001</v>
      </c>
      <c r="J32" s="142" t="s">
        <v>3293</v>
      </c>
      <c r="K32" s="645" t="s">
        <v>3294</v>
      </c>
      <c r="L32" s="275">
        <v>45952.625</v>
      </c>
      <c r="M32" s="164">
        <v>390812.49998842593</v>
      </c>
      <c r="N32" s="142" t="s">
        <v>986</v>
      </c>
      <c r="O32" s="640" t="s">
        <v>3295</v>
      </c>
    </row>
    <row r="33">
      <c r="A33" s="634" t="s">
        <v>3260</v>
      </c>
      <c r="B33" s="634" t="s">
        <v>3260</v>
      </c>
      <c r="C33" s="645" t="s">
        <v>80</v>
      </c>
      <c r="D33" s="90" t="str">
        <f t="array" ref="D33">iferror(INDEX('作品'!D:D,MATCH(left(C33,3),'作品'!A:A,0),0),"error")</f>
        <v>ダンダダン</v>
      </c>
      <c r="E33" s="425" t="s">
        <v>2459</v>
      </c>
      <c r="F33" s="125" t="s">
        <v>990</v>
      </c>
      <c r="G33" s="423" t="str">
        <f t="shared" si="8"/>
        <v>emblem_event_dan_00002</v>
      </c>
      <c r="H33" s="423" t="str">
        <f t="shared" si="9"/>
        <v>event_dan_00002</v>
      </c>
      <c r="I33" s="423" t="str">
        <f t="shared" si="10"/>
        <v>emblem_icon_event_dan_00002</v>
      </c>
      <c r="J33" s="142" t="s">
        <v>1107</v>
      </c>
      <c r="K33" s="142" t="s">
        <v>3296</v>
      </c>
      <c r="L33" s="275">
        <v>45952.625</v>
      </c>
      <c r="M33" s="164">
        <v>390812.49998842593</v>
      </c>
      <c r="N33" s="142" t="s">
        <v>986</v>
      </c>
      <c r="O33" s="640" t="s">
        <v>3295</v>
      </c>
    </row>
    <row r="34">
      <c r="A34" s="634" t="s">
        <v>3260</v>
      </c>
      <c r="B34" s="634" t="s">
        <v>3260</v>
      </c>
      <c r="C34" s="645" t="s">
        <v>80</v>
      </c>
      <c r="D34" s="90" t="str">
        <f t="array" ref="D34">iferror(INDEX('作品'!D:D,MATCH(left(C34,3),'作品'!A:A,0),0),"error")</f>
        <v>ダンダダン</v>
      </c>
      <c r="E34" s="425" t="s">
        <v>2459</v>
      </c>
      <c r="F34" s="125" t="s">
        <v>1267</v>
      </c>
      <c r="G34" s="423" t="str">
        <f t="shared" si="8"/>
        <v>emblem_event_dan_00003</v>
      </c>
      <c r="H34" s="423" t="str">
        <f t="shared" si="9"/>
        <v>event_dan_00003</v>
      </c>
      <c r="I34" s="423" t="str">
        <f t="shared" si="10"/>
        <v>emblem_icon_event_dan_00003</v>
      </c>
      <c r="J34" s="142" t="s">
        <v>3297</v>
      </c>
      <c r="K34" s="142" t="s">
        <v>3298</v>
      </c>
      <c r="L34" s="275">
        <v>45952.625</v>
      </c>
      <c r="M34" s="164">
        <v>390812.49998842593</v>
      </c>
      <c r="N34" s="142" t="s">
        <v>986</v>
      </c>
      <c r="O34" s="640" t="s">
        <v>3295</v>
      </c>
    </row>
    <row r="35">
      <c r="A35" s="634" t="s">
        <v>3260</v>
      </c>
      <c r="B35" s="634" t="s">
        <v>3260</v>
      </c>
      <c r="C35" s="645" t="s">
        <v>60</v>
      </c>
      <c r="D35" s="90" t="str">
        <f t="array" ref="D35">iferror(INDEX('作品'!D:D,MATCH(left(C35,3),'作品'!A:A,0),0),"error")</f>
        <v>SPY×FAMILY</v>
      </c>
      <c r="E35" s="425" t="s">
        <v>2459</v>
      </c>
      <c r="F35" s="125" t="s">
        <v>973</v>
      </c>
      <c r="G35" s="423" t="str">
        <f t="shared" si="8"/>
        <v>emblem_event_spy_00001</v>
      </c>
      <c r="H35" s="423" t="str">
        <f t="shared" si="9"/>
        <v>event_spy_00001</v>
      </c>
      <c r="I35" s="423" t="str">
        <f t="shared" si="10"/>
        <v>emblem_icon_event_spy_00001</v>
      </c>
      <c r="J35" s="142" t="s">
        <v>3299</v>
      </c>
      <c r="K35" s="645" t="s">
        <v>3300</v>
      </c>
      <c r="L35" s="275">
        <v>45936.0</v>
      </c>
      <c r="M35" s="164">
        <v>390812.49998842593</v>
      </c>
      <c r="N35" s="142" t="s">
        <v>986</v>
      </c>
      <c r="O35" s="640" t="s">
        <v>3301</v>
      </c>
    </row>
    <row r="36">
      <c r="A36" s="634" t="s">
        <v>3260</v>
      </c>
      <c r="B36" s="634" t="s">
        <v>3260</v>
      </c>
      <c r="C36" s="645" t="s">
        <v>98</v>
      </c>
      <c r="D36" s="90" t="str">
        <f t="array" ref="D36">iferror(INDEX('作品'!D:D,MATCH(left(C36,3),'作品'!A:A,0),0),"error")</f>
        <v>株式会社マジルミエ</v>
      </c>
      <c r="E36" s="425" t="s">
        <v>2459</v>
      </c>
      <c r="F36" s="125" t="s">
        <v>973</v>
      </c>
      <c r="G36" s="423" t="str">
        <f t="shared" si="8"/>
        <v>emblem_event_mag_00001</v>
      </c>
      <c r="H36" s="423" t="str">
        <f t="shared" si="9"/>
        <v>event_mag_00001</v>
      </c>
      <c r="I36" s="423" t="str">
        <f t="shared" si="10"/>
        <v>emblem_icon_event_mag_00001</v>
      </c>
      <c r="J36" s="142" t="s">
        <v>3302</v>
      </c>
      <c r="K36" s="645" t="s">
        <v>3303</v>
      </c>
      <c r="L36" s="275">
        <v>45967.625</v>
      </c>
      <c r="M36" s="164">
        <v>390812.49998842593</v>
      </c>
      <c r="N36" s="142" t="s">
        <v>986</v>
      </c>
      <c r="O36" s="640" t="s">
        <v>3304</v>
      </c>
    </row>
    <row r="37" ht="16.5" customHeight="1">
      <c r="A37" s="634" t="s">
        <v>3260</v>
      </c>
      <c r="B37" s="634" t="s">
        <v>3260</v>
      </c>
      <c r="C37" s="645" t="s">
        <v>98</v>
      </c>
      <c r="D37" s="90" t="str">
        <f t="array" ref="D37">iferror(INDEX('作品'!D:D,MATCH(left(C37,3),'作品'!A:A,0),0),"error")</f>
        <v>株式会社マジルミエ</v>
      </c>
      <c r="E37" s="425" t="s">
        <v>2459</v>
      </c>
      <c r="F37" s="125" t="s">
        <v>990</v>
      </c>
      <c r="G37" s="423" t="str">
        <f t="shared" si="8"/>
        <v>emblem_event_mag_00002</v>
      </c>
      <c r="H37" s="423" t="str">
        <f t="shared" si="9"/>
        <v>event_mag_00002</v>
      </c>
      <c r="I37" s="423" t="str">
        <f t="shared" si="10"/>
        <v>emblem_icon_event_mag_00002</v>
      </c>
      <c r="J37" s="142" t="s">
        <v>3305</v>
      </c>
      <c r="K37" s="645" t="s">
        <v>3306</v>
      </c>
      <c r="L37" s="275">
        <v>45967.625</v>
      </c>
      <c r="M37" s="164">
        <v>390812.49998842593</v>
      </c>
      <c r="N37" s="142" t="s">
        <v>986</v>
      </c>
      <c r="O37" s="640" t="s">
        <v>3304</v>
      </c>
    </row>
    <row r="38">
      <c r="A38" s="634" t="s">
        <v>3260</v>
      </c>
      <c r="B38" s="634" t="s">
        <v>3260</v>
      </c>
      <c r="C38" s="645" t="s">
        <v>98</v>
      </c>
      <c r="D38" s="90" t="str">
        <f t="array" ref="D38">iferror(INDEX('作品'!D:D,MATCH(left(C38,3),'作品'!A:A,0),0),"error")</f>
        <v>株式会社マジルミエ</v>
      </c>
      <c r="E38" s="425" t="s">
        <v>2459</v>
      </c>
      <c r="F38" s="125" t="s">
        <v>1267</v>
      </c>
      <c r="G38" s="423" t="str">
        <f t="shared" si="8"/>
        <v>emblem_event_mag_00003</v>
      </c>
      <c r="H38" s="423" t="str">
        <f t="shared" si="9"/>
        <v>event_mag_00003</v>
      </c>
      <c r="I38" s="423" t="str">
        <f t="shared" si="10"/>
        <v>emblem_icon_event_mag_00003</v>
      </c>
      <c r="J38" s="142" t="s">
        <v>3307</v>
      </c>
      <c r="K38" s="645" t="s">
        <v>3308</v>
      </c>
      <c r="L38" s="275">
        <v>45967.625</v>
      </c>
      <c r="M38" s="164">
        <v>390812.49998842593</v>
      </c>
      <c r="N38" s="142" t="s">
        <v>986</v>
      </c>
      <c r="O38" s="640" t="s">
        <v>3304</v>
      </c>
    </row>
    <row r="39" ht="16.5" customHeight="1">
      <c r="A39" s="634" t="s">
        <v>3260</v>
      </c>
      <c r="B39" s="634" t="s">
        <v>3260</v>
      </c>
      <c r="C39" s="645" t="s">
        <v>121</v>
      </c>
      <c r="D39" s="90" t="str">
        <f t="array" ref="D39">iferror(INDEX('作品'!D:D,MATCH(left(C39,3),'作品'!A:A,0),0),"error")</f>
        <v>2.5次元の誘惑</v>
      </c>
      <c r="E39" s="425" t="s">
        <v>2459</v>
      </c>
      <c r="F39" s="125" t="s">
        <v>973</v>
      </c>
      <c r="G39" s="423" t="str">
        <f t="shared" si="8"/>
        <v>emblem_event_yuw_00001</v>
      </c>
      <c r="H39" s="423" t="str">
        <f t="shared" si="9"/>
        <v>event_yuw_00001</v>
      </c>
      <c r="I39" s="423" t="str">
        <f t="shared" si="10"/>
        <v>emblem_icon_event_yuw_00001</v>
      </c>
      <c r="J39" s="142" t="s">
        <v>3309</v>
      </c>
      <c r="K39" s="142" t="s">
        <v>3310</v>
      </c>
      <c r="L39" s="275">
        <v>45986.625</v>
      </c>
      <c r="M39" s="164">
        <v>390812.49998842593</v>
      </c>
      <c r="N39" s="142" t="s">
        <v>986</v>
      </c>
      <c r="O39" s="640" t="s">
        <v>3311</v>
      </c>
    </row>
    <row r="40">
      <c r="A40" s="634" t="s">
        <v>3260</v>
      </c>
      <c r="B40" s="634" t="s">
        <v>3260</v>
      </c>
      <c r="C40" s="645" t="s">
        <v>121</v>
      </c>
      <c r="D40" s="90" t="str">
        <f t="array" ref="D40">iferror(INDEX('作品'!D:D,MATCH(left(C40,3),'作品'!A:A,0),0),"error")</f>
        <v>2.5次元の誘惑</v>
      </c>
      <c r="E40" s="425" t="s">
        <v>2459</v>
      </c>
      <c r="F40" s="125" t="s">
        <v>990</v>
      </c>
      <c r="G40" s="423" t="str">
        <f t="shared" si="8"/>
        <v>emblem_event_yuw_00002</v>
      </c>
      <c r="H40" s="423" t="str">
        <f t="shared" si="9"/>
        <v>event_yuw_00002</v>
      </c>
      <c r="I40" s="423" t="str">
        <f t="shared" si="10"/>
        <v>emblem_icon_event_yuw_00002</v>
      </c>
      <c r="J40" s="142" t="s">
        <v>3312</v>
      </c>
      <c r="K40" s="142" t="s">
        <v>3313</v>
      </c>
      <c r="L40" s="275">
        <v>45986.625</v>
      </c>
      <c r="M40" s="164">
        <v>390812.49998842593</v>
      </c>
      <c r="N40" s="142" t="s">
        <v>986</v>
      </c>
      <c r="O40" s="640" t="s">
        <v>3311</v>
      </c>
    </row>
    <row r="41">
      <c r="A41" s="634" t="s">
        <v>3260</v>
      </c>
      <c r="B41" s="634" t="s">
        <v>3260</v>
      </c>
      <c r="C41" s="645" t="s">
        <v>127</v>
      </c>
      <c r="D41" s="90" t="str">
        <f t="array" ref="D41">iferror(INDEX('作品'!D:D,MATCH(left(C41,3),'作品'!A:A,0),0),"error")</f>
        <v>魔都精兵のスレイブ</v>
      </c>
      <c r="E41" s="425" t="s">
        <v>2459</v>
      </c>
      <c r="F41" s="125" t="s">
        <v>973</v>
      </c>
      <c r="G41" s="423" t="str">
        <f t="shared" si="8"/>
        <v>emblem_event_sur_00001</v>
      </c>
      <c r="H41" s="423" t="str">
        <f t="shared" si="9"/>
        <v>event_sur_00001</v>
      </c>
      <c r="I41" s="423" t="str">
        <f t="shared" si="10"/>
        <v>emblem_icon_event_sur_00001</v>
      </c>
      <c r="J41" s="142" t="s">
        <v>3314</v>
      </c>
      <c r="K41" s="142" t="s">
        <v>3315</v>
      </c>
      <c r="L41" s="275">
        <v>45999.625</v>
      </c>
      <c r="M41" s="164">
        <v>390812.49998842593</v>
      </c>
      <c r="N41" s="142" t="s">
        <v>986</v>
      </c>
      <c r="O41" s="640" t="s">
        <v>3316</v>
      </c>
    </row>
    <row r="42">
      <c r="A42" s="634" t="s">
        <v>3260</v>
      </c>
      <c r="B42" s="634" t="s">
        <v>3260</v>
      </c>
      <c r="C42" s="645" t="s">
        <v>127</v>
      </c>
      <c r="D42" s="90" t="str">
        <f t="array" ref="D42">iferror(INDEX('作品'!D:D,MATCH(left(C42,3),'作品'!A:A,0),0),"error")</f>
        <v>魔都精兵のスレイブ</v>
      </c>
      <c r="E42" s="425" t="s">
        <v>2459</v>
      </c>
      <c r="F42" s="125" t="s">
        <v>990</v>
      </c>
      <c r="G42" s="423" t="str">
        <f t="shared" si="8"/>
        <v>emblem_event_sur_00002</v>
      </c>
      <c r="H42" s="423" t="str">
        <f t="shared" si="9"/>
        <v>event_sur_00002</v>
      </c>
      <c r="I42" s="423" t="str">
        <f t="shared" si="10"/>
        <v>emblem_icon_event_sur_00002</v>
      </c>
      <c r="J42" s="142" t="s">
        <v>3317</v>
      </c>
      <c r="K42" s="142" t="s">
        <v>3318</v>
      </c>
      <c r="L42" s="275">
        <v>45999.625</v>
      </c>
      <c r="M42" s="164">
        <v>390812.49998842593</v>
      </c>
      <c r="N42" s="142" t="s">
        <v>986</v>
      </c>
      <c r="O42" s="640" t="s">
        <v>3316</v>
      </c>
    </row>
    <row r="43">
      <c r="A43" s="634" t="s">
        <v>3260</v>
      </c>
      <c r="B43" s="634" t="s">
        <v>3260</v>
      </c>
      <c r="C43" s="645" t="s">
        <v>127</v>
      </c>
      <c r="D43" s="90" t="str">
        <f t="array" ref="D43">iferror(INDEX('作品'!D:D,MATCH(left(C43,3),'作品'!A:A,0),0),"error")</f>
        <v>魔都精兵のスレイブ</v>
      </c>
      <c r="E43" s="425" t="s">
        <v>2459</v>
      </c>
      <c r="F43" s="125" t="s">
        <v>1267</v>
      </c>
      <c r="G43" s="423" t="str">
        <f t="shared" si="8"/>
        <v>emblem_event_sur_00003</v>
      </c>
      <c r="H43" s="423" t="str">
        <f t="shared" si="9"/>
        <v>event_sur_00003</v>
      </c>
      <c r="I43" s="423" t="str">
        <f t="shared" si="10"/>
        <v>emblem_icon_event_sur_00003</v>
      </c>
      <c r="J43" s="142" t="s">
        <v>3319</v>
      </c>
      <c r="K43" s="142" t="s">
        <v>3320</v>
      </c>
      <c r="L43" s="275">
        <v>45999.625</v>
      </c>
      <c r="M43" s="164">
        <v>390812.49998842593</v>
      </c>
      <c r="N43" s="142" t="s">
        <v>986</v>
      </c>
      <c r="O43" s="640" t="s">
        <v>3316</v>
      </c>
    </row>
    <row r="44">
      <c r="A44" s="634" t="s">
        <v>3283</v>
      </c>
      <c r="B44" s="645" t="s">
        <v>3264</v>
      </c>
      <c r="C44" s="645" t="s">
        <v>158</v>
      </c>
      <c r="D44" s="90" t="str">
        <f t="array" ref="D44">iferror(INDEX('作品'!D:D,MATCH(left(C44,3),'作品'!A:A,0),0),"error")</f>
        <v>【推しの子】</v>
      </c>
      <c r="E44" s="425" t="s">
        <v>2459</v>
      </c>
      <c r="F44" s="125" t="s">
        <v>973</v>
      </c>
      <c r="G44" s="423" t="str">
        <f t="shared" si="8"/>
        <v>emblem_event_osh_00001</v>
      </c>
      <c r="H44" s="423" t="str">
        <f t="shared" si="9"/>
        <v>event_osh_00001</v>
      </c>
      <c r="I44" s="423" t="str">
        <f t="shared" si="10"/>
        <v>emblem_icon_event_osh_00001</v>
      </c>
      <c r="J44" s="142" t="s">
        <v>3321</v>
      </c>
      <c r="K44" s="142" t="s">
        <v>3322</v>
      </c>
      <c r="L44" s="638">
        <v>46023.0</v>
      </c>
      <c r="M44" s="164">
        <v>390812.49998842593</v>
      </c>
      <c r="N44" s="142" t="s">
        <v>986</v>
      </c>
      <c r="O44" s="640" t="s">
        <v>3323</v>
      </c>
    </row>
    <row r="45">
      <c r="A45" s="634" t="s">
        <v>3283</v>
      </c>
      <c r="B45" s="645" t="s">
        <v>3264</v>
      </c>
      <c r="C45" s="645" t="s">
        <v>158</v>
      </c>
      <c r="D45" s="90" t="str">
        <f t="array" ref="D45">iferror(INDEX('作品'!D:D,MATCH(left(C45,3),'作品'!A:A,0),0),"error")</f>
        <v>【推しの子】</v>
      </c>
      <c r="E45" s="425" t="s">
        <v>2459</v>
      </c>
      <c r="F45" s="125" t="s">
        <v>990</v>
      </c>
      <c r="G45" s="423" t="str">
        <f t="shared" si="8"/>
        <v>emblem_event_osh_00002</v>
      </c>
      <c r="H45" s="423" t="str">
        <f t="shared" si="9"/>
        <v>event_osh_00002</v>
      </c>
      <c r="I45" s="423" t="str">
        <f t="shared" si="10"/>
        <v>emblem_icon_event_osh_00002</v>
      </c>
      <c r="J45" s="142" t="s">
        <v>3324</v>
      </c>
      <c r="K45" s="142" t="s">
        <v>3325</v>
      </c>
      <c r="L45" s="638">
        <v>46023.0</v>
      </c>
      <c r="M45" s="164">
        <v>390812.49998842593</v>
      </c>
      <c r="N45" s="142" t="s">
        <v>986</v>
      </c>
      <c r="O45" s="640" t="s">
        <v>3323</v>
      </c>
    </row>
    <row r="46">
      <c r="A46" s="634" t="s">
        <v>3283</v>
      </c>
      <c r="B46" s="645" t="s">
        <v>3264</v>
      </c>
      <c r="C46" s="645" t="s">
        <v>158</v>
      </c>
      <c r="D46" s="90" t="str">
        <f t="array" ref="D46">iferror(INDEX('作品'!D:D,MATCH(left(C46,3),'作品'!A:A,0),0),"error")</f>
        <v>【推しの子】</v>
      </c>
      <c r="E46" s="425" t="s">
        <v>2459</v>
      </c>
      <c r="F46" s="125" t="s">
        <v>1267</v>
      </c>
      <c r="G46" s="423" t="str">
        <f t="shared" si="8"/>
        <v>emblem_event_osh_00003</v>
      </c>
      <c r="H46" s="423" t="str">
        <f t="shared" si="9"/>
        <v>event_osh_00003</v>
      </c>
      <c r="I46" s="423" t="str">
        <f t="shared" si="10"/>
        <v>emblem_icon_event_osh_00003</v>
      </c>
      <c r="J46" s="142" t="s">
        <v>3326</v>
      </c>
      <c r="K46" s="142" t="s">
        <v>3327</v>
      </c>
      <c r="L46" s="638">
        <v>46023.0</v>
      </c>
      <c r="M46" s="164">
        <v>390812.49998842593</v>
      </c>
      <c r="N46" s="142" t="s">
        <v>986</v>
      </c>
      <c r="O46" s="640" t="s">
        <v>3323</v>
      </c>
    </row>
    <row r="47">
      <c r="A47" s="634" t="s">
        <v>3283</v>
      </c>
      <c r="B47" s="645" t="s">
        <v>3264</v>
      </c>
      <c r="C47" s="645" t="s">
        <v>158</v>
      </c>
      <c r="D47" s="90" t="str">
        <f t="array" ref="D47">iferror(INDEX('作品'!D:D,MATCH(left(C47,3),'作品'!A:A,0),0),"error")</f>
        <v>【推しの子】</v>
      </c>
      <c r="E47" s="425" t="s">
        <v>2459</v>
      </c>
      <c r="F47" s="125" t="s">
        <v>1878</v>
      </c>
      <c r="G47" s="423" t="str">
        <f t="shared" si="8"/>
        <v>emblem_event_osh_00004</v>
      </c>
      <c r="H47" s="423" t="str">
        <f t="shared" si="9"/>
        <v>event_osh_00004</v>
      </c>
      <c r="I47" s="423" t="str">
        <f t="shared" si="10"/>
        <v>emblem_icon_event_osh_00004</v>
      </c>
      <c r="J47" s="142" t="s">
        <v>3328</v>
      </c>
      <c r="K47" s="142" t="s">
        <v>3329</v>
      </c>
      <c r="L47" s="638">
        <v>46023.0</v>
      </c>
      <c r="M47" s="164">
        <v>390812.49998842593</v>
      </c>
      <c r="N47" s="142" t="s">
        <v>986</v>
      </c>
      <c r="O47" s="640" t="s">
        <v>3323</v>
      </c>
    </row>
    <row r="48">
      <c r="A48" s="634" t="s">
        <v>3283</v>
      </c>
      <c r="B48" s="645" t="s">
        <v>3264</v>
      </c>
      <c r="C48" s="645" t="s">
        <v>158</v>
      </c>
      <c r="D48" s="90" t="str">
        <f t="array" ref="D48">iferror(INDEX('作品'!D:D,MATCH(left(C48,3),'作品'!A:A,0),0),"error")</f>
        <v>【推しの子】</v>
      </c>
      <c r="E48" s="425" t="s">
        <v>2459</v>
      </c>
      <c r="F48" s="125" t="s">
        <v>1880</v>
      </c>
      <c r="G48" s="423" t="str">
        <f t="shared" si="8"/>
        <v>emblem_event_osh_00005</v>
      </c>
      <c r="H48" s="423" t="str">
        <f t="shared" si="9"/>
        <v>event_osh_00005</v>
      </c>
      <c r="I48" s="423" t="str">
        <f t="shared" si="10"/>
        <v>emblem_icon_event_osh_00005</v>
      </c>
      <c r="J48" s="142" t="s">
        <v>3330</v>
      </c>
      <c r="K48" s="142" t="s">
        <v>3331</v>
      </c>
      <c r="L48" s="638">
        <v>46023.0</v>
      </c>
      <c r="M48" s="164">
        <v>390812.49998842593</v>
      </c>
      <c r="N48" s="142" t="s">
        <v>986</v>
      </c>
      <c r="O48" s="640" t="s">
        <v>3323</v>
      </c>
    </row>
    <row r="49">
      <c r="A49" s="634" t="s">
        <v>3283</v>
      </c>
      <c r="B49" s="645" t="s">
        <v>3264</v>
      </c>
      <c r="C49" s="645" t="s">
        <v>158</v>
      </c>
      <c r="D49" s="90" t="str">
        <f t="array" ref="D49">iferror(INDEX('作品'!D:D,MATCH(left(C49,3),'作品'!A:A,0),0),"error")</f>
        <v>【推しの子】</v>
      </c>
      <c r="E49" s="425" t="s">
        <v>2459</v>
      </c>
      <c r="F49" s="125" t="s">
        <v>1882</v>
      </c>
      <c r="G49" s="423" t="str">
        <f t="shared" si="8"/>
        <v>emblem_event_osh_00006</v>
      </c>
      <c r="H49" s="423" t="str">
        <f t="shared" si="9"/>
        <v>event_osh_00006</v>
      </c>
      <c r="I49" s="423" t="str">
        <f t="shared" si="10"/>
        <v>emblem_icon_event_osh_00006</v>
      </c>
      <c r="J49" s="142" t="s">
        <v>3332</v>
      </c>
      <c r="K49" s="142" t="s">
        <v>3333</v>
      </c>
      <c r="L49" s="638">
        <v>46023.0</v>
      </c>
      <c r="M49" s="164">
        <v>390812.49998842593</v>
      </c>
      <c r="N49" s="142" t="s">
        <v>986</v>
      </c>
      <c r="O49" s="640" t="s">
        <v>3323</v>
      </c>
    </row>
    <row r="50">
      <c r="A50" s="634" t="s">
        <v>3283</v>
      </c>
      <c r="B50" s="645" t="s">
        <v>3264</v>
      </c>
      <c r="C50" s="645" t="s">
        <v>158</v>
      </c>
      <c r="D50" s="90" t="str">
        <f t="array" ref="D50">iferror(INDEX('作品'!D:D,MATCH(left(C50,3),'作品'!A:A,0),0),"error")</f>
        <v>【推しの子】</v>
      </c>
      <c r="E50" s="425" t="s">
        <v>2459</v>
      </c>
      <c r="F50" s="125" t="s">
        <v>2157</v>
      </c>
      <c r="G50" s="423" t="str">
        <f t="shared" si="8"/>
        <v>emblem_event_osh_00007</v>
      </c>
      <c r="H50" s="423" t="str">
        <f t="shared" si="9"/>
        <v>event_osh_00007</v>
      </c>
      <c r="I50" s="423" t="str">
        <f t="shared" si="10"/>
        <v>emblem_icon_event_osh_00007</v>
      </c>
      <c r="J50" s="142" t="s">
        <v>3334</v>
      </c>
      <c r="K50" s="142" t="s">
        <v>3335</v>
      </c>
      <c r="L50" s="638">
        <v>46023.0</v>
      </c>
      <c r="M50" s="164">
        <v>390812.49998842593</v>
      </c>
      <c r="N50" s="142" t="s">
        <v>986</v>
      </c>
      <c r="O50" s="640" t="s">
        <v>3323</v>
      </c>
    </row>
    <row r="51">
      <c r="A51" s="634" t="s">
        <v>3283</v>
      </c>
      <c r="B51" s="645" t="s">
        <v>3264</v>
      </c>
      <c r="C51" s="645" t="s">
        <v>158</v>
      </c>
      <c r="D51" s="90" t="str">
        <f t="array" ref="D51">iferror(INDEX('作品'!D:D,MATCH(left(C51,3),'作品'!A:A,0),0),"error")</f>
        <v>【推しの子】</v>
      </c>
      <c r="E51" s="425" t="s">
        <v>2459</v>
      </c>
      <c r="F51" s="125" t="s">
        <v>2160</v>
      </c>
      <c r="G51" s="423" t="str">
        <f t="shared" si="8"/>
        <v>emblem_event_osh_00008</v>
      </c>
      <c r="H51" s="423" t="str">
        <f t="shared" si="9"/>
        <v>event_osh_00008</v>
      </c>
      <c r="I51" s="423" t="str">
        <f t="shared" si="10"/>
        <v>emblem_icon_event_osh_00008</v>
      </c>
      <c r="J51" s="142" t="s">
        <v>3336</v>
      </c>
      <c r="K51" s="142" t="s">
        <v>3337</v>
      </c>
      <c r="L51" s="638">
        <v>46023.0</v>
      </c>
      <c r="M51" s="164">
        <v>390812.49998842593</v>
      </c>
      <c r="N51" s="142" t="s">
        <v>986</v>
      </c>
      <c r="O51" s="640" t="s">
        <v>3323</v>
      </c>
    </row>
    <row r="52">
      <c r="A52" s="634" t="s">
        <v>3283</v>
      </c>
      <c r="B52" s="645" t="s">
        <v>3264</v>
      </c>
      <c r="C52" s="645" t="s">
        <v>158</v>
      </c>
      <c r="D52" s="90" t="str">
        <f t="array" ref="D52">iferror(INDEX('作品'!D:D,MATCH(left(C52,3),'作品'!A:A,0),0),"error")</f>
        <v>【推しの子】</v>
      </c>
      <c r="E52" s="425" t="s">
        <v>2459</v>
      </c>
      <c r="F52" s="125" t="s">
        <v>3338</v>
      </c>
      <c r="G52" s="423" t="str">
        <f t="shared" si="8"/>
        <v>emblem_event_osh_00009</v>
      </c>
      <c r="H52" s="423" t="str">
        <f t="shared" si="9"/>
        <v>event_osh_00009</v>
      </c>
      <c r="I52" s="423" t="str">
        <f t="shared" si="10"/>
        <v>emblem_icon_event_osh_00009</v>
      </c>
      <c r="J52" s="142" t="s">
        <v>3339</v>
      </c>
      <c r="K52" s="142" t="s">
        <v>3340</v>
      </c>
      <c r="L52" s="638">
        <v>46023.0</v>
      </c>
      <c r="M52" s="164">
        <v>390812.49998842593</v>
      </c>
      <c r="N52" s="142" t="s">
        <v>986</v>
      </c>
      <c r="O52" s="640" t="s">
        <v>3323</v>
      </c>
    </row>
    <row r="53">
      <c r="A53" s="634" t="s">
        <v>3283</v>
      </c>
      <c r="B53" s="645" t="s">
        <v>3264</v>
      </c>
      <c r="C53" s="645" t="s">
        <v>158</v>
      </c>
      <c r="D53" s="90" t="str">
        <f t="array" ref="D53">iferror(INDEX('作品'!D:D,MATCH(left(C53,3),'作品'!A:A,0),0),"error")</f>
        <v>【推しの子】</v>
      </c>
      <c r="E53" s="425" t="s">
        <v>2459</v>
      </c>
      <c r="F53" s="125" t="s">
        <v>3341</v>
      </c>
      <c r="G53" s="423" t="str">
        <f t="shared" si="8"/>
        <v>emblem_event_osh_00010</v>
      </c>
      <c r="H53" s="423" t="str">
        <f t="shared" si="9"/>
        <v>event_osh_00010</v>
      </c>
      <c r="I53" s="423" t="str">
        <f t="shared" si="10"/>
        <v>emblem_icon_event_osh_00010</v>
      </c>
      <c r="J53" s="142" t="s">
        <v>3342</v>
      </c>
      <c r="K53" s="142" t="s">
        <v>3343</v>
      </c>
      <c r="L53" s="638">
        <v>46023.0</v>
      </c>
      <c r="M53" s="164">
        <v>390812.49998842593</v>
      </c>
      <c r="N53" s="142" t="s">
        <v>986</v>
      </c>
      <c r="O53" s="640" t="s">
        <v>3323</v>
      </c>
    </row>
    <row r="54">
      <c r="A54" s="634" t="s">
        <v>3283</v>
      </c>
      <c r="B54" s="645" t="s">
        <v>3264</v>
      </c>
      <c r="C54" s="645" t="s">
        <v>158</v>
      </c>
      <c r="D54" s="90" t="str">
        <f t="array" ref="D54">iferror(INDEX('作品'!D:D,MATCH(left(C54,3),'作品'!A:A,0),0),"error")</f>
        <v>【推しの子】</v>
      </c>
      <c r="E54" s="425" t="s">
        <v>2459</v>
      </c>
      <c r="F54" s="125" t="s">
        <v>3344</v>
      </c>
      <c r="G54" s="423" t="str">
        <f t="shared" si="8"/>
        <v>emblem_event_osh_00011</v>
      </c>
      <c r="H54" s="423" t="str">
        <f t="shared" si="9"/>
        <v>event_osh_00011</v>
      </c>
      <c r="I54" s="423" t="str">
        <f t="shared" si="10"/>
        <v>emblem_icon_event_osh_00011</v>
      </c>
      <c r="J54" s="142"/>
      <c r="K54" s="142" t="s">
        <v>3264</v>
      </c>
      <c r="L54" s="275"/>
      <c r="M54" s="164"/>
      <c r="N54" s="142"/>
      <c r="O54" s="640"/>
    </row>
    <row r="55">
      <c r="A55" s="634" t="s">
        <v>3283</v>
      </c>
      <c r="B55" s="645" t="s">
        <v>3264</v>
      </c>
      <c r="C55" s="645" t="s">
        <v>148</v>
      </c>
      <c r="D55" s="90" t="str">
        <f t="array" ref="D55">iferror(INDEX('作品'!D:D,MATCH(left(C55,3),'作品'!A:A,0),0),"error")</f>
        <v>地獄楽</v>
      </c>
      <c r="E55" s="425" t="s">
        <v>2459</v>
      </c>
      <c r="F55" s="125" t="s">
        <v>973</v>
      </c>
      <c r="G55" s="423" t="str">
        <f t="shared" si="8"/>
        <v>emblem_event_jig_00001</v>
      </c>
      <c r="H55" s="423" t="str">
        <f t="shared" si="9"/>
        <v>event_jig_00001</v>
      </c>
      <c r="I55" s="423" t="str">
        <f t="shared" si="10"/>
        <v>emblem_icon_event_jig_00001</v>
      </c>
      <c r="J55" s="142" t="s">
        <v>3345</v>
      </c>
      <c r="K55" s="142" t="s">
        <v>3346</v>
      </c>
      <c r="L55" s="638">
        <v>46038.625</v>
      </c>
      <c r="M55" s="164">
        <v>390812.49998842593</v>
      </c>
      <c r="N55" s="142" t="s">
        <v>986</v>
      </c>
      <c r="O55" s="640" t="s">
        <v>3347</v>
      </c>
    </row>
    <row r="56">
      <c r="A56" s="634" t="s">
        <v>3283</v>
      </c>
      <c r="B56" s="645" t="s">
        <v>3264</v>
      </c>
      <c r="C56" s="645" t="s">
        <v>162</v>
      </c>
      <c r="D56" s="90" t="str">
        <f t="array" ref="D56">iferror(INDEX('作品'!D:D,MATCH(left(C56,3),'作品'!A:A,0),0),"error")</f>
        <v>幼稚園WARS</v>
      </c>
      <c r="E56" s="425" t="s">
        <v>2459</v>
      </c>
      <c r="F56" s="125" t="s">
        <v>973</v>
      </c>
      <c r="G56" s="423" t="str">
        <f t="shared" si="8"/>
        <v>emblem_event_you_00001</v>
      </c>
      <c r="H56" s="423" t="str">
        <f t="shared" si="9"/>
        <v>event_you_00001</v>
      </c>
      <c r="I56" s="423" t="str">
        <f t="shared" si="10"/>
        <v>emblem_icon_event_you_00001</v>
      </c>
      <c r="J56" s="142" t="s">
        <v>3348</v>
      </c>
      <c r="K56" s="142" t="s">
        <v>3349</v>
      </c>
      <c r="L56" s="638">
        <v>46055.625</v>
      </c>
      <c r="M56" s="164">
        <v>390812.49998842593</v>
      </c>
      <c r="N56" s="142"/>
      <c r="O56" s="640" t="s">
        <v>3350</v>
      </c>
    </row>
    <row r="57">
      <c r="A57" s="634" t="s">
        <v>3283</v>
      </c>
      <c r="B57" s="645" t="s">
        <v>3264</v>
      </c>
      <c r="C57" s="645" t="s">
        <v>166</v>
      </c>
      <c r="D57" s="90" t="str">
        <f t="array" ref="D57">iferror(INDEX('作品'!D:D,MATCH(left(C57,3),'作品'!A:A,0),0),"error")</f>
        <v>君のことが大大大大大好きな100人の彼女</v>
      </c>
      <c r="E57" s="425" t="s">
        <v>2459</v>
      </c>
      <c r="F57" s="125" t="s">
        <v>973</v>
      </c>
      <c r="G57" s="423" t="str">
        <f t="shared" si="8"/>
        <v>emblem_event_kim_00001</v>
      </c>
      <c r="H57" s="423" t="str">
        <f t="shared" si="9"/>
        <v>event_kim_00001</v>
      </c>
      <c r="I57" s="423" t="str">
        <f t="shared" si="10"/>
        <v>emblem_icon_event_kim_00001</v>
      </c>
      <c r="J57" s="142" t="s">
        <v>3351</v>
      </c>
      <c r="K57" s="142" t="s">
        <v>3264</v>
      </c>
      <c r="L57" s="638">
        <v>46069.625</v>
      </c>
      <c r="M57" s="164">
        <v>390812.49998842593</v>
      </c>
      <c r="N57" s="142"/>
      <c r="O57" s="640"/>
    </row>
    <row r="58">
      <c r="A58" s="634" t="s">
        <v>3283</v>
      </c>
      <c r="B58" s="645" t="s">
        <v>3264</v>
      </c>
      <c r="C58" s="645" t="s">
        <v>166</v>
      </c>
      <c r="D58" s="90" t="str">
        <f t="array" ref="D58">iferror(INDEX('作品'!D:D,MATCH(left(C58,3),'作品'!A:A,0),0),"error")</f>
        <v>君のことが大大大大大好きな100人の彼女</v>
      </c>
      <c r="E58" s="425" t="s">
        <v>2459</v>
      </c>
      <c r="F58" s="125" t="s">
        <v>990</v>
      </c>
      <c r="G58" s="423" t="str">
        <f t="shared" si="8"/>
        <v>emblem_event_kim_00002</v>
      </c>
      <c r="H58" s="423" t="str">
        <f t="shared" si="9"/>
        <v>event_kim_00002</v>
      </c>
      <c r="I58" s="423" t="str">
        <f t="shared" si="10"/>
        <v>emblem_icon_event_kim_00002</v>
      </c>
      <c r="J58" s="142" t="s">
        <v>3352</v>
      </c>
      <c r="K58" s="142" t="s">
        <v>3264</v>
      </c>
      <c r="L58" s="638">
        <v>46069.625</v>
      </c>
      <c r="M58" s="164">
        <v>390812.49998842593</v>
      </c>
      <c r="N58" s="142"/>
      <c r="O58" s="640"/>
    </row>
    <row r="59">
      <c r="A59" s="634" t="s">
        <v>3283</v>
      </c>
      <c r="B59" s="645" t="s">
        <v>3264</v>
      </c>
      <c r="C59" s="645" t="s">
        <v>166</v>
      </c>
      <c r="D59" s="90" t="str">
        <f t="array" ref="D59">iferror(INDEX('作品'!D:D,MATCH(left(C59,3),'作品'!A:A,0),0),"error")</f>
        <v>君のことが大大大大大好きな100人の彼女</v>
      </c>
      <c r="E59" s="425" t="s">
        <v>2459</v>
      </c>
      <c r="F59" s="125" t="s">
        <v>1267</v>
      </c>
      <c r="G59" s="423" t="str">
        <f t="shared" si="8"/>
        <v>emblem_event_kim_00003</v>
      </c>
      <c r="H59" s="423" t="str">
        <f t="shared" si="9"/>
        <v>event_kim_00003</v>
      </c>
      <c r="I59" s="423" t="str">
        <f t="shared" si="10"/>
        <v>emblem_icon_event_kim_00003</v>
      </c>
      <c r="J59" s="142" t="s">
        <v>3353</v>
      </c>
      <c r="K59" s="142" t="s">
        <v>3264</v>
      </c>
      <c r="L59" s="638">
        <v>46069.625</v>
      </c>
      <c r="M59" s="164">
        <v>390812.49998842593</v>
      </c>
      <c r="N59" s="142"/>
      <c r="O59" s="640"/>
    </row>
    <row r="60">
      <c r="A60" s="634" t="s">
        <v>3283</v>
      </c>
      <c r="B60" s="645" t="s">
        <v>3264</v>
      </c>
      <c r="C60" s="645" t="s">
        <v>166</v>
      </c>
      <c r="D60" s="90" t="str">
        <f t="array" ref="D60">iferror(INDEX('作品'!D:D,MATCH(left(C60,3),'作品'!A:A,0),0),"error")</f>
        <v>君のことが大大大大大好きな100人の彼女</v>
      </c>
      <c r="E60" s="425" t="s">
        <v>2459</v>
      </c>
      <c r="F60" s="125" t="s">
        <v>1878</v>
      </c>
      <c r="G60" s="423" t="str">
        <f t="shared" si="8"/>
        <v>emblem_event_kim_00004</v>
      </c>
      <c r="H60" s="423" t="str">
        <f t="shared" si="9"/>
        <v>event_kim_00004</v>
      </c>
      <c r="I60" s="423" t="str">
        <f t="shared" si="10"/>
        <v>emblem_icon_event_kim_00004</v>
      </c>
      <c r="J60" s="142" t="s">
        <v>3354</v>
      </c>
      <c r="K60" s="142" t="s">
        <v>3264</v>
      </c>
      <c r="L60" s="638">
        <v>46069.625</v>
      </c>
      <c r="M60" s="164">
        <v>390812.49998842593</v>
      </c>
      <c r="N60" s="142"/>
      <c r="O60" s="640"/>
    </row>
    <row r="61">
      <c r="A61" s="634" t="s">
        <v>3283</v>
      </c>
      <c r="B61" s="645" t="s">
        <v>3264</v>
      </c>
      <c r="C61" s="645" t="s">
        <v>166</v>
      </c>
      <c r="D61" s="90" t="str">
        <f t="array" ref="D61">iferror(INDEX('作品'!D:D,MATCH(left(C61,3),'作品'!A:A,0),0),"error")</f>
        <v>君のことが大大大大大好きな100人の彼女</v>
      </c>
      <c r="E61" s="425" t="s">
        <v>2459</v>
      </c>
      <c r="F61" s="125" t="s">
        <v>1880</v>
      </c>
      <c r="G61" s="423" t="str">
        <f t="shared" si="8"/>
        <v>emblem_event_kim_00005</v>
      </c>
      <c r="H61" s="423" t="str">
        <f t="shared" si="9"/>
        <v>event_kim_00005</v>
      </c>
      <c r="I61" s="423" t="str">
        <f t="shared" si="10"/>
        <v>emblem_icon_event_kim_00005</v>
      </c>
      <c r="J61" s="142" t="s">
        <v>3355</v>
      </c>
      <c r="K61" s="142" t="s">
        <v>3264</v>
      </c>
      <c r="L61" s="638">
        <v>46069.625</v>
      </c>
      <c r="M61" s="164">
        <v>390812.49998842593</v>
      </c>
      <c r="N61" s="142"/>
      <c r="O61" s="640"/>
    </row>
    <row r="62">
      <c r="A62" s="634" t="s">
        <v>3283</v>
      </c>
      <c r="B62" s="645" t="s">
        <v>3264</v>
      </c>
      <c r="C62" s="645" t="s">
        <v>172</v>
      </c>
      <c r="D62" s="90" t="str">
        <f t="array" ref="D62">iferror(INDEX('作品'!D:D,MATCH(left(C62,3),'作品'!A:A,0),0),"error")</f>
        <v>ふつうの軽音部</v>
      </c>
      <c r="E62" s="425" t="s">
        <v>2459</v>
      </c>
      <c r="F62" s="125" t="s">
        <v>973</v>
      </c>
      <c r="G62" s="423" t="str">
        <f t="shared" si="8"/>
        <v>emblem_event_hut_00001</v>
      </c>
      <c r="H62" s="423" t="str">
        <f t="shared" si="9"/>
        <v>event_hut_00001</v>
      </c>
      <c r="I62" s="423" t="str">
        <f t="shared" si="10"/>
        <v>emblem_icon_event_hut_00001</v>
      </c>
      <c r="J62" s="142" t="s">
        <v>3356</v>
      </c>
      <c r="K62" s="142" t="s">
        <v>3264</v>
      </c>
      <c r="L62" s="638">
        <v>46083.625</v>
      </c>
      <c r="M62" s="164">
        <v>390812.49998842593</v>
      </c>
      <c r="N62" s="142"/>
      <c r="O62" s="640"/>
    </row>
    <row r="63">
      <c r="A63" s="634" t="s">
        <v>3283</v>
      </c>
      <c r="B63" s="645" t="s">
        <v>3264</v>
      </c>
      <c r="C63" s="645" t="s">
        <v>172</v>
      </c>
      <c r="D63" s="90" t="str">
        <f t="array" ref="D63">iferror(INDEX('作品'!D:D,MATCH(left(C63,3),'作品'!A:A,0),0),"error")</f>
        <v>ふつうの軽音部</v>
      </c>
      <c r="E63" s="425" t="s">
        <v>2459</v>
      </c>
      <c r="F63" s="125" t="s">
        <v>990</v>
      </c>
      <c r="G63" s="423" t="str">
        <f t="shared" si="8"/>
        <v>emblem_event_hut_00002</v>
      </c>
      <c r="H63" s="423" t="str">
        <f t="shared" si="9"/>
        <v>event_hut_00002</v>
      </c>
      <c r="I63" s="423" t="str">
        <f t="shared" si="10"/>
        <v>emblem_icon_event_hut_00002</v>
      </c>
      <c r="J63" s="142" t="s">
        <v>3357</v>
      </c>
      <c r="K63" s="142" t="s">
        <v>3264</v>
      </c>
      <c r="L63" s="638">
        <v>46083.625</v>
      </c>
      <c r="M63" s="164">
        <v>390812.49998842593</v>
      </c>
      <c r="N63" s="142"/>
      <c r="O63" s="640"/>
    </row>
    <row r="64">
      <c r="A64" s="634" t="s">
        <v>3283</v>
      </c>
      <c r="B64" s="645" t="s">
        <v>3264</v>
      </c>
      <c r="C64" s="645" t="s">
        <v>172</v>
      </c>
      <c r="D64" s="90" t="str">
        <f t="array" ref="D64">iferror(INDEX('作品'!D:D,MATCH(left(C64,3),'作品'!A:A,0),0),"error")</f>
        <v>ふつうの軽音部</v>
      </c>
      <c r="E64" s="425" t="s">
        <v>2459</v>
      </c>
      <c r="F64" s="125" t="s">
        <v>1267</v>
      </c>
      <c r="G64" s="423" t="str">
        <f t="shared" si="8"/>
        <v>emblem_event_hut_00003</v>
      </c>
      <c r="H64" s="423" t="str">
        <f t="shared" si="9"/>
        <v>event_hut_00003</v>
      </c>
      <c r="I64" s="423" t="str">
        <f t="shared" si="10"/>
        <v>emblem_icon_event_hut_00003</v>
      </c>
      <c r="J64" s="142" t="s">
        <v>3358</v>
      </c>
      <c r="K64" s="142" t="s">
        <v>3264</v>
      </c>
      <c r="L64" s="638">
        <v>46083.625</v>
      </c>
      <c r="M64" s="164">
        <v>390812.49998842593</v>
      </c>
      <c r="N64" s="142"/>
      <c r="O64" s="640"/>
    </row>
    <row r="65">
      <c r="A65" s="634" t="s">
        <v>3283</v>
      </c>
      <c r="B65" s="645" t="s">
        <v>3264</v>
      </c>
      <c r="C65" s="645" t="s">
        <v>206</v>
      </c>
      <c r="D65" s="90" t="str">
        <f t="array" ref="D65">iferror(INDEX('作品'!D:D,MATCH(left(C65,3),'作品'!A:A,0),0),"error")</f>
        <v>あやかしトライアングル</v>
      </c>
      <c r="E65" s="425" t="s">
        <v>2459</v>
      </c>
      <c r="F65" s="125" t="s">
        <v>973</v>
      </c>
      <c r="G65" s="423" t="str">
        <f t="shared" si="8"/>
        <v>emblem_event_aya_00001</v>
      </c>
      <c r="H65" s="423" t="str">
        <f t="shared" si="9"/>
        <v>event_aya_00001</v>
      </c>
      <c r="I65" s="423" t="str">
        <f t="shared" si="10"/>
        <v>emblem_icon_event_aya_00001</v>
      </c>
      <c r="J65" s="142" t="s">
        <v>3359</v>
      </c>
      <c r="K65" s="142" t="s">
        <v>3264</v>
      </c>
      <c r="L65" s="638">
        <v>46129.625</v>
      </c>
      <c r="M65" s="164">
        <v>390812.49998842593</v>
      </c>
      <c r="N65" s="142"/>
      <c r="O65" s="640"/>
    </row>
    <row r="66">
      <c r="A66" s="634" t="s">
        <v>3283</v>
      </c>
      <c r="B66" s="645" t="s">
        <v>3264</v>
      </c>
      <c r="C66" s="645" t="s">
        <v>206</v>
      </c>
      <c r="D66" s="90" t="str">
        <f t="array" ref="D66">iferror(INDEX('作品'!D:D,MATCH(left(C66,3),'作品'!A:A,0),0),"error")</f>
        <v>あやかしトライアングル</v>
      </c>
      <c r="E66" s="425" t="s">
        <v>2459</v>
      </c>
      <c r="F66" s="125" t="s">
        <v>990</v>
      </c>
      <c r="G66" s="423" t="str">
        <f t="shared" si="8"/>
        <v>emblem_event_aya_00002</v>
      </c>
      <c r="H66" s="423" t="str">
        <f t="shared" si="9"/>
        <v>event_aya_00002</v>
      </c>
      <c r="I66" s="423" t="str">
        <f t="shared" si="10"/>
        <v>emblem_icon_event_aya_00002</v>
      </c>
      <c r="J66" s="142" t="s">
        <v>3360</v>
      </c>
      <c r="K66" s="142" t="s">
        <v>3264</v>
      </c>
      <c r="L66" s="638">
        <v>46129.625</v>
      </c>
      <c r="M66" s="164">
        <v>390812.49998842593</v>
      </c>
      <c r="N66" s="142"/>
      <c r="O66" s="640"/>
    </row>
    <row r="67">
      <c r="A67" s="634" t="s">
        <v>3283</v>
      </c>
      <c r="B67" s="645" t="s">
        <v>3264</v>
      </c>
      <c r="C67" s="645" t="s">
        <v>206</v>
      </c>
      <c r="D67" s="90" t="str">
        <f t="array" ref="D67">iferror(INDEX('作品'!D:D,MATCH(left(C67,3),'作品'!A:A,0),0),"error")</f>
        <v>あやかしトライアングル</v>
      </c>
      <c r="E67" s="425" t="s">
        <v>2459</v>
      </c>
      <c r="F67" s="125" t="s">
        <v>1267</v>
      </c>
      <c r="G67" s="423" t="str">
        <f t="shared" si="8"/>
        <v>emblem_event_aya_00003</v>
      </c>
      <c r="H67" s="423" t="str">
        <f t="shared" si="9"/>
        <v>event_aya_00003</v>
      </c>
      <c r="I67" s="423" t="str">
        <f t="shared" si="10"/>
        <v>emblem_icon_event_aya_00003</v>
      </c>
      <c r="J67" s="142" t="s">
        <v>3361</v>
      </c>
      <c r="K67" s="142" t="s">
        <v>3264</v>
      </c>
      <c r="L67" s="638">
        <v>46129.625</v>
      </c>
      <c r="M67" s="164">
        <v>390812.49998842593</v>
      </c>
      <c r="N67" s="142"/>
      <c r="O67" s="640"/>
    </row>
    <row r="68">
      <c r="A68" s="634" t="s">
        <v>3283</v>
      </c>
      <c r="B68" s="645" t="s">
        <v>3264</v>
      </c>
      <c r="C68" s="645" t="s">
        <v>206</v>
      </c>
      <c r="D68" s="90" t="str">
        <f t="array" ref="D68">iferror(INDEX('作品'!D:D,MATCH(left(C68,3),'作品'!A:A,0),0),"error")</f>
        <v>あやかしトライアングル</v>
      </c>
      <c r="E68" s="425" t="s">
        <v>2459</v>
      </c>
      <c r="F68" s="125" t="s">
        <v>1878</v>
      </c>
      <c r="G68" s="423" t="str">
        <f t="shared" si="8"/>
        <v>emblem_event_aya_00004</v>
      </c>
      <c r="H68" s="423" t="str">
        <f t="shared" si="9"/>
        <v>event_aya_00004</v>
      </c>
      <c r="I68" s="423" t="str">
        <f t="shared" si="10"/>
        <v>emblem_icon_event_aya_00004</v>
      </c>
      <c r="J68" s="142" t="s">
        <v>3362</v>
      </c>
      <c r="K68" s="142" t="s">
        <v>3264</v>
      </c>
      <c r="L68" s="638">
        <v>46129.625</v>
      </c>
      <c r="M68" s="164">
        <v>390812.49998842593</v>
      </c>
      <c r="N68" s="142"/>
      <c r="O68" s="640"/>
    </row>
    <row r="69">
      <c r="A69" s="634" t="s">
        <v>3283</v>
      </c>
      <c r="B69" s="645" t="s">
        <v>3264</v>
      </c>
      <c r="C69" s="645" t="s">
        <v>206</v>
      </c>
      <c r="D69" s="90" t="str">
        <f t="array" ref="D69">iferror(INDEX('作品'!D:D,MATCH(left(C69,3),'作品'!A:A,0),0),"error")</f>
        <v>あやかしトライアングル</v>
      </c>
      <c r="E69" s="425" t="s">
        <v>2459</v>
      </c>
      <c r="F69" s="125" t="s">
        <v>1880</v>
      </c>
      <c r="G69" s="423" t="str">
        <f t="shared" si="8"/>
        <v>emblem_event_aya_00005</v>
      </c>
      <c r="H69" s="423" t="str">
        <f t="shared" si="9"/>
        <v>event_aya_00005</v>
      </c>
      <c r="I69" s="423" t="str">
        <f t="shared" si="10"/>
        <v>emblem_icon_event_aya_00005</v>
      </c>
      <c r="J69" s="142" t="s">
        <v>1852</v>
      </c>
      <c r="K69" s="142" t="s">
        <v>3264</v>
      </c>
      <c r="L69" s="638">
        <v>46129.625</v>
      </c>
      <c r="M69" s="164">
        <v>390812.49998842593</v>
      </c>
      <c r="N69" s="142"/>
      <c r="O69" s="640"/>
    </row>
    <row r="70">
      <c r="A70" s="647"/>
      <c r="B70" s="647"/>
      <c r="C70" s="648"/>
      <c r="D70" s="648"/>
      <c r="E70" s="649"/>
      <c r="F70" s="492"/>
      <c r="G70" s="492"/>
      <c r="H70" s="650"/>
      <c r="I70" s="650"/>
      <c r="J70" s="651"/>
      <c r="K70" s="651"/>
      <c r="L70" s="652"/>
      <c r="M70" s="652"/>
      <c r="N70" s="653"/>
      <c r="O70" s="654"/>
    </row>
    <row r="71" ht="17.25" customHeight="1">
      <c r="A71" s="643" t="s">
        <v>3363</v>
      </c>
      <c r="B71" s="643"/>
      <c r="C71" s="643"/>
      <c r="D71" s="643"/>
      <c r="E71" s="643"/>
      <c r="F71" s="643"/>
      <c r="G71" s="643"/>
      <c r="H71" s="643"/>
      <c r="I71" s="643"/>
      <c r="J71" s="643"/>
      <c r="K71" s="643"/>
      <c r="L71" s="643"/>
      <c r="M71" s="643"/>
      <c r="N71" s="643"/>
      <c r="O71" s="644"/>
    </row>
    <row r="72">
      <c r="A72" s="634" t="s">
        <v>3283</v>
      </c>
      <c r="B72" s="634" t="s">
        <v>3264</v>
      </c>
      <c r="C72" s="645" t="s">
        <v>283</v>
      </c>
      <c r="D72" s="645" t="s">
        <v>285</v>
      </c>
      <c r="E72" s="45" t="s">
        <v>3364</v>
      </c>
      <c r="F72" s="125" t="s">
        <v>973</v>
      </c>
      <c r="G72" s="125" t="str">
        <f t="shared" ref="G72:G73" si="11">CONCATENATE("emblem_icon_",E72,"_",C72,"_",F72)</f>
        <v>emblem_icon_duel_glo_00001</v>
      </c>
      <c r="H72" s="236"/>
      <c r="I72" s="236"/>
      <c r="J72" s="132"/>
      <c r="K72" s="132"/>
      <c r="L72" s="273"/>
      <c r="M72" s="273"/>
      <c r="N72" s="132"/>
      <c r="O72" s="132"/>
    </row>
    <row r="73">
      <c r="A73" s="634" t="s">
        <v>3283</v>
      </c>
      <c r="B73" s="634" t="s">
        <v>3264</v>
      </c>
      <c r="C73" s="645" t="s">
        <v>283</v>
      </c>
      <c r="D73" s="645" t="s">
        <v>285</v>
      </c>
      <c r="E73" s="45" t="s">
        <v>3364</v>
      </c>
      <c r="F73" s="125" t="s">
        <v>990</v>
      </c>
      <c r="G73" s="125" t="str">
        <f t="shared" si="11"/>
        <v>emblem_icon_duel_glo_00002</v>
      </c>
      <c r="H73" s="236"/>
      <c r="I73" s="236"/>
      <c r="J73" s="132"/>
      <c r="K73" s="132"/>
      <c r="L73" s="273"/>
      <c r="M73" s="273"/>
      <c r="N73" s="132"/>
      <c r="O73" s="132"/>
    </row>
    <row r="74" ht="9.0" customHeight="1">
      <c r="A74" s="118"/>
      <c r="B74" s="118"/>
      <c r="C74" s="118"/>
      <c r="D74" s="655"/>
      <c r="E74" s="655"/>
      <c r="F74" s="655"/>
      <c r="G74" s="655"/>
      <c r="H74" s="655"/>
      <c r="I74" s="655"/>
      <c r="J74" s="655"/>
      <c r="K74" s="655"/>
      <c r="L74" s="655"/>
      <c r="M74" s="655"/>
      <c r="N74" s="655"/>
      <c r="O74" s="656"/>
    </row>
    <row r="75">
      <c r="A75" s="634" t="s">
        <v>3283</v>
      </c>
      <c r="B75" s="634" t="s">
        <v>3264</v>
      </c>
      <c r="C75" s="635" t="s">
        <v>60</v>
      </c>
      <c r="D75" s="48" t="s">
        <v>62</v>
      </c>
      <c r="E75" s="425" t="s">
        <v>2455</v>
      </c>
      <c r="F75" s="125" t="s">
        <v>973</v>
      </c>
      <c r="G75" s="125" t="str">
        <f t="shared" ref="G75:G79" si="12">CONCATENATE("emblem_icon_",E75,"_",C75,"_",F75)</f>
        <v>emblem_icon_raid_spy_00001</v>
      </c>
      <c r="H75" s="236"/>
      <c r="I75" s="236"/>
      <c r="J75" s="132"/>
      <c r="K75" s="132"/>
      <c r="L75" s="273"/>
      <c r="M75" s="273"/>
      <c r="N75" s="132"/>
      <c r="O75" s="132"/>
    </row>
    <row r="76">
      <c r="A76" s="634" t="s">
        <v>3283</v>
      </c>
      <c r="B76" s="634" t="s">
        <v>3264</v>
      </c>
      <c r="C76" s="635" t="s">
        <v>68</v>
      </c>
      <c r="D76" s="645" t="s">
        <v>70</v>
      </c>
      <c r="E76" s="425" t="s">
        <v>2455</v>
      </c>
      <c r="F76" s="125" t="s">
        <v>973</v>
      </c>
      <c r="G76" s="125" t="str">
        <f t="shared" si="12"/>
        <v>emblem_icon_raid_aka_00001</v>
      </c>
      <c r="H76" s="236"/>
      <c r="I76" s="236"/>
      <c r="J76" s="132"/>
      <c r="K76" s="132"/>
      <c r="L76" s="273"/>
      <c r="M76" s="273"/>
      <c r="N76" s="132"/>
      <c r="O76" s="132"/>
    </row>
    <row r="77">
      <c r="A77" s="634" t="s">
        <v>3283</v>
      </c>
      <c r="B77" s="634" t="s">
        <v>3264</v>
      </c>
      <c r="C77" s="635" t="s">
        <v>75</v>
      </c>
      <c r="D77" s="645" t="s">
        <v>77</v>
      </c>
      <c r="E77" s="425" t="s">
        <v>2455</v>
      </c>
      <c r="F77" s="125" t="s">
        <v>973</v>
      </c>
      <c r="G77" s="125" t="str">
        <f t="shared" si="12"/>
        <v>emblem_icon_raid_rik_00001</v>
      </c>
      <c r="H77" s="236"/>
      <c r="I77" s="236"/>
      <c r="J77" s="132"/>
      <c r="K77" s="132"/>
      <c r="L77" s="273"/>
      <c r="M77" s="273"/>
      <c r="N77" s="132"/>
      <c r="O77" s="132"/>
    </row>
    <row r="78">
      <c r="A78" s="634" t="s">
        <v>3283</v>
      </c>
      <c r="B78" s="634" t="s">
        <v>3264</v>
      </c>
      <c r="C78" s="635" t="s">
        <v>80</v>
      </c>
      <c r="D78" s="645" t="s">
        <v>82</v>
      </c>
      <c r="E78" s="425" t="s">
        <v>2455</v>
      </c>
      <c r="F78" s="125" t="s">
        <v>973</v>
      </c>
      <c r="G78" s="125" t="str">
        <f t="shared" si="12"/>
        <v>emblem_icon_raid_dan_00001</v>
      </c>
      <c r="H78" s="236"/>
      <c r="I78" s="236"/>
      <c r="J78" s="132"/>
      <c r="K78" s="132"/>
      <c r="L78" s="273"/>
      <c r="M78" s="273"/>
      <c r="N78" s="132"/>
      <c r="O78" s="132"/>
    </row>
    <row r="79">
      <c r="A79" s="634" t="s">
        <v>3283</v>
      </c>
      <c r="B79" s="634" t="s">
        <v>3264</v>
      </c>
      <c r="C79" s="635" t="s">
        <v>87</v>
      </c>
      <c r="D79" s="645" t="s">
        <v>89</v>
      </c>
      <c r="E79" s="425" t="s">
        <v>2455</v>
      </c>
      <c r="F79" s="125" t="s">
        <v>973</v>
      </c>
      <c r="G79" s="125" t="str">
        <f t="shared" si="12"/>
        <v>emblem_icon_raid_gom_00001</v>
      </c>
      <c r="H79" s="236"/>
      <c r="I79" s="236"/>
      <c r="J79" s="132"/>
      <c r="K79" s="132"/>
      <c r="L79" s="273"/>
      <c r="M79" s="273"/>
      <c r="N79" s="132"/>
      <c r="O79" s="132"/>
    </row>
    <row r="80">
      <c r="A80" s="642"/>
      <c r="B80" s="642"/>
      <c r="C80" s="635"/>
      <c r="D80" s="645"/>
      <c r="E80" s="425"/>
      <c r="F80" s="125"/>
      <c r="G80" s="125"/>
      <c r="H80" s="236"/>
      <c r="I80" s="236"/>
      <c r="J80" s="132"/>
      <c r="K80" s="132"/>
      <c r="L80" s="273"/>
      <c r="M80" s="273"/>
      <c r="N80" s="132"/>
      <c r="O80" s="132"/>
    </row>
    <row r="81" ht="18.75" customHeight="1">
      <c r="A81" s="643" t="s">
        <v>2454</v>
      </c>
      <c r="B81" s="643"/>
      <c r="C81" s="643"/>
      <c r="D81" s="643"/>
      <c r="E81" s="643"/>
      <c r="F81" s="643"/>
      <c r="G81" s="643"/>
      <c r="H81" s="643"/>
      <c r="I81" s="643"/>
      <c r="J81" s="643"/>
      <c r="K81" s="643"/>
      <c r="L81" s="643"/>
      <c r="M81" s="643"/>
      <c r="N81" s="643"/>
      <c r="O81" s="644"/>
    </row>
    <row r="82">
      <c r="A82" s="634" t="s">
        <v>3260</v>
      </c>
      <c r="B82" s="634" t="s">
        <v>3260</v>
      </c>
      <c r="C82" s="634" t="s">
        <v>60</v>
      </c>
      <c r="D82" s="90" t="str">
        <f t="array" ref="D82">iferror(INDEX('作品'!D:D,MATCH(left(C82,3),'作品'!A:A,0),0),"error")</f>
        <v>SPY×FAMILY</v>
      </c>
      <c r="E82" s="425" t="s">
        <v>3365</v>
      </c>
      <c r="F82" s="125" t="s">
        <v>3366</v>
      </c>
      <c r="G82" s="432" t="str">
        <f t="shared" ref="G82:G87" si="13">CONCATENATE("emblem_",E82,"_",C82,"_",F82)</f>
        <v>emblem_adventbattle_spy_season01_00001</v>
      </c>
      <c r="H82" s="423" t="str">
        <f t="shared" ref="H82:H87" si="14">CONCATENATE(E82,"_",C82,"_",F82)</f>
        <v>adventbattle_spy_season01_00001</v>
      </c>
      <c r="I82" s="423" t="str">
        <f t="shared" ref="I82:I87" si="15">CONCATENATE("emblem_icon_",E82,"_",C82,"_",F82)</f>
        <v>emblem_icon_adventbattle_spy_season01_00001</v>
      </c>
      <c r="J82" s="142" t="s">
        <v>3367</v>
      </c>
      <c r="K82" s="142" t="s">
        <v>3368</v>
      </c>
      <c r="L82" s="273"/>
      <c r="M82" s="273"/>
      <c r="N82" s="142" t="s">
        <v>986</v>
      </c>
      <c r="O82" s="132"/>
    </row>
    <row r="83">
      <c r="A83" s="634" t="s">
        <v>3260</v>
      </c>
      <c r="B83" s="634" t="s">
        <v>3260</v>
      </c>
      <c r="C83" s="634" t="s">
        <v>60</v>
      </c>
      <c r="D83" s="90" t="str">
        <f t="array" ref="D83">iferror(INDEX('作品'!D:D,MATCH(left(C83,3),'作品'!A:A,0),0),"error")</f>
        <v>SPY×FAMILY</v>
      </c>
      <c r="E83" s="425" t="s">
        <v>3365</v>
      </c>
      <c r="F83" s="125" t="s">
        <v>3369</v>
      </c>
      <c r="G83" s="432" t="str">
        <f t="shared" si="13"/>
        <v>emblem_adventbattle_spy_season01_00002</v>
      </c>
      <c r="H83" s="423" t="str">
        <f t="shared" si="14"/>
        <v>adventbattle_spy_season01_00002</v>
      </c>
      <c r="I83" s="423" t="str">
        <f t="shared" si="15"/>
        <v>emblem_icon_adventbattle_spy_season01_00002</v>
      </c>
      <c r="J83" s="142" t="s">
        <v>3370</v>
      </c>
      <c r="K83" s="142" t="s">
        <v>3371</v>
      </c>
      <c r="L83" s="273"/>
      <c r="M83" s="273"/>
      <c r="N83" s="142" t="s">
        <v>986</v>
      </c>
      <c r="O83" s="132"/>
    </row>
    <row r="84">
      <c r="A84" s="634" t="s">
        <v>3260</v>
      </c>
      <c r="B84" s="634" t="s">
        <v>3260</v>
      </c>
      <c r="C84" s="634" t="s">
        <v>60</v>
      </c>
      <c r="D84" s="90" t="str">
        <f t="array" ref="D84">iferror(INDEX('作品'!D:D,MATCH(left(C84,3),'作品'!A:A,0),0),"error")</f>
        <v>SPY×FAMILY</v>
      </c>
      <c r="E84" s="425" t="s">
        <v>3365</v>
      </c>
      <c r="F84" s="125" t="s">
        <v>3372</v>
      </c>
      <c r="G84" s="432" t="str">
        <f t="shared" si="13"/>
        <v>emblem_adventbattle_spy_season01_00003</v>
      </c>
      <c r="H84" s="423" t="str">
        <f t="shared" si="14"/>
        <v>adventbattle_spy_season01_00003</v>
      </c>
      <c r="I84" s="423" t="str">
        <f t="shared" si="15"/>
        <v>emblem_icon_adventbattle_spy_season01_00003</v>
      </c>
      <c r="J84" s="142" t="s">
        <v>3373</v>
      </c>
      <c r="K84" s="142" t="s">
        <v>3374</v>
      </c>
      <c r="L84" s="273"/>
      <c r="M84" s="273"/>
      <c r="N84" s="142" t="s">
        <v>986</v>
      </c>
      <c r="O84" s="132"/>
    </row>
    <row r="85">
      <c r="A85" s="634" t="s">
        <v>3260</v>
      </c>
      <c r="B85" s="634" t="s">
        <v>3260</v>
      </c>
      <c r="C85" s="634" t="s">
        <v>60</v>
      </c>
      <c r="D85" s="90" t="str">
        <f t="array" ref="D85">iferror(INDEX('作品'!D:D,MATCH(left(C85,3),'作品'!A:A,0),0),"error")</f>
        <v>SPY×FAMILY</v>
      </c>
      <c r="E85" s="425" t="s">
        <v>3365</v>
      </c>
      <c r="F85" s="125" t="s">
        <v>3375</v>
      </c>
      <c r="G85" s="432" t="str">
        <f t="shared" si="13"/>
        <v>emblem_adventbattle_spy_season01_00004</v>
      </c>
      <c r="H85" s="423" t="str">
        <f t="shared" si="14"/>
        <v>adventbattle_spy_season01_00004</v>
      </c>
      <c r="I85" s="423" t="str">
        <f t="shared" si="15"/>
        <v>emblem_icon_adventbattle_spy_season01_00004</v>
      </c>
      <c r="J85" s="142" t="s">
        <v>3376</v>
      </c>
      <c r="K85" s="142" t="s">
        <v>3377</v>
      </c>
      <c r="L85" s="273"/>
      <c r="M85" s="273"/>
      <c r="N85" s="142" t="s">
        <v>986</v>
      </c>
      <c r="O85" s="132"/>
    </row>
    <row r="86">
      <c r="A86" s="634" t="s">
        <v>3260</v>
      </c>
      <c r="B86" s="634" t="s">
        <v>3260</v>
      </c>
      <c r="C86" s="634" t="s">
        <v>60</v>
      </c>
      <c r="D86" s="90" t="str">
        <f t="array" ref="D86">iferror(INDEX('作品'!D:D,MATCH(left(C86,3),'作品'!A:A,0),0),"error")</f>
        <v>SPY×FAMILY</v>
      </c>
      <c r="E86" s="425" t="s">
        <v>3365</v>
      </c>
      <c r="F86" s="125" t="s">
        <v>3378</v>
      </c>
      <c r="G86" s="432" t="str">
        <f t="shared" si="13"/>
        <v>emblem_adventbattle_spy_season01_00005</v>
      </c>
      <c r="H86" s="423" t="str">
        <f t="shared" si="14"/>
        <v>adventbattle_spy_season01_00005</v>
      </c>
      <c r="I86" s="423" t="str">
        <f t="shared" si="15"/>
        <v>emblem_icon_adventbattle_spy_season01_00005</v>
      </c>
      <c r="J86" s="142" t="s">
        <v>3379</v>
      </c>
      <c r="K86" s="142" t="s">
        <v>3380</v>
      </c>
      <c r="L86" s="273"/>
      <c r="M86" s="273"/>
      <c r="N86" s="142" t="s">
        <v>986</v>
      </c>
      <c r="O86" s="132"/>
    </row>
    <row r="87">
      <c r="A87" s="634" t="s">
        <v>3260</v>
      </c>
      <c r="B87" s="634" t="s">
        <v>3260</v>
      </c>
      <c r="C87" s="634" t="s">
        <v>60</v>
      </c>
      <c r="D87" s="90" t="str">
        <f t="array" ref="D87">iferror(INDEX('作品'!D:D,MATCH(left(C87,3),'作品'!A:A,0),0),"error")</f>
        <v>SPY×FAMILY</v>
      </c>
      <c r="E87" s="425" t="s">
        <v>3365</v>
      </c>
      <c r="F87" s="125" t="s">
        <v>3381</v>
      </c>
      <c r="G87" s="432" t="str">
        <f t="shared" si="13"/>
        <v>emblem_adventbattle_spy_season01_00006</v>
      </c>
      <c r="H87" s="423" t="str">
        <f t="shared" si="14"/>
        <v>adventbattle_spy_season01_00006</v>
      </c>
      <c r="I87" s="423" t="str">
        <f t="shared" si="15"/>
        <v>emblem_icon_adventbattle_spy_season01_00006</v>
      </c>
      <c r="J87" s="142" t="s">
        <v>3382</v>
      </c>
      <c r="K87" s="142" t="s">
        <v>3383</v>
      </c>
      <c r="L87" s="273"/>
      <c r="M87" s="273"/>
      <c r="N87" s="142" t="s">
        <v>986</v>
      </c>
      <c r="O87" s="132"/>
    </row>
    <row r="88">
      <c r="A88" s="635"/>
      <c r="B88" s="635"/>
      <c r="C88" s="635"/>
      <c r="D88" s="645"/>
      <c r="E88" s="425"/>
      <c r="F88" s="125"/>
      <c r="G88" s="236"/>
      <c r="H88" s="236"/>
      <c r="I88" s="236"/>
      <c r="J88" s="132"/>
      <c r="K88" s="132"/>
      <c r="L88" s="273"/>
      <c r="M88" s="273"/>
      <c r="N88" s="132"/>
      <c r="O88" s="132"/>
    </row>
    <row r="89">
      <c r="A89" s="634" t="s">
        <v>3260</v>
      </c>
      <c r="B89" s="634" t="s">
        <v>3260</v>
      </c>
      <c r="C89" s="634" t="s">
        <v>115</v>
      </c>
      <c r="D89" s="90" t="str">
        <f t="array" ref="D89">iferror(INDEX('作品'!D:D,MATCH(left(C89,3),'作品'!A:A,0),0),"error")</f>
        <v>怪獣８号</v>
      </c>
      <c r="E89" s="425" t="s">
        <v>3365</v>
      </c>
      <c r="F89" s="125" t="s">
        <v>3366</v>
      </c>
      <c r="G89" s="432" t="str">
        <f t="shared" ref="G89:G94" si="16">CONCATENATE("emblem_",E89,"_",C89,"_",F89)</f>
        <v>emblem_adventbattle_kai_season01_00001</v>
      </c>
      <c r="H89" s="423" t="str">
        <f t="shared" ref="H89:H94" si="17">CONCATENATE(E89,"_",C89,"_",F89)</f>
        <v>adventbattle_kai_season01_00001</v>
      </c>
      <c r="I89" s="423" t="str">
        <f t="shared" ref="I89:I94" si="18">CONCATENATE("emblem_icon_",E89,"_",C89,"_",F89)</f>
        <v>emblem_icon_adventbattle_kai_season01_00001</v>
      </c>
      <c r="J89" s="142" t="s">
        <v>3384</v>
      </c>
      <c r="K89" s="142" t="s">
        <v>3385</v>
      </c>
      <c r="L89" s="273"/>
      <c r="M89" s="273"/>
      <c r="N89" s="142" t="s">
        <v>986</v>
      </c>
      <c r="O89" s="132"/>
    </row>
    <row r="90">
      <c r="A90" s="634" t="s">
        <v>3260</v>
      </c>
      <c r="B90" s="634" t="s">
        <v>3260</v>
      </c>
      <c r="C90" s="634" t="s">
        <v>115</v>
      </c>
      <c r="D90" s="90" t="str">
        <f t="array" ref="D90">iferror(INDEX('作品'!D:D,MATCH(left(C90,3),'作品'!A:A,0),0),"error")</f>
        <v>怪獣８号</v>
      </c>
      <c r="E90" s="425" t="s">
        <v>3365</v>
      </c>
      <c r="F90" s="125" t="s">
        <v>3369</v>
      </c>
      <c r="G90" s="432" t="str">
        <f t="shared" si="16"/>
        <v>emblem_adventbattle_kai_season01_00002</v>
      </c>
      <c r="H90" s="423" t="str">
        <f t="shared" si="17"/>
        <v>adventbattle_kai_season01_00002</v>
      </c>
      <c r="I90" s="423" t="str">
        <f t="shared" si="18"/>
        <v>emblem_icon_adventbattle_kai_season01_00002</v>
      </c>
      <c r="J90" s="142" t="s">
        <v>3386</v>
      </c>
      <c r="K90" s="142" t="s">
        <v>3387</v>
      </c>
      <c r="L90" s="273"/>
      <c r="M90" s="273"/>
      <c r="N90" s="142" t="s">
        <v>986</v>
      </c>
      <c r="O90" s="132"/>
    </row>
    <row r="91">
      <c r="A91" s="634" t="s">
        <v>3260</v>
      </c>
      <c r="B91" s="634" t="s">
        <v>3260</v>
      </c>
      <c r="C91" s="634" t="s">
        <v>115</v>
      </c>
      <c r="D91" s="90" t="str">
        <f t="array" ref="D91">iferror(INDEX('作品'!D:D,MATCH(left(C91,3),'作品'!A:A,0),0),"error")</f>
        <v>怪獣８号</v>
      </c>
      <c r="E91" s="425" t="s">
        <v>3365</v>
      </c>
      <c r="F91" s="125" t="s">
        <v>3372</v>
      </c>
      <c r="G91" s="432" t="str">
        <f t="shared" si="16"/>
        <v>emblem_adventbattle_kai_season01_00003</v>
      </c>
      <c r="H91" s="423" t="str">
        <f t="shared" si="17"/>
        <v>adventbattle_kai_season01_00003</v>
      </c>
      <c r="I91" s="423" t="str">
        <f t="shared" si="18"/>
        <v>emblem_icon_adventbattle_kai_season01_00003</v>
      </c>
      <c r="J91" s="142" t="s">
        <v>3388</v>
      </c>
      <c r="K91" s="142" t="s">
        <v>3389</v>
      </c>
      <c r="L91" s="273"/>
      <c r="M91" s="273"/>
      <c r="N91" s="142" t="s">
        <v>986</v>
      </c>
      <c r="O91" s="132"/>
    </row>
    <row r="92">
      <c r="A92" s="634" t="s">
        <v>3260</v>
      </c>
      <c r="B92" s="634" t="s">
        <v>3260</v>
      </c>
      <c r="C92" s="634" t="s">
        <v>115</v>
      </c>
      <c r="D92" s="90" t="str">
        <f t="array" ref="D92">iferror(INDEX('作品'!D:D,MATCH(left(C92,3),'作品'!A:A,0),0),"error")</f>
        <v>怪獣８号</v>
      </c>
      <c r="E92" s="425" t="s">
        <v>3365</v>
      </c>
      <c r="F92" s="125" t="s">
        <v>3375</v>
      </c>
      <c r="G92" s="432" t="str">
        <f t="shared" si="16"/>
        <v>emblem_adventbattle_kai_season01_00004</v>
      </c>
      <c r="H92" s="423" t="str">
        <f t="shared" si="17"/>
        <v>adventbattle_kai_season01_00004</v>
      </c>
      <c r="I92" s="423" t="str">
        <f t="shared" si="18"/>
        <v>emblem_icon_adventbattle_kai_season01_00004</v>
      </c>
      <c r="J92" s="142" t="s">
        <v>3390</v>
      </c>
      <c r="K92" s="142" t="s">
        <v>3391</v>
      </c>
      <c r="L92" s="273"/>
      <c r="M92" s="273"/>
      <c r="N92" s="142" t="s">
        <v>986</v>
      </c>
      <c r="O92" s="132"/>
    </row>
    <row r="93">
      <c r="A93" s="634" t="s">
        <v>3260</v>
      </c>
      <c r="B93" s="634" t="s">
        <v>3260</v>
      </c>
      <c r="C93" s="634" t="s">
        <v>115</v>
      </c>
      <c r="D93" s="90" t="str">
        <f t="array" ref="D93">iferror(INDEX('作品'!D:D,MATCH(left(C93,3),'作品'!A:A,0),0),"error")</f>
        <v>怪獣８号</v>
      </c>
      <c r="E93" s="425" t="s">
        <v>3365</v>
      </c>
      <c r="F93" s="125" t="s">
        <v>3378</v>
      </c>
      <c r="G93" s="432" t="str">
        <f t="shared" si="16"/>
        <v>emblem_adventbattle_kai_season01_00005</v>
      </c>
      <c r="H93" s="423" t="str">
        <f t="shared" si="17"/>
        <v>adventbattle_kai_season01_00005</v>
      </c>
      <c r="I93" s="423" t="str">
        <f t="shared" si="18"/>
        <v>emblem_icon_adventbattle_kai_season01_00005</v>
      </c>
      <c r="J93" s="142" t="s">
        <v>3392</v>
      </c>
      <c r="K93" s="142" t="s">
        <v>3393</v>
      </c>
      <c r="L93" s="273"/>
      <c r="M93" s="273"/>
      <c r="N93" s="142" t="s">
        <v>986</v>
      </c>
      <c r="O93" s="132"/>
    </row>
    <row r="94">
      <c r="A94" s="634" t="s">
        <v>3260</v>
      </c>
      <c r="B94" s="634" t="s">
        <v>3260</v>
      </c>
      <c r="C94" s="634" t="s">
        <v>115</v>
      </c>
      <c r="D94" s="90" t="str">
        <f t="array" ref="D94">iferror(INDEX('作品'!D:D,MATCH(left(C94,3),'作品'!A:A,0),0),"error")</f>
        <v>怪獣８号</v>
      </c>
      <c r="E94" s="425" t="s">
        <v>3365</v>
      </c>
      <c r="F94" s="125" t="s">
        <v>3381</v>
      </c>
      <c r="G94" s="432" t="str">
        <f t="shared" si="16"/>
        <v>emblem_adventbattle_kai_season01_00006</v>
      </c>
      <c r="H94" s="423" t="str">
        <f t="shared" si="17"/>
        <v>adventbattle_kai_season01_00006</v>
      </c>
      <c r="I94" s="423" t="str">
        <f t="shared" si="18"/>
        <v>emblem_icon_adventbattle_kai_season01_00006</v>
      </c>
      <c r="J94" s="142" t="s">
        <v>3394</v>
      </c>
      <c r="K94" s="142" t="s">
        <v>3395</v>
      </c>
      <c r="L94" s="273"/>
      <c r="M94" s="273"/>
      <c r="N94" s="142" t="s">
        <v>986</v>
      </c>
      <c r="O94" s="132"/>
    </row>
    <row r="95">
      <c r="A95" s="635"/>
      <c r="B95" s="635"/>
      <c r="C95" s="635"/>
      <c r="D95" s="645"/>
      <c r="E95" s="425"/>
      <c r="F95" s="125"/>
      <c r="G95" s="125"/>
      <c r="H95" s="236"/>
      <c r="I95" s="236"/>
      <c r="J95" s="132"/>
      <c r="K95" s="132"/>
      <c r="L95" s="273"/>
      <c r="M95" s="273"/>
      <c r="N95" s="132"/>
      <c r="O95" s="132"/>
    </row>
    <row r="96">
      <c r="A96" s="634" t="s">
        <v>3260</v>
      </c>
      <c r="B96" s="634" t="s">
        <v>3260</v>
      </c>
      <c r="C96" s="645" t="s">
        <v>80</v>
      </c>
      <c r="D96" s="90" t="str">
        <f t="array" ref="D96">iferror(INDEX('作品'!D:D,MATCH(left(C96,3),'作品'!A:A,0),0),"error")</f>
        <v>ダンダダン</v>
      </c>
      <c r="E96" s="45" t="s">
        <v>3365</v>
      </c>
      <c r="F96" s="46" t="s">
        <v>3366</v>
      </c>
      <c r="G96" s="433" t="str">
        <f t="shared" ref="G96:G101" si="19">CONCATENATE("emblem_",E96,"_",C96,"_",F96)</f>
        <v>emblem_adventbattle_dan_season01_00001</v>
      </c>
      <c r="H96" s="463" t="str">
        <f t="shared" ref="H96:H101" si="20">CONCATENATE(E96,"_",C96,"_",F96)</f>
        <v>adventbattle_dan_season01_00001</v>
      </c>
      <c r="I96" s="463" t="str">
        <f t="shared" ref="I96:I101" si="21">CONCATENATE("emblem_icon_",E96,"_",C96,"_",F96)</f>
        <v>emblem_icon_adventbattle_dan_season01_00001</v>
      </c>
      <c r="J96" s="657" t="s">
        <v>3396</v>
      </c>
      <c r="K96" s="142" t="s">
        <v>3397</v>
      </c>
      <c r="L96" s="273"/>
      <c r="M96" s="273"/>
      <c r="N96" s="142" t="s">
        <v>986</v>
      </c>
      <c r="O96" s="132"/>
    </row>
    <row r="97">
      <c r="A97" s="634" t="s">
        <v>3260</v>
      </c>
      <c r="B97" s="634" t="s">
        <v>3260</v>
      </c>
      <c r="C97" s="645" t="s">
        <v>80</v>
      </c>
      <c r="D97" s="90" t="str">
        <f t="array" ref="D97">iferror(INDEX('作品'!D:D,MATCH(left(C97,3),'作品'!A:A,0),0),"error")</f>
        <v>ダンダダン</v>
      </c>
      <c r="E97" s="45" t="s">
        <v>3365</v>
      </c>
      <c r="F97" s="46" t="s">
        <v>3369</v>
      </c>
      <c r="G97" s="433" t="str">
        <f t="shared" si="19"/>
        <v>emblem_adventbattle_dan_season01_00002</v>
      </c>
      <c r="H97" s="463" t="str">
        <f t="shared" si="20"/>
        <v>adventbattle_dan_season01_00002</v>
      </c>
      <c r="I97" s="463" t="str">
        <f t="shared" si="21"/>
        <v>emblem_icon_adventbattle_dan_season01_00002</v>
      </c>
      <c r="J97" s="657" t="s">
        <v>3398</v>
      </c>
      <c r="K97" s="142" t="s">
        <v>3399</v>
      </c>
      <c r="L97" s="273"/>
      <c r="M97" s="273"/>
      <c r="N97" s="142" t="s">
        <v>986</v>
      </c>
      <c r="O97" s="132"/>
    </row>
    <row r="98">
      <c r="A98" s="634" t="s">
        <v>3260</v>
      </c>
      <c r="B98" s="634" t="s">
        <v>3260</v>
      </c>
      <c r="C98" s="645" t="s">
        <v>80</v>
      </c>
      <c r="D98" s="90" t="str">
        <f t="array" ref="D98">iferror(INDEX('作品'!D:D,MATCH(left(C98,3),'作品'!A:A,0),0),"error")</f>
        <v>ダンダダン</v>
      </c>
      <c r="E98" s="45" t="s">
        <v>3365</v>
      </c>
      <c r="F98" s="46" t="s">
        <v>3372</v>
      </c>
      <c r="G98" s="433" t="str">
        <f t="shared" si="19"/>
        <v>emblem_adventbattle_dan_season01_00003</v>
      </c>
      <c r="H98" s="463" t="str">
        <f t="shared" si="20"/>
        <v>adventbattle_dan_season01_00003</v>
      </c>
      <c r="I98" s="463" t="str">
        <f t="shared" si="21"/>
        <v>emblem_icon_adventbattle_dan_season01_00003</v>
      </c>
      <c r="J98" s="657" t="s">
        <v>3400</v>
      </c>
      <c r="K98" s="142" t="s">
        <v>3401</v>
      </c>
      <c r="L98" s="273"/>
      <c r="M98" s="273"/>
      <c r="N98" s="142" t="s">
        <v>986</v>
      </c>
      <c r="O98" s="132"/>
    </row>
    <row r="99">
      <c r="A99" s="634" t="s">
        <v>3260</v>
      </c>
      <c r="B99" s="634" t="s">
        <v>3260</v>
      </c>
      <c r="C99" s="645" t="s">
        <v>80</v>
      </c>
      <c r="D99" s="90" t="str">
        <f t="array" ref="D99">iferror(INDEX('作品'!D:D,MATCH(left(C99,3),'作品'!A:A,0),0),"error")</f>
        <v>ダンダダン</v>
      </c>
      <c r="E99" s="45" t="s">
        <v>3365</v>
      </c>
      <c r="F99" s="46" t="s">
        <v>3375</v>
      </c>
      <c r="G99" s="433" t="str">
        <f t="shared" si="19"/>
        <v>emblem_adventbattle_dan_season01_00004</v>
      </c>
      <c r="H99" s="463" t="str">
        <f t="shared" si="20"/>
        <v>adventbattle_dan_season01_00004</v>
      </c>
      <c r="I99" s="463" t="str">
        <f t="shared" si="21"/>
        <v>emblem_icon_adventbattle_dan_season01_00004</v>
      </c>
      <c r="J99" s="657" t="s">
        <v>3402</v>
      </c>
      <c r="K99" s="142" t="s">
        <v>3403</v>
      </c>
      <c r="L99" s="273"/>
      <c r="M99" s="273"/>
      <c r="N99" s="142" t="s">
        <v>986</v>
      </c>
      <c r="O99" s="132"/>
    </row>
    <row r="100">
      <c r="A100" s="634" t="s">
        <v>3260</v>
      </c>
      <c r="B100" s="634" t="s">
        <v>3260</v>
      </c>
      <c r="C100" s="645" t="s">
        <v>80</v>
      </c>
      <c r="D100" s="90" t="str">
        <f t="array" ref="D100">iferror(INDEX('作品'!D:D,MATCH(left(C100,3),'作品'!A:A,0),0),"error")</f>
        <v>ダンダダン</v>
      </c>
      <c r="E100" s="45" t="s">
        <v>3365</v>
      </c>
      <c r="F100" s="46" t="s">
        <v>3378</v>
      </c>
      <c r="G100" s="433" t="str">
        <f t="shared" si="19"/>
        <v>emblem_adventbattle_dan_season01_00005</v>
      </c>
      <c r="H100" s="463" t="str">
        <f t="shared" si="20"/>
        <v>adventbattle_dan_season01_00005</v>
      </c>
      <c r="I100" s="463" t="str">
        <f t="shared" si="21"/>
        <v>emblem_icon_adventbattle_dan_season01_00005</v>
      </c>
      <c r="J100" s="657" t="s">
        <v>3404</v>
      </c>
      <c r="K100" s="142" t="s">
        <v>3405</v>
      </c>
      <c r="L100" s="273"/>
      <c r="M100" s="273"/>
      <c r="N100" s="142" t="s">
        <v>986</v>
      </c>
      <c r="O100" s="132"/>
    </row>
    <row r="101">
      <c r="A101" s="634" t="s">
        <v>3260</v>
      </c>
      <c r="B101" s="634" t="s">
        <v>3260</v>
      </c>
      <c r="C101" s="645" t="s">
        <v>80</v>
      </c>
      <c r="D101" s="90" t="str">
        <f t="array" ref="D101">iferror(INDEX('作品'!D:D,MATCH(left(C101,3),'作品'!A:A,0),0),"error")</f>
        <v>ダンダダン</v>
      </c>
      <c r="E101" s="45" t="s">
        <v>3365</v>
      </c>
      <c r="F101" s="46" t="s">
        <v>3381</v>
      </c>
      <c r="G101" s="433" t="str">
        <f t="shared" si="19"/>
        <v>emblem_adventbattle_dan_season01_00006</v>
      </c>
      <c r="H101" s="463" t="str">
        <f t="shared" si="20"/>
        <v>adventbattle_dan_season01_00006</v>
      </c>
      <c r="I101" s="463" t="str">
        <f t="shared" si="21"/>
        <v>emblem_icon_adventbattle_dan_season01_00006</v>
      </c>
      <c r="J101" s="657" t="s">
        <v>3406</v>
      </c>
      <c r="K101" s="142" t="s">
        <v>3407</v>
      </c>
      <c r="L101" s="273"/>
      <c r="M101" s="273"/>
      <c r="N101" s="142" t="s">
        <v>986</v>
      </c>
      <c r="O101" s="132"/>
    </row>
    <row r="102">
      <c r="A102" s="658"/>
      <c r="B102" s="658"/>
      <c r="C102" s="658"/>
      <c r="D102" s="645"/>
      <c r="E102" s="45"/>
      <c r="F102" s="46"/>
      <c r="G102" s="46"/>
      <c r="H102" s="132"/>
      <c r="I102" s="132"/>
      <c r="J102" s="132"/>
      <c r="K102" s="132"/>
      <c r="L102" s="273"/>
      <c r="M102" s="273"/>
      <c r="N102" s="132"/>
      <c r="O102" s="132"/>
    </row>
    <row r="103">
      <c r="A103" s="634" t="s">
        <v>3260</v>
      </c>
      <c r="B103" s="634" t="s">
        <v>3260</v>
      </c>
      <c r="C103" s="659" t="s">
        <v>98</v>
      </c>
      <c r="D103" s="178" t="str">
        <f t="array" ref="D103">iferror(INDEX('作品'!D:D,MATCH(left(C103,3),'作品'!A:A,0),0),"error")</f>
        <v>株式会社マジルミエ</v>
      </c>
      <c r="E103" s="192" t="s">
        <v>3365</v>
      </c>
      <c r="F103" s="219" t="s">
        <v>3366</v>
      </c>
      <c r="G103" s="660" t="str">
        <f t="shared" ref="G103:G108" si="22">CONCATENATE("emblem_",E103,"_",C103,"_",F103)</f>
        <v>emblem_adventbattle_mag_season01_00001</v>
      </c>
      <c r="H103" s="660" t="str">
        <f t="shared" ref="H103:H108" si="23">CONCATENATE(E103,"_",C103,"_",F103)</f>
        <v>adventbattle_mag_season01_00001</v>
      </c>
      <c r="I103" s="660" t="str">
        <f t="shared" ref="I103:I108" si="24">CONCATENATE("emblem_icon_",E103,"_",C103,"_",F103)</f>
        <v>emblem_icon_adventbattle_mag_season01_00001</v>
      </c>
      <c r="J103" s="106" t="s">
        <v>3408</v>
      </c>
      <c r="K103" s="106" t="s">
        <v>3409</v>
      </c>
      <c r="L103" s="661"/>
      <c r="M103" s="661"/>
      <c r="N103" s="142" t="s">
        <v>986</v>
      </c>
      <c r="O103" s="204"/>
    </row>
    <row r="104">
      <c r="A104" s="634" t="s">
        <v>3260</v>
      </c>
      <c r="B104" s="634" t="s">
        <v>3260</v>
      </c>
      <c r="C104" s="659" t="s">
        <v>98</v>
      </c>
      <c r="D104" s="178" t="str">
        <f t="array" ref="D104">iferror(INDEX('作品'!D:D,MATCH(left(C104,3),'作品'!A:A,0),0),"error")</f>
        <v>株式会社マジルミエ</v>
      </c>
      <c r="E104" s="192" t="s">
        <v>3365</v>
      </c>
      <c r="F104" s="219" t="s">
        <v>3369</v>
      </c>
      <c r="G104" s="660" t="str">
        <f t="shared" si="22"/>
        <v>emblem_adventbattle_mag_season01_00002</v>
      </c>
      <c r="H104" s="660" t="str">
        <f t="shared" si="23"/>
        <v>adventbattle_mag_season01_00002</v>
      </c>
      <c r="I104" s="660" t="str">
        <f t="shared" si="24"/>
        <v>emblem_icon_adventbattle_mag_season01_00002</v>
      </c>
      <c r="J104" s="106" t="s">
        <v>3410</v>
      </c>
      <c r="K104" s="106" t="s">
        <v>3411</v>
      </c>
      <c r="L104" s="661"/>
      <c r="M104" s="661"/>
      <c r="N104" s="142" t="s">
        <v>986</v>
      </c>
      <c r="O104" s="204"/>
    </row>
    <row r="105">
      <c r="A105" s="634" t="s">
        <v>3260</v>
      </c>
      <c r="B105" s="634" t="s">
        <v>3260</v>
      </c>
      <c r="C105" s="659" t="s">
        <v>98</v>
      </c>
      <c r="D105" s="178" t="str">
        <f t="array" ref="D105">iferror(INDEX('作品'!D:D,MATCH(left(C105,3),'作品'!A:A,0),0),"error")</f>
        <v>株式会社マジルミエ</v>
      </c>
      <c r="E105" s="192" t="s">
        <v>3365</v>
      </c>
      <c r="F105" s="219" t="s">
        <v>3372</v>
      </c>
      <c r="G105" s="660" t="str">
        <f t="shared" si="22"/>
        <v>emblem_adventbattle_mag_season01_00003</v>
      </c>
      <c r="H105" s="660" t="str">
        <f t="shared" si="23"/>
        <v>adventbattle_mag_season01_00003</v>
      </c>
      <c r="I105" s="660" t="str">
        <f t="shared" si="24"/>
        <v>emblem_icon_adventbattle_mag_season01_00003</v>
      </c>
      <c r="J105" s="106" t="s">
        <v>3412</v>
      </c>
      <c r="K105" s="106" t="s">
        <v>3413</v>
      </c>
      <c r="L105" s="661"/>
      <c r="M105" s="661"/>
      <c r="N105" s="142" t="s">
        <v>986</v>
      </c>
      <c r="O105" s="204"/>
    </row>
    <row r="106">
      <c r="A106" s="634" t="s">
        <v>3260</v>
      </c>
      <c r="B106" s="634" t="s">
        <v>3260</v>
      </c>
      <c r="C106" s="659" t="s">
        <v>98</v>
      </c>
      <c r="D106" s="178" t="str">
        <f t="array" ref="D106">iferror(INDEX('作品'!D:D,MATCH(left(C106,3),'作品'!A:A,0),0),"error")</f>
        <v>株式会社マジルミエ</v>
      </c>
      <c r="E106" s="192" t="s">
        <v>3365</v>
      </c>
      <c r="F106" s="219" t="s">
        <v>3375</v>
      </c>
      <c r="G106" s="660" t="str">
        <f t="shared" si="22"/>
        <v>emblem_adventbattle_mag_season01_00004</v>
      </c>
      <c r="H106" s="660" t="str">
        <f t="shared" si="23"/>
        <v>adventbattle_mag_season01_00004</v>
      </c>
      <c r="I106" s="660" t="str">
        <f t="shared" si="24"/>
        <v>emblem_icon_adventbattle_mag_season01_00004</v>
      </c>
      <c r="J106" s="106" t="s">
        <v>3414</v>
      </c>
      <c r="K106" s="106" t="s">
        <v>3415</v>
      </c>
      <c r="L106" s="661"/>
      <c r="M106" s="661"/>
      <c r="N106" s="142" t="s">
        <v>986</v>
      </c>
      <c r="O106" s="204"/>
    </row>
    <row r="107">
      <c r="A107" s="634" t="s">
        <v>3260</v>
      </c>
      <c r="B107" s="634" t="s">
        <v>3260</v>
      </c>
      <c r="C107" s="659" t="s">
        <v>98</v>
      </c>
      <c r="D107" s="178" t="str">
        <f t="array" ref="D107">iferror(INDEX('作品'!D:D,MATCH(left(C107,3),'作品'!A:A,0),0),"error")</f>
        <v>株式会社マジルミエ</v>
      </c>
      <c r="E107" s="192" t="s">
        <v>3365</v>
      </c>
      <c r="F107" s="219" t="s">
        <v>3378</v>
      </c>
      <c r="G107" s="660" t="str">
        <f t="shared" si="22"/>
        <v>emblem_adventbattle_mag_season01_00005</v>
      </c>
      <c r="H107" s="660" t="str">
        <f t="shared" si="23"/>
        <v>adventbattle_mag_season01_00005</v>
      </c>
      <c r="I107" s="660" t="str">
        <f t="shared" si="24"/>
        <v>emblem_icon_adventbattle_mag_season01_00005</v>
      </c>
      <c r="J107" s="106" t="s">
        <v>3416</v>
      </c>
      <c r="K107" s="106" t="s">
        <v>3417</v>
      </c>
      <c r="L107" s="661"/>
      <c r="M107" s="661"/>
      <c r="N107" s="142" t="s">
        <v>986</v>
      </c>
      <c r="O107" s="204"/>
    </row>
    <row r="108">
      <c r="A108" s="634" t="s">
        <v>3260</v>
      </c>
      <c r="B108" s="634" t="s">
        <v>3260</v>
      </c>
      <c r="C108" s="659" t="s">
        <v>98</v>
      </c>
      <c r="D108" s="178" t="str">
        <f t="array" ref="D108">iferror(INDEX('作品'!D:D,MATCH(left(C108,3),'作品'!A:A,0),0),"error")</f>
        <v>株式会社マジルミエ</v>
      </c>
      <c r="E108" s="192" t="s">
        <v>3365</v>
      </c>
      <c r="F108" s="219" t="s">
        <v>3381</v>
      </c>
      <c r="G108" s="660" t="str">
        <f t="shared" si="22"/>
        <v>emblem_adventbattle_mag_season01_00006</v>
      </c>
      <c r="H108" s="660" t="str">
        <f t="shared" si="23"/>
        <v>adventbattle_mag_season01_00006</v>
      </c>
      <c r="I108" s="660" t="str">
        <f t="shared" si="24"/>
        <v>emblem_icon_adventbattle_mag_season01_00006</v>
      </c>
      <c r="J108" s="106" t="s">
        <v>3418</v>
      </c>
      <c r="K108" s="106" t="s">
        <v>3419</v>
      </c>
      <c r="L108" s="661"/>
      <c r="M108" s="661"/>
      <c r="N108" s="142" t="s">
        <v>986</v>
      </c>
      <c r="O108" s="204"/>
    </row>
    <row r="109">
      <c r="A109" s="662"/>
      <c r="B109" s="662"/>
      <c r="C109" s="663"/>
      <c r="D109" s="664"/>
      <c r="E109" s="664"/>
      <c r="F109" s="665"/>
      <c r="G109" s="665"/>
      <c r="H109" s="665"/>
      <c r="I109" s="665"/>
      <c r="J109" s="666"/>
      <c r="K109" s="666"/>
      <c r="L109" s="667"/>
      <c r="M109" s="667"/>
      <c r="N109" s="668"/>
      <c r="O109" s="202"/>
    </row>
    <row r="110">
      <c r="A110" s="634" t="s">
        <v>3260</v>
      </c>
      <c r="B110" s="634" t="s">
        <v>3260</v>
      </c>
      <c r="C110" s="659" t="s">
        <v>121</v>
      </c>
      <c r="D110" s="178" t="str">
        <f t="array" ref="D110">iferror(INDEX('作品'!D:D,MATCH(left(C110,3),'作品'!A:A,0),0),"error")</f>
        <v>2.5次元の誘惑</v>
      </c>
      <c r="E110" s="192" t="s">
        <v>3365</v>
      </c>
      <c r="F110" s="219" t="s">
        <v>3366</v>
      </c>
      <c r="G110" s="660" t="str">
        <f t="shared" ref="G110:G115" si="25">CONCATENATE("emblem_",E110,"_",C110,"_",F110)</f>
        <v>emblem_adventbattle_yuw_season01_00001</v>
      </c>
      <c r="H110" s="660" t="str">
        <f t="shared" ref="H110:H115" si="26">CONCATENATE(E110,"_",C110,"_",F110)</f>
        <v>adventbattle_yuw_season01_00001</v>
      </c>
      <c r="I110" s="660" t="str">
        <f t="shared" ref="I110:I115" si="27">CONCATENATE("emblem_icon_",E110,"_",C110,"_",F110)</f>
        <v>emblem_icon_adventbattle_yuw_season01_00001</v>
      </c>
      <c r="J110" s="106" t="s">
        <v>3420</v>
      </c>
      <c r="K110" s="106" t="s">
        <v>3421</v>
      </c>
      <c r="L110" s="661"/>
      <c r="M110" s="661"/>
      <c r="N110" s="142" t="s">
        <v>986</v>
      </c>
      <c r="O110" s="640">
        <v>2.0251102E8</v>
      </c>
    </row>
    <row r="111">
      <c r="A111" s="634" t="s">
        <v>3260</v>
      </c>
      <c r="B111" s="634" t="s">
        <v>3260</v>
      </c>
      <c r="C111" s="659" t="s">
        <v>121</v>
      </c>
      <c r="D111" s="178" t="str">
        <f t="array" ref="D111">iferror(INDEX('作品'!D:D,MATCH(left(C111,3),'作品'!A:A,0),0),"error")</f>
        <v>2.5次元の誘惑</v>
      </c>
      <c r="E111" s="192" t="s">
        <v>3365</v>
      </c>
      <c r="F111" s="219" t="s">
        <v>3369</v>
      </c>
      <c r="G111" s="660" t="str">
        <f t="shared" si="25"/>
        <v>emblem_adventbattle_yuw_season01_00002</v>
      </c>
      <c r="H111" s="660" t="str">
        <f t="shared" si="26"/>
        <v>adventbattle_yuw_season01_00002</v>
      </c>
      <c r="I111" s="660" t="str">
        <f t="shared" si="27"/>
        <v>emblem_icon_adventbattle_yuw_season01_00002</v>
      </c>
      <c r="J111" s="106" t="s">
        <v>3422</v>
      </c>
      <c r="K111" s="106" t="s">
        <v>3423</v>
      </c>
      <c r="L111" s="661"/>
      <c r="M111" s="661"/>
      <c r="N111" s="142" t="s">
        <v>986</v>
      </c>
      <c r="O111" s="640">
        <v>2.0251102E8</v>
      </c>
    </row>
    <row r="112">
      <c r="A112" s="634" t="s">
        <v>3260</v>
      </c>
      <c r="B112" s="634" t="s">
        <v>3260</v>
      </c>
      <c r="C112" s="659" t="s">
        <v>121</v>
      </c>
      <c r="D112" s="178" t="str">
        <f t="array" ref="D112">iferror(INDEX('作品'!D:D,MATCH(left(C112,3),'作品'!A:A,0),0),"error")</f>
        <v>2.5次元の誘惑</v>
      </c>
      <c r="E112" s="192" t="s">
        <v>3365</v>
      </c>
      <c r="F112" s="219" t="s">
        <v>3372</v>
      </c>
      <c r="G112" s="660" t="str">
        <f t="shared" si="25"/>
        <v>emblem_adventbattle_yuw_season01_00003</v>
      </c>
      <c r="H112" s="660" t="str">
        <f t="shared" si="26"/>
        <v>adventbattle_yuw_season01_00003</v>
      </c>
      <c r="I112" s="660" t="str">
        <f t="shared" si="27"/>
        <v>emblem_icon_adventbattle_yuw_season01_00003</v>
      </c>
      <c r="J112" s="106" t="s">
        <v>3424</v>
      </c>
      <c r="K112" s="106" t="s">
        <v>3425</v>
      </c>
      <c r="L112" s="661"/>
      <c r="M112" s="661"/>
      <c r="N112" s="142" t="s">
        <v>986</v>
      </c>
      <c r="O112" s="640">
        <v>2.0251102E8</v>
      </c>
    </row>
    <row r="113">
      <c r="A113" s="634" t="s">
        <v>3260</v>
      </c>
      <c r="B113" s="634" t="s">
        <v>3260</v>
      </c>
      <c r="C113" s="659" t="s">
        <v>121</v>
      </c>
      <c r="D113" s="178" t="str">
        <f t="array" ref="D113">iferror(INDEX('作品'!D:D,MATCH(left(C113,3),'作品'!A:A,0),0),"error")</f>
        <v>2.5次元の誘惑</v>
      </c>
      <c r="E113" s="192" t="s">
        <v>3365</v>
      </c>
      <c r="F113" s="219" t="s">
        <v>3375</v>
      </c>
      <c r="G113" s="660" t="str">
        <f t="shared" si="25"/>
        <v>emblem_adventbattle_yuw_season01_00004</v>
      </c>
      <c r="H113" s="660" t="str">
        <f t="shared" si="26"/>
        <v>adventbattle_yuw_season01_00004</v>
      </c>
      <c r="I113" s="660" t="str">
        <f t="shared" si="27"/>
        <v>emblem_icon_adventbattle_yuw_season01_00004</v>
      </c>
      <c r="J113" s="106" t="s">
        <v>3426</v>
      </c>
      <c r="K113" s="106" t="s">
        <v>3427</v>
      </c>
      <c r="L113" s="661"/>
      <c r="M113" s="661"/>
      <c r="N113" s="142" t="s">
        <v>986</v>
      </c>
      <c r="O113" s="640">
        <v>2.0251102E8</v>
      </c>
    </row>
    <row r="114">
      <c r="A114" s="634" t="s">
        <v>3260</v>
      </c>
      <c r="B114" s="634" t="s">
        <v>3260</v>
      </c>
      <c r="C114" s="659" t="s">
        <v>121</v>
      </c>
      <c r="D114" s="178" t="str">
        <f t="array" ref="D114">iferror(INDEX('作品'!D:D,MATCH(left(C114,3),'作品'!A:A,0),0),"error")</f>
        <v>2.5次元の誘惑</v>
      </c>
      <c r="E114" s="192" t="s">
        <v>3365</v>
      </c>
      <c r="F114" s="219" t="s">
        <v>3378</v>
      </c>
      <c r="G114" s="660" t="str">
        <f t="shared" si="25"/>
        <v>emblem_adventbattle_yuw_season01_00005</v>
      </c>
      <c r="H114" s="660" t="str">
        <f t="shared" si="26"/>
        <v>adventbattle_yuw_season01_00005</v>
      </c>
      <c r="I114" s="660" t="str">
        <f t="shared" si="27"/>
        <v>emblem_icon_adventbattle_yuw_season01_00005</v>
      </c>
      <c r="J114" s="106" t="s">
        <v>3428</v>
      </c>
      <c r="K114" s="106" t="s">
        <v>3429</v>
      </c>
      <c r="L114" s="661"/>
      <c r="M114" s="661"/>
      <c r="N114" s="142" t="s">
        <v>986</v>
      </c>
      <c r="O114" s="640">
        <v>2.0251102E8</v>
      </c>
    </row>
    <row r="115">
      <c r="A115" s="634" t="s">
        <v>3260</v>
      </c>
      <c r="B115" s="634" t="s">
        <v>3260</v>
      </c>
      <c r="C115" s="659" t="s">
        <v>121</v>
      </c>
      <c r="D115" s="178" t="str">
        <f t="array" ref="D115">iferror(INDEX('作品'!D:D,MATCH(left(C115,3),'作品'!A:A,0),0),"error")</f>
        <v>2.5次元の誘惑</v>
      </c>
      <c r="E115" s="192" t="s">
        <v>3365</v>
      </c>
      <c r="F115" s="219" t="s">
        <v>3381</v>
      </c>
      <c r="G115" s="660" t="str">
        <f t="shared" si="25"/>
        <v>emblem_adventbattle_yuw_season01_00006</v>
      </c>
      <c r="H115" s="660" t="str">
        <f t="shared" si="26"/>
        <v>adventbattle_yuw_season01_00006</v>
      </c>
      <c r="I115" s="660" t="str">
        <f t="shared" si="27"/>
        <v>emblem_icon_adventbattle_yuw_season01_00006</v>
      </c>
      <c r="J115" s="106" t="s">
        <v>3430</v>
      </c>
      <c r="K115" s="106" t="s">
        <v>3431</v>
      </c>
      <c r="L115" s="661"/>
      <c r="M115" s="661"/>
      <c r="N115" s="142" t="s">
        <v>986</v>
      </c>
      <c r="O115" s="640">
        <v>2.0251102E8</v>
      </c>
    </row>
    <row r="116">
      <c r="A116" s="662"/>
      <c r="B116" s="662"/>
      <c r="C116" s="663"/>
      <c r="D116" s="664"/>
      <c r="E116" s="664"/>
      <c r="F116" s="665"/>
      <c r="G116" s="665"/>
      <c r="H116" s="665"/>
      <c r="I116" s="665"/>
      <c r="J116" s="666"/>
      <c r="K116" s="666"/>
      <c r="L116" s="661"/>
      <c r="M116" s="661"/>
      <c r="N116" s="101"/>
      <c r="O116" s="204"/>
    </row>
    <row r="117">
      <c r="A117" s="634" t="s">
        <v>3260</v>
      </c>
      <c r="B117" s="634" t="s">
        <v>3260</v>
      </c>
      <c r="C117" s="663" t="s">
        <v>127</v>
      </c>
      <c r="D117" s="178" t="str">
        <f t="array" ref="D117">iferror(INDEX('作品'!D:D,MATCH(left(C117,3),'作品'!A:A,0),0),"error")</f>
        <v>魔都精兵のスレイブ</v>
      </c>
      <c r="E117" s="192" t="s">
        <v>3365</v>
      </c>
      <c r="F117" s="219" t="s">
        <v>3366</v>
      </c>
      <c r="G117" s="660" t="str">
        <f t="shared" ref="G117:G122" si="28">CONCATENATE("emblem_",E117,"_",C117,"_",F117)</f>
        <v>emblem_adventbattle_sur_season01_00001</v>
      </c>
      <c r="H117" s="660" t="str">
        <f t="shared" ref="H117:H122" si="29">CONCATENATE(E117,"_",C117,"_",F117)</f>
        <v>adventbattle_sur_season01_00001</v>
      </c>
      <c r="I117" s="660" t="str">
        <f t="shared" ref="I117:I122" si="30">CONCATENATE("emblem_icon_",E117,"_",C117,"_",F117)</f>
        <v>emblem_icon_adventbattle_sur_season01_00001</v>
      </c>
      <c r="J117" s="666" t="s">
        <v>3432</v>
      </c>
      <c r="K117" s="106" t="s">
        <v>3433</v>
      </c>
      <c r="L117" s="275">
        <v>46013.625</v>
      </c>
      <c r="M117" s="275"/>
      <c r="N117" s="142" t="s">
        <v>986</v>
      </c>
      <c r="O117" s="640">
        <v>2.0251201E8</v>
      </c>
    </row>
    <row r="118">
      <c r="A118" s="634" t="s">
        <v>3260</v>
      </c>
      <c r="B118" s="634" t="s">
        <v>3260</v>
      </c>
      <c r="C118" s="663" t="s">
        <v>127</v>
      </c>
      <c r="D118" s="178" t="str">
        <f t="array" ref="D118">iferror(INDEX('作品'!D:D,MATCH(left(C118,3),'作品'!A:A,0),0),"error")</f>
        <v>魔都精兵のスレイブ</v>
      </c>
      <c r="E118" s="192" t="s">
        <v>3365</v>
      </c>
      <c r="F118" s="219" t="s">
        <v>3369</v>
      </c>
      <c r="G118" s="660" t="str">
        <f t="shared" si="28"/>
        <v>emblem_adventbattle_sur_season01_00002</v>
      </c>
      <c r="H118" s="660" t="str">
        <f t="shared" si="29"/>
        <v>adventbattle_sur_season01_00002</v>
      </c>
      <c r="I118" s="660" t="str">
        <f t="shared" si="30"/>
        <v>emblem_icon_adventbattle_sur_season01_00002</v>
      </c>
      <c r="J118" s="666" t="s">
        <v>3434</v>
      </c>
      <c r="K118" s="106" t="s">
        <v>3435</v>
      </c>
      <c r="L118" s="275">
        <v>46013.625</v>
      </c>
      <c r="M118" s="275"/>
      <c r="N118" s="142" t="s">
        <v>986</v>
      </c>
      <c r="O118" s="640">
        <v>2.0251201E8</v>
      </c>
    </row>
    <row r="119">
      <c r="A119" s="634" t="s">
        <v>3260</v>
      </c>
      <c r="B119" s="634" t="s">
        <v>3260</v>
      </c>
      <c r="C119" s="663" t="s">
        <v>127</v>
      </c>
      <c r="D119" s="178" t="str">
        <f t="array" ref="D119">iferror(INDEX('作品'!D:D,MATCH(left(C119,3),'作品'!A:A,0),0),"error")</f>
        <v>魔都精兵のスレイブ</v>
      </c>
      <c r="E119" s="192" t="s">
        <v>3365</v>
      </c>
      <c r="F119" s="219" t="s">
        <v>3372</v>
      </c>
      <c r="G119" s="660" t="str">
        <f t="shared" si="28"/>
        <v>emblem_adventbattle_sur_season01_00003</v>
      </c>
      <c r="H119" s="660" t="str">
        <f t="shared" si="29"/>
        <v>adventbattle_sur_season01_00003</v>
      </c>
      <c r="I119" s="660" t="str">
        <f t="shared" si="30"/>
        <v>emblem_icon_adventbattle_sur_season01_00003</v>
      </c>
      <c r="J119" s="666" t="s">
        <v>3436</v>
      </c>
      <c r="K119" s="106" t="s">
        <v>3437</v>
      </c>
      <c r="L119" s="275">
        <v>46013.625</v>
      </c>
      <c r="M119" s="275"/>
      <c r="N119" s="142" t="s">
        <v>986</v>
      </c>
      <c r="O119" s="640">
        <v>2.0251201E8</v>
      </c>
    </row>
    <row r="120">
      <c r="A120" s="634" t="s">
        <v>3260</v>
      </c>
      <c r="B120" s="634" t="s">
        <v>3260</v>
      </c>
      <c r="C120" s="663" t="s">
        <v>127</v>
      </c>
      <c r="D120" s="178" t="str">
        <f t="array" ref="D120">iferror(INDEX('作品'!D:D,MATCH(left(C120,3),'作品'!A:A,0),0),"error")</f>
        <v>魔都精兵のスレイブ</v>
      </c>
      <c r="E120" s="192" t="s">
        <v>3365</v>
      </c>
      <c r="F120" s="219" t="s">
        <v>3375</v>
      </c>
      <c r="G120" s="660" t="str">
        <f t="shared" si="28"/>
        <v>emblem_adventbattle_sur_season01_00004</v>
      </c>
      <c r="H120" s="660" t="str">
        <f t="shared" si="29"/>
        <v>adventbattle_sur_season01_00004</v>
      </c>
      <c r="I120" s="660" t="str">
        <f t="shared" si="30"/>
        <v>emblem_icon_adventbattle_sur_season01_00004</v>
      </c>
      <c r="J120" s="666" t="s">
        <v>3438</v>
      </c>
      <c r="K120" s="106" t="s">
        <v>3439</v>
      </c>
      <c r="L120" s="275">
        <v>46013.625</v>
      </c>
      <c r="M120" s="275"/>
      <c r="N120" s="142" t="s">
        <v>986</v>
      </c>
      <c r="O120" s="640">
        <v>2.0251201E8</v>
      </c>
    </row>
    <row r="121">
      <c r="A121" s="634" t="s">
        <v>3260</v>
      </c>
      <c r="B121" s="634" t="s">
        <v>3260</v>
      </c>
      <c r="C121" s="663" t="s">
        <v>127</v>
      </c>
      <c r="D121" s="178" t="str">
        <f t="array" ref="D121">iferror(INDEX('作品'!D:D,MATCH(left(C121,3),'作品'!A:A,0),0),"error")</f>
        <v>魔都精兵のスレイブ</v>
      </c>
      <c r="E121" s="192" t="s">
        <v>3365</v>
      </c>
      <c r="F121" s="219" t="s">
        <v>3378</v>
      </c>
      <c r="G121" s="660" t="str">
        <f t="shared" si="28"/>
        <v>emblem_adventbattle_sur_season01_00005</v>
      </c>
      <c r="H121" s="660" t="str">
        <f t="shared" si="29"/>
        <v>adventbattle_sur_season01_00005</v>
      </c>
      <c r="I121" s="660" t="str">
        <f t="shared" si="30"/>
        <v>emblem_icon_adventbattle_sur_season01_00005</v>
      </c>
      <c r="J121" s="666" t="s">
        <v>3440</v>
      </c>
      <c r="K121" s="106" t="s">
        <v>3441</v>
      </c>
      <c r="L121" s="275">
        <v>46013.625</v>
      </c>
      <c r="M121" s="275"/>
      <c r="N121" s="142" t="s">
        <v>986</v>
      </c>
      <c r="O121" s="640">
        <v>2.0251201E8</v>
      </c>
    </row>
    <row r="122">
      <c r="A122" s="634" t="s">
        <v>3260</v>
      </c>
      <c r="B122" s="634" t="s">
        <v>3260</v>
      </c>
      <c r="C122" s="663" t="s">
        <v>127</v>
      </c>
      <c r="D122" s="178" t="str">
        <f t="array" ref="D122">iferror(INDEX('作品'!D:D,MATCH(left(C122,3),'作品'!A:A,0),0),"error")</f>
        <v>魔都精兵のスレイブ</v>
      </c>
      <c r="E122" s="192" t="s">
        <v>3365</v>
      </c>
      <c r="F122" s="219" t="s">
        <v>3381</v>
      </c>
      <c r="G122" s="660" t="str">
        <f t="shared" si="28"/>
        <v>emblem_adventbattle_sur_season01_00006</v>
      </c>
      <c r="H122" s="660" t="str">
        <f t="shared" si="29"/>
        <v>adventbattle_sur_season01_00006</v>
      </c>
      <c r="I122" s="660" t="str">
        <f t="shared" si="30"/>
        <v>emblem_icon_adventbattle_sur_season01_00006</v>
      </c>
      <c r="J122" s="666" t="s">
        <v>3442</v>
      </c>
      <c r="K122" s="106" t="s">
        <v>3443</v>
      </c>
      <c r="L122" s="275">
        <v>46013.625</v>
      </c>
      <c r="M122" s="275"/>
      <c r="N122" s="142" t="s">
        <v>986</v>
      </c>
      <c r="O122" s="640">
        <v>2.0251201E8</v>
      </c>
    </row>
    <row r="123">
      <c r="A123" s="669"/>
      <c r="B123" s="669"/>
      <c r="C123" s="658"/>
      <c r="D123" s="645"/>
      <c r="E123" s="45"/>
      <c r="F123" s="46"/>
      <c r="G123" s="46"/>
      <c r="H123" s="132"/>
      <c r="I123" s="132"/>
      <c r="J123" s="132"/>
      <c r="K123" s="132"/>
      <c r="L123" s="273"/>
      <c r="M123" s="273"/>
      <c r="N123" s="132"/>
      <c r="O123" s="132"/>
    </row>
    <row r="124">
      <c r="A124" s="634" t="s">
        <v>3283</v>
      </c>
      <c r="B124" s="634" t="s">
        <v>3261</v>
      </c>
      <c r="C124" s="645" t="s">
        <v>158</v>
      </c>
      <c r="D124" s="178" t="str">
        <f t="array" ref="D124">iferror(INDEX('作品'!D:D,MATCH(left(C124,3),'作品'!A:A,0),0),"error")</f>
        <v>【推しの子】</v>
      </c>
      <c r="E124" s="192" t="s">
        <v>3365</v>
      </c>
      <c r="F124" s="219" t="s">
        <v>3366</v>
      </c>
      <c r="G124" s="660" t="str">
        <f t="shared" ref="G124:G129" si="31">CONCATENATE("emblem_",E124,"_",C124,"_",F124)</f>
        <v>emblem_adventbattle_osh_season01_00001</v>
      </c>
      <c r="H124" s="660" t="str">
        <f t="shared" ref="H124:H129" si="32">CONCATENATE(E124,"_",C124,"_",F124)</f>
        <v>adventbattle_osh_season01_00001</v>
      </c>
      <c r="I124" s="660" t="str">
        <f t="shared" ref="I124:I129" si="33">CONCATENATE("emblem_icon_",E124,"_",C124,"_",F124)</f>
        <v>emblem_icon_adventbattle_osh_season01_00001</v>
      </c>
      <c r="J124" s="132" t="s">
        <v>3444</v>
      </c>
      <c r="K124" s="132" t="s">
        <v>3445</v>
      </c>
      <c r="L124" s="273"/>
      <c r="M124" s="273"/>
      <c r="N124" s="142" t="s">
        <v>3446</v>
      </c>
      <c r="O124" s="142">
        <v>2.0251202E8</v>
      </c>
    </row>
    <row r="125">
      <c r="A125" s="634" t="s">
        <v>3283</v>
      </c>
      <c r="B125" s="634" t="s">
        <v>3261</v>
      </c>
      <c r="C125" s="645" t="s">
        <v>158</v>
      </c>
      <c r="D125" s="178" t="str">
        <f t="array" ref="D125">iferror(INDEX('作品'!D:D,MATCH(left(C125,3),'作品'!A:A,0),0),"error")</f>
        <v>【推しの子】</v>
      </c>
      <c r="E125" s="192" t="s">
        <v>3365</v>
      </c>
      <c r="F125" s="219" t="s">
        <v>3369</v>
      </c>
      <c r="G125" s="660" t="str">
        <f t="shared" si="31"/>
        <v>emblem_adventbattle_osh_season01_00002</v>
      </c>
      <c r="H125" s="660" t="str">
        <f t="shared" si="32"/>
        <v>adventbattle_osh_season01_00002</v>
      </c>
      <c r="I125" s="660" t="str">
        <f t="shared" si="33"/>
        <v>emblem_icon_adventbattle_osh_season01_00002</v>
      </c>
      <c r="J125" s="132" t="s">
        <v>3447</v>
      </c>
      <c r="K125" s="132" t="s">
        <v>3448</v>
      </c>
      <c r="L125" s="273"/>
      <c r="M125" s="273"/>
      <c r="N125" s="142" t="s">
        <v>3446</v>
      </c>
      <c r="O125" s="142">
        <v>2.0251202E8</v>
      </c>
    </row>
    <row r="126">
      <c r="A126" s="634" t="s">
        <v>3283</v>
      </c>
      <c r="B126" s="634" t="s">
        <v>3261</v>
      </c>
      <c r="C126" s="645" t="s">
        <v>158</v>
      </c>
      <c r="D126" s="178" t="str">
        <f t="array" ref="D126">iferror(INDEX('作品'!D:D,MATCH(left(C126,3),'作品'!A:A,0),0),"error")</f>
        <v>【推しの子】</v>
      </c>
      <c r="E126" s="192" t="s">
        <v>3365</v>
      </c>
      <c r="F126" s="219" t="s">
        <v>3372</v>
      </c>
      <c r="G126" s="660" t="str">
        <f t="shared" si="31"/>
        <v>emblem_adventbattle_osh_season01_00003</v>
      </c>
      <c r="H126" s="660" t="str">
        <f t="shared" si="32"/>
        <v>adventbattle_osh_season01_00003</v>
      </c>
      <c r="I126" s="660" t="str">
        <f t="shared" si="33"/>
        <v>emblem_icon_adventbattle_osh_season01_00003</v>
      </c>
      <c r="J126" s="132" t="s">
        <v>3449</v>
      </c>
      <c r="K126" s="132" t="s">
        <v>3450</v>
      </c>
      <c r="L126" s="273"/>
      <c r="M126" s="273"/>
      <c r="N126" s="142" t="s">
        <v>3446</v>
      </c>
      <c r="O126" s="142">
        <v>2.0251202E8</v>
      </c>
    </row>
    <row r="127">
      <c r="A127" s="634" t="s">
        <v>3283</v>
      </c>
      <c r="B127" s="634" t="s">
        <v>3261</v>
      </c>
      <c r="C127" s="645" t="s">
        <v>158</v>
      </c>
      <c r="D127" s="178" t="str">
        <f t="array" ref="D127">iferror(INDEX('作品'!D:D,MATCH(left(C127,3),'作品'!A:A,0),0),"error")</f>
        <v>【推しの子】</v>
      </c>
      <c r="E127" s="192" t="s">
        <v>3365</v>
      </c>
      <c r="F127" s="219" t="s">
        <v>3375</v>
      </c>
      <c r="G127" s="660" t="str">
        <f t="shared" si="31"/>
        <v>emblem_adventbattle_osh_season01_00004</v>
      </c>
      <c r="H127" s="660" t="str">
        <f t="shared" si="32"/>
        <v>adventbattle_osh_season01_00004</v>
      </c>
      <c r="I127" s="660" t="str">
        <f t="shared" si="33"/>
        <v>emblem_icon_adventbattle_osh_season01_00004</v>
      </c>
      <c r="J127" s="132" t="s">
        <v>3451</v>
      </c>
      <c r="K127" s="132" t="s">
        <v>3452</v>
      </c>
      <c r="L127" s="273"/>
      <c r="M127" s="273"/>
      <c r="N127" s="142" t="s">
        <v>3446</v>
      </c>
      <c r="O127" s="142">
        <v>2.0251202E8</v>
      </c>
    </row>
    <row r="128">
      <c r="A128" s="634" t="s">
        <v>3283</v>
      </c>
      <c r="B128" s="634" t="s">
        <v>3261</v>
      </c>
      <c r="C128" s="645" t="s">
        <v>158</v>
      </c>
      <c r="D128" s="178" t="str">
        <f t="array" ref="D128">iferror(INDEX('作品'!D:D,MATCH(left(C128,3),'作品'!A:A,0),0),"error")</f>
        <v>【推しの子】</v>
      </c>
      <c r="E128" s="192" t="s">
        <v>3365</v>
      </c>
      <c r="F128" s="219" t="s">
        <v>3378</v>
      </c>
      <c r="G128" s="660" t="str">
        <f t="shared" si="31"/>
        <v>emblem_adventbattle_osh_season01_00005</v>
      </c>
      <c r="H128" s="660" t="str">
        <f t="shared" si="32"/>
        <v>adventbattle_osh_season01_00005</v>
      </c>
      <c r="I128" s="660" t="str">
        <f t="shared" si="33"/>
        <v>emblem_icon_adventbattle_osh_season01_00005</v>
      </c>
      <c r="J128" s="132" t="s">
        <v>3453</v>
      </c>
      <c r="K128" s="132" t="s">
        <v>3454</v>
      </c>
      <c r="L128" s="273"/>
      <c r="M128" s="273"/>
      <c r="N128" s="142" t="s">
        <v>3446</v>
      </c>
      <c r="O128" s="142">
        <v>2.0251202E8</v>
      </c>
    </row>
    <row r="129">
      <c r="A129" s="634" t="s">
        <v>3283</v>
      </c>
      <c r="B129" s="634" t="s">
        <v>3261</v>
      </c>
      <c r="C129" s="645" t="s">
        <v>158</v>
      </c>
      <c r="D129" s="178" t="str">
        <f t="array" ref="D129">iferror(INDEX('作品'!D:D,MATCH(left(C129,3),'作品'!A:A,0),0),"error")</f>
        <v>【推しの子】</v>
      </c>
      <c r="E129" s="192" t="s">
        <v>3365</v>
      </c>
      <c r="F129" s="219" t="s">
        <v>3381</v>
      </c>
      <c r="G129" s="660" t="str">
        <f t="shared" si="31"/>
        <v>emblem_adventbattle_osh_season01_00006</v>
      </c>
      <c r="H129" s="660" t="str">
        <f t="shared" si="32"/>
        <v>adventbattle_osh_season01_00006</v>
      </c>
      <c r="I129" s="660" t="str">
        <f t="shared" si="33"/>
        <v>emblem_icon_adventbattle_osh_season01_00006</v>
      </c>
      <c r="J129" s="142" t="s">
        <v>3455</v>
      </c>
      <c r="K129" s="132" t="s">
        <v>3456</v>
      </c>
      <c r="L129" s="273"/>
      <c r="M129" s="273"/>
      <c r="N129" s="142" t="s">
        <v>3446</v>
      </c>
      <c r="O129" s="142">
        <v>2.0251202E8</v>
      </c>
    </row>
    <row r="130">
      <c r="A130" s="669"/>
      <c r="B130" s="669"/>
      <c r="C130" s="658"/>
      <c r="D130" s="645"/>
      <c r="E130" s="45"/>
      <c r="F130" s="46"/>
      <c r="G130" s="46"/>
      <c r="H130" s="132"/>
      <c r="I130" s="132"/>
      <c r="J130" s="132"/>
      <c r="K130" s="132"/>
      <c r="L130" s="273"/>
      <c r="M130" s="273"/>
      <c r="N130" s="132"/>
      <c r="O130" s="132"/>
    </row>
    <row r="131">
      <c r="A131" s="634" t="s">
        <v>3283</v>
      </c>
      <c r="B131" s="634" t="s">
        <v>3261</v>
      </c>
      <c r="C131" s="645" t="s">
        <v>148</v>
      </c>
      <c r="D131" s="178" t="str">
        <f t="array" ref="D131">iferror(INDEX('作品'!D:D,MATCH(left(C131,3),'作品'!A:A,0),0),"error")</f>
        <v>地獄楽</v>
      </c>
      <c r="E131" s="192" t="s">
        <v>3365</v>
      </c>
      <c r="F131" s="219" t="s">
        <v>3366</v>
      </c>
      <c r="G131" s="660" t="str">
        <f t="shared" ref="G131:G136" si="34">CONCATENATE("emblem_",E131,"_",C131,"_",F131)</f>
        <v>emblem_adventbattle_jig_season01_00001</v>
      </c>
      <c r="H131" s="660" t="str">
        <f t="shared" ref="H131:H136" si="35">CONCATENATE(E131,"_",C131,"_",F131)</f>
        <v>adventbattle_jig_season01_00001</v>
      </c>
      <c r="I131" s="660" t="str">
        <f t="shared" ref="I131:I136" si="36">CONCATENATE("emblem_icon_",E131,"_",C131,"_",F131)</f>
        <v>emblem_icon_adventbattle_jig_season01_00001</v>
      </c>
      <c r="J131" s="132" t="str">
        <f>IFERROR(__xludf.DUMMYFUNCTION("ai(""「最強で無敵のアイドル」を「罪人」に変更して"",J124)"),"罪人(1位)")</f>
        <v>罪人(1位)</v>
      </c>
      <c r="K131" s="132" t="str">
        <f>IFERROR(__xludf.DUMMYFUNCTION("ai(""「2026年1月」を「2026年1月」に、『ファーストライブ』を『まるで 悪夢を見ているようだ』に変更して"",K124)"),"2026年1月開催降臨バトル『まるで 悪夢を見ているようだ』1位の証")</f>
        <v>2026年1月開催降臨バトル『まるで 悪夢を見ているようだ』1位の証</v>
      </c>
      <c r="L131" s="273"/>
      <c r="M131" s="273"/>
      <c r="N131" s="142" t="s">
        <v>986</v>
      </c>
      <c r="O131" s="640" t="s">
        <v>3347</v>
      </c>
    </row>
    <row r="132">
      <c r="A132" s="634" t="s">
        <v>3283</v>
      </c>
      <c r="B132" s="634" t="s">
        <v>3261</v>
      </c>
      <c r="C132" s="645" t="s">
        <v>148</v>
      </c>
      <c r="D132" s="178" t="str">
        <f t="array" ref="D132">iferror(INDEX('作品'!D:D,MATCH(left(C132,3),'作品'!A:A,0),0),"error")</f>
        <v>地獄楽</v>
      </c>
      <c r="E132" s="192" t="s">
        <v>3365</v>
      </c>
      <c r="F132" s="219" t="s">
        <v>3369</v>
      </c>
      <c r="G132" s="660" t="str">
        <f t="shared" si="34"/>
        <v>emblem_adventbattle_jig_season01_00002</v>
      </c>
      <c r="H132" s="660" t="str">
        <f t="shared" si="35"/>
        <v>adventbattle_jig_season01_00002</v>
      </c>
      <c r="I132" s="660" t="str">
        <f t="shared" si="36"/>
        <v>emblem_icon_adventbattle_jig_season01_00002</v>
      </c>
      <c r="J132" s="132" t="str">
        <f>IFERROR(__xludf.DUMMYFUNCTION("ai(""「最強で無敵のアイドル」を「罪人」に変更して"",J125)"),"罪人(2位)")</f>
        <v>罪人(2位)</v>
      </c>
      <c r="K132" s="132" t="str">
        <f>IFERROR(__xludf.DUMMYFUNCTION("ai(""「2026年1月」を「2026年1月」に、『ファーストライブ』を『まるで 悪夢を見ているようだ』に変更して"",K125)"),"2026年1月開催降臨バトル『まるで 悪夢を見ているようだ』2位の証")</f>
        <v>2026年1月開催降臨バトル『まるで 悪夢を見ているようだ』2位の証</v>
      </c>
      <c r="L132" s="273"/>
      <c r="M132" s="273"/>
      <c r="N132" s="142" t="s">
        <v>986</v>
      </c>
      <c r="O132" s="640" t="s">
        <v>3347</v>
      </c>
    </row>
    <row r="133">
      <c r="A133" s="634" t="s">
        <v>3283</v>
      </c>
      <c r="B133" s="634" t="s">
        <v>3261</v>
      </c>
      <c r="C133" s="645" t="s">
        <v>148</v>
      </c>
      <c r="D133" s="178" t="str">
        <f t="array" ref="D133">iferror(INDEX('作品'!D:D,MATCH(left(C133,3),'作品'!A:A,0),0),"error")</f>
        <v>地獄楽</v>
      </c>
      <c r="E133" s="192" t="s">
        <v>3365</v>
      </c>
      <c r="F133" s="219" t="s">
        <v>3372</v>
      </c>
      <c r="G133" s="660" t="str">
        <f t="shared" si="34"/>
        <v>emblem_adventbattle_jig_season01_00003</v>
      </c>
      <c r="H133" s="660" t="str">
        <f t="shared" si="35"/>
        <v>adventbattle_jig_season01_00003</v>
      </c>
      <c r="I133" s="660" t="str">
        <f t="shared" si="36"/>
        <v>emblem_icon_adventbattle_jig_season01_00003</v>
      </c>
      <c r="J133" s="132" t="str">
        <f>IFERROR(__xludf.DUMMYFUNCTION("ai(""「最強で無敵のアイドル」を「罪人」に変更して"",J126)"),"罪人(3位)")</f>
        <v>罪人(3位)</v>
      </c>
      <c r="K133" s="132" t="str">
        <f>IFERROR(__xludf.DUMMYFUNCTION("ai(""「2026年1月」を「2026年1月」に、『ファーストライブ』を『まるで 悪夢を見ているようだ』に変更して"",K126)"),"2026年1月開催降臨バトル『まるで 悪夢を見ているようだ』3位の証")</f>
        <v>2026年1月開催降臨バトル『まるで 悪夢を見ているようだ』3位の証</v>
      </c>
      <c r="L133" s="273"/>
      <c r="M133" s="273"/>
      <c r="N133" s="142" t="s">
        <v>986</v>
      </c>
      <c r="O133" s="640" t="s">
        <v>3347</v>
      </c>
    </row>
    <row r="134">
      <c r="A134" s="634" t="s">
        <v>3283</v>
      </c>
      <c r="B134" s="634" t="s">
        <v>3261</v>
      </c>
      <c r="C134" s="645" t="s">
        <v>148</v>
      </c>
      <c r="D134" s="178" t="str">
        <f t="array" ref="D134">iferror(INDEX('作品'!D:D,MATCH(left(C134,3),'作品'!A:A,0),0),"error")</f>
        <v>地獄楽</v>
      </c>
      <c r="E134" s="192" t="s">
        <v>3365</v>
      </c>
      <c r="F134" s="219" t="s">
        <v>3375</v>
      </c>
      <c r="G134" s="660" t="str">
        <f t="shared" si="34"/>
        <v>emblem_adventbattle_jig_season01_00004</v>
      </c>
      <c r="H134" s="660" t="str">
        <f t="shared" si="35"/>
        <v>adventbattle_jig_season01_00004</v>
      </c>
      <c r="I134" s="660" t="str">
        <f t="shared" si="36"/>
        <v>emblem_icon_adventbattle_jig_season01_00004</v>
      </c>
      <c r="J134" s="132" t="str">
        <f>IFERROR(__xludf.DUMMYFUNCTION("ai(""「最強で無敵のアイドル」を「罪人」に変更して"",J127)"),"罪人(4~50位)")</f>
        <v>罪人(4~50位)</v>
      </c>
      <c r="K134" s="132" t="str">
        <f>IFERROR(__xludf.DUMMYFUNCTION("ai(""「2026年1月」を「2026年1月」に、『ファーストライブ』を『まるで 悪夢を見ているようだ』に変更して"",K127)"),"2026年1月開催降臨バトル『まるで 悪夢を見ているようだ』4~50位の証")</f>
        <v>2026年1月開催降臨バトル『まるで 悪夢を見ているようだ』4~50位の証</v>
      </c>
      <c r="L134" s="273"/>
      <c r="M134" s="273"/>
      <c r="N134" s="142" t="s">
        <v>986</v>
      </c>
      <c r="O134" s="640" t="s">
        <v>3347</v>
      </c>
    </row>
    <row r="135">
      <c r="A135" s="634" t="s">
        <v>3283</v>
      </c>
      <c r="B135" s="634" t="s">
        <v>3261</v>
      </c>
      <c r="C135" s="645" t="s">
        <v>148</v>
      </c>
      <c r="D135" s="178" t="str">
        <f t="array" ref="D135">iferror(INDEX('作品'!D:D,MATCH(left(C135,3),'作品'!A:A,0),0),"error")</f>
        <v>地獄楽</v>
      </c>
      <c r="E135" s="192" t="s">
        <v>3365</v>
      </c>
      <c r="F135" s="219" t="s">
        <v>3378</v>
      </c>
      <c r="G135" s="660" t="str">
        <f t="shared" si="34"/>
        <v>emblem_adventbattle_jig_season01_00005</v>
      </c>
      <c r="H135" s="660" t="str">
        <f t="shared" si="35"/>
        <v>adventbattle_jig_season01_00005</v>
      </c>
      <c r="I135" s="660" t="str">
        <f t="shared" si="36"/>
        <v>emblem_icon_adventbattle_jig_season01_00005</v>
      </c>
      <c r="J135" s="132" t="str">
        <f>IFERROR(__xludf.DUMMYFUNCTION("ai(""「最強で無敵のアイドル」を「罪人」に変更して"",J128)"),"罪人(51~300位)")</f>
        <v>罪人(51~300位)</v>
      </c>
      <c r="K135" s="132" t="str">
        <f>IFERROR(__xludf.DUMMYFUNCTION("ai(""「2026年1月」を「2026年1月」に、『ファーストライブ』を『まるで 悪夢を見ているようだ』に変更して"",K128)"),"2026年1月開催降臨バトル『まるで 悪夢を見ているようだ』51~300位の証")</f>
        <v>2026年1月開催降臨バトル『まるで 悪夢を見ているようだ』51~300位の証</v>
      </c>
      <c r="L135" s="273"/>
      <c r="M135" s="273"/>
      <c r="N135" s="142" t="s">
        <v>986</v>
      </c>
      <c r="O135" s="640" t="s">
        <v>3347</v>
      </c>
    </row>
    <row r="136">
      <c r="A136" s="634" t="s">
        <v>3283</v>
      </c>
      <c r="B136" s="634" t="s">
        <v>3261</v>
      </c>
      <c r="C136" s="645" t="s">
        <v>148</v>
      </c>
      <c r="D136" s="178" t="str">
        <f t="array" ref="D136">iferror(INDEX('作品'!D:D,MATCH(left(C136,3),'作品'!A:A,0),0),"error")</f>
        <v>地獄楽</v>
      </c>
      <c r="E136" s="192" t="s">
        <v>3365</v>
      </c>
      <c r="F136" s="219" t="s">
        <v>3381</v>
      </c>
      <c r="G136" s="660" t="str">
        <f t="shared" si="34"/>
        <v>emblem_adventbattle_jig_season01_00006</v>
      </c>
      <c r="H136" s="660" t="str">
        <f t="shared" si="35"/>
        <v>adventbattle_jig_season01_00006</v>
      </c>
      <c r="I136" s="660" t="str">
        <f t="shared" si="36"/>
        <v>emblem_icon_adventbattle_jig_season01_00006</v>
      </c>
      <c r="J136" s="132" t="str">
        <f>IFERROR(__xludf.DUMMYFUNCTION("ai(""「最強で無敵のアイドル」を「罪人」に変更して"",J129)"),"罪人(301~1,000位)")</f>
        <v>罪人(301~1,000位)</v>
      </c>
      <c r="K136" s="132" t="str">
        <f>IFERROR(__xludf.DUMMYFUNCTION("ai(""「2026年1月」を「2026年1月」に、『ファーストライブ』を『まるで 悪夢を見ているようだ』に変更して"",K129)"),"2026年1月開催降臨バトル『まるで 悪夢を見ているようだ』301~1,000位の証")</f>
        <v>2026年1月開催降臨バトル『まるで 悪夢を見ているようだ』301~1,000位の証</v>
      </c>
      <c r="L136" s="273"/>
      <c r="M136" s="273"/>
      <c r="N136" s="142" t="s">
        <v>986</v>
      </c>
      <c r="O136" s="640" t="s">
        <v>3347</v>
      </c>
    </row>
    <row r="137">
      <c r="A137" s="669"/>
      <c r="B137" s="669"/>
      <c r="C137" s="669"/>
      <c r="D137" s="648"/>
      <c r="E137" s="670"/>
      <c r="F137" s="671"/>
      <c r="G137" s="671"/>
      <c r="H137" s="651"/>
      <c r="I137" s="651"/>
      <c r="J137" s="651"/>
      <c r="K137" s="651"/>
      <c r="L137" s="652"/>
      <c r="M137" s="652"/>
      <c r="N137" s="651"/>
      <c r="O137" s="654"/>
    </row>
    <row r="138">
      <c r="A138" s="634" t="s">
        <v>3283</v>
      </c>
      <c r="B138" s="634" t="s">
        <v>3261</v>
      </c>
      <c r="C138" s="645" t="s">
        <v>162</v>
      </c>
      <c r="D138" s="178" t="str">
        <f t="array" ref="D138">iferror(INDEX('作品'!D:D,MATCH(left(C138,3),'作品'!A:A,0),0),"error")</f>
        <v>幼稚園WARS</v>
      </c>
      <c r="E138" s="192" t="s">
        <v>3365</v>
      </c>
      <c r="F138" s="219" t="s">
        <v>3366</v>
      </c>
      <c r="G138" s="660" t="str">
        <f t="shared" ref="G138:G143" si="37">CONCATENATE("emblem_",E138,"_",C138,"_",F138)</f>
        <v>emblem_adventbattle_you_season01_00001</v>
      </c>
      <c r="H138" s="660" t="str">
        <f t="shared" ref="H138:H143" si="38">CONCATENATE(E138,"_",C138,"_",F138)</f>
        <v>adventbattle_you_season01_00001</v>
      </c>
      <c r="I138" s="660" t="str">
        <f t="shared" ref="I138:I143" si="39">CONCATENATE("emblem_icon_",E138,"_",C138,"_",F138)</f>
        <v>emblem_icon_adventbattle_you_season01_00001</v>
      </c>
      <c r="J138" s="132" t="str">
        <f>IFERROR(__xludf.DUMMYFUNCTION("ai(""「罪人」を「元・伝説の殺し屋」に変更して"",J131)"),"元・伝説の殺し屋(1位)")</f>
        <v>元・伝説の殺し屋(1位)</v>
      </c>
      <c r="K138" s="132" t="str">
        <f>IFERROR(__xludf.DUMMYFUNCTION("ai(""「2026年1月」を「2026年2月」に、『まるで 悪夢を見ているようだ』を『誰の依頼だ？』に変更して"",K131)"),"2026年2月開催降臨バトル『誰の依頼だ？』1位の証")</f>
        <v>2026年2月開催降臨バトル『誰の依頼だ？』1位の証</v>
      </c>
      <c r="L138" s="273"/>
      <c r="M138" s="273"/>
      <c r="N138" s="142" t="s">
        <v>3446</v>
      </c>
      <c r="O138" s="640" t="s">
        <v>3350</v>
      </c>
    </row>
    <row r="139">
      <c r="A139" s="634" t="s">
        <v>3283</v>
      </c>
      <c r="B139" s="634" t="s">
        <v>3261</v>
      </c>
      <c r="C139" s="645" t="s">
        <v>162</v>
      </c>
      <c r="D139" s="178" t="str">
        <f t="array" ref="D139">iferror(INDEX('作品'!D:D,MATCH(left(C139,3),'作品'!A:A,0),0),"error")</f>
        <v>幼稚園WARS</v>
      </c>
      <c r="E139" s="192" t="s">
        <v>3365</v>
      </c>
      <c r="F139" s="219" t="s">
        <v>3369</v>
      </c>
      <c r="G139" s="660" t="str">
        <f t="shared" si="37"/>
        <v>emblem_adventbattle_you_season01_00002</v>
      </c>
      <c r="H139" s="660" t="str">
        <f t="shared" si="38"/>
        <v>adventbattle_you_season01_00002</v>
      </c>
      <c r="I139" s="660" t="str">
        <f t="shared" si="39"/>
        <v>emblem_icon_adventbattle_you_season01_00002</v>
      </c>
      <c r="J139" s="132" t="str">
        <f>IFERROR(__xludf.DUMMYFUNCTION("ai(""「罪人」を「元・伝説の殺し屋」に変更して"",J132)"),"元・伝説の殺し屋(2位)")</f>
        <v>元・伝説の殺し屋(2位)</v>
      </c>
      <c r="K139" s="132" t="str">
        <f>IFERROR(__xludf.DUMMYFUNCTION("ai(""「2026年1月」を「2026年2月」に、『まるで 悪夢を見ているようだ』を『誰の依頼だ？』に変更して"",K132)"),"2026年2月開催降臨バトル『誰の依頼だ？』2位の証")</f>
        <v>2026年2月開催降臨バトル『誰の依頼だ？』2位の証</v>
      </c>
      <c r="L139" s="273"/>
      <c r="M139" s="273"/>
      <c r="N139" s="142" t="s">
        <v>3446</v>
      </c>
      <c r="O139" s="640" t="s">
        <v>3350</v>
      </c>
    </row>
    <row r="140">
      <c r="A140" s="634" t="s">
        <v>3283</v>
      </c>
      <c r="B140" s="634" t="s">
        <v>3261</v>
      </c>
      <c r="C140" s="645" t="s">
        <v>162</v>
      </c>
      <c r="D140" s="178" t="str">
        <f t="array" ref="D140">iferror(INDEX('作品'!D:D,MATCH(left(C140,3),'作品'!A:A,0),0),"error")</f>
        <v>幼稚園WARS</v>
      </c>
      <c r="E140" s="192" t="s">
        <v>3365</v>
      </c>
      <c r="F140" s="219" t="s">
        <v>3372</v>
      </c>
      <c r="G140" s="660" t="str">
        <f t="shared" si="37"/>
        <v>emblem_adventbattle_you_season01_00003</v>
      </c>
      <c r="H140" s="660" t="str">
        <f t="shared" si="38"/>
        <v>adventbattle_you_season01_00003</v>
      </c>
      <c r="I140" s="660" t="str">
        <f t="shared" si="39"/>
        <v>emblem_icon_adventbattle_you_season01_00003</v>
      </c>
      <c r="J140" s="132" t="str">
        <f>IFERROR(__xludf.DUMMYFUNCTION("ai(""「罪人」を「元・伝説の殺し屋」に変更して"",J133)"),"元・伝説の殺し屋(3位)")</f>
        <v>元・伝説の殺し屋(3位)</v>
      </c>
      <c r="K140" s="132" t="str">
        <f>IFERROR(__xludf.DUMMYFUNCTION("ai(""「2026年1月」を「2026年2月」に、『まるで 悪夢を見ているようだ』を『誰の依頼だ？』に変更して"",K133)"),"2026年2月開催降臨バトル『誰の依頼だ？』3位の証")</f>
        <v>2026年2月開催降臨バトル『誰の依頼だ？』3位の証</v>
      </c>
      <c r="L140" s="273"/>
      <c r="M140" s="273"/>
      <c r="N140" s="142" t="s">
        <v>3446</v>
      </c>
      <c r="O140" s="640" t="s">
        <v>3350</v>
      </c>
    </row>
    <row r="141">
      <c r="A141" s="634" t="s">
        <v>3283</v>
      </c>
      <c r="B141" s="634" t="s">
        <v>3261</v>
      </c>
      <c r="C141" s="645" t="s">
        <v>162</v>
      </c>
      <c r="D141" s="178" t="str">
        <f t="array" ref="D141">iferror(INDEX('作品'!D:D,MATCH(left(C141,3),'作品'!A:A,0),0),"error")</f>
        <v>幼稚園WARS</v>
      </c>
      <c r="E141" s="192" t="s">
        <v>3365</v>
      </c>
      <c r="F141" s="219" t="s">
        <v>3375</v>
      </c>
      <c r="G141" s="660" t="str">
        <f t="shared" si="37"/>
        <v>emblem_adventbattle_you_season01_00004</v>
      </c>
      <c r="H141" s="660" t="str">
        <f t="shared" si="38"/>
        <v>adventbattle_you_season01_00004</v>
      </c>
      <c r="I141" s="660" t="str">
        <f t="shared" si="39"/>
        <v>emblem_icon_adventbattle_you_season01_00004</v>
      </c>
      <c r="J141" s="132" t="str">
        <f>IFERROR(__xludf.DUMMYFUNCTION("ai(""「罪人」を「元・伝説の殺し屋」に変更して"",J134)"),"元・伝説の殺し屋(4~50位)")</f>
        <v>元・伝説の殺し屋(4~50位)</v>
      </c>
      <c r="K141" s="132" t="str">
        <f>IFERROR(__xludf.DUMMYFUNCTION("ai(""「2026年1月」を「2026年2月」に、『まるで 悪夢を見ているようだ』を『誰の依頼だ？』に変更して"",K134)"),"2026年2月開催降臨バトル『誰の依頼だ？』4~50位の証")</f>
        <v>2026年2月開催降臨バトル『誰の依頼だ？』4~50位の証</v>
      </c>
      <c r="L141" s="273"/>
      <c r="M141" s="273"/>
      <c r="N141" s="142" t="s">
        <v>3446</v>
      </c>
      <c r="O141" s="640" t="s">
        <v>3350</v>
      </c>
    </row>
    <row r="142">
      <c r="A142" s="634" t="s">
        <v>3283</v>
      </c>
      <c r="B142" s="634" t="s">
        <v>3261</v>
      </c>
      <c r="C142" s="645" t="s">
        <v>162</v>
      </c>
      <c r="D142" s="178" t="str">
        <f t="array" ref="D142">iferror(INDEX('作品'!D:D,MATCH(left(C142,3),'作品'!A:A,0),0),"error")</f>
        <v>幼稚園WARS</v>
      </c>
      <c r="E142" s="192" t="s">
        <v>3365</v>
      </c>
      <c r="F142" s="219" t="s">
        <v>3378</v>
      </c>
      <c r="G142" s="660" t="str">
        <f t="shared" si="37"/>
        <v>emblem_adventbattle_you_season01_00005</v>
      </c>
      <c r="H142" s="660" t="str">
        <f t="shared" si="38"/>
        <v>adventbattle_you_season01_00005</v>
      </c>
      <c r="I142" s="660" t="str">
        <f t="shared" si="39"/>
        <v>emblem_icon_adventbattle_you_season01_00005</v>
      </c>
      <c r="J142" s="132" t="str">
        <f>IFERROR(__xludf.DUMMYFUNCTION("ai(""「罪人」を「元・伝説の殺し屋」に変更して"",J135)"),"元・伝説の殺し屋(51~300位)")</f>
        <v>元・伝説の殺し屋(51~300位)</v>
      </c>
      <c r="K142" s="132" t="str">
        <f>IFERROR(__xludf.DUMMYFUNCTION("ai(""「2026年1月」を「2026年2月」に、『まるで 悪夢を見ているようだ』を『誰の依頼だ？』に変更して"",K135)"),"2026年2月開催降臨バトル『誰の依頼だ？』51~300位の証")</f>
        <v>2026年2月開催降臨バトル『誰の依頼だ？』51~300位の証</v>
      </c>
      <c r="L142" s="273"/>
      <c r="M142" s="273"/>
      <c r="N142" s="142" t="s">
        <v>3446</v>
      </c>
      <c r="O142" s="640" t="s">
        <v>3350</v>
      </c>
    </row>
    <row r="143">
      <c r="A143" s="634" t="s">
        <v>3283</v>
      </c>
      <c r="B143" s="634" t="s">
        <v>3261</v>
      </c>
      <c r="C143" s="645" t="s">
        <v>162</v>
      </c>
      <c r="D143" s="178" t="str">
        <f t="array" ref="D143">iferror(INDEX('作品'!D:D,MATCH(left(C143,3),'作品'!A:A,0),0),"error")</f>
        <v>幼稚園WARS</v>
      </c>
      <c r="E143" s="192" t="s">
        <v>3365</v>
      </c>
      <c r="F143" s="219" t="s">
        <v>3381</v>
      </c>
      <c r="G143" s="660" t="str">
        <f t="shared" si="37"/>
        <v>emblem_adventbattle_you_season01_00006</v>
      </c>
      <c r="H143" s="660" t="str">
        <f t="shared" si="38"/>
        <v>adventbattle_you_season01_00006</v>
      </c>
      <c r="I143" s="660" t="str">
        <f t="shared" si="39"/>
        <v>emblem_icon_adventbattle_you_season01_00006</v>
      </c>
      <c r="J143" s="132" t="str">
        <f>IFERROR(__xludf.DUMMYFUNCTION("ai(""「罪人」を「元・伝説の殺し屋」に変更して"",J136)"),"元・伝説の殺し屋(301~1,000位)")</f>
        <v>元・伝説の殺し屋(301~1,000位)</v>
      </c>
      <c r="K143" s="132" t="str">
        <f>IFERROR(__xludf.DUMMYFUNCTION("ai(""「2026年1月」を「2026年2月」に、『まるで 悪夢を見ているようだ』を『誰の依頼だ？』に変更して"",K136)"),"2026年2月開催降臨バトル『誰の依頼だ？』301~1,000位の証")</f>
        <v>2026年2月開催降臨バトル『誰の依頼だ？』301~1,000位の証</v>
      </c>
      <c r="L143" s="273"/>
      <c r="M143" s="273"/>
      <c r="N143" s="142" t="s">
        <v>3446</v>
      </c>
      <c r="O143" s="640" t="s">
        <v>3350</v>
      </c>
    </row>
    <row r="144">
      <c r="A144" s="669"/>
      <c r="B144" s="669"/>
      <c r="C144" s="669"/>
      <c r="D144" s="648"/>
      <c r="E144" s="670"/>
      <c r="F144" s="671"/>
      <c r="G144" s="671"/>
      <c r="H144" s="651"/>
      <c r="I144" s="651"/>
      <c r="J144" s="651"/>
      <c r="K144" s="651"/>
      <c r="L144" s="652"/>
      <c r="M144" s="652"/>
      <c r="N144" s="651"/>
      <c r="O144" s="654"/>
    </row>
    <row r="145">
      <c r="A145" s="634" t="s">
        <v>3283</v>
      </c>
      <c r="B145" s="634" t="s">
        <v>3261</v>
      </c>
      <c r="C145" s="645" t="s">
        <v>166</v>
      </c>
      <c r="D145" s="178" t="str">
        <f t="array" ref="D145">iferror(INDEX('作品'!D:D,MATCH(left(C145,3),'作品'!A:A,0),0),"error")</f>
        <v>君のことが大大大大大好きな100人の彼女</v>
      </c>
      <c r="E145" s="192" t="s">
        <v>3365</v>
      </c>
      <c r="F145" s="219" t="s">
        <v>3366</v>
      </c>
      <c r="G145" s="660" t="str">
        <f t="shared" ref="G145:G150" si="40">CONCATENATE("emblem_",E145,"_",C145,"_",F145)</f>
        <v>emblem_adventbattle_kim_season01_00001</v>
      </c>
      <c r="H145" s="660" t="str">
        <f t="shared" ref="H145:H150" si="41">CONCATENATE(E145,"_",C145,"_",F145)</f>
        <v>adventbattle_kim_season01_00001</v>
      </c>
      <c r="I145" s="660" t="str">
        <f t="shared" ref="I145:I150" si="42">CONCATENATE("emblem_icon_",E145,"_",C145,"_",F145)</f>
        <v>emblem_icon_adventbattle_kim_season01_00001</v>
      </c>
      <c r="J145" s="132" t="str">
        <f>IFERROR(__xludf.DUMMYFUNCTION("ai(""「元・伝説の殺し屋」を「恋愛勇者」に変更して"",J138)"),"恋愛勇者(1位)")</f>
        <v>恋愛勇者(1位)</v>
      </c>
      <c r="K145" s="132" t="str">
        <f>IFERROR(__xludf.DUMMYFUNCTION("ai(""「2026年2月」を「2026年2月」に、『誰の依頼だ？』を『ラブミッション：インポッシブル』に変更して"",K138)"),"2026年2月開催降臨バトル『ラブミッション：インポッシブル』1位の証")</f>
        <v>2026年2月開催降臨バトル『ラブミッション：インポッシブル』1位の証</v>
      </c>
      <c r="L145" s="652"/>
      <c r="M145" s="652"/>
      <c r="N145" s="142" t="s">
        <v>3446</v>
      </c>
      <c r="O145" s="654"/>
    </row>
    <row r="146">
      <c r="A146" s="634" t="s">
        <v>3283</v>
      </c>
      <c r="B146" s="634" t="s">
        <v>3261</v>
      </c>
      <c r="C146" s="645" t="s">
        <v>166</v>
      </c>
      <c r="D146" s="178" t="str">
        <f t="array" ref="D146">iferror(INDEX('作品'!D:D,MATCH(left(C146,3),'作品'!A:A,0),0),"error")</f>
        <v>君のことが大大大大大好きな100人の彼女</v>
      </c>
      <c r="E146" s="192" t="s">
        <v>3365</v>
      </c>
      <c r="F146" s="219" t="s">
        <v>3369</v>
      </c>
      <c r="G146" s="660" t="str">
        <f t="shared" si="40"/>
        <v>emblem_adventbattle_kim_season01_00002</v>
      </c>
      <c r="H146" s="660" t="str">
        <f t="shared" si="41"/>
        <v>adventbattle_kim_season01_00002</v>
      </c>
      <c r="I146" s="660" t="str">
        <f t="shared" si="42"/>
        <v>emblem_icon_adventbattle_kim_season01_00002</v>
      </c>
      <c r="J146" s="132" t="str">
        <f>IFERROR(__xludf.DUMMYFUNCTION("ai(""「元・伝説の殺し屋」を「恋愛勇者」に変更して"",J139)"),"恋愛勇者(2位)")</f>
        <v>恋愛勇者(2位)</v>
      </c>
      <c r="K146" s="132" t="str">
        <f>IFERROR(__xludf.DUMMYFUNCTION("ai(""「2026年2月」を「2026年2月」に、『誰の依頼だ？』を『ラブミッション：インポッシブル』に変更して"",K139)"),"2026年2月開催降臨バトル『ラブミッション：インポッシブル』2位の証")</f>
        <v>2026年2月開催降臨バトル『ラブミッション：インポッシブル』2位の証</v>
      </c>
      <c r="L146" s="652"/>
      <c r="M146" s="652"/>
      <c r="N146" s="142" t="s">
        <v>3446</v>
      </c>
      <c r="O146" s="654"/>
    </row>
    <row r="147">
      <c r="A147" s="634" t="s">
        <v>3283</v>
      </c>
      <c r="B147" s="634" t="s">
        <v>3261</v>
      </c>
      <c r="C147" s="645" t="s">
        <v>166</v>
      </c>
      <c r="D147" s="178" t="str">
        <f t="array" ref="D147">iferror(INDEX('作品'!D:D,MATCH(left(C147,3),'作品'!A:A,0),0),"error")</f>
        <v>君のことが大大大大大好きな100人の彼女</v>
      </c>
      <c r="E147" s="192" t="s">
        <v>3365</v>
      </c>
      <c r="F147" s="219" t="s">
        <v>3372</v>
      </c>
      <c r="G147" s="660" t="str">
        <f t="shared" si="40"/>
        <v>emblem_adventbattle_kim_season01_00003</v>
      </c>
      <c r="H147" s="660" t="str">
        <f t="shared" si="41"/>
        <v>adventbattle_kim_season01_00003</v>
      </c>
      <c r="I147" s="660" t="str">
        <f t="shared" si="42"/>
        <v>emblem_icon_adventbattle_kim_season01_00003</v>
      </c>
      <c r="J147" s="132" t="str">
        <f>IFERROR(__xludf.DUMMYFUNCTION("ai(""「元・伝説の殺し屋」を「恋愛勇者」に変更して"",J140)"),"恋愛勇者(3位)")</f>
        <v>恋愛勇者(3位)</v>
      </c>
      <c r="K147" s="132" t="str">
        <f>IFERROR(__xludf.DUMMYFUNCTION("ai(""「2026年2月」を「2026年2月」に、『誰の依頼だ？』を『ラブミッション：インポッシブル』に変更して"",K140)"),"2026年2月開催降臨バトル『ラブミッション：インポッシブル』3位の証")</f>
        <v>2026年2月開催降臨バトル『ラブミッション：インポッシブル』3位の証</v>
      </c>
      <c r="L147" s="652"/>
      <c r="M147" s="652"/>
      <c r="N147" s="142" t="s">
        <v>3446</v>
      </c>
      <c r="O147" s="654"/>
    </row>
    <row r="148">
      <c r="A148" s="634" t="s">
        <v>3283</v>
      </c>
      <c r="B148" s="634" t="s">
        <v>3261</v>
      </c>
      <c r="C148" s="645" t="s">
        <v>166</v>
      </c>
      <c r="D148" s="178" t="str">
        <f t="array" ref="D148">iferror(INDEX('作品'!D:D,MATCH(left(C148,3),'作品'!A:A,0),0),"error")</f>
        <v>君のことが大大大大大好きな100人の彼女</v>
      </c>
      <c r="E148" s="192" t="s">
        <v>3365</v>
      </c>
      <c r="F148" s="219" t="s">
        <v>3375</v>
      </c>
      <c r="G148" s="660" t="str">
        <f t="shared" si="40"/>
        <v>emblem_adventbattle_kim_season01_00004</v>
      </c>
      <c r="H148" s="660" t="str">
        <f t="shared" si="41"/>
        <v>adventbattle_kim_season01_00004</v>
      </c>
      <c r="I148" s="660" t="str">
        <f t="shared" si="42"/>
        <v>emblem_icon_adventbattle_kim_season01_00004</v>
      </c>
      <c r="J148" s="132" t="str">
        <f>IFERROR(__xludf.DUMMYFUNCTION("ai(""「元・伝説の殺し屋」を「恋愛勇者」に変更して"",J141)"),"恋愛勇者(4~50位)")</f>
        <v>恋愛勇者(4~50位)</v>
      </c>
      <c r="K148" s="132" t="str">
        <f>IFERROR(__xludf.DUMMYFUNCTION("ai(""「2026年2月」を「2026年2月」に、『誰の依頼だ？』を『ラブミッション：インポッシブル』に変更して"",K141)"),"2026年2月開催降臨バトル『ラブミッション：インポッシブル』4~50位の証")</f>
        <v>2026年2月開催降臨バトル『ラブミッション：インポッシブル』4~50位の証</v>
      </c>
      <c r="L148" s="652"/>
      <c r="M148" s="652"/>
      <c r="N148" s="142" t="s">
        <v>3446</v>
      </c>
      <c r="O148" s="654"/>
    </row>
    <row r="149">
      <c r="A149" s="634" t="s">
        <v>3283</v>
      </c>
      <c r="B149" s="634" t="s">
        <v>3261</v>
      </c>
      <c r="C149" s="645" t="s">
        <v>166</v>
      </c>
      <c r="D149" s="178" t="str">
        <f t="array" ref="D149">iferror(INDEX('作品'!D:D,MATCH(left(C149,3),'作品'!A:A,0),0),"error")</f>
        <v>君のことが大大大大大好きな100人の彼女</v>
      </c>
      <c r="E149" s="192" t="s">
        <v>3365</v>
      </c>
      <c r="F149" s="219" t="s">
        <v>3378</v>
      </c>
      <c r="G149" s="660" t="str">
        <f t="shared" si="40"/>
        <v>emblem_adventbattle_kim_season01_00005</v>
      </c>
      <c r="H149" s="660" t="str">
        <f t="shared" si="41"/>
        <v>adventbattle_kim_season01_00005</v>
      </c>
      <c r="I149" s="660" t="str">
        <f t="shared" si="42"/>
        <v>emblem_icon_adventbattle_kim_season01_00005</v>
      </c>
      <c r="J149" s="132" t="str">
        <f>IFERROR(__xludf.DUMMYFUNCTION("ai(""「元・伝説の殺し屋」を「恋愛勇者」に変更して"",J142)"),"恋愛勇者(51~300位)")</f>
        <v>恋愛勇者(51~300位)</v>
      </c>
      <c r="K149" s="132" t="str">
        <f>IFERROR(__xludf.DUMMYFUNCTION("ai(""「2026年2月」を「2026年2月」に、『誰の依頼だ？』を『ラブミッション：インポッシブル』に変更して"",K142)"),"2026年2月開催降臨バトル『ラブミッション：インポッシブル』51~300位の証")</f>
        <v>2026年2月開催降臨バトル『ラブミッション：インポッシブル』51~300位の証</v>
      </c>
      <c r="L149" s="652"/>
      <c r="M149" s="652"/>
      <c r="N149" s="142" t="s">
        <v>3446</v>
      </c>
      <c r="O149" s="654"/>
    </row>
    <row r="150">
      <c r="A150" s="634" t="s">
        <v>3283</v>
      </c>
      <c r="B150" s="634" t="s">
        <v>3261</v>
      </c>
      <c r="C150" s="645" t="s">
        <v>166</v>
      </c>
      <c r="D150" s="178" t="str">
        <f t="array" ref="D150">iferror(INDEX('作品'!D:D,MATCH(left(C150,3),'作品'!A:A,0),0),"error")</f>
        <v>君のことが大大大大大好きな100人の彼女</v>
      </c>
      <c r="E150" s="192" t="s">
        <v>3365</v>
      </c>
      <c r="F150" s="219" t="s">
        <v>3381</v>
      </c>
      <c r="G150" s="660" t="str">
        <f t="shared" si="40"/>
        <v>emblem_adventbattle_kim_season01_00006</v>
      </c>
      <c r="H150" s="660" t="str">
        <f t="shared" si="41"/>
        <v>adventbattle_kim_season01_00006</v>
      </c>
      <c r="I150" s="660" t="str">
        <f t="shared" si="42"/>
        <v>emblem_icon_adventbattle_kim_season01_00006</v>
      </c>
      <c r="J150" s="132" t="str">
        <f>IFERROR(__xludf.DUMMYFUNCTION("ai(""「元・伝説の殺し屋」を「恋愛勇者」に変更して"",J143)"),"恋愛勇者(301~1,000位)")</f>
        <v>恋愛勇者(301~1,000位)</v>
      </c>
      <c r="K150" s="132" t="str">
        <f>IFERROR(__xludf.DUMMYFUNCTION("ai(""「2026年2月」を「2026年2月」に、『誰の依頼だ？』を『ラブミッション：インポッシブル』に変更して"",K143)"),"2026年2月開催降臨バトル『ラブミッション：インポッシブル』301~1,000位の証")</f>
        <v>2026年2月開催降臨バトル『ラブミッション：インポッシブル』301~1,000位の証</v>
      </c>
      <c r="L150" s="652"/>
      <c r="M150" s="652"/>
      <c r="N150" s="142" t="s">
        <v>3446</v>
      </c>
      <c r="O150" s="654"/>
    </row>
    <row r="151">
      <c r="A151" s="669"/>
      <c r="B151" s="669"/>
      <c r="C151" s="669"/>
      <c r="D151" s="648"/>
      <c r="E151" s="670"/>
      <c r="F151" s="671"/>
      <c r="G151" s="671"/>
      <c r="H151" s="651"/>
      <c r="I151" s="651"/>
      <c r="J151" s="651"/>
      <c r="K151" s="651"/>
      <c r="L151" s="652"/>
      <c r="M151" s="652"/>
      <c r="N151" s="651"/>
      <c r="O151" s="654"/>
    </row>
    <row r="152">
      <c r="A152" s="634" t="s">
        <v>3283</v>
      </c>
      <c r="B152" s="634" t="s">
        <v>3261</v>
      </c>
      <c r="C152" s="645" t="s">
        <v>172</v>
      </c>
      <c r="D152" s="178" t="str">
        <f t="array" ref="D152">iferror(INDEX('作品'!D:D,MATCH(left(C152,3),'作品'!A:A,0),0),"error")</f>
        <v>ふつうの軽音部</v>
      </c>
      <c r="E152" s="192" t="s">
        <v>3365</v>
      </c>
      <c r="F152" s="219" t="s">
        <v>3366</v>
      </c>
      <c r="G152" s="660" t="str">
        <f t="shared" ref="G152:G157" si="43">CONCATENATE("emblem_",E152,"_",C152,"_",F152)</f>
        <v>emblem_adventbattle_hut_season01_00001</v>
      </c>
      <c r="H152" s="660" t="str">
        <f t="shared" ref="H152:H157" si="44">CONCATENATE(E152,"_",C152,"_",F152)</f>
        <v>adventbattle_hut_season01_00001</v>
      </c>
      <c r="I152" s="660" t="str">
        <f t="shared" ref="I152:I157" si="45">CONCATENATE("emblem_icon_",E152,"_",C152,"_",F152)</f>
        <v>emblem_icon_adventbattle_hut_season01_00001</v>
      </c>
      <c r="J152" s="132" t="str">
        <f>IFERROR(__xludf.DUMMYFUNCTION("ai(""「恋愛勇者」を「はとちゃんは神」に変更して"",J145)"),"はとちゃんは神(1位)")</f>
        <v>はとちゃんは神(1位)</v>
      </c>
      <c r="K152" s="132" t="str">
        <f>IFERROR(__xludf.DUMMYFUNCTION("ai(""「2026年2月」を「2026年3月」に、『ラブミッション：インポッシブル』を『片鱗を示す』に変更して"",K145)"),"2026年3月開催降臨バトル『片鱗を示す』1位の証")</f>
        <v>2026年3月開催降臨バトル『片鱗を示す』1位の証</v>
      </c>
      <c r="L152" s="652"/>
      <c r="M152" s="652"/>
      <c r="N152" s="142" t="s">
        <v>3446</v>
      </c>
      <c r="O152" s="654"/>
    </row>
    <row r="153">
      <c r="A153" s="634" t="s">
        <v>3283</v>
      </c>
      <c r="B153" s="634" t="s">
        <v>3261</v>
      </c>
      <c r="C153" s="645" t="s">
        <v>172</v>
      </c>
      <c r="D153" s="178" t="str">
        <f t="array" ref="D153">iferror(INDEX('作品'!D:D,MATCH(left(C153,3),'作品'!A:A,0),0),"error")</f>
        <v>ふつうの軽音部</v>
      </c>
      <c r="E153" s="192" t="s">
        <v>3365</v>
      </c>
      <c r="F153" s="219" t="s">
        <v>3369</v>
      </c>
      <c r="G153" s="660" t="str">
        <f t="shared" si="43"/>
        <v>emblem_adventbattle_hut_season01_00002</v>
      </c>
      <c r="H153" s="660" t="str">
        <f t="shared" si="44"/>
        <v>adventbattle_hut_season01_00002</v>
      </c>
      <c r="I153" s="660" t="str">
        <f t="shared" si="45"/>
        <v>emblem_icon_adventbattle_hut_season01_00002</v>
      </c>
      <c r="J153" s="132" t="str">
        <f>IFERROR(__xludf.DUMMYFUNCTION("ai(""「恋愛勇者」を「はとちゃんは神」に変更して"",J146)"),"はとちゃんは神(2位)")</f>
        <v>はとちゃんは神(2位)</v>
      </c>
      <c r="K153" s="132" t="str">
        <f>IFERROR(__xludf.DUMMYFUNCTION("ai(""「2026年2月」を「2026年3月」に、『ラブミッション：インポッシブル』を『片鱗を示す』に変更して"",K146)"),"2026年3月開催降臨バトル『片鱗を示す』2位の証")</f>
        <v>2026年3月開催降臨バトル『片鱗を示す』2位の証</v>
      </c>
      <c r="L153" s="652"/>
      <c r="M153" s="652"/>
      <c r="N153" s="142" t="s">
        <v>3446</v>
      </c>
      <c r="O153" s="654"/>
    </row>
    <row r="154">
      <c r="A154" s="634" t="s">
        <v>3283</v>
      </c>
      <c r="B154" s="634" t="s">
        <v>3261</v>
      </c>
      <c r="C154" s="645" t="s">
        <v>172</v>
      </c>
      <c r="D154" s="178" t="str">
        <f t="array" ref="D154">iferror(INDEX('作品'!D:D,MATCH(left(C154,3),'作品'!A:A,0),0),"error")</f>
        <v>ふつうの軽音部</v>
      </c>
      <c r="E154" s="192" t="s">
        <v>3365</v>
      </c>
      <c r="F154" s="219" t="s">
        <v>3372</v>
      </c>
      <c r="G154" s="660" t="str">
        <f t="shared" si="43"/>
        <v>emblem_adventbattle_hut_season01_00003</v>
      </c>
      <c r="H154" s="660" t="str">
        <f t="shared" si="44"/>
        <v>adventbattle_hut_season01_00003</v>
      </c>
      <c r="I154" s="660" t="str">
        <f t="shared" si="45"/>
        <v>emblem_icon_adventbattle_hut_season01_00003</v>
      </c>
      <c r="J154" s="132" t="str">
        <f>IFERROR(__xludf.DUMMYFUNCTION("ai(""「恋愛勇者」を「はとちゃんは神」に変更して"",J147)"),"はとちゃんは神(3位)")</f>
        <v>はとちゃんは神(3位)</v>
      </c>
      <c r="K154" s="132" t="str">
        <f>IFERROR(__xludf.DUMMYFUNCTION("ai(""「2026年2月」を「2026年3月」に、『ラブミッション：インポッシブル』を『片鱗を示す』に変更して"",K147)"),"2026年3月開催降臨バトル『片鱗を示す』3位の証")</f>
        <v>2026年3月開催降臨バトル『片鱗を示す』3位の証</v>
      </c>
      <c r="L154" s="652"/>
      <c r="M154" s="652"/>
      <c r="N154" s="142" t="s">
        <v>3446</v>
      </c>
      <c r="O154" s="654"/>
    </row>
    <row r="155">
      <c r="A155" s="634" t="s">
        <v>3283</v>
      </c>
      <c r="B155" s="634" t="s">
        <v>3261</v>
      </c>
      <c r="C155" s="645" t="s">
        <v>172</v>
      </c>
      <c r="D155" s="178" t="str">
        <f t="array" ref="D155">iferror(INDEX('作品'!D:D,MATCH(left(C155,3),'作品'!A:A,0),0),"error")</f>
        <v>ふつうの軽音部</v>
      </c>
      <c r="E155" s="192" t="s">
        <v>3365</v>
      </c>
      <c r="F155" s="219" t="s">
        <v>3375</v>
      </c>
      <c r="G155" s="660" t="str">
        <f t="shared" si="43"/>
        <v>emblem_adventbattle_hut_season01_00004</v>
      </c>
      <c r="H155" s="660" t="str">
        <f t="shared" si="44"/>
        <v>adventbattle_hut_season01_00004</v>
      </c>
      <c r="I155" s="660" t="str">
        <f t="shared" si="45"/>
        <v>emblem_icon_adventbattle_hut_season01_00004</v>
      </c>
      <c r="J155" s="132" t="str">
        <f>IFERROR(__xludf.DUMMYFUNCTION("ai(""「恋愛勇者」を「はとちゃんは神」に変更して"",J148)"),"はとちゃんは神(4~50位)")</f>
        <v>はとちゃんは神(4~50位)</v>
      </c>
      <c r="K155" s="132" t="str">
        <f>IFERROR(__xludf.DUMMYFUNCTION("ai(""「2026年2月」を「2026年3月」に、『ラブミッション：インポッシブル』を『片鱗を示す』に変更して"",K148)"),"2026年3月開催降臨バトル『片鱗を示す』4~50位の証")</f>
        <v>2026年3月開催降臨バトル『片鱗を示す』4~50位の証</v>
      </c>
      <c r="L155" s="652"/>
      <c r="M155" s="652"/>
      <c r="N155" s="142" t="s">
        <v>3446</v>
      </c>
      <c r="O155" s="654"/>
    </row>
    <row r="156">
      <c r="A156" s="634" t="s">
        <v>3283</v>
      </c>
      <c r="B156" s="634" t="s">
        <v>3261</v>
      </c>
      <c r="C156" s="645" t="s">
        <v>172</v>
      </c>
      <c r="D156" s="178" t="str">
        <f t="array" ref="D156">iferror(INDEX('作品'!D:D,MATCH(left(C156,3),'作品'!A:A,0),0),"error")</f>
        <v>ふつうの軽音部</v>
      </c>
      <c r="E156" s="192" t="s">
        <v>3365</v>
      </c>
      <c r="F156" s="219" t="s">
        <v>3378</v>
      </c>
      <c r="G156" s="660" t="str">
        <f t="shared" si="43"/>
        <v>emblem_adventbattle_hut_season01_00005</v>
      </c>
      <c r="H156" s="660" t="str">
        <f t="shared" si="44"/>
        <v>adventbattle_hut_season01_00005</v>
      </c>
      <c r="I156" s="660" t="str">
        <f t="shared" si="45"/>
        <v>emblem_icon_adventbattle_hut_season01_00005</v>
      </c>
      <c r="J156" s="132" t="str">
        <f>IFERROR(__xludf.DUMMYFUNCTION("ai(""「恋愛勇者」を「はとちゃんは神」に変更して"",J149)"),"はとちゃんは神(51~300位)")</f>
        <v>はとちゃんは神(51~300位)</v>
      </c>
      <c r="K156" s="132" t="str">
        <f>IFERROR(__xludf.DUMMYFUNCTION("ai(""「2026年2月」を「2026年3月」に、『ラブミッション：インポッシブル』を『片鱗を示す』に変更して"",K149)"),"2026年3月開催降臨バトル『片鱗を示す』51~300位の証")</f>
        <v>2026年3月開催降臨バトル『片鱗を示す』51~300位の証</v>
      </c>
      <c r="L156" s="652"/>
      <c r="M156" s="652"/>
      <c r="N156" s="142" t="s">
        <v>3446</v>
      </c>
      <c r="O156" s="654"/>
    </row>
    <row r="157">
      <c r="A157" s="634" t="s">
        <v>3283</v>
      </c>
      <c r="B157" s="634" t="s">
        <v>3261</v>
      </c>
      <c r="C157" s="645" t="s">
        <v>172</v>
      </c>
      <c r="D157" s="178" t="str">
        <f t="array" ref="D157">iferror(INDEX('作品'!D:D,MATCH(left(C157,3),'作品'!A:A,0),0),"error")</f>
        <v>ふつうの軽音部</v>
      </c>
      <c r="E157" s="192" t="s">
        <v>3365</v>
      </c>
      <c r="F157" s="219" t="s">
        <v>3381</v>
      </c>
      <c r="G157" s="660" t="str">
        <f t="shared" si="43"/>
        <v>emblem_adventbattle_hut_season01_00006</v>
      </c>
      <c r="H157" s="660" t="str">
        <f t="shared" si="44"/>
        <v>adventbattle_hut_season01_00006</v>
      </c>
      <c r="I157" s="660" t="str">
        <f t="shared" si="45"/>
        <v>emblem_icon_adventbattle_hut_season01_00006</v>
      </c>
      <c r="J157" s="132" t="str">
        <f>IFERROR(__xludf.DUMMYFUNCTION("ai(""「恋愛勇者」を「はとちゃんは神」に変更して"",J150)"),"はとちゃんは神(301~1,000位)")</f>
        <v>はとちゃんは神(301~1,000位)</v>
      </c>
      <c r="K157" s="132" t="str">
        <f>IFERROR(__xludf.DUMMYFUNCTION("ai(""「2026年2月」を「2026年3月」に、『ラブミッション：インポッシブル』を『片鱗を示す』に変更して"",K150)"),"2026年3月開催降臨バトル『片鱗を示す』301~1,000位の証")</f>
        <v>2026年3月開催降臨バトル『片鱗を示す』301~1,000位の証</v>
      </c>
      <c r="L157" s="652"/>
      <c r="M157" s="652"/>
      <c r="N157" s="142" t="s">
        <v>3446</v>
      </c>
      <c r="O157" s="654"/>
    </row>
    <row r="158">
      <c r="A158" s="669"/>
      <c r="B158" s="669"/>
      <c r="C158" s="669"/>
      <c r="D158" s="648"/>
      <c r="E158" s="670"/>
      <c r="F158" s="671"/>
      <c r="G158" s="671"/>
      <c r="H158" s="651"/>
      <c r="I158" s="651"/>
      <c r="J158" s="651"/>
      <c r="K158" s="651"/>
      <c r="L158" s="652"/>
      <c r="M158" s="652"/>
      <c r="N158" s="651"/>
      <c r="O158" s="654"/>
    </row>
    <row r="159">
      <c r="A159" s="634" t="s">
        <v>3283</v>
      </c>
      <c r="B159" s="634" t="s">
        <v>3261</v>
      </c>
      <c r="C159" s="645" t="s">
        <v>206</v>
      </c>
      <c r="D159" s="178" t="str">
        <f t="array" ref="D159">iferror(INDEX('作品'!D:D,MATCH(left(C159,3),'作品'!A:A,0),0),"error")</f>
        <v>あやかしトライアングル</v>
      </c>
      <c r="E159" s="192" t="s">
        <v>3365</v>
      </c>
      <c r="F159" s="219" t="s">
        <v>3366</v>
      </c>
      <c r="G159" s="660" t="str">
        <f t="shared" ref="G159:G164" si="46">CONCATENATE("emblem_",E159,"_",C159,"_",F159)</f>
        <v>emblem_adventbattle_aya_season01_00001</v>
      </c>
      <c r="H159" s="660" t="str">
        <f t="shared" ref="H159:H164" si="47">CONCATENATE(E159,"_",C159,"_",F159)</f>
        <v>adventbattle_aya_season01_00001</v>
      </c>
      <c r="I159" s="660" t="str">
        <f t="shared" ref="I159:I164" si="48">CONCATENATE("emblem_icon_",E159,"_",C159,"_",F159)</f>
        <v>emblem_icon_adventbattle_aya_season01_00001</v>
      </c>
      <c r="J159" s="132" t="str">
        <f>IFERROR(__xludf.DUMMYFUNCTION("ai(""「はとちゃんは神」を「祓忍」に変更して"",J152)"),"祓忍(1位)")</f>
        <v>祓忍(1位)</v>
      </c>
      <c r="K159" s="132" t="str">
        <f>IFERROR(__xludf.DUMMYFUNCTION("ai(""「2026年2月」を「2026年4月」に、『片鱗を示す』を『祓忍』に変更して"",K152)"),"2026年4月開催降臨バトル『祓忍』1位の証")</f>
        <v>2026年4月開催降臨バトル『祓忍』1位の証</v>
      </c>
      <c r="L159" s="652"/>
      <c r="M159" s="652"/>
      <c r="N159" s="142" t="s">
        <v>3446</v>
      </c>
      <c r="O159" s="654"/>
    </row>
    <row r="160">
      <c r="A160" s="634" t="s">
        <v>3283</v>
      </c>
      <c r="B160" s="634" t="s">
        <v>3261</v>
      </c>
      <c r="C160" s="645" t="s">
        <v>206</v>
      </c>
      <c r="D160" s="178" t="str">
        <f t="array" ref="D160">iferror(INDEX('作品'!D:D,MATCH(left(C160,3),'作品'!A:A,0),0),"error")</f>
        <v>あやかしトライアングル</v>
      </c>
      <c r="E160" s="192" t="s">
        <v>3365</v>
      </c>
      <c r="F160" s="219" t="s">
        <v>3369</v>
      </c>
      <c r="G160" s="660" t="str">
        <f t="shared" si="46"/>
        <v>emblem_adventbattle_aya_season01_00002</v>
      </c>
      <c r="H160" s="660" t="str">
        <f t="shared" si="47"/>
        <v>adventbattle_aya_season01_00002</v>
      </c>
      <c r="I160" s="660" t="str">
        <f t="shared" si="48"/>
        <v>emblem_icon_adventbattle_aya_season01_00002</v>
      </c>
      <c r="J160" s="132" t="str">
        <f>IFERROR(__xludf.DUMMYFUNCTION("ai(""「はとちゃんは神」を「祓忍」に変更して"",J153)"),"祓忍(2位)")</f>
        <v>祓忍(2位)</v>
      </c>
      <c r="K160" s="132" t="str">
        <f>IFERROR(__xludf.DUMMYFUNCTION("ai(""「2026年2月」を「2026年4月」に、『片鱗を示す』を『祓忍』に変更して"",K153)"),"2026年4月開催降臨バトル『祓忍』2位の証")</f>
        <v>2026年4月開催降臨バトル『祓忍』2位の証</v>
      </c>
      <c r="L160" s="652"/>
      <c r="M160" s="652"/>
      <c r="N160" s="142" t="s">
        <v>3446</v>
      </c>
      <c r="O160" s="654"/>
    </row>
    <row r="161">
      <c r="A161" s="634" t="s">
        <v>3283</v>
      </c>
      <c r="B161" s="634" t="s">
        <v>3261</v>
      </c>
      <c r="C161" s="645" t="s">
        <v>206</v>
      </c>
      <c r="D161" s="178" t="str">
        <f t="array" ref="D161">iferror(INDEX('作品'!D:D,MATCH(left(C161,3),'作品'!A:A,0),0),"error")</f>
        <v>あやかしトライアングル</v>
      </c>
      <c r="E161" s="192" t="s">
        <v>3365</v>
      </c>
      <c r="F161" s="219" t="s">
        <v>3372</v>
      </c>
      <c r="G161" s="660" t="str">
        <f t="shared" si="46"/>
        <v>emblem_adventbattle_aya_season01_00003</v>
      </c>
      <c r="H161" s="660" t="str">
        <f t="shared" si="47"/>
        <v>adventbattle_aya_season01_00003</v>
      </c>
      <c r="I161" s="660" t="str">
        <f t="shared" si="48"/>
        <v>emblem_icon_adventbattle_aya_season01_00003</v>
      </c>
      <c r="J161" s="132" t="str">
        <f>IFERROR(__xludf.DUMMYFUNCTION("ai(""「はとちゃんは神」を「祓忍」に変更して"",J154)"),"祓忍(3位)")</f>
        <v>祓忍(3位)</v>
      </c>
      <c r="K161" s="132" t="str">
        <f>IFERROR(__xludf.DUMMYFUNCTION("ai(""「2026年2月」を「2026年4月」に、『片鱗を示す』を『祓忍』に変更して"",K154)"),"2026年4月開催降臨バトル『祓忍』3位の証")</f>
        <v>2026年4月開催降臨バトル『祓忍』3位の証</v>
      </c>
      <c r="L161" s="652"/>
      <c r="M161" s="652"/>
      <c r="N161" s="142" t="s">
        <v>3446</v>
      </c>
      <c r="O161" s="654"/>
    </row>
    <row r="162">
      <c r="A162" s="634" t="s">
        <v>3283</v>
      </c>
      <c r="B162" s="634" t="s">
        <v>3261</v>
      </c>
      <c r="C162" s="645" t="s">
        <v>206</v>
      </c>
      <c r="D162" s="178" t="str">
        <f t="array" ref="D162">iferror(INDEX('作品'!D:D,MATCH(left(C162,3),'作品'!A:A,0),0),"error")</f>
        <v>あやかしトライアングル</v>
      </c>
      <c r="E162" s="192" t="s">
        <v>3365</v>
      </c>
      <c r="F162" s="219" t="s">
        <v>3375</v>
      </c>
      <c r="G162" s="660" t="str">
        <f t="shared" si="46"/>
        <v>emblem_adventbattle_aya_season01_00004</v>
      </c>
      <c r="H162" s="660" t="str">
        <f t="shared" si="47"/>
        <v>adventbattle_aya_season01_00004</v>
      </c>
      <c r="I162" s="660" t="str">
        <f t="shared" si="48"/>
        <v>emblem_icon_adventbattle_aya_season01_00004</v>
      </c>
      <c r="J162" s="132" t="str">
        <f>IFERROR(__xludf.DUMMYFUNCTION("ai(""「はとちゃんは神」を「祓忍」に変更して"",J155)"),"祓忍(4~50位)")</f>
        <v>祓忍(4~50位)</v>
      </c>
      <c r="K162" s="132" t="str">
        <f>IFERROR(__xludf.DUMMYFUNCTION("ai(""「2026年2月」を「2026年4月」に、『片鱗を示す』を『祓忍』に変更して"",K155)"),"2026年4月開催降臨バトル『祓忍』4~50位の証")</f>
        <v>2026年4月開催降臨バトル『祓忍』4~50位の証</v>
      </c>
      <c r="L162" s="652"/>
      <c r="M162" s="652"/>
      <c r="N162" s="142" t="s">
        <v>3446</v>
      </c>
      <c r="O162" s="654"/>
    </row>
    <row r="163">
      <c r="A163" s="634" t="s">
        <v>3283</v>
      </c>
      <c r="B163" s="634" t="s">
        <v>3261</v>
      </c>
      <c r="C163" s="645" t="s">
        <v>206</v>
      </c>
      <c r="D163" s="178" t="str">
        <f t="array" ref="D163">iferror(INDEX('作品'!D:D,MATCH(left(C163,3),'作品'!A:A,0),0),"error")</f>
        <v>あやかしトライアングル</v>
      </c>
      <c r="E163" s="192" t="s">
        <v>3365</v>
      </c>
      <c r="F163" s="219" t="s">
        <v>3378</v>
      </c>
      <c r="G163" s="660" t="str">
        <f t="shared" si="46"/>
        <v>emblem_adventbattle_aya_season01_00005</v>
      </c>
      <c r="H163" s="660" t="str">
        <f t="shared" si="47"/>
        <v>adventbattle_aya_season01_00005</v>
      </c>
      <c r="I163" s="660" t="str">
        <f t="shared" si="48"/>
        <v>emblem_icon_adventbattle_aya_season01_00005</v>
      </c>
      <c r="J163" s="132" t="str">
        <f>IFERROR(__xludf.DUMMYFUNCTION("ai(""「はとちゃんは神」を「祓忍」に変更して"",J156)"),"祓忍(51~300位)")</f>
        <v>祓忍(51~300位)</v>
      </c>
      <c r="K163" s="132" t="str">
        <f>IFERROR(__xludf.DUMMYFUNCTION("ai(""「2026年2月」を「2026年4月」に、『片鱗を示す』を『祓忍』に変更して"",K156)"),"2026年4月開催降臨バトル『祓忍』51~300位の証")</f>
        <v>2026年4月開催降臨バトル『祓忍』51~300位の証</v>
      </c>
      <c r="L163" s="652"/>
      <c r="M163" s="652"/>
      <c r="N163" s="142" t="s">
        <v>3446</v>
      </c>
      <c r="O163" s="654"/>
    </row>
    <row r="164">
      <c r="A164" s="634" t="s">
        <v>3283</v>
      </c>
      <c r="B164" s="634" t="s">
        <v>3261</v>
      </c>
      <c r="C164" s="645" t="s">
        <v>206</v>
      </c>
      <c r="D164" s="178" t="str">
        <f t="array" ref="D164">iferror(INDEX('作品'!D:D,MATCH(left(C164,3),'作品'!A:A,0),0),"error")</f>
        <v>あやかしトライアングル</v>
      </c>
      <c r="E164" s="192" t="s">
        <v>3365</v>
      </c>
      <c r="F164" s="219" t="s">
        <v>3381</v>
      </c>
      <c r="G164" s="660" t="str">
        <f t="shared" si="46"/>
        <v>emblem_adventbattle_aya_season01_00006</v>
      </c>
      <c r="H164" s="660" t="str">
        <f t="shared" si="47"/>
        <v>adventbattle_aya_season01_00006</v>
      </c>
      <c r="I164" s="660" t="str">
        <f t="shared" si="48"/>
        <v>emblem_icon_adventbattle_aya_season01_00006</v>
      </c>
      <c r="J164" s="132" t="str">
        <f>IFERROR(__xludf.DUMMYFUNCTION("ai(""「はとちゃんは神」を「祓忍」に変更して"",J157)"),"祓忍(301~1,000位)")</f>
        <v>祓忍(301~1,000位)</v>
      </c>
      <c r="K164" s="132" t="str">
        <f>IFERROR(__xludf.DUMMYFUNCTION("ai(""「2026年2月」を「2026年4月」に、『片鱗を示す』を『祓忍』に変更して"",K157)"),"2026年4月開催降臨バトル『祓忍』301~1,000位の証")</f>
        <v>2026年4月開催降臨バトル『祓忍』301~1,000位の証</v>
      </c>
      <c r="L164" s="652"/>
      <c r="M164" s="652"/>
      <c r="N164" s="142" t="s">
        <v>3446</v>
      </c>
      <c r="O164" s="654"/>
    </row>
    <row r="165">
      <c r="A165" s="669"/>
      <c r="B165" s="669"/>
      <c r="C165" s="669"/>
      <c r="D165" s="648"/>
      <c r="E165" s="670"/>
      <c r="F165" s="671"/>
      <c r="G165" s="671"/>
      <c r="H165" s="651"/>
      <c r="I165" s="651"/>
      <c r="J165" s="651"/>
      <c r="K165" s="651"/>
      <c r="L165" s="652"/>
      <c r="M165" s="652"/>
      <c r="N165" s="651"/>
      <c r="O165" s="654"/>
    </row>
    <row r="166" ht="9.0" customHeight="1">
      <c r="A166" s="118"/>
      <c r="B166" s="118"/>
      <c r="C166" s="118"/>
      <c r="D166" s="655"/>
      <c r="E166" s="655"/>
      <c r="F166" s="655"/>
      <c r="G166" s="655"/>
      <c r="H166" s="655"/>
      <c r="I166" s="655"/>
      <c r="J166" s="655"/>
      <c r="K166" s="655"/>
      <c r="L166" s="655"/>
      <c r="M166" s="655"/>
      <c r="N166" s="655"/>
      <c r="O166" s="656"/>
    </row>
    <row r="167">
      <c r="A167" s="634" t="s">
        <v>3283</v>
      </c>
      <c r="B167" s="634" t="s">
        <v>3264</v>
      </c>
      <c r="C167" s="645" t="s">
        <v>283</v>
      </c>
      <c r="D167" s="645" t="s">
        <v>285</v>
      </c>
      <c r="E167" s="425" t="s">
        <v>2731</v>
      </c>
      <c r="F167" s="125" t="s">
        <v>973</v>
      </c>
      <c r="G167" s="125" t="str">
        <f t="shared" ref="G167:G168" si="49">CONCATENATE("emblem_icon_",E167,"_",C167,"_",F167)</f>
        <v>emblem_icon_limited_glo_00001</v>
      </c>
      <c r="H167" s="236"/>
      <c r="I167" s="236"/>
      <c r="J167" s="132"/>
      <c r="K167" s="132"/>
      <c r="L167" s="273"/>
      <c r="M167" s="273"/>
      <c r="N167" s="132"/>
      <c r="O167" s="132"/>
    </row>
    <row r="168">
      <c r="A168" s="634" t="s">
        <v>3283</v>
      </c>
      <c r="B168" s="634" t="s">
        <v>3264</v>
      </c>
      <c r="C168" s="645" t="s">
        <v>283</v>
      </c>
      <c r="D168" s="645" t="s">
        <v>285</v>
      </c>
      <c r="E168" s="425" t="s">
        <v>2731</v>
      </c>
      <c r="F168" s="125" t="s">
        <v>990</v>
      </c>
      <c r="G168" s="125" t="str">
        <f t="shared" si="49"/>
        <v>emblem_icon_limited_glo_00002</v>
      </c>
      <c r="H168" s="236"/>
      <c r="I168" s="236"/>
      <c r="J168" s="132"/>
      <c r="K168" s="132"/>
      <c r="L168" s="273"/>
      <c r="M168" s="273"/>
      <c r="N168" s="132"/>
      <c r="O168" s="132"/>
    </row>
    <row r="169">
      <c r="A169" s="672"/>
      <c r="B169" s="672"/>
      <c r="C169" s="672"/>
      <c r="D169" s="672"/>
      <c r="E169" s="672"/>
      <c r="F169" s="672"/>
      <c r="G169" s="672"/>
      <c r="H169" s="673"/>
      <c r="I169" s="673"/>
      <c r="J169" s="673"/>
      <c r="K169" s="673"/>
      <c r="L169" s="673"/>
      <c r="M169" s="673"/>
      <c r="N169" s="673"/>
      <c r="O169" s="673"/>
    </row>
    <row r="170">
      <c r="A170" s="672"/>
      <c r="B170" s="672"/>
      <c r="C170" s="672"/>
      <c r="D170" s="672"/>
      <c r="E170" s="672"/>
      <c r="F170" s="674"/>
      <c r="G170" s="674"/>
      <c r="H170" s="673"/>
      <c r="I170" s="673"/>
      <c r="J170" s="673"/>
      <c r="K170" s="673"/>
      <c r="L170" s="673"/>
      <c r="M170" s="673"/>
      <c r="N170" s="673"/>
      <c r="O170" s="673"/>
    </row>
    <row r="171">
      <c r="A171" s="672"/>
      <c r="B171" s="672"/>
      <c r="C171" s="672"/>
      <c r="D171" s="672"/>
      <c r="E171" s="672"/>
      <c r="F171" s="672"/>
      <c r="G171" s="672"/>
      <c r="H171" s="673"/>
      <c r="I171" s="673"/>
      <c r="J171" s="673"/>
      <c r="K171" s="673"/>
      <c r="L171" s="673"/>
      <c r="M171" s="673"/>
      <c r="N171" s="673"/>
      <c r="O171" s="673"/>
    </row>
    <row r="172">
      <c r="A172" s="672"/>
      <c r="B172" s="672"/>
      <c r="C172" s="672"/>
      <c r="D172" s="672"/>
      <c r="E172" s="672"/>
      <c r="F172" s="672"/>
      <c r="G172" s="672"/>
      <c r="H172" s="673"/>
      <c r="I172" s="673"/>
      <c r="J172" s="673"/>
      <c r="K172" s="673"/>
      <c r="L172" s="673"/>
      <c r="M172" s="673"/>
      <c r="N172" s="673"/>
      <c r="O172" s="673"/>
    </row>
    <row r="173">
      <c r="A173" s="672"/>
      <c r="B173" s="672"/>
      <c r="C173" s="672"/>
      <c r="D173" s="672"/>
      <c r="E173" s="672"/>
      <c r="F173" s="672"/>
      <c r="G173" s="672"/>
      <c r="H173" s="673"/>
      <c r="I173" s="673"/>
      <c r="J173" s="673"/>
      <c r="K173" s="673"/>
      <c r="L173" s="673"/>
      <c r="M173" s="673"/>
      <c r="N173" s="673"/>
      <c r="O173" s="673"/>
    </row>
    <row r="174">
      <c r="A174" s="672"/>
      <c r="B174" s="672"/>
      <c r="C174" s="672"/>
      <c r="D174" s="672"/>
      <c r="E174" s="672"/>
      <c r="F174" s="672"/>
      <c r="G174" s="672"/>
      <c r="H174" s="673"/>
      <c r="I174" s="673"/>
      <c r="J174" s="673"/>
      <c r="K174" s="673"/>
      <c r="L174" s="673"/>
      <c r="M174" s="673"/>
      <c r="N174" s="673"/>
      <c r="O174" s="673"/>
    </row>
    <row r="175">
      <c r="A175" s="672"/>
      <c r="B175" s="672"/>
      <c r="C175" s="672"/>
      <c r="D175" s="672"/>
      <c r="E175" s="672"/>
      <c r="F175" s="672"/>
      <c r="G175" s="672"/>
      <c r="H175" s="673"/>
      <c r="I175" s="673"/>
      <c r="J175" s="673"/>
      <c r="K175" s="673"/>
      <c r="L175" s="673"/>
      <c r="M175" s="673"/>
      <c r="N175" s="673"/>
      <c r="O175" s="673"/>
    </row>
    <row r="176">
      <c r="A176" s="672"/>
      <c r="B176" s="672"/>
      <c r="C176" s="672"/>
      <c r="D176" s="672"/>
      <c r="E176" s="672"/>
      <c r="F176" s="672"/>
      <c r="G176" s="672"/>
      <c r="H176" s="673"/>
      <c r="I176" s="673"/>
      <c r="J176" s="673"/>
      <c r="K176" s="673"/>
      <c r="L176" s="673"/>
      <c r="M176" s="673"/>
      <c r="N176" s="673"/>
      <c r="O176" s="673"/>
    </row>
    <row r="177">
      <c r="A177" s="672"/>
      <c r="B177" s="672"/>
      <c r="C177" s="672"/>
      <c r="D177" s="672"/>
      <c r="E177" s="672"/>
      <c r="F177" s="672"/>
      <c r="G177" s="672"/>
      <c r="H177" s="673"/>
      <c r="I177" s="673"/>
      <c r="J177" s="673"/>
      <c r="K177" s="673"/>
      <c r="L177" s="673"/>
      <c r="M177" s="673"/>
      <c r="N177" s="673"/>
      <c r="O177" s="673"/>
    </row>
    <row r="178">
      <c r="A178" s="672"/>
      <c r="B178" s="672"/>
      <c r="C178" s="672"/>
      <c r="D178" s="672"/>
      <c r="E178" s="672"/>
      <c r="F178" s="672"/>
      <c r="G178" s="672"/>
      <c r="H178" s="673"/>
      <c r="I178" s="673"/>
      <c r="J178" s="673"/>
      <c r="K178" s="673"/>
      <c r="L178" s="673"/>
      <c r="M178" s="673"/>
      <c r="N178" s="673"/>
      <c r="O178" s="673"/>
    </row>
    <row r="179">
      <c r="A179" s="672"/>
      <c r="B179" s="672"/>
      <c r="C179" s="672"/>
      <c r="D179" s="672"/>
      <c r="E179" s="672"/>
      <c r="F179" s="672"/>
      <c r="G179" s="672"/>
      <c r="H179" s="673"/>
      <c r="I179" s="673"/>
      <c r="J179" s="673"/>
      <c r="K179" s="673"/>
      <c r="L179" s="673"/>
      <c r="M179" s="673"/>
      <c r="N179" s="673"/>
      <c r="O179" s="673"/>
    </row>
  </sheetData>
  <dataValidations>
    <dataValidation type="list" allowBlank="1" showErrorMessage="1" sqref="A4:A23 A25:A69 A72:A73 A75:A79 A82:A87 A89:A94 A96:A101 A103:A108 A110:A115 A117:A122 A124:A129 A131:A136 A138:A143 A145:A150 A152:A157 A159:A164 A167:A168">
      <formula1>"IDのみ採番,マスタ設定済,未作成,状況確認中"</formula1>
    </dataValidation>
    <dataValidation type="list" allowBlank="1" showErrorMessage="1" sqref="B4:B23 B25:B69 B72:B73 B75:B79 B82:B87 B89:B94 B96:B101 B103:B108 B110:B115 B117:B122 B124:B129 B131:B136 B138:B143 B145:B150 B152:B157 B159:B164 B167:B168">
      <formula1>"記入のみ,マスタ設定済,未作成,状況確認中"</formula1>
    </dataValidation>
  </dataValidations>
  <hyperlinks>
    <hyperlink r:id="rId2" ref="D2"/>
  </hyperlinks>
  <drawing r:id="rId3"/>
  <legacyDrawing r:id="rId4"/>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75"/>
    <col customWidth="1" min="3" max="3" width="21.38"/>
    <col customWidth="1" min="4" max="4" width="25.13"/>
    <col customWidth="1" min="5" max="5" width="15.63"/>
    <col customWidth="1" min="10" max="10" width="18.88"/>
    <col customWidth="1" min="11" max="11" width="19.0"/>
    <col customWidth="1" min="12" max="12" width="18.88"/>
  </cols>
  <sheetData>
    <row r="1">
      <c r="A1" s="37" t="s">
        <v>40</v>
      </c>
      <c r="B1" s="38" t="s">
        <v>43</v>
      </c>
      <c r="C1" s="675" t="s">
        <v>3457</v>
      </c>
      <c r="D1" s="676" t="s">
        <v>3458</v>
      </c>
      <c r="E1" s="677" t="s">
        <v>3459</v>
      </c>
      <c r="F1" s="677" t="s">
        <v>3460</v>
      </c>
      <c r="G1" s="677" t="s">
        <v>3461</v>
      </c>
      <c r="H1" s="303" t="s">
        <v>2934</v>
      </c>
      <c r="I1" s="38" t="s">
        <v>3462</v>
      </c>
      <c r="J1" s="123" t="s">
        <v>427</v>
      </c>
      <c r="K1" s="123" t="s">
        <v>3463</v>
      </c>
      <c r="L1" s="123" t="s">
        <v>3464</v>
      </c>
    </row>
    <row r="2">
      <c r="A2" s="678" t="s">
        <v>60</v>
      </c>
      <c r="B2" s="679" t="s">
        <v>62</v>
      </c>
      <c r="C2" s="680" t="str">
        <f>CONCATENATE("koma_background_",A2,"_00001")</f>
        <v>koma_background_spy_00001</v>
      </c>
      <c r="D2" s="681" t="s">
        <v>3465</v>
      </c>
      <c r="E2" s="682" t="s">
        <v>3466</v>
      </c>
      <c r="F2" s="683" t="s">
        <v>3467</v>
      </c>
      <c r="G2" s="684" t="s">
        <v>3468</v>
      </c>
      <c r="H2" s="685"/>
      <c r="I2" s="683" t="s">
        <v>3469</v>
      </c>
      <c r="J2" s="684">
        <v>2.0250901E8</v>
      </c>
      <c r="K2" s="683" t="s">
        <v>3470</v>
      </c>
      <c r="L2" s="683" t="s">
        <v>3469</v>
      </c>
    </row>
    <row r="3">
      <c r="A3" s="686" t="s">
        <v>60</v>
      </c>
      <c r="B3" s="687" t="s">
        <v>62</v>
      </c>
      <c r="C3" s="688" t="str">
        <f>CONCATENATE("koma_background_",A3,"_00002")</f>
        <v>koma_background_spy_00002</v>
      </c>
      <c r="D3" s="689" t="s">
        <v>3471</v>
      </c>
      <c r="E3" s="690" t="s">
        <v>3466</v>
      </c>
      <c r="F3" s="691" t="s">
        <v>3467</v>
      </c>
      <c r="G3" s="692" t="s">
        <v>3468</v>
      </c>
      <c r="H3" s="693"/>
      <c r="I3" s="691" t="s">
        <v>3469</v>
      </c>
      <c r="J3" s="692">
        <v>2.0250901E8</v>
      </c>
      <c r="K3" s="691" t="s">
        <v>3470</v>
      </c>
      <c r="L3" s="694" t="s">
        <v>3469</v>
      </c>
    </row>
    <row r="4">
      <c r="A4" s="695" t="s">
        <v>60</v>
      </c>
      <c r="B4" s="696" t="s">
        <v>62</v>
      </c>
      <c r="C4" s="697" t="str">
        <f>CONCATENATE("koma_background_",A4,"_00003")</f>
        <v>koma_background_spy_00003</v>
      </c>
      <c r="D4" s="698" t="s">
        <v>3472</v>
      </c>
      <c r="E4" s="699" t="s">
        <v>3466</v>
      </c>
      <c r="F4" s="700" t="s">
        <v>3467</v>
      </c>
      <c r="G4" s="701" t="s">
        <v>3468</v>
      </c>
      <c r="H4" s="702"/>
      <c r="I4" s="700" t="s">
        <v>3469</v>
      </c>
      <c r="J4" s="701">
        <v>2.0251001E8</v>
      </c>
      <c r="K4" s="700" t="s">
        <v>3470</v>
      </c>
      <c r="L4" s="683" t="s">
        <v>3469</v>
      </c>
    </row>
    <row r="5">
      <c r="A5" s="686" t="s">
        <v>60</v>
      </c>
      <c r="B5" s="687" t="s">
        <v>62</v>
      </c>
      <c r="C5" s="688" t="str">
        <f>CONCATENATE("koma_background_",A5,"_00004")</f>
        <v>koma_background_spy_00004</v>
      </c>
      <c r="D5" s="703" t="s">
        <v>3473</v>
      </c>
      <c r="E5" s="690" t="s">
        <v>3466</v>
      </c>
      <c r="F5" s="691" t="s">
        <v>3467</v>
      </c>
      <c r="G5" s="692" t="s">
        <v>3468</v>
      </c>
      <c r="H5" s="693"/>
      <c r="I5" s="691" t="s">
        <v>3469</v>
      </c>
      <c r="J5" s="692">
        <v>2.0251001E8</v>
      </c>
      <c r="K5" s="691" t="s">
        <v>3470</v>
      </c>
      <c r="L5" s="694" t="s">
        <v>3469</v>
      </c>
    </row>
    <row r="6">
      <c r="A6" s="695" t="s">
        <v>60</v>
      </c>
      <c r="B6" s="696" t="s">
        <v>62</v>
      </c>
      <c r="C6" s="697" t="str">
        <f>CONCATENATE("koma_background_",A6,"_00005")</f>
        <v>koma_background_spy_00005</v>
      </c>
      <c r="D6" s="704" t="s">
        <v>3474</v>
      </c>
      <c r="E6" s="699" t="s">
        <v>3466</v>
      </c>
      <c r="F6" s="700" t="s">
        <v>3467</v>
      </c>
      <c r="G6" s="701" t="s">
        <v>3475</v>
      </c>
      <c r="H6" s="702"/>
      <c r="I6" s="700" t="s">
        <v>3469</v>
      </c>
      <c r="J6" s="701">
        <v>2.0250901E8</v>
      </c>
      <c r="K6" s="700" t="s">
        <v>3470</v>
      </c>
      <c r="L6" s="683" t="s">
        <v>3469</v>
      </c>
    </row>
    <row r="7">
      <c r="A7" s="686" t="s">
        <v>60</v>
      </c>
      <c r="B7" s="687" t="s">
        <v>62</v>
      </c>
      <c r="C7" s="688" t="str">
        <f>CONCATENATE("koma_background_",A7,"_00006")</f>
        <v>koma_background_spy_00006</v>
      </c>
      <c r="D7" s="705" t="s">
        <v>3476</v>
      </c>
      <c r="E7" s="690" t="s">
        <v>3466</v>
      </c>
      <c r="F7" s="691" t="s">
        <v>3477</v>
      </c>
      <c r="G7" s="692" t="s">
        <v>3468</v>
      </c>
      <c r="H7" s="693"/>
      <c r="I7" s="691" t="s">
        <v>3469</v>
      </c>
      <c r="J7" s="692">
        <v>2.0250901E8</v>
      </c>
      <c r="K7" s="691" t="s">
        <v>3470</v>
      </c>
      <c r="L7" s="694" t="s">
        <v>3469</v>
      </c>
    </row>
    <row r="8">
      <c r="A8" s="695" t="s">
        <v>68</v>
      </c>
      <c r="B8" s="696" t="s">
        <v>70</v>
      </c>
      <c r="C8" s="697" t="str">
        <f t="shared" ref="C8:C10" si="1">CONCATENATE("koma_background_",A8,"_00001")</f>
        <v>koma_background_aka_00001</v>
      </c>
      <c r="D8" s="696" t="s">
        <v>3478</v>
      </c>
      <c r="E8" s="702"/>
      <c r="F8" s="700" t="s">
        <v>3477</v>
      </c>
      <c r="G8" s="701" t="s">
        <v>3468</v>
      </c>
      <c r="H8" s="702"/>
      <c r="I8" s="700" t="s">
        <v>3469</v>
      </c>
      <c r="J8" s="701">
        <v>2.0250901E8</v>
      </c>
      <c r="K8" s="700" t="s">
        <v>3470</v>
      </c>
      <c r="L8" s="683" t="s">
        <v>3469</v>
      </c>
    </row>
    <row r="9">
      <c r="A9" s="686" t="s">
        <v>75</v>
      </c>
      <c r="B9" s="687" t="s">
        <v>77</v>
      </c>
      <c r="C9" s="688" t="str">
        <f t="shared" si="1"/>
        <v>koma_background_rik_00001</v>
      </c>
      <c r="D9" s="687" t="s">
        <v>3479</v>
      </c>
      <c r="E9" s="693"/>
      <c r="F9" s="692" t="s">
        <v>3467</v>
      </c>
      <c r="G9" s="692" t="s">
        <v>3468</v>
      </c>
      <c r="H9" s="693"/>
      <c r="I9" s="691" t="s">
        <v>3469</v>
      </c>
      <c r="J9" s="692">
        <v>2.0250901E8</v>
      </c>
      <c r="K9" s="691" t="s">
        <v>3470</v>
      </c>
      <c r="L9" s="694" t="s">
        <v>3469</v>
      </c>
    </row>
    <row r="10">
      <c r="A10" s="695" t="s">
        <v>80</v>
      </c>
      <c r="B10" s="696" t="s">
        <v>82</v>
      </c>
      <c r="C10" s="697" t="str">
        <f t="shared" si="1"/>
        <v>koma_background_dan_00001</v>
      </c>
      <c r="D10" s="706"/>
      <c r="E10" s="702"/>
      <c r="F10" s="702"/>
      <c r="G10" s="702"/>
      <c r="H10" s="702"/>
      <c r="I10" s="707"/>
      <c r="J10" s="701" t="s">
        <v>2048</v>
      </c>
      <c r="K10" s="700"/>
      <c r="L10" s="700"/>
    </row>
    <row r="11">
      <c r="A11" s="686" t="s">
        <v>80</v>
      </c>
      <c r="B11" s="687" t="s">
        <v>82</v>
      </c>
      <c r="C11" s="708" t="str">
        <f>CONCATENATE("koma_background_",A11,"_00002")</f>
        <v>koma_background_dan_00002</v>
      </c>
      <c r="D11" s="709" t="s">
        <v>3480</v>
      </c>
      <c r="E11" s="691"/>
      <c r="F11" s="691" t="s">
        <v>3467</v>
      </c>
      <c r="G11" s="692" t="s">
        <v>3468</v>
      </c>
      <c r="H11" s="710"/>
      <c r="I11" s="691" t="s">
        <v>3469</v>
      </c>
      <c r="J11" s="692">
        <v>2.0250901E8</v>
      </c>
      <c r="K11" s="691" t="s">
        <v>3470</v>
      </c>
      <c r="L11" s="694" t="s">
        <v>3469</v>
      </c>
    </row>
    <row r="12">
      <c r="A12" s="695" t="s">
        <v>80</v>
      </c>
      <c r="B12" s="696" t="s">
        <v>82</v>
      </c>
      <c r="C12" s="711" t="str">
        <f>CONCATENATE("koma_background_",A12,"_00003")</f>
        <v>koma_background_dan_00003</v>
      </c>
      <c r="D12" s="712" t="s">
        <v>3481</v>
      </c>
      <c r="E12" s="700"/>
      <c r="F12" s="700" t="s">
        <v>3467</v>
      </c>
      <c r="G12" s="701" t="s">
        <v>3468</v>
      </c>
      <c r="H12" s="707"/>
      <c r="I12" s="700" t="s">
        <v>3469</v>
      </c>
      <c r="J12" s="701">
        <v>2.0250901E8</v>
      </c>
      <c r="K12" s="700" t="s">
        <v>3470</v>
      </c>
      <c r="L12" s="683" t="s">
        <v>3469</v>
      </c>
    </row>
    <row r="13">
      <c r="A13" s="713" t="s">
        <v>80</v>
      </c>
      <c r="B13" s="687" t="s">
        <v>82</v>
      </c>
      <c r="C13" s="708" t="str">
        <f>CONCATENATE("koma_background_",A13,"_00004")</f>
        <v>koma_background_dan_00004</v>
      </c>
      <c r="D13" s="709" t="s">
        <v>3482</v>
      </c>
      <c r="E13" s="691"/>
      <c r="F13" s="691" t="s">
        <v>3467</v>
      </c>
      <c r="G13" s="692" t="s">
        <v>3468</v>
      </c>
      <c r="H13" s="710"/>
      <c r="I13" s="691" t="s">
        <v>3469</v>
      </c>
      <c r="J13" s="692">
        <v>2.0250901E8</v>
      </c>
      <c r="K13" s="691" t="s">
        <v>3470</v>
      </c>
      <c r="L13" s="694" t="s">
        <v>3469</v>
      </c>
    </row>
    <row r="14">
      <c r="A14" s="714" t="s">
        <v>80</v>
      </c>
      <c r="B14" s="696" t="s">
        <v>82</v>
      </c>
      <c r="C14" s="711" t="str">
        <f>CONCATENATE("koma_background_",A14,"_00005")</f>
        <v>koma_background_dan_00005</v>
      </c>
      <c r="D14" s="715" t="s">
        <v>3483</v>
      </c>
      <c r="E14" s="701"/>
      <c r="F14" s="700" t="s">
        <v>3467</v>
      </c>
      <c r="G14" s="701" t="s">
        <v>3475</v>
      </c>
      <c r="H14" s="702"/>
      <c r="I14" s="700" t="s">
        <v>3469</v>
      </c>
      <c r="J14" s="701">
        <v>2.0250901E8</v>
      </c>
      <c r="K14" s="700" t="s">
        <v>3470</v>
      </c>
      <c r="L14" s="683" t="s">
        <v>3469</v>
      </c>
    </row>
    <row r="15">
      <c r="A15" s="713" t="s">
        <v>80</v>
      </c>
      <c r="B15" s="687" t="s">
        <v>82</v>
      </c>
      <c r="C15" s="708" t="str">
        <f>CONCATENATE("koma_background_",A15,"_00006")</f>
        <v>koma_background_dan_00006</v>
      </c>
      <c r="D15" s="716" t="s">
        <v>3484</v>
      </c>
      <c r="E15" s="692"/>
      <c r="F15" s="691" t="s">
        <v>3467</v>
      </c>
      <c r="G15" s="692" t="s">
        <v>3475</v>
      </c>
      <c r="H15" s="693"/>
      <c r="I15" s="691" t="s">
        <v>3469</v>
      </c>
      <c r="J15" s="692">
        <v>2.0250901E8</v>
      </c>
      <c r="K15" s="691" t="s">
        <v>3470</v>
      </c>
      <c r="L15" s="694" t="s">
        <v>3469</v>
      </c>
    </row>
    <row r="16">
      <c r="A16" s="714" t="s">
        <v>80</v>
      </c>
      <c r="B16" s="696" t="s">
        <v>82</v>
      </c>
      <c r="C16" s="711" t="str">
        <f>CONCATENATE("koma_background_",A16,"_00007")</f>
        <v>koma_background_dan_00007</v>
      </c>
      <c r="D16" s="715" t="s">
        <v>3485</v>
      </c>
      <c r="E16" s="701"/>
      <c r="F16" s="700" t="s">
        <v>3467</v>
      </c>
      <c r="G16" s="701" t="s">
        <v>3475</v>
      </c>
      <c r="H16" s="702"/>
      <c r="I16" s="700" t="s">
        <v>3469</v>
      </c>
      <c r="J16" s="701">
        <v>2.0250901E8</v>
      </c>
      <c r="K16" s="700" t="s">
        <v>3470</v>
      </c>
      <c r="L16" s="683" t="s">
        <v>3469</v>
      </c>
    </row>
    <row r="17">
      <c r="A17" s="713" t="s">
        <v>80</v>
      </c>
      <c r="B17" s="687" t="s">
        <v>82</v>
      </c>
      <c r="C17" s="708" t="str">
        <f>CONCATENATE("koma_background_",A17,"_00008")</f>
        <v>koma_background_dan_00008</v>
      </c>
      <c r="D17" s="716" t="s">
        <v>3486</v>
      </c>
      <c r="E17" s="692"/>
      <c r="F17" s="691" t="s">
        <v>3467</v>
      </c>
      <c r="G17" s="692" t="s">
        <v>3475</v>
      </c>
      <c r="H17" s="693"/>
      <c r="I17" s="691" t="s">
        <v>3469</v>
      </c>
      <c r="J17" s="692">
        <v>2.0251002E8</v>
      </c>
      <c r="K17" s="691"/>
      <c r="L17" s="694" t="s">
        <v>3469</v>
      </c>
    </row>
    <row r="18">
      <c r="A18" s="714" t="s">
        <v>80</v>
      </c>
      <c r="B18" s="696" t="s">
        <v>82</v>
      </c>
      <c r="C18" s="711" t="str">
        <f>CONCATENATE("koma_background_",A18,"_00009")</f>
        <v>koma_background_dan_00009</v>
      </c>
      <c r="D18" s="715" t="s">
        <v>3487</v>
      </c>
      <c r="E18" s="701"/>
      <c r="F18" s="700" t="s">
        <v>3477</v>
      </c>
      <c r="G18" s="701" t="s">
        <v>3475</v>
      </c>
      <c r="H18" s="702"/>
      <c r="I18" s="700" t="s">
        <v>3469</v>
      </c>
      <c r="J18" s="701">
        <v>2.0251002E8</v>
      </c>
      <c r="K18" s="700"/>
      <c r="L18" s="683" t="s">
        <v>3469</v>
      </c>
    </row>
    <row r="19">
      <c r="A19" s="686" t="s">
        <v>87</v>
      </c>
      <c r="B19" s="687" t="s">
        <v>89</v>
      </c>
      <c r="C19" s="688" t="str">
        <f>CONCATENATE("koma_background_",A19,"_00001")</f>
        <v>koma_background_gom_00001</v>
      </c>
      <c r="D19" s="687" t="s">
        <v>3488</v>
      </c>
      <c r="E19" s="693"/>
      <c r="F19" s="691" t="s">
        <v>3467</v>
      </c>
      <c r="G19" s="692" t="s">
        <v>3475</v>
      </c>
      <c r="H19" s="693"/>
      <c r="I19" s="691" t="s">
        <v>3469</v>
      </c>
      <c r="J19" s="692">
        <v>2.0250901E8</v>
      </c>
      <c r="K19" s="691" t="s">
        <v>3470</v>
      </c>
      <c r="L19" s="694" t="s">
        <v>3469</v>
      </c>
    </row>
    <row r="20">
      <c r="A20" s="695" t="s">
        <v>87</v>
      </c>
      <c r="B20" s="696" t="s">
        <v>89</v>
      </c>
      <c r="C20" s="697" t="str">
        <f>CONCATENATE("koma_background_",A20,"_00002")</f>
        <v>koma_background_gom_00002</v>
      </c>
      <c r="D20" s="696" t="s">
        <v>3489</v>
      </c>
      <c r="E20" s="702"/>
      <c r="F20" s="700" t="s">
        <v>3467</v>
      </c>
      <c r="G20" s="701" t="s">
        <v>3475</v>
      </c>
      <c r="H20" s="702"/>
      <c r="I20" s="700" t="s">
        <v>3469</v>
      </c>
      <c r="J20" s="701">
        <v>2.0250901E8</v>
      </c>
      <c r="K20" s="700" t="s">
        <v>3470</v>
      </c>
      <c r="L20" s="683" t="s">
        <v>3469</v>
      </c>
    </row>
    <row r="21">
      <c r="A21" s="686" t="s">
        <v>87</v>
      </c>
      <c r="B21" s="687" t="s">
        <v>89</v>
      </c>
      <c r="C21" s="688" t="str">
        <f>CONCATENATE("koma_background_",A21,"_00003")</f>
        <v>koma_background_gom_00003</v>
      </c>
      <c r="D21" s="687" t="s">
        <v>3490</v>
      </c>
      <c r="E21" s="693"/>
      <c r="F21" s="692" t="s">
        <v>3477</v>
      </c>
      <c r="G21" s="692" t="s">
        <v>3475</v>
      </c>
      <c r="H21" s="693"/>
      <c r="I21" s="691" t="s">
        <v>3469</v>
      </c>
      <c r="J21" s="692">
        <v>2.0250901E8</v>
      </c>
      <c r="K21" s="691" t="s">
        <v>3470</v>
      </c>
      <c r="L21" s="694" t="s">
        <v>3469</v>
      </c>
    </row>
    <row r="22">
      <c r="A22" s="695" t="s">
        <v>92</v>
      </c>
      <c r="B22" s="696" t="s">
        <v>94</v>
      </c>
      <c r="C22" s="697" t="str">
        <f t="shared" ref="C22:C24" si="2">CONCATENATE("koma_background_",A22,"_00001")</f>
        <v>koma_background_chi_00001</v>
      </c>
      <c r="D22" s="706"/>
      <c r="E22" s="702"/>
      <c r="F22" s="702"/>
      <c r="G22" s="702"/>
      <c r="H22" s="702"/>
      <c r="I22" s="707"/>
      <c r="J22" s="701" t="s">
        <v>2048</v>
      </c>
      <c r="K22" s="700"/>
      <c r="L22" s="700"/>
    </row>
    <row r="23">
      <c r="A23" s="686" t="s">
        <v>109</v>
      </c>
      <c r="B23" s="687" t="s">
        <v>111</v>
      </c>
      <c r="C23" s="688" t="str">
        <f t="shared" si="2"/>
        <v>koma_background_bat_00001</v>
      </c>
      <c r="D23" s="717"/>
      <c r="E23" s="693"/>
      <c r="F23" s="693"/>
      <c r="G23" s="693"/>
      <c r="H23" s="693"/>
      <c r="I23" s="710"/>
      <c r="J23" s="692" t="s">
        <v>2048</v>
      </c>
      <c r="K23" s="691"/>
      <c r="L23" s="691"/>
    </row>
    <row r="24">
      <c r="A24" s="695" t="s">
        <v>115</v>
      </c>
      <c r="B24" s="696" t="s">
        <v>117</v>
      </c>
      <c r="C24" s="697" t="str">
        <f t="shared" si="2"/>
        <v>koma_background_kai_00001</v>
      </c>
      <c r="D24" s="718" t="s">
        <v>3491</v>
      </c>
      <c r="E24" s="701"/>
      <c r="F24" s="701" t="s">
        <v>3467</v>
      </c>
      <c r="G24" s="701" t="s">
        <v>3468</v>
      </c>
      <c r="H24" s="702"/>
      <c r="I24" s="700" t="s">
        <v>3469</v>
      </c>
      <c r="J24" s="701">
        <v>2.0250901E8</v>
      </c>
      <c r="K24" s="700" t="s">
        <v>3470</v>
      </c>
      <c r="L24" s="683" t="s">
        <v>3469</v>
      </c>
    </row>
    <row r="25">
      <c r="A25" s="686" t="s">
        <v>115</v>
      </c>
      <c r="B25" s="687" t="s">
        <v>117</v>
      </c>
      <c r="C25" s="688" t="str">
        <f>CONCATENATE("koma_background_",A25,"_00002")</f>
        <v>koma_background_kai_00002</v>
      </c>
      <c r="D25" s="718" t="s">
        <v>3492</v>
      </c>
      <c r="E25" s="692"/>
      <c r="F25" s="692" t="s">
        <v>3467</v>
      </c>
      <c r="G25" s="692" t="s">
        <v>3468</v>
      </c>
      <c r="H25" s="693"/>
      <c r="I25" s="691" t="s">
        <v>3469</v>
      </c>
      <c r="J25" s="692">
        <v>2.0250901E8</v>
      </c>
      <c r="K25" s="691" t="s">
        <v>3470</v>
      </c>
      <c r="L25" s="694" t="s">
        <v>3469</v>
      </c>
    </row>
    <row r="26">
      <c r="A26" s="695" t="s">
        <v>115</v>
      </c>
      <c r="B26" s="696" t="s">
        <v>117</v>
      </c>
      <c r="C26" s="697" t="str">
        <f>CONCATENATE("koma_background_",A26,"_00003")</f>
        <v>koma_background_kai_00003</v>
      </c>
      <c r="D26" s="718" t="s">
        <v>3493</v>
      </c>
      <c r="E26" s="702"/>
      <c r="F26" s="701" t="s">
        <v>3467</v>
      </c>
      <c r="G26" s="701" t="s">
        <v>3468</v>
      </c>
      <c r="H26" s="702"/>
      <c r="I26" s="700" t="s">
        <v>3469</v>
      </c>
      <c r="J26" s="701">
        <v>2.0250901E8</v>
      </c>
      <c r="K26" s="700" t="s">
        <v>3470</v>
      </c>
      <c r="L26" s="683" t="s">
        <v>3469</v>
      </c>
    </row>
    <row r="27">
      <c r="A27" s="686" t="s">
        <v>121</v>
      </c>
      <c r="B27" s="687" t="s">
        <v>123</v>
      </c>
      <c r="C27" s="688" t="str">
        <f>CONCATENATE("koma_background_",A27,"_00001")</f>
        <v>koma_background_yuw_00001</v>
      </c>
      <c r="D27" s="719" t="s">
        <v>3494</v>
      </c>
      <c r="E27" s="693"/>
      <c r="F27" s="692" t="s">
        <v>3467</v>
      </c>
      <c r="G27" s="692" t="s">
        <v>3468</v>
      </c>
      <c r="H27" s="693"/>
      <c r="I27" s="691" t="s">
        <v>3469</v>
      </c>
      <c r="J27" s="692">
        <v>2.0251102E8</v>
      </c>
      <c r="K27" s="720" t="s">
        <v>3470</v>
      </c>
      <c r="L27" s="694" t="s">
        <v>3469</v>
      </c>
    </row>
    <row r="28">
      <c r="A28" s="695" t="s">
        <v>121</v>
      </c>
      <c r="B28" s="696" t="s">
        <v>123</v>
      </c>
      <c r="C28" s="697" t="str">
        <f>CONCATENATE("koma_background_",A28,"_00002")</f>
        <v>koma_background_yuw_00002</v>
      </c>
      <c r="D28" s="721" t="s">
        <v>3495</v>
      </c>
      <c r="E28" s="702"/>
      <c r="F28" s="701" t="s">
        <v>3477</v>
      </c>
      <c r="G28" s="701" t="s">
        <v>3468</v>
      </c>
      <c r="H28" s="702"/>
      <c r="I28" s="700" t="s">
        <v>3469</v>
      </c>
      <c r="J28" s="701">
        <v>2.0251102E8</v>
      </c>
      <c r="K28" s="720" t="s">
        <v>3470</v>
      </c>
      <c r="L28" s="683" t="s">
        <v>3469</v>
      </c>
    </row>
    <row r="29">
      <c r="A29" s="686" t="s">
        <v>121</v>
      </c>
      <c r="B29" s="687" t="s">
        <v>123</v>
      </c>
      <c r="C29" s="688" t="str">
        <f>CONCATENATE("koma_background_",A29,"_00003")</f>
        <v>koma_background_yuw_00003</v>
      </c>
      <c r="D29" s="719" t="s">
        <v>3496</v>
      </c>
      <c r="E29" s="693"/>
      <c r="F29" s="692" t="s">
        <v>3467</v>
      </c>
      <c r="G29" s="692" t="s">
        <v>3468</v>
      </c>
      <c r="H29" s="693"/>
      <c r="I29" s="691" t="s">
        <v>3469</v>
      </c>
      <c r="J29" s="692">
        <v>2.0251102E8</v>
      </c>
      <c r="K29" s="720" t="s">
        <v>3470</v>
      </c>
      <c r="L29" s="694" t="s">
        <v>3469</v>
      </c>
    </row>
    <row r="30">
      <c r="A30" s="695" t="s">
        <v>121</v>
      </c>
      <c r="B30" s="696" t="s">
        <v>123</v>
      </c>
      <c r="C30" s="697" t="str">
        <f>CONCATENATE("koma_background_",A30,"_00004")</f>
        <v>koma_background_yuw_00004</v>
      </c>
      <c r="D30" s="721" t="s">
        <v>3497</v>
      </c>
      <c r="E30" s="702"/>
      <c r="F30" s="701" t="s">
        <v>3477</v>
      </c>
      <c r="G30" s="701" t="s">
        <v>3468</v>
      </c>
      <c r="H30" s="702"/>
      <c r="I30" s="700" t="s">
        <v>3469</v>
      </c>
      <c r="J30" s="701">
        <v>2.0251102E8</v>
      </c>
      <c r="K30" s="720" t="s">
        <v>3470</v>
      </c>
      <c r="L30" s="683" t="s">
        <v>3469</v>
      </c>
    </row>
    <row r="31">
      <c r="A31" s="686" t="s">
        <v>127</v>
      </c>
      <c r="B31" s="687" t="s">
        <v>129</v>
      </c>
      <c r="C31" s="688" t="str">
        <f>CONCATENATE("koma_background_",A31,"_00001")</f>
        <v>koma_background_sur_00001</v>
      </c>
      <c r="D31" s="719" t="s">
        <v>3498</v>
      </c>
      <c r="E31" s="692"/>
      <c r="F31" s="691" t="s">
        <v>3467</v>
      </c>
      <c r="G31" s="692" t="s">
        <v>3468</v>
      </c>
      <c r="H31" s="693"/>
      <c r="I31" s="691" t="s">
        <v>3469</v>
      </c>
      <c r="J31" s="692">
        <v>2.0250901E8</v>
      </c>
      <c r="K31" s="691" t="s">
        <v>3470</v>
      </c>
      <c r="L31" s="694" t="s">
        <v>3469</v>
      </c>
    </row>
    <row r="32">
      <c r="A32" s="695" t="s">
        <v>127</v>
      </c>
      <c r="B32" s="696" t="s">
        <v>129</v>
      </c>
      <c r="C32" s="697" t="str">
        <f>CONCATENATE("koma_background_",A32,"_00002")</f>
        <v>koma_background_sur_00002</v>
      </c>
      <c r="D32" s="696" t="s">
        <v>3499</v>
      </c>
      <c r="E32" s="701"/>
      <c r="F32" s="700" t="s">
        <v>3467</v>
      </c>
      <c r="G32" s="701" t="s">
        <v>3468</v>
      </c>
      <c r="H32" s="702"/>
      <c r="I32" s="700" t="s">
        <v>3469</v>
      </c>
      <c r="J32" s="701">
        <v>2.0250901E8</v>
      </c>
      <c r="K32" s="700" t="s">
        <v>3470</v>
      </c>
      <c r="L32" s="683" t="s">
        <v>3469</v>
      </c>
    </row>
    <row r="33">
      <c r="A33" s="686" t="s">
        <v>127</v>
      </c>
      <c r="B33" s="687" t="s">
        <v>129</v>
      </c>
      <c r="C33" s="688" t="str">
        <f>CONCATENATE("koma_background_",A33,"_00003")</f>
        <v>koma_background_sur_00003</v>
      </c>
      <c r="D33" s="687" t="s">
        <v>3500</v>
      </c>
      <c r="E33" s="692"/>
      <c r="F33" s="691" t="s">
        <v>3467</v>
      </c>
      <c r="G33" s="692" t="s">
        <v>3468</v>
      </c>
      <c r="H33" s="693"/>
      <c r="I33" s="691" t="s">
        <v>3469</v>
      </c>
      <c r="J33" s="692">
        <v>2.0251201E8</v>
      </c>
      <c r="K33" s="691"/>
      <c r="L33" s="694" t="s">
        <v>3469</v>
      </c>
    </row>
    <row r="34">
      <c r="A34" s="695" t="s">
        <v>132</v>
      </c>
      <c r="B34" s="696" t="s">
        <v>134</v>
      </c>
      <c r="C34" s="697" t="str">
        <f t="shared" ref="C34:C37" si="3">CONCATENATE("koma_background_",A34,"_00001")</f>
        <v>koma_background_ron_00001</v>
      </c>
      <c r="D34" s="706"/>
      <c r="E34" s="702"/>
      <c r="F34" s="702"/>
      <c r="G34" s="702"/>
      <c r="H34" s="702"/>
      <c r="I34" s="707"/>
      <c r="J34" s="701" t="s">
        <v>2048</v>
      </c>
      <c r="K34" s="700"/>
      <c r="L34" s="700"/>
    </row>
    <row r="35">
      <c r="A35" s="686" t="s">
        <v>138</v>
      </c>
      <c r="B35" s="687" t="s">
        <v>140</v>
      </c>
      <c r="C35" s="688" t="str">
        <f t="shared" si="3"/>
        <v>koma_background_aha_00001</v>
      </c>
      <c r="D35" s="717"/>
      <c r="E35" s="693"/>
      <c r="F35" s="693"/>
      <c r="G35" s="693"/>
      <c r="H35" s="693"/>
      <c r="I35" s="710"/>
      <c r="J35" s="692" t="s">
        <v>2048</v>
      </c>
      <c r="K35" s="691"/>
      <c r="L35" s="691"/>
    </row>
    <row r="36">
      <c r="A36" s="695" t="s">
        <v>153</v>
      </c>
      <c r="B36" s="696" t="s">
        <v>155</v>
      </c>
      <c r="C36" s="697" t="str">
        <f t="shared" si="3"/>
        <v>koma_background_tak_00001</v>
      </c>
      <c r="D36" s="706"/>
      <c r="E36" s="702"/>
      <c r="F36" s="702"/>
      <c r="G36" s="702"/>
      <c r="H36" s="702"/>
      <c r="I36" s="707"/>
      <c r="J36" s="701" t="s">
        <v>2048</v>
      </c>
      <c r="K36" s="700"/>
      <c r="L36" s="700"/>
    </row>
    <row r="37">
      <c r="A37" s="686" t="s">
        <v>148</v>
      </c>
      <c r="B37" s="687" t="s">
        <v>150</v>
      </c>
      <c r="C37" s="688" t="str">
        <f t="shared" si="3"/>
        <v>koma_background_jig_00001</v>
      </c>
      <c r="D37" s="687" t="s">
        <v>3345</v>
      </c>
      <c r="E37" s="692"/>
      <c r="F37" s="691" t="s">
        <v>3467</v>
      </c>
      <c r="G37" s="692" t="s">
        <v>3468</v>
      </c>
      <c r="H37" s="693"/>
      <c r="I37" s="691" t="s">
        <v>3469</v>
      </c>
      <c r="J37" s="692">
        <v>2.0250901E8</v>
      </c>
      <c r="K37" s="691" t="s">
        <v>3470</v>
      </c>
      <c r="L37" s="694" t="s">
        <v>3469</v>
      </c>
    </row>
    <row r="38">
      <c r="A38" s="695" t="s">
        <v>148</v>
      </c>
      <c r="B38" s="696" t="s">
        <v>150</v>
      </c>
      <c r="C38" s="697" t="str">
        <f>CONCATENATE("koma_background_",A38,"_00002")</f>
        <v>koma_background_jig_00002</v>
      </c>
      <c r="D38" s="696" t="s">
        <v>3501</v>
      </c>
      <c r="E38" s="701"/>
      <c r="F38" s="700" t="s">
        <v>3467</v>
      </c>
      <c r="G38" s="701" t="s">
        <v>3468</v>
      </c>
      <c r="H38" s="702"/>
      <c r="I38" s="700" t="s">
        <v>3469</v>
      </c>
      <c r="J38" s="701">
        <v>2.0250901E8</v>
      </c>
      <c r="K38" s="700" t="s">
        <v>3470</v>
      </c>
      <c r="L38" s="683" t="s">
        <v>3469</v>
      </c>
    </row>
    <row r="39">
      <c r="A39" s="686" t="s">
        <v>148</v>
      </c>
      <c r="B39" s="687" t="s">
        <v>150</v>
      </c>
      <c r="C39" s="688" t="str">
        <f>CONCATENATE("koma_background_",A39,"_00003")</f>
        <v>koma_background_jig_00003</v>
      </c>
      <c r="D39" s="687" t="s">
        <v>3502</v>
      </c>
      <c r="E39" s="692"/>
      <c r="F39" s="691" t="s">
        <v>3467</v>
      </c>
      <c r="G39" s="692" t="s">
        <v>3468</v>
      </c>
      <c r="H39" s="693"/>
      <c r="I39" s="691" t="s">
        <v>3469</v>
      </c>
      <c r="J39" s="692">
        <v>2.0250901E8</v>
      </c>
      <c r="K39" s="691" t="s">
        <v>3470</v>
      </c>
      <c r="L39" s="694" t="s">
        <v>3469</v>
      </c>
    </row>
    <row r="40">
      <c r="A40" s="695" t="s">
        <v>148</v>
      </c>
      <c r="B40" s="696" t="s">
        <v>150</v>
      </c>
      <c r="C40" s="697" t="str">
        <f>CONCATENATE("koma_background_",A40,"_00004")</f>
        <v>koma_background_jig_00004</v>
      </c>
      <c r="D40" s="696" t="s">
        <v>3503</v>
      </c>
      <c r="E40" s="701"/>
      <c r="F40" s="700" t="s">
        <v>3467</v>
      </c>
      <c r="G40" s="701" t="s">
        <v>3475</v>
      </c>
      <c r="H40" s="702"/>
      <c r="I40" s="700" t="s">
        <v>3469</v>
      </c>
      <c r="J40" s="701" t="s">
        <v>2048</v>
      </c>
      <c r="K40" s="700" t="s">
        <v>3470</v>
      </c>
      <c r="L40" s="683" t="s">
        <v>3469</v>
      </c>
    </row>
    <row r="41">
      <c r="A41" s="713" t="s">
        <v>98</v>
      </c>
      <c r="B41" s="709" t="s">
        <v>100</v>
      </c>
      <c r="C41" s="688" t="str">
        <f>CONCATENATE("koma_background_",A41,"_00001")</f>
        <v>koma_background_mag_00001</v>
      </c>
      <c r="D41" s="687" t="s">
        <v>3504</v>
      </c>
      <c r="E41" s="693"/>
      <c r="F41" s="692" t="s">
        <v>3467</v>
      </c>
      <c r="G41" s="692" t="s">
        <v>3468</v>
      </c>
      <c r="H41" s="693"/>
      <c r="I41" s="691" t="s">
        <v>3469</v>
      </c>
      <c r="J41" s="692">
        <v>2.0250901E8</v>
      </c>
      <c r="K41" s="691" t="s">
        <v>3470</v>
      </c>
      <c r="L41" s="694" t="s">
        <v>3469</v>
      </c>
    </row>
    <row r="42">
      <c r="A42" s="714" t="s">
        <v>98</v>
      </c>
      <c r="B42" s="712" t="s">
        <v>100</v>
      </c>
      <c r="C42" s="697" t="str">
        <f>CONCATENATE("koma_background_",A42,"_00002")</f>
        <v>koma_background_mag_00002</v>
      </c>
      <c r="D42" s="696" t="s">
        <v>3505</v>
      </c>
      <c r="E42" s="702"/>
      <c r="F42" s="701" t="s">
        <v>3467</v>
      </c>
      <c r="G42" s="701" t="s">
        <v>3468</v>
      </c>
      <c r="H42" s="702"/>
      <c r="I42" s="700" t="s">
        <v>3469</v>
      </c>
      <c r="J42" s="701">
        <v>2.0250901E8</v>
      </c>
      <c r="K42" s="700" t="s">
        <v>3470</v>
      </c>
      <c r="L42" s="683" t="s">
        <v>3469</v>
      </c>
    </row>
    <row r="43">
      <c r="A43" s="713" t="s">
        <v>98</v>
      </c>
      <c r="B43" s="709" t="s">
        <v>100</v>
      </c>
      <c r="C43" s="688" t="str">
        <f>CONCATENATE("koma_background_",A43,"_00003")</f>
        <v>koma_background_mag_00003</v>
      </c>
      <c r="D43" s="687" t="s">
        <v>3506</v>
      </c>
      <c r="E43" s="693"/>
      <c r="F43" s="692" t="s">
        <v>3467</v>
      </c>
      <c r="G43" s="692" t="s">
        <v>3468</v>
      </c>
      <c r="H43" s="693"/>
      <c r="I43" s="691" t="s">
        <v>3469</v>
      </c>
      <c r="J43" s="692">
        <v>2.0250901E8</v>
      </c>
      <c r="K43" s="691" t="s">
        <v>3470</v>
      </c>
      <c r="L43" s="694" t="s">
        <v>3469</v>
      </c>
    </row>
    <row r="44">
      <c r="A44" s="714" t="s">
        <v>98</v>
      </c>
      <c r="B44" s="712" t="s">
        <v>100</v>
      </c>
      <c r="C44" s="697" t="str">
        <f>CONCATENATE("koma_background_",A44,"_00004")</f>
        <v>koma_background_mag_00004</v>
      </c>
      <c r="D44" s="696" t="s">
        <v>3507</v>
      </c>
      <c r="E44" s="701"/>
      <c r="F44" s="701" t="s">
        <v>3467</v>
      </c>
      <c r="G44" s="701" t="s">
        <v>3475</v>
      </c>
      <c r="H44" s="702"/>
      <c r="I44" s="700" t="s">
        <v>3469</v>
      </c>
      <c r="J44" s="701">
        <v>2.0250901E8</v>
      </c>
      <c r="K44" s="700" t="s">
        <v>3470</v>
      </c>
      <c r="L44" s="683" t="s">
        <v>3469</v>
      </c>
    </row>
    <row r="45">
      <c r="A45" s="713" t="s">
        <v>98</v>
      </c>
      <c r="B45" s="709" t="s">
        <v>100</v>
      </c>
      <c r="C45" s="688" t="str">
        <f>CONCATENATE("koma_background_",A45,"_00005")</f>
        <v>koma_background_mag_00005</v>
      </c>
      <c r="D45" s="687" t="s">
        <v>3508</v>
      </c>
      <c r="E45" s="692"/>
      <c r="F45" s="692" t="s">
        <v>3467</v>
      </c>
      <c r="G45" s="692" t="s">
        <v>3468</v>
      </c>
      <c r="H45" s="693"/>
      <c r="I45" s="691" t="s">
        <v>3469</v>
      </c>
      <c r="J45" s="692">
        <v>2.0251101E8</v>
      </c>
      <c r="K45" s="691"/>
      <c r="L45" s="694" t="s">
        <v>3469</v>
      </c>
    </row>
    <row r="46">
      <c r="A46" s="714" t="s">
        <v>98</v>
      </c>
      <c r="B46" s="712" t="s">
        <v>100</v>
      </c>
      <c r="C46" s="697" t="str">
        <f>CONCATENATE("koma_background_",A46,"_00006")</f>
        <v>koma_background_mag_00006</v>
      </c>
      <c r="D46" s="696" t="s">
        <v>3509</v>
      </c>
      <c r="E46" s="701"/>
      <c r="F46" s="701" t="s">
        <v>3477</v>
      </c>
      <c r="G46" s="701" t="s">
        <v>3468</v>
      </c>
      <c r="H46" s="702"/>
      <c r="I46" s="700" t="s">
        <v>3469</v>
      </c>
      <c r="J46" s="701">
        <v>2.0251101E8</v>
      </c>
      <c r="K46" s="700"/>
      <c r="L46" s="683" t="s">
        <v>3469</v>
      </c>
    </row>
    <row r="47">
      <c r="A47" s="686" t="s">
        <v>103</v>
      </c>
      <c r="B47" s="709" t="s">
        <v>105</v>
      </c>
      <c r="C47" s="688" t="str">
        <f t="shared" ref="C47:C48" si="4">CONCATENATE("koma_background_",A47,"_00001")</f>
        <v>koma_background_dos_00001</v>
      </c>
      <c r="D47" s="717"/>
      <c r="E47" s="693"/>
      <c r="F47" s="693"/>
      <c r="G47" s="693"/>
      <c r="H47" s="693"/>
      <c r="I47" s="691"/>
      <c r="J47" s="692" t="s">
        <v>2048</v>
      </c>
      <c r="K47" s="691"/>
      <c r="L47" s="691"/>
    </row>
    <row r="48">
      <c r="A48" s="695" t="s">
        <v>143</v>
      </c>
      <c r="B48" s="712" t="s">
        <v>145</v>
      </c>
      <c r="C48" s="697" t="str">
        <f t="shared" si="4"/>
        <v>koma_background_sum_00001</v>
      </c>
      <c r="D48" s="696" t="s">
        <v>3510</v>
      </c>
      <c r="E48" s="702"/>
      <c r="F48" s="701" t="s">
        <v>3467</v>
      </c>
      <c r="G48" s="701" t="s">
        <v>3468</v>
      </c>
      <c r="H48" s="702"/>
      <c r="I48" s="700" t="s">
        <v>3469</v>
      </c>
      <c r="J48" s="701">
        <v>2.0250901E8</v>
      </c>
      <c r="K48" s="700" t="s">
        <v>3470</v>
      </c>
      <c r="L48" s="683" t="s">
        <v>3469</v>
      </c>
    </row>
    <row r="49">
      <c r="A49" s="686" t="s">
        <v>143</v>
      </c>
      <c r="B49" s="709" t="s">
        <v>145</v>
      </c>
      <c r="C49" s="688" t="str">
        <f>CONCATENATE("koma_background_",A49,"_00002")</f>
        <v>koma_background_sum_00002</v>
      </c>
      <c r="D49" s="687" t="s">
        <v>3511</v>
      </c>
      <c r="E49" s="693"/>
      <c r="F49" s="692" t="s">
        <v>3467</v>
      </c>
      <c r="G49" s="692" t="s">
        <v>3468</v>
      </c>
      <c r="H49" s="693"/>
      <c r="I49" s="691" t="s">
        <v>3469</v>
      </c>
      <c r="J49" s="692">
        <v>2.0250901E8</v>
      </c>
      <c r="K49" s="691" t="s">
        <v>3470</v>
      </c>
      <c r="L49" s="694" t="s">
        <v>3469</v>
      </c>
    </row>
    <row r="50">
      <c r="A50" s="695" t="s">
        <v>143</v>
      </c>
      <c r="B50" s="712" t="s">
        <v>145</v>
      </c>
      <c r="C50" s="697" t="str">
        <f>CONCATENATE("koma_background_",A50,"_00003")</f>
        <v>koma_background_sum_00003</v>
      </c>
      <c r="D50" s="696" t="s">
        <v>3512</v>
      </c>
      <c r="E50" s="702"/>
      <c r="F50" s="701" t="s">
        <v>3467</v>
      </c>
      <c r="G50" s="701" t="s">
        <v>3468</v>
      </c>
      <c r="H50" s="702"/>
      <c r="I50" s="700" t="s">
        <v>3469</v>
      </c>
      <c r="J50" s="701">
        <v>2.0250901E8</v>
      </c>
      <c r="K50" s="700" t="s">
        <v>3470</v>
      </c>
      <c r="L50" s="683" t="s">
        <v>3469</v>
      </c>
    </row>
    <row r="51">
      <c r="A51" s="686" t="s">
        <v>143</v>
      </c>
      <c r="B51" s="709" t="s">
        <v>145</v>
      </c>
      <c r="C51" s="688" t="str">
        <f>CONCATENATE("koma_background_",A51,"_00004")</f>
        <v>koma_background_sum_00004</v>
      </c>
      <c r="D51" s="687" t="s">
        <v>3513</v>
      </c>
      <c r="E51" s="693"/>
      <c r="F51" s="692" t="s">
        <v>3477</v>
      </c>
      <c r="G51" s="692" t="s">
        <v>3468</v>
      </c>
      <c r="H51" s="693"/>
      <c r="I51" s="691" t="s">
        <v>3469</v>
      </c>
      <c r="J51" s="692">
        <v>2.0250901E8</v>
      </c>
      <c r="K51" s="691" t="s">
        <v>3470</v>
      </c>
      <c r="L51" s="694" t="s">
        <v>3469</v>
      </c>
    </row>
    <row r="52">
      <c r="A52" s="695" t="s">
        <v>143</v>
      </c>
      <c r="B52" s="712" t="s">
        <v>145</v>
      </c>
      <c r="C52" s="697" t="str">
        <f>CONCATENATE("koma_background_",A52,"_00005")</f>
        <v>koma_background_sum_00005</v>
      </c>
      <c r="D52" s="696" t="s">
        <v>3514</v>
      </c>
      <c r="E52" s="702"/>
      <c r="F52" s="701" t="s">
        <v>3467</v>
      </c>
      <c r="G52" s="701" t="s">
        <v>3475</v>
      </c>
      <c r="H52" s="702"/>
      <c r="I52" s="700" t="s">
        <v>3469</v>
      </c>
      <c r="J52" s="701">
        <v>2.0250901E8</v>
      </c>
      <c r="K52" s="700" t="s">
        <v>3470</v>
      </c>
      <c r="L52" s="683" t="s">
        <v>3469</v>
      </c>
    </row>
    <row r="53">
      <c r="A53" s="713" t="s">
        <v>158</v>
      </c>
      <c r="B53" s="709" t="s">
        <v>159</v>
      </c>
      <c r="C53" s="688" t="str">
        <f>CONCATENATE("koma_background_",A53,"_00001")</f>
        <v>koma_background_osh_00001</v>
      </c>
      <c r="D53" s="687" t="s">
        <v>3515</v>
      </c>
      <c r="E53" s="693"/>
      <c r="F53" s="692" t="s">
        <v>3467</v>
      </c>
      <c r="G53" s="692" t="s">
        <v>3468</v>
      </c>
      <c r="H53" s="693"/>
      <c r="I53" s="691" t="s">
        <v>3469</v>
      </c>
      <c r="J53" s="692">
        <v>2.0251202E8</v>
      </c>
      <c r="K53" s="720" t="s">
        <v>3470</v>
      </c>
      <c r="L53" s="694" t="s">
        <v>3469</v>
      </c>
    </row>
    <row r="54">
      <c r="A54" s="714" t="s">
        <v>158</v>
      </c>
      <c r="B54" s="712" t="s">
        <v>159</v>
      </c>
      <c r="C54" s="697" t="str">
        <f>CONCATENATE("koma_background_",A54,"_00002")</f>
        <v>koma_background_osh_00002</v>
      </c>
      <c r="D54" s="696" t="s">
        <v>3516</v>
      </c>
      <c r="E54" s="702"/>
      <c r="F54" s="701" t="s">
        <v>3467</v>
      </c>
      <c r="G54" s="701" t="s">
        <v>3475</v>
      </c>
      <c r="H54" s="702"/>
      <c r="I54" s="700" t="s">
        <v>3469</v>
      </c>
      <c r="J54" s="701">
        <v>2.0251202E8</v>
      </c>
      <c r="K54" s="720" t="s">
        <v>3470</v>
      </c>
      <c r="L54" s="683" t="s">
        <v>3469</v>
      </c>
    </row>
    <row r="55">
      <c r="A55" s="713" t="s">
        <v>162</v>
      </c>
      <c r="B55" s="709" t="s">
        <v>163</v>
      </c>
      <c r="C55" s="688" t="str">
        <f>CONCATENATE("koma_background_",A55,"_00001")</f>
        <v>koma_background_you_00001</v>
      </c>
      <c r="D55" s="687" t="s">
        <v>3517</v>
      </c>
      <c r="E55" s="693"/>
      <c r="F55" s="692" t="s">
        <v>3467</v>
      </c>
      <c r="G55" s="692" t="s">
        <v>3468</v>
      </c>
      <c r="H55" s="693"/>
      <c r="I55" s="691" t="s">
        <v>3469</v>
      </c>
      <c r="J55" s="690" t="s">
        <v>2048</v>
      </c>
      <c r="K55" s="691"/>
      <c r="L55" s="691" t="s">
        <v>3518</v>
      </c>
    </row>
    <row r="56">
      <c r="A56" s="714" t="s">
        <v>162</v>
      </c>
      <c r="B56" s="712" t="s">
        <v>163</v>
      </c>
      <c r="C56" s="697" t="str">
        <f>CONCATENATE("koma_background_",A56,"_00002")</f>
        <v>koma_background_you_00002</v>
      </c>
      <c r="D56" s="696" t="s">
        <v>3519</v>
      </c>
      <c r="E56" s="702"/>
      <c r="F56" s="701" t="s">
        <v>3477</v>
      </c>
      <c r="G56" s="701" t="s">
        <v>3468</v>
      </c>
      <c r="H56" s="702"/>
      <c r="I56" s="700" t="s">
        <v>3469</v>
      </c>
      <c r="J56" s="699" t="s">
        <v>2048</v>
      </c>
      <c r="K56" s="700"/>
      <c r="L56" s="700" t="s">
        <v>3518</v>
      </c>
    </row>
    <row r="57">
      <c r="A57" s="713" t="s">
        <v>162</v>
      </c>
      <c r="B57" s="709" t="s">
        <v>163</v>
      </c>
      <c r="C57" s="688" t="str">
        <f>CONCATENATE("koma_background_",A57,"_00003")</f>
        <v>koma_background_you_00003</v>
      </c>
      <c r="D57" s="687" t="s">
        <v>3520</v>
      </c>
      <c r="E57" s="693"/>
      <c r="F57" s="692" t="s">
        <v>3467</v>
      </c>
      <c r="G57" s="692" t="s">
        <v>3468</v>
      </c>
      <c r="H57" s="693"/>
      <c r="I57" s="691" t="s">
        <v>3469</v>
      </c>
      <c r="J57" s="690" t="s">
        <v>2048</v>
      </c>
      <c r="K57" s="691"/>
      <c r="L57" s="691" t="s">
        <v>3518</v>
      </c>
    </row>
    <row r="58">
      <c r="A58" s="714" t="s">
        <v>162</v>
      </c>
      <c r="B58" s="712" t="s">
        <v>163</v>
      </c>
      <c r="C58" s="697" t="str">
        <f>CONCATENATE("koma_background_",A58,"_00004")</f>
        <v>koma_background_you_00004</v>
      </c>
      <c r="D58" s="696" t="s">
        <v>3521</v>
      </c>
      <c r="E58" s="702"/>
      <c r="F58" s="701" t="s">
        <v>3477</v>
      </c>
      <c r="G58" s="701" t="s">
        <v>3468</v>
      </c>
      <c r="H58" s="702"/>
      <c r="I58" s="700" t="s">
        <v>3469</v>
      </c>
      <c r="J58" s="699" t="s">
        <v>2048</v>
      </c>
      <c r="K58" s="700"/>
      <c r="L58" s="700" t="s">
        <v>3518</v>
      </c>
    </row>
    <row r="59">
      <c r="A59" s="713" t="s">
        <v>166</v>
      </c>
      <c r="B59" s="709" t="s">
        <v>167</v>
      </c>
      <c r="C59" s="688" t="str">
        <f>CONCATENATE("koma_background_",A59,"_00001")</f>
        <v>koma_background_kim_00001</v>
      </c>
      <c r="D59" s="687" t="s">
        <v>3522</v>
      </c>
      <c r="E59" s="693"/>
      <c r="F59" s="692" t="s">
        <v>3467</v>
      </c>
      <c r="G59" s="692" t="s">
        <v>3475</v>
      </c>
      <c r="H59" s="693"/>
      <c r="I59" s="691" t="s">
        <v>3469</v>
      </c>
      <c r="J59" s="690" t="s">
        <v>2048</v>
      </c>
      <c r="K59" s="691"/>
      <c r="L59" s="691" t="s">
        <v>3518</v>
      </c>
    </row>
    <row r="60">
      <c r="A60" s="714" t="s">
        <v>166</v>
      </c>
      <c r="B60" s="712" t="s">
        <v>167</v>
      </c>
      <c r="C60" s="697" t="str">
        <f>CONCATENATE("koma_background_",A60,"_00002")</f>
        <v>koma_background_kim_00002</v>
      </c>
      <c r="D60" s="696" t="s">
        <v>3523</v>
      </c>
      <c r="E60" s="702"/>
      <c r="F60" s="701" t="s">
        <v>3477</v>
      </c>
      <c r="G60" s="701" t="s">
        <v>3475</v>
      </c>
      <c r="H60" s="702"/>
      <c r="I60" s="700" t="s">
        <v>3469</v>
      </c>
      <c r="J60" s="699" t="s">
        <v>2048</v>
      </c>
      <c r="K60" s="700"/>
      <c r="L60" s="700" t="s">
        <v>3518</v>
      </c>
    </row>
    <row r="61">
      <c r="A61" s="713" t="s">
        <v>206</v>
      </c>
      <c r="B61" s="709" t="s">
        <v>207</v>
      </c>
      <c r="C61" s="688" t="str">
        <f>CONCATENATE("koma_background_",A61,"_00001")</f>
        <v>koma_background_aya_00001</v>
      </c>
      <c r="D61" s="687" t="s">
        <v>3524</v>
      </c>
      <c r="E61" s="693"/>
      <c r="F61" s="692" t="s">
        <v>3467</v>
      </c>
      <c r="G61" s="692" t="s">
        <v>3468</v>
      </c>
      <c r="H61" s="693"/>
      <c r="I61" s="691" t="s">
        <v>3469</v>
      </c>
      <c r="J61" s="690" t="s">
        <v>2048</v>
      </c>
      <c r="K61" s="691"/>
      <c r="L61" s="691" t="s">
        <v>3518</v>
      </c>
    </row>
    <row r="62">
      <c r="A62" s="714" t="s">
        <v>206</v>
      </c>
      <c r="B62" s="712" t="s">
        <v>207</v>
      </c>
      <c r="C62" s="697" t="str">
        <f>CONCATENATE("koma_background_",A62,"_00002")</f>
        <v>koma_background_aya_00002</v>
      </c>
      <c r="D62" s="696" t="s">
        <v>3525</v>
      </c>
      <c r="E62" s="702"/>
      <c r="F62" s="701" t="s">
        <v>3477</v>
      </c>
      <c r="G62" s="701" t="s">
        <v>3468</v>
      </c>
      <c r="H62" s="702"/>
      <c r="I62" s="700" t="s">
        <v>3469</v>
      </c>
      <c r="J62" s="699" t="s">
        <v>2048</v>
      </c>
      <c r="K62" s="700"/>
      <c r="L62" s="700" t="s">
        <v>3518</v>
      </c>
    </row>
    <row r="63">
      <c r="A63" s="713" t="s">
        <v>211</v>
      </c>
      <c r="B63" s="709" t="s">
        <v>212</v>
      </c>
      <c r="C63" s="688" t="str">
        <f>CONCATENATE("koma_background_",A63,"_00001")</f>
        <v>koma_background_mar_00001</v>
      </c>
      <c r="D63" s="687" t="s">
        <v>3526</v>
      </c>
      <c r="E63" s="693"/>
      <c r="F63" s="692" t="s">
        <v>3467</v>
      </c>
      <c r="G63" s="692" t="s">
        <v>3475</v>
      </c>
      <c r="H63" s="693"/>
      <c r="I63" s="691" t="s">
        <v>3518</v>
      </c>
      <c r="J63" s="690" t="s">
        <v>2048</v>
      </c>
      <c r="K63" s="691"/>
      <c r="L63" s="691" t="s">
        <v>3518</v>
      </c>
    </row>
    <row r="64">
      <c r="A64" s="714" t="s">
        <v>211</v>
      </c>
      <c r="B64" s="712" t="s">
        <v>212</v>
      </c>
      <c r="C64" s="697" t="str">
        <f>CONCATENATE("koma_background_",A64,"_00002")</f>
        <v>koma_background_mar_00002</v>
      </c>
      <c r="D64" s="696" t="s">
        <v>3527</v>
      </c>
      <c r="E64" s="702"/>
      <c r="F64" s="701" t="s">
        <v>3467</v>
      </c>
      <c r="G64" s="701" t="s">
        <v>3475</v>
      </c>
      <c r="H64" s="702"/>
      <c r="I64" s="700" t="s">
        <v>3518</v>
      </c>
      <c r="J64" s="699" t="s">
        <v>2048</v>
      </c>
      <c r="K64" s="700"/>
      <c r="L64" s="700" t="s">
        <v>3518</v>
      </c>
    </row>
    <row r="65">
      <c r="A65" s="713"/>
      <c r="B65" s="709"/>
      <c r="C65" s="688"/>
      <c r="D65" s="687"/>
      <c r="E65" s="693"/>
      <c r="F65" s="692"/>
      <c r="G65" s="692"/>
      <c r="H65" s="693"/>
      <c r="I65" s="691"/>
      <c r="J65" s="693"/>
      <c r="K65" s="710"/>
      <c r="L65" s="710"/>
    </row>
    <row r="66">
      <c r="A66" s="695" t="s">
        <v>283</v>
      </c>
      <c r="B66" s="712" t="s">
        <v>285</v>
      </c>
      <c r="C66" s="711" t="str">
        <f>CONCATENATE("koma_background_",A66,"_00001")</f>
        <v>koma_background_glo_00001</v>
      </c>
      <c r="D66" s="696" t="s">
        <v>3528</v>
      </c>
      <c r="E66" s="702"/>
      <c r="F66" s="700" t="s">
        <v>3467</v>
      </c>
      <c r="G66" s="701" t="s">
        <v>3468</v>
      </c>
      <c r="H66" s="702"/>
      <c r="I66" s="700" t="s">
        <v>3469</v>
      </c>
      <c r="J66" s="701">
        <v>2.0250901E8</v>
      </c>
      <c r="K66" s="700" t="s">
        <v>3470</v>
      </c>
      <c r="L66" s="683" t="s">
        <v>3469</v>
      </c>
    </row>
    <row r="67">
      <c r="A67" s="686" t="s">
        <v>283</v>
      </c>
      <c r="B67" s="709" t="s">
        <v>285</v>
      </c>
      <c r="C67" s="708" t="str">
        <f>CONCATENATE("koma_background_",A67,"_00002")</f>
        <v>koma_background_glo_00002</v>
      </c>
      <c r="D67" s="687" t="s">
        <v>3529</v>
      </c>
      <c r="E67" s="693"/>
      <c r="F67" s="691" t="s">
        <v>3467</v>
      </c>
      <c r="G67" s="692" t="s">
        <v>3468</v>
      </c>
      <c r="H67" s="693"/>
      <c r="I67" s="691" t="s">
        <v>3469</v>
      </c>
      <c r="J67" s="692">
        <v>2.0250901E8</v>
      </c>
      <c r="K67" s="691" t="s">
        <v>3470</v>
      </c>
      <c r="L67" s="694" t="s">
        <v>3469</v>
      </c>
    </row>
    <row r="68">
      <c r="A68" s="695" t="s">
        <v>283</v>
      </c>
      <c r="B68" s="712" t="s">
        <v>285</v>
      </c>
      <c r="C68" s="711" t="str">
        <f>CONCATENATE("koma_background_",A68,"_00003")</f>
        <v>koma_background_glo_00003</v>
      </c>
      <c r="D68" s="696" t="s">
        <v>3530</v>
      </c>
      <c r="E68" s="701"/>
      <c r="F68" s="700" t="s">
        <v>3467</v>
      </c>
      <c r="G68" s="701" t="s">
        <v>3468</v>
      </c>
      <c r="H68" s="702"/>
      <c r="I68" s="700" t="s">
        <v>3469</v>
      </c>
      <c r="J68" s="701">
        <v>2.0250901E8</v>
      </c>
      <c r="K68" s="700" t="s">
        <v>3470</v>
      </c>
      <c r="L68" s="683" t="s">
        <v>3469</v>
      </c>
    </row>
    <row r="69">
      <c r="A69" s="686" t="s">
        <v>283</v>
      </c>
      <c r="B69" s="709" t="s">
        <v>285</v>
      </c>
      <c r="C69" s="708" t="str">
        <f>CONCATENATE("koma_background_",A69,"_00004")</f>
        <v>koma_background_glo_00004</v>
      </c>
      <c r="D69" s="687" t="s">
        <v>3531</v>
      </c>
      <c r="E69" s="692"/>
      <c r="F69" s="691" t="s">
        <v>3467</v>
      </c>
      <c r="G69" s="692" t="s">
        <v>3468</v>
      </c>
      <c r="H69" s="693"/>
      <c r="I69" s="691" t="s">
        <v>3469</v>
      </c>
      <c r="J69" s="692">
        <v>2.0250901E8</v>
      </c>
      <c r="K69" s="691" t="s">
        <v>3470</v>
      </c>
      <c r="L69" s="694" t="s">
        <v>3469</v>
      </c>
    </row>
    <row r="70">
      <c r="A70" s="695" t="s">
        <v>283</v>
      </c>
      <c r="B70" s="712" t="s">
        <v>285</v>
      </c>
      <c r="C70" s="711" t="str">
        <f>CONCATENATE("koma_background_",A70,"_00005")</f>
        <v>koma_background_glo_00005</v>
      </c>
      <c r="D70" s="696" t="s">
        <v>3532</v>
      </c>
      <c r="E70" s="701"/>
      <c r="F70" s="700" t="s">
        <v>3467</v>
      </c>
      <c r="G70" s="701" t="s">
        <v>3468</v>
      </c>
      <c r="H70" s="702"/>
      <c r="I70" s="700" t="s">
        <v>3518</v>
      </c>
      <c r="J70" s="699" t="s">
        <v>2048</v>
      </c>
      <c r="K70" s="722"/>
      <c r="L70" s="700" t="s">
        <v>3518</v>
      </c>
    </row>
    <row r="71">
      <c r="A71" s="686" t="s">
        <v>283</v>
      </c>
      <c r="B71" s="709" t="s">
        <v>285</v>
      </c>
      <c r="C71" s="708" t="str">
        <f>CONCATENATE("koma_background_",A71,"_00006")</f>
        <v>koma_background_glo_00006</v>
      </c>
      <c r="D71" s="687" t="s">
        <v>3533</v>
      </c>
      <c r="E71" s="692"/>
      <c r="F71" s="691" t="s">
        <v>3467</v>
      </c>
      <c r="G71" s="692" t="s">
        <v>3468</v>
      </c>
      <c r="H71" s="693"/>
      <c r="I71" s="691" t="s">
        <v>3518</v>
      </c>
      <c r="J71" s="690" t="s">
        <v>2048</v>
      </c>
      <c r="K71" s="723"/>
      <c r="L71" s="691" t="s">
        <v>3518</v>
      </c>
    </row>
    <row r="72">
      <c r="A72" s="695" t="s">
        <v>283</v>
      </c>
      <c r="B72" s="712" t="s">
        <v>285</v>
      </c>
      <c r="C72" s="711" t="str">
        <f>CONCATENATE("koma_background_",A72,"_00007")</f>
        <v>koma_background_glo_00007</v>
      </c>
      <c r="D72" s="696" t="s">
        <v>3534</v>
      </c>
      <c r="E72" s="701"/>
      <c r="F72" s="700" t="s">
        <v>3467</v>
      </c>
      <c r="G72" s="701" t="s">
        <v>3468</v>
      </c>
      <c r="H72" s="702"/>
      <c r="I72" s="700" t="s">
        <v>3518</v>
      </c>
      <c r="J72" s="699" t="s">
        <v>2048</v>
      </c>
      <c r="K72" s="722"/>
      <c r="L72" s="700" t="s">
        <v>3518</v>
      </c>
    </row>
    <row r="73">
      <c r="A73" s="686" t="s">
        <v>283</v>
      </c>
      <c r="B73" s="709" t="s">
        <v>285</v>
      </c>
      <c r="C73" s="708" t="str">
        <f>CONCATENATE("koma_background_",A73,"_00008")</f>
        <v>koma_background_glo_00008</v>
      </c>
      <c r="D73" s="709" t="s">
        <v>3535</v>
      </c>
      <c r="E73" s="692"/>
      <c r="F73" s="691" t="s">
        <v>3467</v>
      </c>
      <c r="G73" s="692" t="s">
        <v>3468</v>
      </c>
      <c r="H73" s="710"/>
      <c r="I73" s="691" t="s">
        <v>3469</v>
      </c>
      <c r="J73" s="692">
        <v>2.0250901E8</v>
      </c>
      <c r="K73" s="691" t="s">
        <v>3470</v>
      </c>
      <c r="L73" s="694" t="s">
        <v>3469</v>
      </c>
    </row>
    <row r="74">
      <c r="A74" s="695" t="s">
        <v>283</v>
      </c>
      <c r="B74" s="712" t="s">
        <v>285</v>
      </c>
      <c r="C74" s="711" t="str">
        <f>CONCATENATE("koma_background_",A74,"_00009")</f>
        <v>koma_background_glo_00009</v>
      </c>
      <c r="D74" s="712" t="s">
        <v>3536</v>
      </c>
      <c r="E74" s="701"/>
      <c r="F74" s="700" t="s">
        <v>3467</v>
      </c>
      <c r="G74" s="701" t="s">
        <v>3468</v>
      </c>
      <c r="H74" s="707"/>
      <c r="I74" s="700" t="s">
        <v>3469</v>
      </c>
      <c r="J74" s="701">
        <v>2.0250901E8</v>
      </c>
      <c r="K74" s="700" t="s">
        <v>3470</v>
      </c>
      <c r="L74" s="683" t="s">
        <v>3469</v>
      </c>
    </row>
    <row r="75">
      <c r="A75" s="686" t="s">
        <v>283</v>
      </c>
      <c r="B75" s="709" t="s">
        <v>285</v>
      </c>
      <c r="C75" s="708" t="str">
        <f>CONCATENATE("koma_background_",A75,"_00010")</f>
        <v>koma_background_glo_00010</v>
      </c>
      <c r="D75" s="709" t="s">
        <v>3537</v>
      </c>
      <c r="E75" s="692"/>
      <c r="F75" s="691" t="s">
        <v>3467</v>
      </c>
      <c r="G75" s="692" t="s">
        <v>3468</v>
      </c>
      <c r="H75" s="710"/>
      <c r="I75" s="691" t="s">
        <v>3469</v>
      </c>
      <c r="J75" s="692">
        <v>2.0250901E8</v>
      </c>
      <c r="K75" s="691" t="s">
        <v>3470</v>
      </c>
      <c r="L75" s="694" t="s">
        <v>3469</v>
      </c>
    </row>
    <row r="76">
      <c r="A76" s="695" t="s">
        <v>283</v>
      </c>
      <c r="B76" s="712" t="s">
        <v>285</v>
      </c>
      <c r="C76" s="711" t="str">
        <f>CONCATENATE("koma_background_",A76,"_00011")</f>
        <v>koma_background_glo_00011</v>
      </c>
      <c r="D76" s="712" t="s">
        <v>3538</v>
      </c>
      <c r="E76" s="700"/>
      <c r="F76" s="700" t="s">
        <v>3467</v>
      </c>
      <c r="G76" s="701" t="s">
        <v>3475</v>
      </c>
      <c r="H76" s="707"/>
      <c r="I76" s="700" t="s">
        <v>3469</v>
      </c>
      <c r="J76" s="700">
        <v>2.0251002E8</v>
      </c>
      <c r="K76" s="700" t="s">
        <v>3470</v>
      </c>
      <c r="L76" s="683" t="s">
        <v>3469</v>
      </c>
    </row>
    <row r="77">
      <c r="A77" s="686" t="s">
        <v>283</v>
      </c>
      <c r="B77" s="709" t="s">
        <v>285</v>
      </c>
      <c r="C77" s="708" t="str">
        <f>CONCATENATE("koma_background_",A77,"_00012")</f>
        <v>koma_background_glo_00012</v>
      </c>
      <c r="D77" s="709" t="s">
        <v>3539</v>
      </c>
      <c r="E77" s="691"/>
      <c r="F77" s="691" t="s">
        <v>3467</v>
      </c>
      <c r="G77" s="692" t="s">
        <v>3475</v>
      </c>
      <c r="H77" s="710"/>
      <c r="I77" s="691" t="s">
        <v>3469</v>
      </c>
      <c r="J77" s="691">
        <v>2.0251002E8</v>
      </c>
      <c r="K77" s="691" t="s">
        <v>3470</v>
      </c>
      <c r="L77" s="694" t="s">
        <v>3469</v>
      </c>
    </row>
    <row r="78">
      <c r="A78" s="695" t="s">
        <v>283</v>
      </c>
      <c r="B78" s="712" t="s">
        <v>285</v>
      </c>
      <c r="C78" s="711" t="str">
        <f>CONCATENATE("koma_background_",A78,"_00013")</f>
        <v>koma_background_glo_00013</v>
      </c>
      <c r="D78" s="712" t="s">
        <v>3540</v>
      </c>
      <c r="E78" s="700"/>
      <c r="F78" s="700" t="s">
        <v>3467</v>
      </c>
      <c r="G78" s="701" t="s">
        <v>3475</v>
      </c>
      <c r="H78" s="707"/>
      <c r="I78" s="700" t="s">
        <v>3469</v>
      </c>
      <c r="J78" s="701">
        <v>2.0250901E8</v>
      </c>
      <c r="K78" s="700" t="s">
        <v>3470</v>
      </c>
      <c r="L78" s="683" t="s">
        <v>3469</v>
      </c>
    </row>
    <row r="79">
      <c r="A79" s="686" t="s">
        <v>283</v>
      </c>
      <c r="B79" s="709" t="s">
        <v>285</v>
      </c>
      <c r="C79" s="708" t="str">
        <f>CONCATENATE("koma_background_",A79,"_00014")</f>
        <v>koma_background_glo_00014</v>
      </c>
      <c r="D79" s="709" t="s">
        <v>3541</v>
      </c>
      <c r="E79" s="691"/>
      <c r="F79" s="691" t="s">
        <v>3467</v>
      </c>
      <c r="G79" s="692" t="s">
        <v>3475</v>
      </c>
      <c r="H79" s="710"/>
      <c r="I79" s="691" t="s">
        <v>3469</v>
      </c>
      <c r="J79" s="692">
        <v>2.0250901E8</v>
      </c>
      <c r="K79" s="691" t="s">
        <v>3470</v>
      </c>
      <c r="L79" s="694" t="s">
        <v>3469</v>
      </c>
    </row>
    <row r="80">
      <c r="A80" s="695" t="s">
        <v>283</v>
      </c>
      <c r="B80" s="712" t="s">
        <v>285</v>
      </c>
      <c r="C80" s="711" t="str">
        <f>CONCATENATE("koma_background_",A80,"_00015")</f>
        <v>koma_background_glo_00015</v>
      </c>
      <c r="D80" s="712" t="s">
        <v>3542</v>
      </c>
      <c r="E80" s="700"/>
      <c r="F80" s="700" t="s">
        <v>3467</v>
      </c>
      <c r="G80" s="701" t="s">
        <v>3468</v>
      </c>
      <c r="H80" s="707"/>
      <c r="I80" s="700" t="s">
        <v>3469</v>
      </c>
      <c r="J80" s="701">
        <v>2.0250901E8</v>
      </c>
      <c r="K80" s="700" t="s">
        <v>3470</v>
      </c>
      <c r="L80" s="683" t="s">
        <v>3469</v>
      </c>
    </row>
    <row r="81">
      <c r="A81" s="686" t="s">
        <v>283</v>
      </c>
      <c r="B81" s="709" t="s">
        <v>285</v>
      </c>
      <c r="C81" s="708" t="str">
        <f>CONCATENATE("koma_background_",A81,"_00016")</f>
        <v>koma_background_glo_00016</v>
      </c>
      <c r="D81" s="709" t="s">
        <v>3543</v>
      </c>
      <c r="E81" s="710"/>
      <c r="F81" s="691" t="s">
        <v>3467</v>
      </c>
      <c r="G81" s="692" t="s">
        <v>3475</v>
      </c>
      <c r="H81" s="710"/>
      <c r="I81" s="691" t="s">
        <v>3469</v>
      </c>
      <c r="J81" s="692">
        <v>2.0250901E8</v>
      </c>
      <c r="K81" s="691" t="s">
        <v>3470</v>
      </c>
      <c r="L81" s="694" t="s">
        <v>3469</v>
      </c>
    </row>
    <row r="82">
      <c r="A82" s="695" t="s">
        <v>283</v>
      </c>
      <c r="B82" s="712" t="s">
        <v>285</v>
      </c>
      <c r="C82" s="711" t="str">
        <f>CONCATENATE("koma_background_",A82,"_00017")</f>
        <v>koma_background_glo_00017</v>
      </c>
      <c r="D82" s="712" t="s">
        <v>3544</v>
      </c>
      <c r="E82" s="700" t="s">
        <v>3545</v>
      </c>
      <c r="F82" s="701" t="s">
        <v>3477</v>
      </c>
      <c r="G82" s="701" t="s">
        <v>3468</v>
      </c>
      <c r="H82" s="707"/>
      <c r="I82" s="700" t="s">
        <v>3469</v>
      </c>
      <c r="J82" s="701" t="s">
        <v>3546</v>
      </c>
      <c r="K82" s="700" t="s">
        <v>3470</v>
      </c>
      <c r="L82" s="683" t="s">
        <v>3469</v>
      </c>
    </row>
    <row r="83">
      <c r="A83" s="686" t="s">
        <v>283</v>
      </c>
      <c r="B83" s="709" t="s">
        <v>285</v>
      </c>
      <c r="C83" s="708" t="str">
        <f>CONCATENATE("koma_background_",A83,"_00018")</f>
        <v>koma_background_glo_00018</v>
      </c>
      <c r="D83" s="724" t="s">
        <v>3547</v>
      </c>
      <c r="E83" s="725" t="s">
        <v>3548</v>
      </c>
      <c r="F83" s="692" t="s">
        <v>3477</v>
      </c>
      <c r="G83" s="692" t="s">
        <v>3468</v>
      </c>
      <c r="H83" s="710"/>
      <c r="I83" s="691"/>
      <c r="J83" s="692" t="s">
        <v>2048</v>
      </c>
      <c r="K83" s="691"/>
      <c r="L83" s="691"/>
    </row>
    <row r="84">
      <c r="A84" s="695" t="s">
        <v>283</v>
      </c>
      <c r="B84" s="712" t="s">
        <v>285</v>
      </c>
      <c r="C84" s="711" t="str">
        <f>CONCATENATE("koma_background_",A84,"_00019")</f>
        <v>koma_background_glo_00019</v>
      </c>
      <c r="D84" s="724" t="s">
        <v>3549</v>
      </c>
      <c r="E84" s="725" t="s">
        <v>3548</v>
      </c>
      <c r="F84" s="701" t="s">
        <v>3477</v>
      </c>
      <c r="G84" s="701" t="s">
        <v>3468</v>
      </c>
      <c r="H84" s="707"/>
      <c r="I84" s="700"/>
      <c r="J84" s="701" t="s">
        <v>2048</v>
      </c>
      <c r="K84" s="700"/>
      <c r="L84" s="700"/>
    </row>
    <row r="85">
      <c r="A85" s="686" t="s">
        <v>283</v>
      </c>
      <c r="B85" s="709" t="s">
        <v>285</v>
      </c>
      <c r="C85" s="708" t="str">
        <f>CONCATENATE("koma_background_",A85,"_00020")</f>
        <v>koma_background_glo_00020</v>
      </c>
      <c r="D85" s="724" t="s">
        <v>3550</v>
      </c>
      <c r="E85" s="725" t="s">
        <v>3548</v>
      </c>
      <c r="F85" s="692" t="s">
        <v>3477</v>
      </c>
      <c r="G85" s="692" t="s">
        <v>3468</v>
      </c>
      <c r="H85" s="710"/>
      <c r="I85" s="691"/>
      <c r="J85" s="692" t="s">
        <v>2048</v>
      </c>
      <c r="K85" s="691"/>
      <c r="L85" s="691"/>
    </row>
    <row r="86">
      <c r="A86" s="695" t="s">
        <v>283</v>
      </c>
      <c r="B86" s="712" t="s">
        <v>285</v>
      </c>
      <c r="C86" s="711" t="str">
        <f>CONCATENATE("koma_background_",A86,"_00021")</f>
        <v>koma_background_glo_00021</v>
      </c>
      <c r="D86" s="724" t="s">
        <v>3551</v>
      </c>
      <c r="E86" s="725" t="s">
        <v>3548</v>
      </c>
      <c r="F86" s="701" t="s">
        <v>3477</v>
      </c>
      <c r="G86" s="701" t="s">
        <v>3468</v>
      </c>
      <c r="H86" s="707"/>
      <c r="I86" s="700"/>
      <c r="J86" s="701" t="s">
        <v>2048</v>
      </c>
      <c r="K86" s="700"/>
      <c r="L86" s="700"/>
    </row>
    <row r="87">
      <c r="A87" s="686" t="s">
        <v>283</v>
      </c>
      <c r="B87" s="709" t="s">
        <v>285</v>
      </c>
      <c r="C87" s="708" t="str">
        <f>CONCATENATE("koma_background_",A87,"_00022")</f>
        <v>koma_background_glo_00022</v>
      </c>
      <c r="D87" s="709" t="s">
        <v>3552</v>
      </c>
      <c r="E87" s="710"/>
      <c r="F87" s="691" t="s">
        <v>3467</v>
      </c>
      <c r="G87" s="692" t="s">
        <v>3468</v>
      </c>
      <c r="H87" s="710"/>
      <c r="I87" s="691" t="s">
        <v>3469</v>
      </c>
      <c r="J87" s="692">
        <v>2.0250901E8</v>
      </c>
      <c r="K87" s="691" t="s">
        <v>3470</v>
      </c>
      <c r="L87" s="694" t="s">
        <v>3469</v>
      </c>
    </row>
    <row r="88">
      <c r="A88" s="695" t="s">
        <v>283</v>
      </c>
      <c r="B88" s="712" t="s">
        <v>285</v>
      </c>
      <c r="C88" s="711" t="str">
        <f>CONCATENATE("koma_background_",A88,"_00023")</f>
        <v>koma_background_glo_00023</v>
      </c>
      <c r="D88" s="712" t="s">
        <v>3553</v>
      </c>
      <c r="E88" s="707"/>
      <c r="F88" s="700" t="s">
        <v>3467</v>
      </c>
      <c r="G88" s="701" t="s">
        <v>3468</v>
      </c>
      <c r="H88" s="707"/>
      <c r="I88" s="700" t="s">
        <v>3469</v>
      </c>
      <c r="J88" s="701">
        <v>2.0250901E8</v>
      </c>
      <c r="K88" s="700" t="s">
        <v>3470</v>
      </c>
      <c r="L88" s="683" t="s">
        <v>3469</v>
      </c>
    </row>
    <row r="89">
      <c r="A89" s="686" t="s">
        <v>283</v>
      </c>
      <c r="B89" s="709" t="s">
        <v>285</v>
      </c>
      <c r="C89" s="708" t="str">
        <f>CONCATENATE("koma_background_",A89,"_00024")</f>
        <v>koma_background_glo_00024</v>
      </c>
      <c r="D89" s="709" t="s">
        <v>3554</v>
      </c>
      <c r="E89" s="710"/>
      <c r="F89" s="691" t="s">
        <v>3467</v>
      </c>
      <c r="G89" s="692" t="s">
        <v>3468</v>
      </c>
      <c r="H89" s="710"/>
      <c r="I89" s="691" t="s">
        <v>3469</v>
      </c>
      <c r="J89" s="692">
        <v>2.0250901E8</v>
      </c>
      <c r="K89" s="691" t="s">
        <v>3470</v>
      </c>
      <c r="L89" s="694" t="s">
        <v>3469</v>
      </c>
    </row>
    <row r="90">
      <c r="A90" s="695" t="s">
        <v>283</v>
      </c>
      <c r="B90" s="712" t="s">
        <v>285</v>
      </c>
      <c r="C90" s="711" t="str">
        <f>CONCATENATE("koma_background_",A90,"_00025")</f>
        <v>koma_background_glo_00025</v>
      </c>
      <c r="D90" s="712" t="s">
        <v>3555</v>
      </c>
      <c r="E90" s="707"/>
      <c r="F90" s="700" t="s">
        <v>3467</v>
      </c>
      <c r="G90" s="701" t="s">
        <v>3468</v>
      </c>
      <c r="H90" s="707"/>
      <c r="I90" s="700" t="s">
        <v>3469</v>
      </c>
      <c r="J90" s="701">
        <v>2.0250901E8</v>
      </c>
      <c r="K90" s="722"/>
      <c r="L90" s="683" t="s">
        <v>3469</v>
      </c>
    </row>
    <row r="91">
      <c r="A91" s="686" t="s">
        <v>283</v>
      </c>
      <c r="B91" s="709" t="s">
        <v>285</v>
      </c>
      <c r="C91" s="708" t="str">
        <f>CONCATENATE("koma_background_",A91,"_00026")</f>
        <v>koma_background_glo_00026</v>
      </c>
      <c r="D91" s="709" t="s">
        <v>3556</v>
      </c>
      <c r="E91" s="710"/>
      <c r="F91" s="691" t="s">
        <v>3477</v>
      </c>
      <c r="G91" s="692" t="s">
        <v>3468</v>
      </c>
      <c r="H91" s="710"/>
      <c r="I91" s="691" t="s">
        <v>3469</v>
      </c>
      <c r="J91" s="692">
        <v>2.0250901E8</v>
      </c>
      <c r="K91" s="723"/>
      <c r="L91" s="694" t="s">
        <v>3469</v>
      </c>
    </row>
    <row r="92">
      <c r="A92" s="695" t="s">
        <v>283</v>
      </c>
      <c r="B92" s="712" t="s">
        <v>285</v>
      </c>
      <c r="C92" s="711" t="str">
        <f>CONCATENATE("koma_background_",A92,"_00027")</f>
        <v>koma_background_glo_00027</v>
      </c>
      <c r="D92" s="712" t="s">
        <v>3557</v>
      </c>
      <c r="E92" s="707"/>
      <c r="F92" s="700" t="s">
        <v>3467</v>
      </c>
      <c r="G92" s="700" t="s">
        <v>3475</v>
      </c>
      <c r="H92" s="707"/>
      <c r="I92" s="700" t="s">
        <v>3469</v>
      </c>
      <c r="J92" s="701">
        <v>2.0250901E8</v>
      </c>
      <c r="K92" s="700"/>
      <c r="L92" s="683" t="s">
        <v>3469</v>
      </c>
    </row>
    <row r="93">
      <c r="A93" s="691" t="s">
        <v>283</v>
      </c>
      <c r="B93" s="709" t="s">
        <v>285</v>
      </c>
      <c r="C93" s="708" t="str">
        <f>CONCATENATE("koma_background_",A93,"_00028")</f>
        <v>koma_background_glo_00028</v>
      </c>
      <c r="D93" s="709" t="s">
        <v>3558</v>
      </c>
      <c r="E93" s="710"/>
      <c r="F93" s="691" t="s">
        <v>3467</v>
      </c>
      <c r="G93" s="691" t="s">
        <v>3468</v>
      </c>
      <c r="H93" s="710"/>
      <c r="I93" s="691" t="s">
        <v>3469</v>
      </c>
      <c r="J93" s="692">
        <v>2.0250901E8</v>
      </c>
      <c r="K93" s="691"/>
      <c r="L93" s="694" t="s">
        <v>3469</v>
      </c>
    </row>
    <row r="94">
      <c r="A94" s="700" t="s">
        <v>283</v>
      </c>
      <c r="B94" s="712" t="s">
        <v>285</v>
      </c>
      <c r="C94" s="711" t="str">
        <f>CONCATENATE("koma_background_",A94,"_00029")</f>
        <v>koma_background_glo_00029</v>
      </c>
      <c r="D94" s="712" t="s">
        <v>3559</v>
      </c>
      <c r="E94" s="707"/>
      <c r="F94" s="700" t="s">
        <v>3477</v>
      </c>
      <c r="G94" s="700" t="s">
        <v>3468</v>
      </c>
      <c r="H94" s="707"/>
      <c r="I94" s="700" t="s">
        <v>3469</v>
      </c>
      <c r="J94" s="701">
        <v>2.0250901E8</v>
      </c>
      <c r="K94" s="700"/>
      <c r="L94" s="683" t="s">
        <v>3469</v>
      </c>
    </row>
    <row r="95">
      <c r="A95" s="691" t="s">
        <v>283</v>
      </c>
      <c r="B95" s="709" t="s">
        <v>285</v>
      </c>
      <c r="C95" s="708" t="str">
        <f>CONCATENATE("koma_background_",A95,"_00030")</f>
        <v>koma_background_glo_00030</v>
      </c>
      <c r="D95" s="709" t="s">
        <v>3560</v>
      </c>
      <c r="E95" s="726" t="s">
        <v>3561</v>
      </c>
      <c r="F95" s="691" t="s">
        <v>3467</v>
      </c>
      <c r="G95" s="691" t="s">
        <v>3468</v>
      </c>
      <c r="H95" s="710"/>
      <c r="I95" s="691" t="s">
        <v>3469</v>
      </c>
      <c r="J95" s="692" t="s">
        <v>2048</v>
      </c>
      <c r="K95" s="691"/>
      <c r="L95" s="691" t="s">
        <v>3518</v>
      </c>
    </row>
    <row r="96">
      <c r="A96" s="700" t="s">
        <v>283</v>
      </c>
      <c r="B96" s="712" t="s">
        <v>285</v>
      </c>
      <c r="C96" s="711" t="str">
        <f>CONCATENATE("koma_background_",A96,"_00031")</f>
        <v>koma_background_glo_00031</v>
      </c>
      <c r="D96" s="712" t="s">
        <v>3562</v>
      </c>
      <c r="E96" s="707"/>
      <c r="F96" s="700" t="s">
        <v>3467</v>
      </c>
      <c r="G96" s="700" t="s">
        <v>3475</v>
      </c>
      <c r="H96" s="707"/>
      <c r="I96" s="700" t="s">
        <v>3469</v>
      </c>
      <c r="J96" s="701" t="s">
        <v>2048</v>
      </c>
      <c r="K96" s="700"/>
      <c r="L96" s="683" t="s">
        <v>3469</v>
      </c>
    </row>
    <row r="97">
      <c r="A97" s="691" t="s">
        <v>283</v>
      </c>
      <c r="B97" s="709" t="s">
        <v>285</v>
      </c>
      <c r="C97" s="708" t="str">
        <f>CONCATENATE("koma_background_",A97,"_00032")</f>
        <v>koma_background_glo_00032</v>
      </c>
      <c r="D97" s="709" t="s">
        <v>3563</v>
      </c>
      <c r="E97" s="710"/>
      <c r="F97" s="691" t="s">
        <v>3467</v>
      </c>
      <c r="G97" s="691" t="s">
        <v>3468</v>
      </c>
      <c r="H97" s="710"/>
      <c r="I97" s="691" t="s">
        <v>3469</v>
      </c>
      <c r="J97" s="692" t="s">
        <v>2048</v>
      </c>
      <c r="K97" s="691"/>
      <c r="L97" s="694" t="s">
        <v>3469</v>
      </c>
    </row>
    <row r="98">
      <c r="A98" s="700" t="s">
        <v>283</v>
      </c>
      <c r="B98" s="712" t="s">
        <v>285</v>
      </c>
      <c r="C98" s="711" t="str">
        <f>CONCATENATE("koma_background_",A98,"_00033")</f>
        <v>koma_background_glo_00033</v>
      </c>
      <c r="D98" s="727" t="s">
        <v>3564</v>
      </c>
      <c r="E98" s="707"/>
      <c r="F98" s="700" t="s">
        <v>3467</v>
      </c>
      <c r="G98" s="700" t="s">
        <v>3468</v>
      </c>
      <c r="H98" s="707"/>
      <c r="I98" s="700" t="s">
        <v>3469</v>
      </c>
      <c r="J98" s="701" t="s">
        <v>2048</v>
      </c>
      <c r="K98" s="700"/>
      <c r="L98" s="683" t="s">
        <v>3469</v>
      </c>
    </row>
    <row r="99">
      <c r="A99" s="691" t="s">
        <v>283</v>
      </c>
      <c r="B99" s="709" t="s">
        <v>285</v>
      </c>
      <c r="C99" s="708" t="str">
        <f>CONCATENATE("koma_background_",A99,"_00034")</f>
        <v>koma_background_glo_00034</v>
      </c>
      <c r="D99" s="709" t="s">
        <v>3565</v>
      </c>
      <c r="E99" s="710"/>
      <c r="F99" s="691" t="s">
        <v>3467</v>
      </c>
      <c r="G99" s="691" t="s">
        <v>3468</v>
      </c>
      <c r="H99" s="710"/>
      <c r="I99" s="691" t="s">
        <v>3469</v>
      </c>
      <c r="J99" s="692" t="s">
        <v>2048</v>
      </c>
      <c r="K99" s="710"/>
      <c r="L99" s="691" t="s">
        <v>3518</v>
      </c>
    </row>
    <row r="100">
      <c r="A100" s="700" t="s">
        <v>283</v>
      </c>
      <c r="B100" s="712" t="s">
        <v>285</v>
      </c>
      <c r="C100" s="711" t="str">
        <f>CONCATENATE("koma_background_",A100,"_00035")</f>
        <v>koma_background_glo_00035</v>
      </c>
      <c r="D100" s="712" t="s">
        <v>3566</v>
      </c>
      <c r="E100" s="707"/>
      <c r="F100" s="700" t="s">
        <v>3467</v>
      </c>
      <c r="G100" s="700" t="s">
        <v>3468</v>
      </c>
      <c r="H100" s="707"/>
      <c r="I100" s="700" t="s">
        <v>3518</v>
      </c>
      <c r="J100" s="701" t="s">
        <v>2048</v>
      </c>
      <c r="K100" s="707"/>
      <c r="L100" s="700" t="s">
        <v>3518</v>
      </c>
    </row>
    <row r="101">
      <c r="A101" s="691" t="s">
        <v>283</v>
      </c>
      <c r="B101" s="709" t="s">
        <v>285</v>
      </c>
      <c r="C101" s="708" t="str">
        <f>CONCATENATE("koma_background_",A101,"_00036")</f>
        <v>koma_background_glo_00036</v>
      </c>
      <c r="D101" s="709" t="s">
        <v>3567</v>
      </c>
      <c r="E101" s="710"/>
      <c r="F101" s="691" t="s">
        <v>3467</v>
      </c>
      <c r="G101" s="691" t="s">
        <v>3468</v>
      </c>
      <c r="H101" s="710"/>
      <c r="I101" s="691" t="s">
        <v>3469</v>
      </c>
      <c r="J101" s="710"/>
      <c r="K101" s="710"/>
      <c r="L101" s="691" t="s">
        <v>3469</v>
      </c>
    </row>
    <row r="102">
      <c r="A102" s="707"/>
      <c r="B102" s="711"/>
      <c r="C102" s="711"/>
      <c r="D102" s="711"/>
      <c r="E102" s="707"/>
      <c r="F102" s="707"/>
      <c r="G102" s="707"/>
      <c r="H102" s="707"/>
      <c r="I102" s="707"/>
      <c r="J102" s="707"/>
      <c r="K102" s="707"/>
      <c r="L102" s="707"/>
    </row>
    <row r="103">
      <c r="A103" s="710"/>
      <c r="B103" s="708"/>
      <c r="C103" s="708"/>
      <c r="D103" s="708"/>
      <c r="E103" s="710"/>
      <c r="F103" s="710"/>
      <c r="G103" s="710"/>
      <c r="H103" s="710"/>
      <c r="I103" s="710"/>
      <c r="J103" s="710"/>
      <c r="K103" s="710"/>
      <c r="L103" s="710"/>
    </row>
    <row r="104">
      <c r="A104" s="707"/>
      <c r="B104" s="711"/>
      <c r="C104" s="711"/>
      <c r="D104" s="711"/>
      <c r="E104" s="707"/>
      <c r="F104" s="707"/>
      <c r="G104" s="707"/>
      <c r="H104" s="707"/>
      <c r="I104" s="707"/>
      <c r="J104" s="707"/>
      <c r="K104" s="707"/>
      <c r="L104" s="707"/>
    </row>
    <row r="105">
      <c r="A105" s="710"/>
      <c r="B105" s="708"/>
      <c r="C105" s="708"/>
      <c r="D105" s="708"/>
      <c r="E105" s="710"/>
      <c r="F105" s="710"/>
      <c r="G105" s="710"/>
      <c r="H105" s="710"/>
      <c r="I105" s="710"/>
      <c r="J105" s="710"/>
      <c r="K105" s="710"/>
      <c r="L105" s="710"/>
    </row>
    <row r="106">
      <c r="A106" s="707"/>
      <c r="B106" s="711"/>
      <c r="C106" s="711"/>
      <c r="D106" s="711"/>
      <c r="E106" s="707"/>
      <c r="F106" s="707"/>
      <c r="G106" s="707"/>
      <c r="H106" s="707"/>
      <c r="I106" s="707"/>
      <c r="J106" s="707"/>
      <c r="K106" s="707"/>
      <c r="L106" s="707"/>
    </row>
    <row r="107">
      <c r="A107" s="710"/>
      <c r="B107" s="708"/>
      <c r="C107" s="708"/>
      <c r="D107" s="708"/>
      <c r="E107" s="710"/>
      <c r="F107" s="710"/>
      <c r="G107" s="710"/>
      <c r="H107" s="710"/>
      <c r="I107" s="710"/>
      <c r="J107" s="710"/>
      <c r="K107" s="710"/>
      <c r="L107" s="710"/>
    </row>
    <row r="108">
      <c r="A108" s="707"/>
      <c r="B108" s="711"/>
      <c r="C108" s="711"/>
      <c r="D108" s="711"/>
      <c r="E108" s="707"/>
      <c r="F108" s="707"/>
      <c r="G108" s="707"/>
      <c r="H108" s="707"/>
      <c r="I108" s="707"/>
      <c r="J108" s="707"/>
      <c r="K108" s="707"/>
      <c r="L108" s="707"/>
    </row>
    <row r="109">
      <c r="A109" s="710"/>
      <c r="B109" s="708"/>
      <c r="C109" s="708"/>
      <c r="D109" s="708"/>
      <c r="E109" s="710"/>
      <c r="F109" s="710"/>
      <c r="G109" s="710"/>
      <c r="H109" s="710"/>
      <c r="I109" s="710"/>
      <c r="J109" s="710"/>
      <c r="K109" s="710"/>
      <c r="L109" s="710"/>
    </row>
    <row r="110">
      <c r="A110" s="728"/>
      <c r="B110" s="729"/>
      <c r="C110" s="729"/>
      <c r="D110" s="729"/>
      <c r="E110" s="728"/>
      <c r="F110" s="728"/>
      <c r="G110" s="728"/>
      <c r="H110" s="728"/>
      <c r="I110" s="728"/>
      <c r="J110" s="728"/>
      <c r="K110" s="728"/>
      <c r="L110" s="728"/>
    </row>
  </sheetData>
  <autoFilter ref="$A$1:$K$64"/>
  <conditionalFormatting sqref="C2:C110">
    <cfRule type="expression" dxfId="0" priority="1">
      <formula>COUNTIF(C:C,C:C)&gt;1</formula>
    </cfRule>
  </conditionalFormatting>
  <dataValidations>
    <dataValidation type="list" allowBlank="1" showErrorMessage="1" sqref="B2:B110">
      <formula1>'作品'!$D$2:$D$44</formula1>
    </dataValidation>
    <dataValidation type="list" allowBlank="1" showErrorMessage="1" sqref="G2:G110">
      <formula1>"対応,非対応"</formula1>
    </dataValidation>
    <dataValidation type="list" allowBlank="1" showErrorMessage="1" sqref="I2:I110 L2:L110">
      <formula1>"完了,まだ"</formula1>
    </dataValidation>
    <dataValidation type="list" allowBlank="1" showErrorMessage="1" sqref="A2:A110">
      <formula1>'作品'!$A$2:$A$44</formula1>
    </dataValidation>
    <dataValidation type="list" allowBlank="1" showErrorMessage="1" sqref="F2:F110">
      <formula1>"可,不可"</formula1>
    </dataValidation>
  </dataValidations>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75"/>
    <col customWidth="1" min="3" max="5" width="18.13"/>
    <col customWidth="1" min="10" max="10" width="2.13"/>
  </cols>
  <sheetData>
    <row r="1">
      <c r="A1" s="730" t="s">
        <v>950</v>
      </c>
      <c r="B1" s="731" t="s">
        <v>43</v>
      </c>
      <c r="C1" s="82" t="s">
        <v>3568</v>
      </c>
      <c r="D1" s="732" t="s">
        <v>3569</v>
      </c>
      <c r="E1" s="732" t="s">
        <v>3570</v>
      </c>
      <c r="F1" s="303" t="s">
        <v>426</v>
      </c>
      <c r="G1" s="303" t="s">
        <v>3571</v>
      </c>
      <c r="H1" s="303" t="s">
        <v>2934</v>
      </c>
      <c r="I1" s="407" t="s">
        <v>58</v>
      </c>
      <c r="J1" s="85"/>
    </row>
    <row r="2">
      <c r="A2" s="44" t="s">
        <v>60</v>
      </c>
      <c r="B2" s="55" t="s">
        <v>62</v>
      </c>
      <c r="C2" s="733" t="s">
        <v>2459</v>
      </c>
      <c r="D2" s="53" t="s">
        <v>3572</v>
      </c>
      <c r="E2" s="53" t="s">
        <v>3573</v>
      </c>
      <c r="F2" s="98"/>
      <c r="G2" s="98"/>
      <c r="H2" s="98"/>
      <c r="I2" s="98"/>
      <c r="J2" s="85"/>
    </row>
    <row r="3">
      <c r="A3" s="44" t="s">
        <v>60</v>
      </c>
      <c r="B3" s="55" t="s">
        <v>62</v>
      </c>
      <c r="C3" s="733" t="s">
        <v>2459</v>
      </c>
      <c r="D3" s="53" t="s">
        <v>3574</v>
      </c>
      <c r="E3" s="53"/>
      <c r="F3" s="98"/>
      <c r="G3" s="98"/>
      <c r="H3" s="98"/>
      <c r="I3" s="98"/>
      <c r="J3" s="85"/>
    </row>
    <row r="4">
      <c r="A4" s="44" t="s">
        <v>68</v>
      </c>
      <c r="B4" s="55" t="s">
        <v>70</v>
      </c>
      <c r="C4" s="733" t="s">
        <v>2459</v>
      </c>
      <c r="D4" s="53" t="s">
        <v>3575</v>
      </c>
      <c r="E4" s="98"/>
      <c r="F4" s="98"/>
      <c r="G4" s="98"/>
      <c r="H4" s="98"/>
      <c r="I4" s="98"/>
      <c r="J4" s="85"/>
    </row>
    <row r="5">
      <c r="A5" s="44" t="s">
        <v>75</v>
      </c>
      <c r="B5" s="55" t="s">
        <v>77</v>
      </c>
      <c r="C5" s="733" t="s">
        <v>2459</v>
      </c>
      <c r="D5" s="53" t="s">
        <v>3576</v>
      </c>
      <c r="E5" s="98"/>
      <c r="F5" s="98"/>
      <c r="G5" s="98"/>
      <c r="H5" s="98"/>
      <c r="I5" s="98"/>
      <c r="J5" s="85"/>
    </row>
    <row r="6">
      <c r="A6" s="44" t="s">
        <v>80</v>
      </c>
      <c r="B6" s="55" t="s">
        <v>82</v>
      </c>
      <c r="C6" s="733" t="s">
        <v>2459</v>
      </c>
      <c r="D6" s="53" t="s">
        <v>3577</v>
      </c>
      <c r="E6" s="53" t="s">
        <v>2890</v>
      </c>
      <c r="F6" s="98"/>
      <c r="G6" s="98"/>
      <c r="H6" s="98"/>
      <c r="I6" s="98"/>
      <c r="J6" s="85"/>
    </row>
    <row r="7">
      <c r="A7" s="44" t="s">
        <v>87</v>
      </c>
      <c r="B7" s="55" t="s">
        <v>89</v>
      </c>
      <c r="C7" s="733" t="s">
        <v>2459</v>
      </c>
      <c r="D7" s="53" t="s">
        <v>3578</v>
      </c>
      <c r="E7" s="98"/>
      <c r="F7" s="98"/>
      <c r="G7" s="98"/>
      <c r="H7" s="98"/>
      <c r="I7" s="98"/>
      <c r="J7" s="85"/>
    </row>
    <row r="8">
      <c r="A8" s="44" t="s">
        <v>92</v>
      </c>
      <c r="B8" s="55" t="s">
        <v>94</v>
      </c>
      <c r="C8" s="733" t="s">
        <v>2459</v>
      </c>
      <c r="D8" s="53" t="s">
        <v>3579</v>
      </c>
      <c r="E8" s="98"/>
      <c r="F8" s="98"/>
      <c r="G8" s="98"/>
      <c r="H8" s="98"/>
      <c r="I8" s="98"/>
      <c r="J8" s="85"/>
    </row>
    <row r="9">
      <c r="A9" s="44" t="s">
        <v>109</v>
      </c>
      <c r="B9" s="55" t="s">
        <v>111</v>
      </c>
      <c r="C9" s="733" t="s">
        <v>2459</v>
      </c>
      <c r="D9" s="53" t="s">
        <v>3580</v>
      </c>
      <c r="E9" s="98"/>
      <c r="F9" s="98"/>
      <c r="G9" s="98"/>
      <c r="H9" s="98"/>
      <c r="I9" s="98"/>
      <c r="J9" s="85"/>
    </row>
    <row r="10">
      <c r="A10" s="44" t="s">
        <v>115</v>
      </c>
      <c r="B10" s="55" t="s">
        <v>117</v>
      </c>
      <c r="C10" s="733" t="s">
        <v>2459</v>
      </c>
      <c r="D10" s="53" t="s">
        <v>3581</v>
      </c>
      <c r="E10" s="53" t="s">
        <v>1794</v>
      </c>
      <c r="F10" s="98"/>
      <c r="G10" s="98"/>
      <c r="H10" s="98"/>
      <c r="I10" s="98"/>
      <c r="J10" s="85"/>
    </row>
    <row r="11">
      <c r="A11" s="44" t="s">
        <v>121</v>
      </c>
      <c r="B11" s="55" t="s">
        <v>123</v>
      </c>
      <c r="C11" s="733" t="s">
        <v>2459</v>
      </c>
      <c r="D11" s="53" t="s">
        <v>3582</v>
      </c>
      <c r="E11" s="98"/>
      <c r="F11" s="98"/>
      <c r="G11" s="98"/>
      <c r="H11" s="98"/>
      <c r="I11" s="98"/>
      <c r="J11" s="85"/>
    </row>
    <row r="12">
      <c r="A12" s="44" t="s">
        <v>127</v>
      </c>
      <c r="B12" s="55" t="s">
        <v>129</v>
      </c>
      <c r="C12" s="733" t="s">
        <v>2459</v>
      </c>
      <c r="D12" s="53" t="s">
        <v>3583</v>
      </c>
      <c r="E12" s="98"/>
      <c r="F12" s="98"/>
      <c r="G12" s="98"/>
      <c r="H12" s="98"/>
      <c r="I12" s="98"/>
      <c r="J12" s="85"/>
    </row>
    <row r="13">
      <c r="A13" s="44" t="s">
        <v>132</v>
      </c>
      <c r="B13" s="55" t="s">
        <v>134</v>
      </c>
      <c r="C13" s="733" t="s">
        <v>2459</v>
      </c>
      <c r="D13" s="53" t="s">
        <v>3584</v>
      </c>
      <c r="E13" s="98"/>
      <c r="F13" s="98"/>
      <c r="G13" s="98"/>
      <c r="H13" s="98"/>
      <c r="I13" s="98"/>
      <c r="J13" s="85"/>
    </row>
    <row r="14">
      <c r="A14" s="44" t="s">
        <v>138</v>
      </c>
      <c r="B14" s="55" t="s">
        <v>140</v>
      </c>
      <c r="C14" s="733" t="s">
        <v>2459</v>
      </c>
      <c r="D14" s="53" t="s">
        <v>3585</v>
      </c>
      <c r="E14" s="98"/>
      <c r="F14" s="98"/>
      <c r="G14" s="98"/>
      <c r="H14" s="98"/>
      <c r="I14" s="98"/>
      <c r="J14" s="85"/>
    </row>
    <row r="15">
      <c r="A15" s="44" t="s">
        <v>153</v>
      </c>
      <c r="B15" s="55" t="s">
        <v>155</v>
      </c>
      <c r="C15" s="733" t="s">
        <v>2459</v>
      </c>
      <c r="D15" s="53" t="s">
        <v>3586</v>
      </c>
      <c r="E15" s="98"/>
      <c r="F15" s="98"/>
      <c r="G15" s="98"/>
      <c r="H15" s="98"/>
      <c r="I15" s="98"/>
      <c r="J15" s="85"/>
    </row>
    <row r="16">
      <c r="A16" s="44" t="s">
        <v>148</v>
      </c>
      <c r="B16" s="55" t="s">
        <v>150</v>
      </c>
      <c r="C16" s="733" t="s">
        <v>2459</v>
      </c>
      <c r="D16" s="53" t="s">
        <v>3587</v>
      </c>
      <c r="E16" s="400" t="s">
        <v>3588</v>
      </c>
      <c r="F16" s="98"/>
      <c r="G16" s="98"/>
      <c r="H16" s="98"/>
      <c r="I16" s="98"/>
      <c r="J16" s="85"/>
    </row>
    <row r="17">
      <c r="A17" s="55" t="s">
        <v>98</v>
      </c>
      <c r="B17" s="53" t="s">
        <v>100</v>
      </c>
      <c r="C17" s="733" t="s">
        <v>2459</v>
      </c>
      <c r="D17" s="53" t="s">
        <v>3589</v>
      </c>
      <c r="E17" s="98"/>
      <c r="F17" s="98"/>
      <c r="G17" s="98"/>
      <c r="H17" s="98"/>
      <c r="I17" s="98"/>
      <c r="J17" s="85"/>
    </row>
    <row r="18">
      <c r="A18" s="44" t="s">
        <v>103</v>
      </c>
      <c r="B18" s="53" t="s">
        <v>105</v>
      </c>
      <c r="C18" s="733" t="s">
        <v>2459</v>
      </c>
      <c r="D18" s="53" t="s">
        <v>3590</v>
      </c>
      <c r="E18" s="98"/>
      <c r="F18" s="98"/>
      <c r="G18" s="98"/>
      <c r="H18" s="98"/>
      <c r="I18" s="98"/>
      <c r="J18" s="85"/>
    </row>
    <row r="19">
      <c r="A19" s="44" t="s">
        <v>143</v>
      </c>
      <c r="B19" s="53" t="s">
        <v>145</v>
      </c>
      <c r="C19" s="733" t="s">
        <v>2459</v>
      </c>
      <c r="D19" s="53" t="s">
        <v>3591</v>
      </c>
      <c r="E19" s="98"/>
      <c r="F19" s="98"/>
      <c r="G19" s="98"/>
      <c r="H19" s="98"/>
      <c r="I19" s="98"/>
      <c r="J19" s="85"/>
    </row>
    <row r="20">
      <c r="A20" s="44" t="s">
        <v>283</v>
      </c>
      <c r="B20" s="53" t="s">
        <v>285</v>
      </c>
      <c r="C20" s="733" t="s">
        <v>2459</v>
      </c>
      <c r="D20" s="53" t="s">
        <v>3592</v>
      </c>
      <c r="E20" s="98"/>
      <c r="F20" s="98"/>
      <c r="G20" s="98"/>
      <c r="H20" s="98"/>
      <c r="I20" s="98"/>
      <c r="J20" s="85"/>
    </row>
    <row r="21" ht="9.0" customHeight="1">
      <c r="A21" s="734"/>
      <c r="B21" s="87"/>
      <c r="C21" s="87"/>
      <c r="D21" s="87"/>
      <c r="E21" s="87"/>
      <c r="F21" s="87"/>
      <c r="G21" s="87"/>
      <c r="H21" s="87"/>
      <c r="I21" s="88"/>
      <c r="J21" s="85"/>
    </row>
    <row r="22">
      <c r="A22" s="44" t="s">
        <v>283</v>
      </c>
      <c r="B22" s="53" t="s">
        <v>285</v>
      </c>
      <c r="C22" s="53" t="s">
        <v>2451</v>
      </c>
      <c r="D22" s="53" t="s">
        <v>3593</v>
      </c>
      <c r="E22" s="98"/>
      <c r="F22" s="98"/>
      <c r="G22" s="98"/>
      <c r="H22" s="98"/>
      <c r="I22" s="98"/>
      <c r="J22" s="85"/>
    </row>
    <row r="23">
      <c r="A23" s="44" t="s">
        <v>283</v>
      </c>
      <c r="B23" s="53" t="s">
        <v>285</v>
      </c>
      <c r="C23" s="53" t="s">
        <v>2451</v>
      </c>
      <c r="D23" s="53" t="s">
        <v>3594</v>
      </c>
      <c r="E23" s="98"/>
      <c r="F23" s="98"/>
      <c r="G23" s="98"/>
      <c r="H23" s="98"/>
      <c r="I23" s="98"/>
      <c r="J23" s="85"/>
    </row>
    <row r="24">
      <c r="A24" s="44" t="s">
        <v>283</v>
      </c>
      <c r="B24" s="53" t="s">
        <v>285</v>
      </c>
      <c r="C24" s="53" t="s">
        <v>2451</v>
      </c>
      <c r="D24" s="53" t="s">
        <v>3595</v>
      </c>
      <c r="E24" s="98"/>
      <c r="F24" s="98"/>
      <c r="G24" s="98"/>
      <c r="H24" s="98"/>
      <c r="I24" s="98"/>
      <c r="J24" s="85"/>
    </row>
    <row r="25" ht="9.0" customHeight="1">
      <c r="A25" s="734"/>
      <c r="B25" s="87"/>
      <c r="C25" s="87"/>
      <c r="D25" s="87"/>
      <c r="E25" s="87"/>
      <c r="F25" s="87"/>
      <c r="G25" s="87"/>
      <c r="H25" s="87"/>
      <c r="I25" s="88"/>
      <c r="J25" s="85"/>
    </row>
    <row r="26">
      <c r="A26" s="99" t="s">
        <v>283</v>
      </c>
      <c r="B26" s="53" t="s">
        <v>285</v>
      </c>
      <c r="C26" s="53" t="s">
        <v>3364</v>
      </c>
      <c r="D26" s="53" t="s">
        <v>3596</v>
      </c>
      <c r="E26" s="98"/>
      <c r="F26" s="98"/>
      <c r="G26" s="98"/>
      <c r="H26" s="98"/>
      <c r="I26" s="98"/>
      <c r="J26" s="85"/>
    </row>
    <row r="27">
      <c r="A27" s="99" t="s">
        <v>283</v>
      </c>
      <c r="B27" s="53" t="s">
        <v>285</v>
      </c>
      <c r="C27" s="53" t="s">
        <v>3364</v>
      </c>
      <c r="D27" s="53" t="s">
        <v>3597</v>
      </c>
      <c r="E27" s="98"/>
      <c r="F27" s="98"/>
      <c r="G27" s="98"/>
      <c r="H27" s="98"/>
      <c r="I27" s="98"/>
      <c r="J27" s="85"/>
    </row>
    <row r="28">
      <c r="A28" s="99" t="s">
        <v>283</v>
      </c>
      <c r="B28" s="53" t="s">
        <v>285</v>
      </c>
      <c r="C28" s="53" t="s">
        <v>3364</v>
      </c>
      <c r="D28" s="53" t="s">
        <v>3598</v>
      </c>
      <c r="E28" s="98"/>
      <c r="F28" s="98"/>
      <c r="G28" s="98"/>
      <c r="H28" s="98"/>
      <c r="I28" s="98"/>
      <c r="J28" s="85"/>
    </row>
    <row r="29" ht="9.0" customHeight="1">
      <c r="A29" s="734"/>
      <c r="B29" s="87"/>
      <c r="C29" s="87"/>
      <c r="D29" s="87"/>
      <c r="E29" s="87"/>
      <c r="F29" s="87"/>
      <c r="G29" s="87"/>
      <c r="H29" s="87"/>
      <c r="I29" s="88"/>
      <c r="J29" s="85"/>
    </row>
    <row r="30">
      <c r="A30" s="99" t="s">
        <v>283</v>
      </c>
      <c r="B30" s="53" t="s">
        <v>285</v>
      </c>
      <c r="C30" s="53" t="s">
        <v>2455</v>
      </c>
      <c r="D30" s="53" t="s">
        <v>3599</v>
      </c>
      <c r="E30" s="98"/>
      <c r="F30" s="98"/>
      <c r="G30" s="98"/>
      <c r="H30" s="98"/>
      <c r="I30" s="98"/>
      <c r="J30" s="85"/>
    </row>
    <row r="31">
      <c r="A31" s="99" t="s">
        <v>283</v>
      </c>
      <c r="B31" s="53" t="s">
        <v>285</v>
      </c>
      <c r="C31" s="53" t="s">
        <v>2455</v>
      </c>
      <c r="D31" s="53" t="s">
        <v>3600</v>
      </c>
      <c r="E31" s="98"/>
      <c r="F31" s="98"/>
      <c r="G31" s="98"/>
      <c r="H31" s="98"/>
      <c r="I31" s="98"/>
      <c r="J31" s="85"/>
    </row>
    <row r="32">
      <c r="A32" s="99" t="s">
        <v>283</v>
      </c>
      <c r="B32" s="53" t="s">
        <v>285</v>
      </c>
      <c r="C32" s="53" t="s">
        <v>2455</v>
      </c>
      <c r="D32" s="53" t="s">
        <v>3601</v>
      </c>
      <c r="E32" s="98"/>
      <c r="F32" s="98"/>
      <c r="G32" s="98"/>
      <c r="H32" s="98"/>
      <c r="I32" s="98"/>
      <c r="J32" s="85"/>
    </row>
    <row r="33" ht="9.0" customHeight="1">
      <c r="A33" s="734"/>
      <c r="B33" s="87"/>
      <c r="C33" s="87"/>
      <c r="D33" s="87"/>
      <c r="E33" s="87"/>
      <c r="F33" s="87"/>
      <c r="G33" s="87"/>
      <c r="H33" s="87"/>
      <c r="I33" s="88"/>
      <c r="J33" s="85"/>
    </row>
    <row r="34">
      <c r="A34" s="99" t="s">
        <v>283</v>
      </c>
      <c r="B34" s="53" t="s">
        <v>285</v>
      </c>
      <c r="C34" s="53" t="s">
        <v>2731</v>
      </c>
      <c r="D34" s="53" t="s">
        <v>3602</v>
      </c>
      <c r="E34" s="98"/>
      <c r="F34" s="98"/>
      <c r="G34" s="98"/>
      <c r="H34" s="98"/>
      <c r="I34" s="98"/>
      <c r="J34" s="85"/>
    </row>
    <row r="35">
      <c r="A35" s="99" t="s">
        <v>283</v>
      </c>
      <c r="B35" s="53" t="s">
        <v>285</v>
      </c>
      <c r="C35" s="53" t="s">
        <v>2731</v>
      </c>
      <c r="D35" s="53" t="s">
        <v>3603</v>
      </c>
      <c r="E35" s="98"/>
      <c r="F35" s="98"/>
      <c r="G35" s="98"/>
      <c r="H35" s="98"/>
      <c r="I35" s="98"/>
      <c r="J35" s="85"/>
    </row>
    <row r="36">
      <c r="A36" s="99" t="s">
        <v>283</v>
      </c>
      <c r="B36" s="53" t="s">
        <v>285</v>
      </c>
      <c r="C36" s="53" t="s">
        <v>2731</v>
      </c>
      <c r="D36" s="53" t="s">
        <v>3604</v>
      </c>
      <c r="E36" s="98"/>
      <c r="F36" s="98"/>
      <c r="G36" s="98"/>
      <c r="H36" s="98"/>
      <c r="I36" s="98"/>
      <c r="J36" s="85"/>
    </row>
    <row r="37">
      <c r="A37" s="85"/>
      <c r="B37" s="85"/>
      <c r="C37" s="85"/>
      <c r="D37" s="85"/>
      <c r="E37" s="85"/>
      <c r="F37" s="85"/>
      <c r="G37" s="85"/>
      <c r="H37" s="85"/>
      <c r="I37" s="85"/>
      <c r="J37" s="85"/>
    </row>
    <row r="38">
      <c r="A38" s="85"/>
      <c r="B38" s="85"/>
      <c r="C38" s="85"/>
      <c r="D38" s="85"/>
      <c r="E38" s="85"/>
      <c r="F38" s="85"/>
      <c r="G38" s="85"/>
      <c r="H38" s="85"/>
      <c r="I38" s="85"/>
      <c r="J38" s="85"/>
    </row>
    <row r="39">
      <c r="A39" s="85"/>
      <c r="B39" s="85"/>
      <c r="C39" s="85"/>
      <c r="D39" s="85"/>
      <c r="E39" s="85"/>
      <c r="F39" s="85"/>
      <c r="G39" s="85"/>
      <c r="H39" s="85"/>
      <c r="I39" s="85"/>
      <c r="J39" s="85"/>
    </row>
    <row r="40">
      <c r="A40" s="85"/>
      <c r="B40" s="85"/>
      <c r="C40" s="85"/>
      <c r="D40" s="85"/>
      <c r="E40" s="85"/>
      <c r="F40" s="85"/>
      <c r="G40" s="85"/>
      <c r="H40" s="85"/>
      <c r="I40" s="85"/>
      <c r="J40" s="85"/>
    </row>
  </sheetData>
  <mergeCells count="4">
    <mergeCell ref="A21:I21"/>
    <mergeCell ref="A25:I25"/>
    <mergeCell ref="A29:I29"/>
    <mergeCell ref="A33:I33"/>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5.88"/>
    <col customWidth="1" min="2" max="2" width="11.5"/>
    <col customWidth="1" min="4" max="4" width="12.5"/>
    <col customWidth="1" min="5" max="5" width="12.88"/>
    <col customWidth="1" min="6" max="8" width="11.88"/>
    <col customWidth="1" min="9" max="9" width="8.38"/>
    <col customWidth="1" min="10" max="10" width="11.88"/>
    <col customWidth="1" min="11" max="11" width="10.0"/>
    <col customWidth="1" min="12" max="12" width="9.75"/>
    <col customWidth="1" min="13" max="13" width="11.88"/>
    <col customWidth="1" min="14" max="14" width="26.63"/>
    <col customWidth="1" min="15" max="15" width="44.5"/>
    <col customWidth="1" min="16" max="16" width="31.63"/>
    <col customWidth="1" min="17" max="17" width="55.25"/>
    <col customWidth="1" min="18" max="18" width="13.5"/>
  </cols>
  <sheetData>
    <row r="1">
      <c r="A1" s="735" t="s">
        <v>3605</v>
      </c>
      <c r="B1" s="736" t="s">
        <v>3606</v>
      </c>
      <c r="C1" s="737" t="s">
        <v>3607</v>
      </c>
      <c r="D1" s="738" t="s">
        <v>43</v>
      </c>
      <c r="E1" s="736" t="s">
        <v>3608</v>
      </c>
      <c r="F1" s="736" t="s">
        <v>3609</v>
      </c>
      <c r="G1" s="736" t="s">
        <v>3610</v>
      </c>
      <c r="H1" s="736" t="s">
        <v>3611</v>
      </c>
      <c r="I1" s="736" t="s">
        <v>3612</v>
      </c>
      <c r="J1" s="736" t="s">
        <v>3613</v>
      </c>
      <c r="K1" s="736" t="s">
        <v>3614</v>
      </c>
      <c r="L1" s="736" t="s">
        <v>3615</v>
      </c>
      <c r="M1" s="736" t="s">
        <v>3616</v>
      </c>
      <c r="N1" s="736" t="s">
        <v>3617</v>
      </c>
      <c r="O1" s="736" t="s">
        <v>3618</v>
      </c>
      <c r="P1" s="739" t="s">
        <v>3619</v>
      </c>
      <c r="Q1" s="739" t="s">
        <v>3620</v>
      </c>
      <c r="R1" s="739" t="s">
        <v>3621</v>
      </c>
      <c r="S1" s="740" t="s">
        <v>3622</v>
      </c>
      <c r="T1" s="735" t="s">
        <v>58</v>
      </c>
    </row>
    <row r="2">
      <c r="A2" s="741"/>
      <c r="B2" s="742"/>
      <c r="C2" s="237"/>
      <c r="D2" s="743"/>
      <c r="E2" s="247" t="s">
        <v>71</v>
      </c>
      <c r="F2" s="742"/>
      <c r="G2" s="742"/>
      <c r="H2" s="742"/>
      <c r="I2" s="742"/>
      <c r="J2" s="742"/>
      <c r="K2" s="742"/>
      <c r="L2" s="742" t="s">
        <v>71</v>
      </c>
      <c r="M2" s="742" t="s">
        <v>71</v>
      </c>
      <c r="N2" s="744" t="s">
        <v>3623</v>
      </c>
      <c r="O2" s="742"/>
      <c r="P2" s="745"/>
      <c r="Q2" s="745"/>
      <c r="R2" s="745"/>
      <c r="S2" s="746"/>
      <c r="T2" s="348"/>
    </row>
    <row r="3">
      <c r="A3" s="747" t="s">
        <v>3624</v>
      </c>
      <c r="B3" s="748" t="s">
        <v>2446</v>
      </c>
      <c r="C3" s="749" t="s">
        <v>60</v>
      </c>
      <c r="D3" s="750" t="str">
        <f t="array" ref="D3">iferror(INDEX('作品'!D:D,MATCH(C3,'作品'!A:A,0),0),"")</f>
        <v>SPY×FAMILY</v>
      </c>
      <c r="E3" s="751" t="str">
        <f t="array" ref="E3:E1494">iferror(vlookup(B3:B1494,'クエストカテゴリー'!$A$2:$B1494,2,false),"")</f>
        <v>main</v>
      </c>
      <c r="F3" s="748" t="s">
        <v>2527</v>
      </c>
      <c r="G3" s="748" t="s">
        <v>1762</v>
      </c>
      <c r="H3" s="748" t="s">
        <v>1762</v>
      </c>
      <c r="I3" s="748" t="s">
        <v>2433</v>
      </c>
      <c r="J3" s="748" t="s">
        <v>3625</v>
      </c>
      <c r="K3" s="748"/>
      <c r="L3" s="599" t="str">
        <f t="array" ref="L3:L1494">iferror(IFS(I3:I1494="原画","genga_",I3:I1494="セリフ","talk_"),"")</f>
        <v>genga_</v>
      </c>
      <c r="M3" s="599" t="str">
        <f t="array" ref="M3:M1494">iferror(IFS(J3:J1494="開始","_start",J3:J1494="クリア","_victory",J3:J1494="ボス出現","_appear",J3:J1494="エネミー行動","_action"),"")</f>
        <v>_start</v>
      </c>
      <c r="N3" s="599" t="str">
        <f t="shared" ref="N3:N141" si="1">CONCATENATE(L3,C3,"_",E3,"_",text(G3,"000"),"_",text(H3,"00"),M3,K3)</f>
        <v>genga_spy_main_001_01_start</v>
      </c>
      <c r="O3" s="599" t="str">
        <f t="shared" ref="O3:O141" si="2">"manga_animation_"&amp;N3</f>
        <v>manga_animation_genga_spy_main_001_01_start</v>
      </c>
      <c r="P3" s="752" t="s">
        <v>3626</v>
      </c>
      <c r="Q3" s="752"/>
      <c r="R3" s="753"/>
      <c r="S3" s="754"/>
      <c r="T3" s="754"/>
    </row>
    <row r="4">
      <c r="A4" s="747" t="s">
        <v>3624</v>
      </c>
      <c r="B4" s="748" t="s">
        <v>2446</v>
      </c>
      <c r="C4" s="749" t="s">
        <v>87</v>
      </c>
      <c r="D4" s="750" t="str">
        <f t="array" ref="D4">iferror(INDEX('作品'!D:D,MATCH(C4,'作品'!A:A,0),0),"")</f>
        <v>姫様“拷問”の時間です</v>
      </c>
      <c r="E4" s="751" t="s">
        <v>2447</v>
      </c>
      <c r="F4" s="748" t="s">
        <v>2527</v>
      </c>
      <c r="G4" s="748" t="s">
        <v>3627</v>
      </c>
      <c r="H4" s="748" t="s">
        <v>1762</v>
      </c>
      <c r="I4" s="748" t="s">
        <v>2433</v>
      </c>
      <c r="J4" s="748" t="s">
        <v>3625</v>
      </c>
      <c r="K4" s="748"/>
      <c r="L4" s="599" t="s">
        <v>3628</v>
      </c>
      <c r="M4" s="599" t="s">
        <v>3629</v>
      </c>
      <c r="N4" s="599" t="str">
        <f t="shared" si="1"/>
        <v>genga_gom_main_002_01_start</v>
      </c>
      <c r="O4" s="599" t="str">
        <f t="shared" si="2"/>
        <v>manga_animation_genga_gom_main_002_01_start</v>
      </c>
      <c r="P4" s="752" t="s">
        <v>3630</v>
      </c>
      <c r="Q4" s="753" t="s">
        <v>3631</v>
      </c>
      <c r="R4" s="753" t="s">
        <v>3632</v>
      </c>
      <c r="S4" s="754"/>
      <c r="T4" s="754"/>
    </row>
    <row r="5">
      <c r="A5" s="747" t="s">
        <v>3624</v>
      </c>
      <c r="B5" s="748" t="s">
        <v>2446</v>
      </c>
      <c r="C5" s="749" t="s">
        <v>87</v>
      </c>
      <c r="D5" s="750" t="str">
        <f t="array" ref="D5">iferror(INDEX('作品'!D:D,MATCH(C5,'作品'!A:A,0),0),"")</f>
        <v>姫様“拷問”の時間です</v>
      </c>
      <c r="E5" s="751" t="s">
        <v>2447</v>
      </c>
      <c r="F5" s="748" t="s">
        <v>2527</v>
      </c>
      <c r="G5" s="748" t="s">
        <v>3627</v>
      </c>
      <c r="H5" s="748" t="s">
        <v>1762</v>
      </c>
      <c r="I5" s="748" t="s">
        <v>2433</v>
      </c>
      <c r="J5" s="748" t="s">
        <v>3633</v>
      </c>
      <c r="K5" s="748"/>
      <c r="L5" s="599" t="s">
        <v>3628</v>
      </c>
      <c r="M5" s="599" t="s">
        <v>3634</v>
      </c>
      <c r="N5" s="599" t="str">
        <f t="shared" si="1"/>
        <v>genga_gom_main_002_01_victory</v>
      </c>
      <c r="O5" s="599" t="str">
        <f t="shared" si="2"/>
        <v>manga_animation_genga_gom_main_002_01_victory</v>
      </c>
      <c r="P5" s="752" t="s">
        <v>3635</v>
      </c>
      <c r="Q5" s="753" t="s">
        <v>3636</v>
      </c>
      <c r="R5" s="753" t="s">
        <v>3632</v>
      </c>
      <c r="S5" s="754"/>
      <c r="T5" s="754"/>
    </row>
    <row r="6">
      <c r="A6" s="747" t="s">
        <v>3624</v>
      </c>
      <c r="B6" s="748" t="s">
        <v>2446</v>
      </c>
      <c r="C6" s="749" t="s">
        <v>87</v>
      </c>
      <c r="D6" s="750" t="str">
        <f t="array" ref="D6">iferror(INDEX('作品'!D:D,MATCH(C6,'作品'!A:A,0),0),"")</f>
        <v>姫様“拷問”の時間です</v>
      </c>
      <c r="E6" s="751" t="s">
        <v>2447</v>
      </c>
      <c r="F6" s="748" t="s">
        <v>2527</v>
      </c>
      <c r="G6" s="748" t="s">
        <v>3627</v>
      </c>
      <c r="H6" s="748" t="s">
        <v>3627</v>
      </c>
      <c r="I6" s="748" t="s">
        <v>2433</v>
      </c>
      <c r="J6" s="748" t="s">
        <v>3625</v>
      </c>
      <c r="K6" s="748"/>
      <c r="L6" s="599" t="s">
        <v>3628</v>
      </c>
      <c r="M6" s="599" t="s">
        <v>3629</v>
      </c>
      <c r="N6" s="599" t="str">
        <f t="shared" si="1"/>
        <v>genga_gom_main_002_02_start</v>
      </c>
      <c r="O6" s="599" t="str">
        <f t="shared" si="2"/>
        <v>manga_animation_genga_gom_main_002_02_start</v>
      </c>
      <c r="P6" s="752" t="s">
        <v>3637</v>
      </c>
      <c r="Q6" s="753" t="s">
        <v>3638</v>
      </c>
      <c r="R6" s="753" t="s">
        <v>3632</v>
      </c>
      <c r="S6" s="754"/>
      <c r="T6" s="754"/>
    </row>
    <row r="7">
      <c r="A7" s="747" t="s">
        <v>3624</v>
      </c>
      <c r="B7" s="748" t="s">
        <v>2446</v>
      </c>
      <c r="C7" s="749" t="s">
        <v>87</v>
      </c>
      <c r="D7" s="750" t="str">
        <f t="array" ref="D7">iferror(INDEX('作品'!D:D,MATCH(C7,'作品'!A:A,0),0),"")</f>
        <v>姫様“拷問”の時間です</v>
      </c>
      <c r="E7" s="751" t="s">
        <v>2447</v>
      </c>
      <c r="F7" s="748" t="s">
        <v>2527</v>
      </c>
      <c r="G7" s="748" t="s">
        <v>3627</v>
      </c>
      <c r="H7" s="748" t="s">
        <v>3627</v>
      </c>
      <c r="I7" s="748" t="s">
        <v>2433</v>
      </c>
      <c r="J7" s="748" t="s">
        <v>3633</v>
      </c>
      <c r="K7" s="748"/>
      <c r="L7" s="599" t="s">
        <v>3628</v>
      </c>
      <c r="M7" s="599" t="s">
        <v>3634</v>
      </c>
      <c r="N7" s="599" t="str">
        <f t="shared" si="1"/>
        <v>genga_gom_main_002_02_victory</v>
      </c>
      <c r="O7" s="599" t="str">
        <f t="shared" si="2"/>
        <v>manga_animation_genga_gom_main_002_02_victory</v>
      </c>
      <c r="P7" s="752" t="s">
        <v>3639</v>
      </c>
      <c r="Q7" s="753" t="s">
        <v>3640</v>
      </c>
      <c r="R7" s="753" t="s">
        <v>3632</v>
      </c>
      <c r="S7" s="754"/>
      <c r="T7" s="754"/>
    </row>
    <row r="8">
      <c r="A8" s="747" t="s">
        <v>3624</v>
      </c>
      <c r="B8" s="748" t="s">
        <v>2446</v>
      </c>
      <c r="C8" s="749" t="s">
        <v>87</v>
      </c>
      <c r="D8" s="750" t="str">
        <f t="array" ref="D8">iferror(INDEX('作品'!D:D,MATCH(C8,'作品'!A:A,0),0),"")</f>
        <v>姫様“拷問”の時間です</v>
      </c>
      <c r="E8" s="751" t="s">
        <v>2447</v>
      </c>
      <c r="F8" s="748" t="s">
        <v>2527</v>
      </c>
      <c r="G8" s="748" t="s">
        <v>3627</v>
      </c>
      <c r="H8" s="748" t="s">
        <v>1588</v>
      </c>
      <c r="I8" s="748" t="s">
        <v>2433</v>
      </c>
      <c r="J8" s="748" t="s">
        <v>3625</v>
      </c>
      <c r="K8" s="748"/>
      <c r="L8" s="599" t="s">
        <v>3628</v>
      </c>
      <c r="M8" s="599" t="s">
        <v>3629</v>
      </c>
      <c r="N8" s="599" t="str">
        <f t="shared" si="1"/>
        <v>genga_gom_main_002_03_start</v>
      </c>
      <c r="O8" s="599" t="str">
        <f t="shared" si="2"/>
        <v>manga_animation_genga_gom_main_002_03_start</v>
      </c>
      <c r="P8" s="752" t="s">
        <v>3641</v>
      </c>
      <c r="Q8" s="753" t="s">
        <v>3642</v>
      </c>
      <c r="R8" s="753" t="s">
        <v>3632</v>
      </c>
      <c r="S8" s="754"/>
      <c r="T8" s="754"/>
    </row>
    <row r="9">
      <c r="A9" s="747" t="s">
        <v>3624</v>
      </c>
      <c r="B9" s="748" t="s">
        <v>2446</v>
      </c>
      <c r="C9" s="749" t="s">
        <v>87</v>
      </c>
      <c r="D9" s="750" t="str">
        <f t="array" ref="D9">iferror(INDEX('作品'!D:D,MATCH(C9,'作品'!A:A,0),0),"")</f>
        <v>姫様“拷問”の時間です</v>
      </c>
      <c r="E9" s="751" t="s">
        <v>2447</v>
      </c>
      <c r="F9" s="748" t="s">
        <v>2527</v>
      </c>
      <c r="G9" s="748" t="s">
        <v>3627</v>
      </c>
      <c r="H9" s="748" t="s">
        <v>1588</v>
      </c>
      <c r="I9" s="748" t="s">
        <v>2433</v>
      </c>
      <c r="J9" s="748" t="s">
        <v>3633</v>
      </c>
      <c r="K9" s="748"/>
      <c r="L9" s="599" t="s">
        <v>3628</v>
      </c>
      <c r="M9" s="599" t="s">
        <v>3634</v>
      </c>
      <c r="N9" s="599" t="str">
        <f t="shared" si="1"/>
        <v>genga_gom_main_002_03_victory</v>
      </c>
      <c r="O9" s="599" t="str">
        <f t="shared" si="2"/>
        <v>manga_animation_genga_gom_main_002_03_victory</v>
      </c>
      <c r="P9" s="752" t="s">
        <v>3643</v>
      </c>
      <c r="Q9" s="753" t="s">
        <v>3644</v>
      </c>
      <c r="R9" s="753" t="s">
        <v>3632</v>
      </c>
      <c r="S9" s="754"/>
      <c r="T9" s="754"/>
    </row>
    <row r="10">
      <c r="A10" s="747" t="s">
        <v>3624</v>
      </c>
      <c r="B10" s="748" t="s">
        <v>2446</v>
      </c>
      <c r="C10" s="749" t="s">
        <v>87</v>
      </c>
      <c r="D10" s="750" t="str">
        <f t="array" ref="D10">iferror(INDEX('作品'!D:D,MATCH(C10,'作品'!A:A,0),0),"")</f>
        <v>姫様“拷問”の時間です</v>
      </c>
      <c r="E10" s="751" t="s">
        <v>2447</v>
      </c>
      <c r="F10" s="748" t="s">
        <v>2527</v>
      </c>
      <c r="G10" s="748" t="s">
        <v>3627</v>
      </c>
      <c r="H10" s="748" t="s">
        <v>3645</v>
      </c>
      <c r="I10" s="748" t="s">
        <v>2433</v>
      </c>
      <c r="J10" s="748" t="s">
        <v>3625</v>
      </c>
      <c r="K10" s="748"/>
      <c r="L10" s="599" t="s">
        <v>3628</v>
      </c>
      <c r="M10" s="599" t="s">
        <v>3629</v>
      </c>
      <c r="N10" s="599" t="str">
        <f t="shared" si="1"/>
        <v>genga_gom_main_002_04_start</v>
      </c>
      <c r="O10" s="599" t="str">
        <f t="shared" si="2"/>
        <v>manga_animation_genga_gom_main_002_04_start</v>
      </c>
      <c r="P10" s="752" t="s">
        <v>3646</v>
      </c>
      <c r="Q10" s="753" t="s">
        <v>3647</v>
      </c>
      <c r="R10" s="753" t="s">
        <v>3632</v>
      </c>
      <c r="S10" s="754"/>
      <c r="T10" s="754"/>
    </row>
    <row r="11">
      <c r="A11" s="747" t="s">
        <v>3624</v>
      </c>
      <c r="B11" s="748" t="s">
        <v>2446</v>
      </c>
      <c r="C11" s="749" t="s">
        <v>87</v>
      </c>
      <c r="D11" s="750" t="str">
        <f t="array" ref="D11">iferror(INDEX('作品'!D:D,MATCH(C11,'作品'!A:A,0),0),"")</f>
        <v>姫様“拷問”の時間です</v>
      </c>
      <c r="E11" s="751" t="s">
        <v>2447</v>
      </c>
      <c r="F11" s="748" t="s">
        <v>2527</v>
      </c>
      <c r="G11" s="748" t="s">
        <v>3627</v>
      </c>
      <c r="H11" s="748" t="s">
        <v>3645</v>
      </c>
      <c r="I11" s="748" t="s">
        <v>2433</v>
      </c>
      <c r="J11" s="748" t="s">
        <v>3633</v>
      </c>
      <c r="K11" s="748"/>
      <c r="L11" s="599" t="s">
        <v>3628</v>
      </c>
      <c r="M11" s="599" t="s">
        <v>3634</v>
      </c>
      <c r="N11" s="599" t="str">
        <f t="shared" si="1"/>
        <v>genga_gom_main_002_04_victory</v>
      </c>
      <c r="O11" s="599" t="str">
        <f t="shared" si="2"/>
        <v>manga_animation_genga_gom_main_002_04_victory</v>
      </c>
      <c r="P11" s="752" t="s">
        <v>3648</v>
      </c>
      <c r="Q11" s="753" t="s">
        <v>3649</v>
      </c>
      <c r="R11" s="753" t="s">
        <v>3632</v>
      </c>
      <c r="S11" s="754"/>
      <c r="T11" s="754"/>
    </row>
    <row r="12">
      <c r="A12" s="747" t="s">
        <v>3624</v>
      </c>
      <c r="B12" s="748" t="s">
        <v>2446</v>
      </c>
      <c r="C12" s="749" t="s">
        <v>87</v>
      </c>
      <c r="D12" s="750" t="str">
        <f t="array" ref="D12">iferror(INDEX('作品'!D:D,MATCH(C12,'作品'!A:A,0),0),"")</f>
        <v>姫様“拷問”の時間です</v>
      </c>
      <c r="E12" s="751" t="s">
        <v>2447</v>
      </c>
      <c r="F12" s="748" t="s">
        <v>2527</v>
      </c>
      <c r="G12" s="748" t="s">
        <v>3627</v>
      </c>
      <c r="H12" s="748" t="s">
        <v>3650</v>
      </c>
      <c r="I12" s="748" t="s">
        <v>2433</v>
      </c>
      <c r="J12" s="748" t="s">
        <v>3625</v>
      </c>
      <c r="K12" s="748"/>
      <c r="L12" s="599" t="s">
        <v>3628</v>
      </c>
      <c r="M12" s="599" t="s">
        <v>3629</v>
      </c>
      <c r="N12" s="599" t="str">
        <f t="shared" si="1"/>
        <v>genga_gom_main_002_05_start</v>
      </c>
      <c r="O12" s="599" t="str">
        <f t="shared" si="2"/>
        <v>manga_animation_genga_gom_main_002_05_start</v>
      </c>
      <c r="P12" s="752" t="s">
        <v>3651</v>
      </c>
      <c r="Q12" s="753" t="s">
        <v>3652</v>
      </c>
      <c r="R12" s="753" t="s">
        <v>3632</v>
      </c>
      <c r="S12" s="754"/>
      <c r="T12" s="754"/>
    </row>
    <row r="13">
      <c r="A13" s="747" t="s">
        <v>3624</v>
      </c>
      <c r="B13" s="748" t="s">
        <v>2446</v>
      </c>
      <c r="C13" s="749" t="s">
        <v>87</v>
      </c>
      <c r="D13" s="750" t="str">
        <f t="array" ref="D13">iferror(INDEX('作品'!D:D,MATCH(C13,'作品'!A:A,0),0),"")</f>
        <v>姫様“拷問”の時間です</v>
      </c>
      <c r="E13" s="751" t="s">
        <v>2447</v>
      </c>
      <c r="F13" s="748" t="s">
        <v>2527</v>
      </c>
      <c r="G13" s="748" t="s">
        <v>3627</v>
      </c>
      <c r="H13" s="748" t="s">
        <v>3650</v>
      </c>
      <c r="I13" s="748" t="s">
        <v>2433</v>
      </c>
      <c r="J13" s="748" t="s">
        <v>3633</v>
      </c>
      <c r="K13" s="748"/>
      <c r="L13" s="599" t="s">
        <v>3628</v>
      </c>
      <c r="M13" s="599" t="s">
        <v>3634</v>
      </c>
      <c r="N13" s="599" t="str">
        <f t="shared" si="1"/>
        <v>genga_gom_main_002_05_victory</v>
      </c>
      <c r="O13" s="599" t="str">
        <f t="shared" si="2"/>
        <v>manga_animation_genga_gom_main_002_05_victory</v>
      </c>
      <c r="P13" s="752" t="s">
        <v>3653</v>
      </c>
      <c r="Q13" s="753" t="s">
        <v>3654</v>
      </c>
      <c r="R13" s="753" t="s">
        <v>3632</v>
      </c>
      <c r="S13" s="754"/>
      <c r="T13" s="754"/>
    </row>
    <row r="14">
      <c r="A14" s="747" t="s">
        <v>3624</v>
      </c>
      <c r="B14" s="748" t="s">
        <v>2446</v>
      </c>
      <c r="C14" s="749" t="s">
        <v>87</v>
      </c>
      <c r="D14" s="750" t="str">
        <f t="array" ref="D14">iferror(INDEX('作品'!D:D,MATCH(C14,'作品'!A:A,0),0),"")</f>
        <v>姫様“拷問”の時間です</v>
      </c>
      <c r="E14" s="751" t="s">
        <v>2447</v>
      </c>
      <c r="F14" s="748" t="s">
        <v>2527</v>
      </c>
      <c r="G14" s="748" t="s">
        <v>3627</v>
      </c>
      <c r="H14" s="748" t="s">
        <v>3655</v>
      </c>
      <c r="I14" s="748" t="s">
        <v>2433</v>
      </c>
      <c r="J14" s="748" t="s">
        <v>3656</v>
      </c>
      <c r="K14" s="748" t="s">
        <v>3657</v>
      </c>
      <c r="L14" s="599" t="s">
        <v>3628</v>
      </c>
      <c r="M14" s="599" t="s">
        <v>3658</v>
      </c>
      <c r="N14" s="599" t="str">
        <f t="shared" si="1"/>
        <v>genga_gom_main_002_06_appear_torcher</v>
      </c>
      <c r="O14" s="599" t="str">
        <f t="shared" si="2"/>
        <v>manga_animation_genga_gom_main_002_06_appear_torcher</v>
      </c>
      <c r="P14" s="752" t="s">
        <v>3659</v>
      </c>
      <c r="Q14" s="753" t="s">
        <v>3660</v>
      </c>
      <c r="R14" s="753" t="s">
        <v>3632</v>
      </c>
      <c r="S14" s="754"/>
      <c r="T14" s="754"/>
    </row>
    <row r="15">
      <c r="A15" s="747" t="s">
        <v>3624</v>
      </c>
      <c r="B15" s="748" t="s">
        <v>2446</v>
      </c>
      <c r="C15" s="749" t="s">
        <v>87</v>
      </c>
      <c r="D15" s="750" t="str">
        <f t="array" ref="D15">iferror(INDEX('作品'!D:D,MATCH(C15,'作品'!A:A,0),0),"")</f>
        <v>姫様“拷問”の時間です</v>
      </c>
      <c r="E15" s="751" t="s">
        <v>2447</v>
      </c>
      <c r="F15" s="748" t="s">
        <v>2527</v>
      </c>
      <c r="G15" s="748" t="s">
        <v>3627</v>
      </c>
      <c r="H15" s="748" t="s">
        <v>3655</v>
      </c>
      <c r="I15" s="748" t="s">
        <v>2433</v>
      </c>
      <c r="J15" s="748" t="s">
        <v>3656</v>
      </c>
      <c r="K15" s="748" t="s">
        <v>3661</v>
      </c>
      <c r="L15" s="599" t="s">
        <v>3628</v>
      </c>
      <c r="M15" s="599" t="s">
        <v>3658</v>
      </c>
      <c r="N15" s="599" t="str">
        <f t="shared" si="1"/>
        <v>genga_gom_main_002_06_appear_kurol</v>
      </c>
      <c r="O15" s="599" t="str">
        <f t="shared" si="2"/>
        <v>manga_animation_genga_gom_main_002_06_appear_kurol</v>
      </c>
      <c r="P15" s="752" t="s">
        <v>3662</v>
      </c>
      <c r="Q15" s="753" t="s">
        <v>3663</v>
      </c>
      <c r="R15" s="753" t="s">
        <v>3632</v>
      </c>
      <c r="S15" s="754"/>
      <c r="T15" s="754"/>
    </row>
    <row r="16">
      <c r="A16" s="747" t="s">
        <v>3624</v>
      </c>
      <c r="B16" s="748" t="s">
        <v>2446</v>
      </c>
      <c r="C16" s="749" t="s">
        <v>87</v>
      </c>
      <c r="D16" s="750" t="str">
        <f t="array" ref="D16">iferror(INDEX('作品'!D:D,MATCH(C16,'作品'!A:A,0),0),"")</f>
        <v>姫様“拷問”の時間です</v>
      </c>
      <c r="E16" s="751" t="s">
        <v>2447</v>
      </c>
      <c r="F16" s="748" t="s">
        <v>2527</v>
      </c>
      <c r="G16" s="748" t="s">
        <v>3627</v>
      </c>
      <c r="H16" s="748" t="s">
        <v>3655</v>
      </c>
      <c r="I16" s="748" t="s">
        <v>2433</v>
      </c>
      <c r="J16" s="748" t="s">
        <v>3656</v>
      </c>
      <c r="K16" s="748" t="s">
        <v>3664</v>
      </c>
      <c r="L16" s="599" t="s">
        <v>3628</v>
      </c>
      <c r="M16" s="599" t="s">
        <v>3658</v>
      </c>
      <c r="N16" s="599" t="str">
        <f t="shared" si="1"/>
        <v>genga_gom_main_002_06_appear_hime</v>
      </c>
      <c r="O16" s="599" t="str">
        <f t="shared" si="2"/>
        <v>manga_animation_genga_gom_main_002_06_appear_hime</v>
      </c>
      <c r="P16" s="752" t="s">
        <v>3665</v>
      </c>
      <c r="Q16" s="753" t="s">
        <v>3666</v>
      </c>
      <c r="R16" s="753" t="s">
        <v>3632</v>
      </c>
      <c r="S16" s="754"/>
      <c r="T16" s="754"/>
    </row>
    <row r="17">
      <c r="A17" s="747" t="s">
        <v>3624</v>
      </c>
      <c r="B17" s="755" t="s">
        <v>2446</v>
      </c>
      <c r="C17" s="756" t="s">
        <v>68</v>
      </c>
      <c r="D17" s="750" t="str">
        <f t="array" ref="D17">iferror(INDEX('作品'!D:D,MATCH(C17,'作品'!A:A,0),0),"")</f>
        <v>ラーメン赤猫</v>
      </c>
      <c r="E17" s="423" t="s">
        <v>2447</v>
      </c>
      <c r="F17" s="755" t="s">
        <v>2527</v>
      </c>
      <c r="G17" s="755" t="s">
        <v>1588</v>
      </c>
      <c r="H17" s="755" t="s">
        <v>1762</v>
      </c>
      <c r="I17" s="755" t="s">
        <v>2433</v>
      </c>
      <c r="J17" s="755" t="s">
        <v>3625</v>
      </c>
      <c r="K17" s="748"/>
      <c r="L17" s="599" t="s">
        <v>3628</v>
      </c>
      <c r="M17" s="599" t="s">
        <v>3629</v>
      </c>
      <c r="N17" s="599" t="str">
        <f t="shared" si="1"/>
        <v>genga_aka_main_003_01_start</v>
      </c>
      <c r="O17" s="599" t="str">
        <f t="shared" si="2"/>
        <v>manga_animation_genga_aka_main_003_01_start</v>
      </c>
      <c r="P17" s="752" t="s">
        <v>3667</v>
      </c>
      <c r="Q17" s="753"/>
      <c r="R17" s="753" t="s">
        <v>3632</v>
      </c>
      <c r="S17" s="754"/>
      <c r="T17" s="754"/>
    </row>
    <row r="18">
      <c r="A18" s="747" t="s">
        <v>3624</v>
      </c>
      <c r="B18" s="755" t="s">
        <v>2446</v>
      </c>
      <c r="C18" s="756" t="s">
        <v>68</v>
      </c>
      <c r="D18" s="750" t="str">
        <f t="array" ref="D18">iferror(INDEX('作品'!D:D,MATCH(C18,'作品'!A:A,0),0),"")</f>
        <v>ラーメン赤猫</v>
      </c>
      <c r="E18" s="423" t="s">
        <v>2447</v>
      </c>
      <c r="F18" s="755" t="s">
        <v>2527</v>
      </c>
      <c r="G18" s="755" t="s">
        <v>1588</v>
      </c>
      <c r="H18" s="755" t="s">
        <v>3627</v>
      </c>
      <c r="I18" s="755" t="s">
        <v>2433</v>
      </c>
      <c r="J18" s="755" t="s">
        <v>3625</v>
      </c>
      <c r="K18" s="748"/>
      <c r="L18" s="599" t="s">
        <v>3628</v>
      </c>
      <c r="M18" s="599" t="s">
        <v>3629</v>
      </c>
      <c r="N18" s="599" t="str">
        <f t="shared" si="1"/>
        <v>genga_aka_main_003_02_start</v>
      </c>
      <c r="O18" s="599" t="str">
        <f t="shared" si="2"/>
        <v>manga_animation_genga_aka_main_003_02_start</v>
      </c>
      <c r="P18" s="752" t="s">
        <v>3667</v>
      </c>
      <c r="Q18" s="753"/>
      <c r="R18" s="753" t="s">
        <v>3632</v>
      </c>
      <c r="S18" s="754"/>
      <c r="T18" s="754"/>
    </row>
    <row r="19">
      <c r="A19" s="747" t="s">
        <v>3624</v>
      </c>
      <c r="B19" s="755" t="s">
        <v>2446</v>
      </c>
      <c r="C19" s="756" t="s">
        <v>68</v>
      </c>
      <c r="D19" s="750" t="str">
        <f t="array" ref="D19">iferror(INDEX('作品'!D:D,MATCH(C19,'作品'!A:A,0),0),"")</f>
        <v>ラーメン赤猫</v>
      </c>
      <c r="E19" s="423" t="s">
        <v>2447</v>
      </c>
      <c r="F19" s="755" t="s">
        <v>2527</v>
      </c>
      <c r="G19" s="755" t="s">
        <v>1588</v>
      </c>
      <c r="H19" s="755" t="s">
        <v>1588</v>
      </c>
      <c r="I19" s="755" t="s">
        <v>2433</v>
      </c>
      <c r="J19" s="755" t="s">
        <v>3625</v>
      </c>
      <c r="K19" s="748"/>
      <c r="L19" s="599" t="s">
        <v>3628</v>
      </c>
      <c r="M19" s="599" t="s">
        <v>3629</v>
      </c>
      <c r="N19" s="599" t="str">
        <f t="shared" si="1"/>
        <v>genga_aka_main_003_03_start</v>
      </c>
      <c r="O19" s="599" t="str">
        <f t="shared" si="2"/>
        <v>manga_animation_genga_aka_main_003_03_start</v>
      </c>
      <c r="P19" s="752" t="s">
        <v>3667</v>
      </c>
      <c r="Q19" s="753"/>
      <c r="R19" s="753" t="s">
        <v>3632</v>
      </c>
      <c r="S19" s="754"/>
      <c r="T19" s="754"/>
    </row>
    <row r="20">
      <c r="A20" s="747" t="s">
        <v>3624</v>
      </c>
      <c r="B20" s="755" t="s">
        <v>2446</v>
      </c>
      <c r="C20" s="756" t="s">
        <v>68</v>
      </c>
      <c r="D20" s="750" t="str">
        <f t="array" ref="D20">iferror(INDEX('作品'!D:D,MATCH(C20,'作品'!A:A,0),0),"")</f>
        <v>ラーメン赤猫</v>
      </c>
      <c r="E20" s="423" t="s">
        <v>2447</v>
      </c>
      <c r="F20" s="755" t="s">
        <v>2527</v>
      </c>
      <c r="G20" s="755" t="s">
        <v>1588</v>
      </c>
      <c r="H20" s="755" t="s">
        <v>1762</v>
      </c>
      <c r="I20" s="755" t="s">
        <v>2433</v>
      </c>
      <c r="J20" s="755" t="s">
        <v>3633</v>
      </c>
      <c r="K20" s="748"/>
      <c r="L20" s="599" t="s">
        <v>3628</v>
      </c>
      <c r="M20" s="599" t="s">
        <v>3634</v>
      </c>
      <c r="N20" s="599" t="str">
        <f t="shared" si="1"/>
        <v>genga_aka_main_003_01_victory</v>
      </c>
      <c r="O20" s="599" t="str">
        <f t="shared" si="2"/>
        <v>manga_animation_genga_aka_main_003_01_victory</v>
      </c>
      <c r="P20" s="752" t="s">
        <v>3667</v>
      </c>
      <c r="Q20" s="753"/>
      <c r="R20" s="753" t="s">
        <v>3632</v>
      </c>
      <c r="S20" s="754"/>
      <c r="T20" s="754"/>
    </row>
    <row r="21">
      <c r="A21" s="747" t="s">
        <v>3624</v>
      </c>
      <c r="B21" s="755" t="s">
        <v>2446</v>
      </c>
      <c r="C21" s="756" t="s">
        <v>68</v>
      </c>
      <c r="D21" s="750" t="str">
        <f t="array" ref="D21">iferror(INDEX('作品'!D:D,MATCH(C21,'作品'!A:A,0),0),"")</f>
        <v>ラーメン赤猫</v>
      </c>
      <c r="E21" s="423" t="s">
        <v>2447</v>
      </c>
      <c r="F21" s="755" t="s">
        <v>2527</v>
      </c>
      <c r="G21" s="755" t="s">
        <v>1588</v>
      </c>
      <c r="H21" s="755" t="s">
        <v>3627</v>
      </c>
      <c r="I21" s="755" t="s">
        <v>2433</v>
      </c>
      <c r="J21" s="755" t="s">
        <v>3633</v>
      </c>
      <c r="K21" s="748"/>
      <c r="L21" s="599" t="s">
        <v>3628</v>
      </c>
      <c r="M21" s="599" t="s">
        <v>3634</v>
      </c>
      <c r="N21" s="599" t="str">
        <f t="shared" si="1"/>
        <v>genga_aka_main_003_02_victory</v>
      </c>
      <c r="O21" s="599" t="str">
        <f t="shared" si="2"/>
        <v>manga_animation_genga_aka_main_003_02_victory</v>
      </c>
      <c r="P21" s="752" t="s">
        <v>3667</v>
      </c>
      <c r="Q21" s="753"/>
      <c r="R21" s="753" t="s">
        <v>3632</v>
      </c>
      <c r="S21" s="754"/>
      <c r="T21" s="754"/>
    </row>
    <row r="22">
      <c r="A22" s="747" t="s">
        <v>3624</v>
      </c>
      <c r="B22" s="755" t="s">
        <v>2446</v>
      </c>
      <c r="C22" s="756" t="s">
        <v>68</v>
      </c>
      <c r="D22" s="750" t="str">
        <f t="array" ref="D22">iferror(INDEX('作品'!D:D,MATCH(C22,'作品'!A:A,0),0),"")</f>
        <v>ラーメン赤猫</v>
      </c>
      <c r="E22" s="423" t="s">
        <v>2447</v>
      </c>
      <c r="F22" s="755" t="s">
        <v>2527</v>
      </c>
      <c r="G22" s="755" t="s">
        <v>1588</v>
      </c>
      <c r="H22" s="755" t="s">
        <v>1588</v>
      </c>
      <c r="I22" s="755" t="s">
        <v>2433</v>
      </c>
      <c r="J22" s="755" t="s">
        <v>3633</v>
      </c>
      <c r="K22" s="748"/>
      <c r="L22" s="599" t="s">
        <v>3628</v>
      </c>
      <c r="M22" s="599" t="s">
        <v>3634</v>
      </c>
      <c r="N22" s="599" t="str">
        <f t="shared" si="1"/>
        <v>genga_aka_main_003_03_victory</v>
      </c>
      <c r="O22" s="599" t="str">
        <f t="shared" si="2"/>
        <v>manga_animation_genga_aka_main_003_03_victory</v>
      </c>
      <c r="P22" s="752" t="s">
        <v>3667</v>
      </c>
      <c r="Q22" s="753"/>
      <c r="R22" s="753" t="s">
        <v>3632</v>
      </c>
      <c r="S22" s="754"/>
      <c r="T22" s="754"/>
    </row>
    <row r="23">
      <c r="A23" s="747" t="s">
        <v>3624</v>
      </c>
      <c r="B23" s="748" t="s">
        <v>2446</v>
      </c>
      <c r="C23" s="749" t="s">
        <v>283</v>
      </c>
      <c r="D23" s="750" t="str">
        <f t="array" ref="D23">iferror(INDEX('作品'!D:D,MATCH(C23,'作品'!A:A,0),0),"")</f>
        <v>GLOW</v>
      </c>
      <c r="E23" s="751" t="s">
        <v>2447</v>
      </c>
      <c r="F23" s="748" t="s">
        <v>2527</v>
      </c>
      <c r="G23" s="748" t="s">
        <v>3645</v>
      </c>
      <c r="H23" s="748" t="s">
        <v>1762</v>
      </c>
      <c r="I23" s="748" t="s">
        <v>2433</v>
      </c>
      <c r="J23" s="748" t="s">
        <v>3625</v>
      </c>
      <c r="K23" s="748"/>
      <c r="L23" s="599" t="s">
        <v>3628</v>
      </c>
      <c r="M23" s="599" t="s">
        <v>3629</v>
      </c>
      <c r="N23" s="599" t="str">
        <f t="shared" si="1"/>
        <v>genga_glo_main_004_01_start</v>
      </c>
      <c r="O23" s="599" t="str">
        <f t="shared" si="2"/>
        <v>manga_animation_genga_glo_main_004_01_start</v>
      </c>
      <c r="P23" s="752" t="s">
        <v>3668</v>
      </c>
      <c r="Q23" s="753"/>
      <c r="R23" s="753" t="s">
        <v>3669</v>
      </c>
      <c r="S23" s="754"/>
      <c r="T23" s="754"/>
    </row>
    <row r="24">
      <c r="A24" s="747" t="s">
        <v>3624</v>
      </c>
      <c r="B24" s="748" t="s">
        <v>2446</v>
      </c>
      <c r="C24" s="749" t="s">
        <v>80</v>
      </c>
      <c r="D24" s="750" t="str">
        <f t="array" ref="D24">iferror(INDEX('作品'!D:D,MATCH(C24,'作品'!A:A,0),0),"")</f>
        <v>ダンダダン</v>
      </c>
      <c r="E24" s="751" t="s">
        <v>2447</v>
      </c>
      <c r="F24" s="748" t="s">
        <v>2527</v>
      </c>
      <c r="G24" s="748" t="s">
        <v>3650</v>
      </c>
      <c r="H24" s="748" t="s">
        <v>1762</v>
      </c>
      <c r="I24" s="748" t="s">
        <v>2433</v>
      </c>
      <c r="J24" s="748" t="s">
        <v>3625</v>
      </c>
      <c r="K24" s="748"/>
      <c r="L24" s="599" t="s">
        <v>3628</v>
      </c>
      <c r="M24" s="599" t="s">
        <v>3629</v>
      </c>
      <c r="N24" s="599" t="str">
        <f t="shared" si="1"/>
        <v>genga_dan_main_005_01_start</v>
      </c>
      <c r="O24" s="599" t="str">
        <f t="shared" si="2"/>
        <v>manga_animation_genga_dan_main_005_01_start</v>
      </c>
      <c r="P24" s="752" t="s">
        <v>3670</v>
      </c>
      <c r="Q24" s="753"/>
      <c r="R24" s="753" t="s">
        <v>3632</v>
      </c>
      <c r="S24" s="754"/>
      <c r="T24" s="754"/>
    </row>
    <row r="25">
      <c r="A25" s="747" t="s">
        <v>3624</v>
      </c>
      <c r="B25" s="748" t="s">
        <v>2446</v>
      </c>
      <c r="C25" s="749" t="s">
        <v>80</v>
      </c>
      <c r="D25" s="750" t="str">
        <f t="array" ref="D25">iferror(INDEX('作品'!D:D,MATCH(C25,'作品'!A:A,0),0),"")</f>
        <v>ダンダダン</v>
      </c>
      <c r="E25" s="751" t="s">
        <v>2447</v>
      </c>
      <c r="F25" s="748" t="s">
        <v>2527</v>
      </c>
      <c r="G25" s="748" t="s">
        <v>3650</v>
      </c>
      <c r="H25" s="748" t="s">
        <v>1762</v>
      </c>
      <c r="I25" s="748" t="s">
        <v>2433</v>
      </c>
      <c r="J25" s="748" t="s">
        <v>3633</v>
      </c>
      <c r="K25" s="748"/>
      <c r="L25" s="599" t="s">
        <v>3628</v>
      </c>
      <c r="M25" s="599" t="s">
        <v>3634</v>
      </c>
      <c r="N25" s="599" t="str">
        <f t="shared" si="1"/>
        <v>genga_dan_main_005_01_victory</v>
      </c>
      <c r="O25" s="599" t="str">
        <f t="shared" si="2"/>
        <v>manga_animation_genga_dan_main_005_01_victory</v>
      </c>
      <c r="P25" s="752" t="s">
        <v>3671</v>
      </c>
      <c r="Q25" s="753"/>
      <c r="R25" s="753" t="s">
        <v>3632</v>
      </c>
      <c r="S25" s="754"/>
      <c r="T25" s="754"/>
    </row>
    <row r="26">
      <c r="A26" s="747" t="s">
        <v>3624</v>
      </c>
      <c r="B26" s="748" t="s">
        <v>2446</v>
      </c>
      <c r="C26" s="749" t="s">
        <v>80</v>
      </c>
      <c r="D26" s="750" t="str">
        <f t="array" ref="D26">iferror(INDEX('作品'!D:D,MATCH(C26,'作品'!A:A,0),0),"")</f>
        <v>ダンダダン</v>
      </c>
      <c r="E26" s="751" t="s">
        <v>2447</v>
      </c>
      <c r="F26" s="748" t="s">
        <v>2527</v>
      </c>
      <c r="G26" s="748" t="s">
        <v>3650</v>
      </c>
      <c r="H26" s="748" t="s">
        <v>1762</v>
      </c>
      <c r="I26" s="748" t="s">
        <v>2433</v>
      </c>
      <c r="J26" s="748" t="s">
        <v>3656</v>
      </c>
      <c r="K26" s="748" t="s">
        <v>3672</v>
      </c>
      <c r="L26" s="599" t="s">
        <v>3628</v>
      </c>
      <c r="M26" s="599" t="s">
        <v>3658</v>
      </c>
      <c r="N26" s="599" t="str">
        <f t="shared" si="1"/>
        <v>genga_dan_main_005_01_appear_ta-bobabaa</v>
      </c>
      <c r="O26" s="599" t="str">
        <f t="shared" si="2"/>
        <v>manga_animation_genga_dan_main_005_01_appear_ta-bobabaa</v>
      </c>
      <c r="P26" s="752" t="s">
        <v>3673</v>
      </c>
      <c r="Q26" s="753"/>
      <c r="R26" s="753" t="s">
        <v>3632</v>
      </c>
      <c r="S26" s="754"/>
      <c r="T26" s="754"/>
    </row>
    <row r="27">
      <c r="A27" s="747" t="s">
        <v>3624</v>
      </c>
      <c r="B27" s="748" t="s">
        <v>2446</v>
      </c>
      <c r="C27" s="749" t="s">
        <v>80</v>
      </c>
      <c r="D27" s="750" t="str">
        <f t="array" ref="D27">iferror(INDEX('作品'!D:D,MATCH(C27,'作品'!A:A,0),0),"")</f>
        <v>ダンダダン</v>
      </c>
      <c r="E27" s="751" t="s">
        <v>2447</v>
      </c>
      <c r="F27" s="748" t="s">
        <v>2527</v>
      </c>
      <c r="G27" s="748" t="s">
        <v>3650</v>
      </c>
      <c r="H27" s="748" t="s">
        <v>3627</v>
      </c>
      <c r="I27" s="748" t="s">
        <v>2433</v>
      </c>
      <c r="J27" s="748" t="s">
        <v>3625</v>
      </c>
      <c r="K27" s="748"/>
      <c r="L27" s="599" t="s">
        <v>3628</v>
      </c>
      <c r="M27" s="599" t="s">
        <v>3629</v>
      </c>
      <c r="N27" s="599" t="str">
        <f t="shared" si="1"/>
        <v>genga_dan_main_005_02_start</v>
      </c>
      <c r="O27" s="599" t="str">
        <f t="shared" si="2"/>
        <v>manga_animation_genga_dan_main_005_02_start</v>
      </c>
      <c r="P27" s="752" t="s">
        <v>3674</v>
      </c>
      <c r="Q27" s="753"/>
      <c r="R27" s="753" t="s">
        <v>3632</v>
      </c>
      <c r="S27" s="754"/>
      <c r="T27" s="754"/>
    </row>
    <row r="28">
      <c r="A28" s="747" t="s">
        <v>3624</v>
      </c>
      <c r="B28" s="748" t="s">
        <v>2446</v>
      </c>
      <c r="C28" s="749" t="s">
        <v>80</v>
      </c>
      <c r="D28" s="750" t="str">
        <f t="array" ref="D28">iferror(INDEX('作品'!D:D,MATCH(C28,'作品'!A:A,0),0),"")</f>
        <v>ダンダダン</v>
      </c>
      <c r="E28" s="751" t="s">
        <v>2447</v>
      </c>
      <c r="F28" s="748" t="s">
        <v>2527</v>
      </c>
      <c r="G28" s="748" t="s">
        <v>3650</v>
      </c>
      <c r="H28" s="748" t="s">
        <v>3627</v>
      </c>
      <c r="I28" s="748" t="s">
        <v>2433</v>
      </c>
      <c r="J28" s="748" t="s">
        <v>3633</v>
      </c>
      <c r="K28" s="748"/>
      <c r="L28" s="599" t="s">
        <v>3628</v>
      </c>
      <c r="M28" s="599" t="s">
        <v>3634</v>
      </c>
      <c r="N28" s="599" t="str">
        <f t="shared" si="1"/>
        <v>genga_dan_main_005_02_victory</v>
      </c>
      <c r="O28" s="599" t="str">
        <f t="shared" si="2"/>
        <v>manga_animation_genga_dan_main_005_02_victory</v>
      </c>
      <c r="P28" s="752" t="s">
        <v>3675</v>
      </c>
      <c r="Q28" s="753"/>
      <c r="R28" s="753" t="s">
        <v>3632</v>
      </c>
      <c r="S28" s="754"/>
      <c r="T28" s="754"/>
    </row>
    <row r="29">
      <c r="A29" s="747" t="s">
        <v>3624</v>
      </c>
      <c r="B29" s="748" t="s">
        <v>2446</v>
      </c>
      <c r="C29" s="749" t="s">
        <v>80</v>
      </c>
      <c r="D29" s="750" t="str">
        <f t="array" ref="D29">iferror(INDEX('作品'!D:D,MATCH(C29,'作品'!A:A,0),0),"")</f>
        <v>ダンダダン</v>
      </c>
      <c r="E29" s="751" t="s">
        <v>2447</v>
      </c>
      <c r="F29" s="748" t="s">
        <v>2527</v>
      </c>
      <c r="G29" s="748" t="s">
        <v>3650</v>
      </c>
      <c r="H29" s="748" t="s">
        <v>3627</v>
      </c>
      <c r="I29" s="748" t="s">
        <v>2433</v>
      </c>
      <c r="J29" s="748" t="s">
        <v>3656</v>
      </c>
      <c r="K29" s="748" t="s">
        <v>3676</v>
      </c>
      <c r="L29" s="599" t="s">
        <v>3628</v>
      </c>
      <c r="M29" s="599" t="s">
        <v>3658</v>
      </c>
      <c r="N29" s="599" t="str">
        <f t="shared" si="1"/>
        <v>genga_dan_main_005_02_appear_seruposeijin</v>
      </c>
      <c r="O29" s="599" t="str">
        <f t="shared" si="2"/>
        <v>manga_animation_genga_dan_main_005_02_appear_seruposeijin</v>
      </c>
      <c r="P29" s="752" t="s">
        <v>3677</v>
      </c>
      <c r="Q29" s="753"/>
      <c r="R29" s="753" t="s">
        <v>3632</v>
      </c>
      <c r="S29" s="754"/>
      <c r="T29" s="754"/>
    </row>
    <row r="30">
      <c r="A30" s="747" t="s">
        <v>3624</v>
      </c>
      <c r="B30" s="748" t="s">
        <v>2446</v>
      </c>
      <c r="C30" s="749" t="s">
        <v>80</v>
      </c>
      <c r="D30" s="750" t="str">
        <f t="array" ref="D30">iferror(INDEX('作品'!D:D,MATCH(C30,'作品'!A:A,0),0),"")</f>
        <v>ダンダダン</v>
      </c>
      <c r="E30" s="751" t="s">
        <v>2447</v>
      </c>
      <c r="F30" s="748" t="s">
        <v>2527</v>
      </c>
      <c r="G30" s="748" t="s">
        <v>3650</v>
      </c>
      <c r="H30" s="748" t="s">
        <v>1588</v>
      </c>
      <c r="I30" s="748" t="s">
        <v>2433</v>
      </c>
      <c r="J30" s="748" t="s">
        <v>3625</v>
      </c>
      <c r="K30" s="748"/>
      <c r="L30" s="599" t="s">
        <v>3628</v>
      </c>
      <c r="M30" s="599" t="s">
        <v>3629</v>
      </c>
      <c r="N30" s="599" t="str">
        <f t="shared" si="1"/>
        <v>genga_dan_main_005_03_start</v>
      </c>
      <c r="O30" s="599" t="str">
        <f t="shared" si="2"/>
        <v>manga_animation_genga_dan_main_005_03_start</v>
      </c>
      <c r="P30" s="752" t="s">
        <v>3678</v>
      </c>
      <c r="Q30" s="753"/>
      <c r="R30" s="753" t="s">
        <v>3632</v>
      </c>
      <c r="S30" s="754"/>
      <c r="T30" s="754"/>
    </row>
    <row r="31">
      <c r="A31" s="747" t="s">
        <v>3624</v>
      </c>
      <c r="B31" s="748" t="s">
        <v>2446</v>
      </c>
      <c r="C31" s="749" t="s">
        <v>80</v>
      </c>
      <c r="D31" s="750" t="str">
        <f t="array" ref="D31">iferror(INDEX('作品'!D:D,MATCH(C31,'作品'!A:A,0),0),"")</f>
        <v>ダンダダン</v>
      </c>
      <c r="E31" s="751" t="s">
        <v>2447</v>
      </c>
      <c r="F31" s="748" t="s">
        <v>2527</v>
      </c>
      <c r="G31" s="748" t="s">
        <v>3650</v>
      </c>
      <c r="H31" s="748" t="s">
        <v>1588</v>
      </c>
      <c r="I31" s="748" t="s">
        <v>2433</v>
      </c>
      <c r="J31" s="748" t="s">
        <v>3633</v>
      </c>
      <c r="K31" s="748"/>
      <c r="L31" s="599" t="s">
        <v>3628</v>
      </c>
      <c r="M31" s="599" t="s">
        <v>3634</v>
      </c>
      <c r="N31" s="599" t="str">
        <f t="shared" si="1"/>
        <v>genga_dan_main_005_03_victory</v>
      </c>
      <c r="O31" s="599" t="str">
        <f t="shared" si="2"/>
        <v>manga_animation_genga_dan_main_005_03_victory</v>
      </c>
      <c r="P31" s="752" t="s">
        <v>3679</v>
      </c>
      <c r="Q31" s="753"/>
      <c r="R31" s="753" t="s">
        <v>3632</v>
      </c>
      <c r="S31" s="754"/>
      <c r="T31" s="754"/>
    </row>
    <row r="32">
      <c r="A32" s="747" t="s">
        <v>3624</v>
      </c>
      <c r="B32" s="748" t="s">
        <v>2446</v>
      </c>
      <c r="C32" s="749" t="s">
        <v>80</v>
      </c>
      <c r="D32" s="750" t="str">
        <f t="array" ref="D32">iferror(INDEX('作品'!D:D,MATCH(C32,'作品'!A:A,0),0),"")</f>
        <v>ダンダダン</v>
      </c>
      <c r="E32" s="751" t="s">
        <v>2447</v>
      </c>
      <c r="F32" s="748" t="s">
        <v>2527</v>
      </c>
      <c r="G32" s="748" t="s">
        <v>3650</v>
      </c>
      <c r="H32" s="748" t="s">
        <v>1588</v>
      </c>
      <c r="I32" s="748" t="s">
        <v>3680</v>
      </c>
      <c r="J32" s="748" t="s">
        <v>3681</v>
      </c>
      <c r="K32" s="748" t="s">
        <v>3676</v>
      </c>
      <c r="L32" s="599" t="s">
        <v>3682</v>
      </c>
      <c r="M32" s="599" t="s">
        <v>3683</v>
      </c>
      <c r="N32" s="599" t="str">
        <f t="shared" si="1"/>
        <v>talk_dan_main_005_03_action_seruposeijin</v>
      </c>
      <c r="O32" s="599" t="str">
        <f t="shared" si="2"/>
        <v>manga_animation_talk_dan_main_005_03_action_seruposeijin</v>
      </c>
      <c r="P32" s="752" t="s">
        <v>3684</v>
      </c>
      <c r="Q32" s="753" t="s">
        <v>3685</v>
      </c>
      <c r="R32" s="753" t="s">
        <v>3632</v>
      </c>
      <c r="S32" s="754"/>
      <c r="T32" s="754"/>
    </row>
    <row r="33">
      <c r="A33" s="747" t="s">
        <v>3624</v>
      </c>
      <c r="B33" s="748" t="s">
        <v>2446</v>
      </c>
      <c r="C33" s="749" t="s">
        <v>80</v>
      </c>
      <c r="D33" s="750" t="str">
        <f t="array" ref="D33">iferror(INDEX('作品'!D:D,MATCH(C33,'作品'!A:A,0),0),"")</f>
        <v>ダンダダン</v>
      </c>
      <c r="E33" s="751" t="s">
        <v>2447</v>
      </c>
      <c r="F33" s="748" t="s">
        <v>2527</v>
      </c>
      <c r="G33" s="748" t="s">
        <v>3650</v>
      </c>
      <c r="H33" s="748" t="s">
        <v>1588</v>
      </c>
      <c r="I33" s="748" t="s">
        <v>2433</v>
      </c>
      <c r="J33" s="748" t="s">
        <v>3681</v>
      </c>
      <c r="K33" s="748" t="s">
        <v>3676</v>
      </c>
      <c r="L33" s="599" t="s">
        <v>3628</v>
      </c>
      <c r="M33" s="599" t="s">
        <v>3683</v>
      </c>
      <c r="N33" s="599" t="str">
        <f t="shared" si="1"/>
        <v>genga_dan_main_005_03_action_seruposeijin</v>
      </c>
      <c r="O33" s="599" t="str">
        <f t="shared" si="2"/>
        <v>manga_animation_genga_dan_main_005_03_action_seruposeijin</v>
      </c>
      <c r="P33" s="752" t="s">
        <v>3686</v>
      </c>
      <c r="Q33" s="753"/>
      <c r="R33" s="753" t="s">
        <v>3632</v>
      </c>
      <c r="S33" s="754"/>
      <c r="T33" s="754"/>
    </row>
    <row r="34">
      <c r="A34" s="747" t="s">
        <v>3624</v>
      </c>
      <c r="B34" s="748" t="s">
        <v>2446</v>
      </c>
      <c r="C34" s="749" t="s">
        <v>80</v>
      </c>
      <c r="D34" s="750" t="str">
        <f t="array" ref="D34">iferror(INDEX('作品'!D:D,MATCH(C34,'作品'!A:A,0),0),"")</f>
        <v>ダンダダン</v>
      </c>
      <c r="E34" s="751" t="s">
        <v>2447</v>
      </c>
      <c r="F34" s="748" t="s">
        <v>2527</v>
      </c>
      <c r="G34" s="748" t="s">
        <v>3650</v>
      </c>
      <c r="H34" s="748" t="s">
        <v>3645</v>
      </c>
      <c r="I34" s="748" t="s">
        <v>2433</v>
      </c>
      <c r="J34" s="748" t="s">
        <v>3625</v>
      </c>
      <c r="K34" s="748"/>
      <c r="L34" s="599" t="s">
        <v>3628</v>
      </c>
      <c r="M34" s="599" t="s">
        <v>3629</v>
      </c>
      <c r="N34" s="599" t="str">
        <f t="shared" si="1"/>
        <v>genga_dan_main_005_04_start</v>
      </c>
      <c r="O34" s="599" t="str">
        <f t="shared" si="2"/>
        <v>manga_animation_genga_dan_main_005_04_start</v>
      </c>
      <c r="P34" s="752" t="s">
        <v>3687</v>
      </c>
      <c r="Q34" s="753"/>
      <c r="R34" s="753" t="s">
        <v>3632</v>
      </c>
      <c r="S34" s="754"/>
      <c r="T34" s="754"/>
    </row>
    <row r="35">
      <c r="A35" s="747" t="s">
        <v>3624</v>
      </c>
      <c r="B35" s="748" t="s">
        <v>2446</v>
      </c>
      <c r="C35" s="749" t="s">
        <v>80</v>
      </c>
      <c r="D35" s="750" t="str">
        <f t="array" ref="D35">iferror(INDEX('作品'!D:D,MATCH(C35,'作品'!A:A,0),0),"")</f>
        <v>ダンダダン</v>
      </c>
      <c r="E35" s="751" t="s">
        <v>2447</v>
      </c>
      <c r="F35" s="748" t="s">
        <v>2527</v>
      </c>
      <c r="G35" s="748" t="s">
        <v>3650</v>
      </c>
      <c r="H35" s="748" t="s">
        <v>3645</v>
      </c>
      <c r="I35" s="748" t="s">
        <v>2433</v>
      </c>
      <c r="J35" s="748" t="s">
        <v>3633</v>
      </c>
      <c r="K35" s="748"/>
      <c r="L35" s="599" t="s">
        <v>3628</v>
      </c>
      <c r="M35" s="599" t="s">
        <v>3634</v>
      </c>
      <c r="N35" s="599" t="str">
        <f t="shared" si="1"/>
        <v>genga_dan_main_005_04_victory</v>
      </c>
      <c r="O35" s="599" t="str">
        <f t="shared" si="2"/>
        <v>manga_animation_genga_dan_main_005_04_victory</v>
      </c>
      <c r="P35" s="752" t="s">
        <v>3688</v>
      </c>
      <c r="Q35" s="753"/>
      <c r="R35" s="753" t="s">
        <v>3632</v>
      </c>
      <c r="S35" s="754"/>
      <c r="T35" s="754"/>
    </row>
    <row r="36">
      <c r="A36" s="747" t="s">
        <v>3624</v>
      </c>
      <c r="B36" s="748" t="s">
        <v>2446</v>
      </c>
      <c r="C36" s="749" t="s">
        <v>80</v>
      </c>
      <c r="D36" s="750" t="str">
        <f t="array" ref="D36">iferror(INDEX('作品'!D:D,MATCH(C36,'作品'!A:A,0),0),"")</f>
        <v>ダンダダン</v>
      </c>
      <c r="E36" s="751" t="s">
        <v>2447</v>
      </c>
      <c r="F36" s="748" t="s">
        <v>2527</v>
      </c>
      <c r="G36" s="748" t="s">
        <v>3650</v>
      </c>
      <c r="H36" s="748" t="s">
        <v>3650</v>
      </c>
      <c r="I36" s="748" t="s">
        <v>2433</v>
      </c>
      <c r="J36" s="748" t="s">
        <v>3625</v>
      </c>
      <c r="K36" s="748"/>
      <c r="L36" s="599" t="s">
        <v>3628</v>
      </c>
      <c r="M36" s="599" t="s">
        <v>3629</v>
      </c>
      <c r="N36" s="599" t="str">
        <f t="shared" si="1"/>
        <v>genga_dan_main_005_05_start</v>
      </c>
      <c r="O36" s="599" t="str">
        <f t="shared" si="2"/>
        <v>manga_animation_genga_dan_main_005_05_start</v>
      </c>
      <c r="P36" s="752" t="s">
        <v>3689</v>
      </c>
      <c r="Q36" s="753"/>
      <c r="R36" s="753" t="s">
        <v>3632</v>
      </c>
      <c r="S36" s="754"/>
      <c r="T36" s="754"/>
    </row>
    <row r="37">
      <c r="A37" s="747" t="s">
        <v>3624</v>
      </c>
      <c r="B37" s="748" t="s">
        <v>2446</v>
      </c>
      <c r="C37" s="749" t="s">
        <v>80</v>
      </c>
      <c r="D37" s="750" t="str">
        <f t="array" ref="D37">iferror(INDEX('作品'!D:D,MATCH(C37,'作品'!A:A,0),0),"")</f>
        <v>ダンダダン</v>
      </c>
      <c r="E37" s="751" t="s">
        <v>2447</v>
      </c>
      <c r="F37" s="748" t="s">
        <v>2527</v>
      </c>
      <c r="G37" s="748" t="s">
        <v>3650</v>
      </c>
      <c r="H37" s="748" t="s">
        <v>3650</v>
      </c>
      <c r="I37" s="748" t="s">
        <v>2433</v>
      </c>
      <c r="J37" s="748" t="s">
        <v>3633</v>
      </c>
      <c r="K37" s="748"/>
      <c r="L37" s="599" t="s">
        <v>3628</v>
      </c>
      <c r="M37" s="599" t="s">
        <v>3634</v>
      </c>
      <c r="N37" s="599" t="str">
        <f t="shared" si="1"/>
        <v>genga_dan_main_005_05_victory</v>
      </c>
      <c r="O37" s="599" t="str">
        <f t="shared" si="2"/>
        <v>manga_animation_genga_dan_main_005_05_victory</v>
      </c>
      <c r="P37" s="752" t="s">
        <v>3690</v>
      </c>
      <c r="Q37" s="753"/>
      <c r="R37" s="753" t="s">
        <v>3632</v>
      </c>
      <c r="S37" s="754"/>
      <c r="T37" s="754"/>
    </row>
    <row r="38">
      <c r="A38" s="747" t="s">
        <v>3624</v>
      </c>
      <c r="B38" s="748" t="s">
        <v>2446</v>
      </c>
      <c r="C38" s="749" t="s">
        <v>80</v>
      </c>
      <c r="D38" s="750" t="str">
        <f t="array" ref="D38">iferror(INDEX('作品'!D:D,MATCH(C38,'作品'!A:A,0),0),"")</f>
        <v>ダンダダン</v>
      </c>
      <c r="E38" s="751" t="s">
        <v>2447</v>
      </c>
      <c r="F38" s="748" t="s">
        <v>2527</v>
      </c>
      <c r="G38" s="748" t="s">
        <v>3650</v>
      </c>
      <c r="H38" s="748" t="s">
        <v>3650</v>
      </c>
      <c r="I38" s="748" t="s">
        <v>3680</v>
      </c>
      <c r="J38" s="748" t="s">
        <v>3681</v>
      </c>
      <c r="K38" s="748" t="s">
        <v>3691</v>
      </c>
      <c r="L38" s="599" t="s">
        <v>3682</v>
      </c>
      <c r="M38" s="599" t="s">
        <v>3683</v>
      </c>
      <c r="N38" s="599" t="str">
        <f t="shared" si="1"/>
        <v>talk_dan_main_005_05_action_ta-bobabaa2</v>
      </c>
      <c r="O38" s="599" t="str">
        <f t="shared" si="2"/>
        <v>manga_animation_talk_dan_main_005_05_action_ta-bobabaa2</v>
      </c>
      <c r="P38" s="752" t="s">
        <v>3692</v>
      </c>
      <c r="Q38" s="753"/>
      <c r="R38" s="753" t="s">
        <v>3632</v>
      </c>
      <c r="S38" s="754"/>
      <c r="T38" s="754"/>
    </row>
    <row r="39">
      <c r="A39" s="747" t="s">
        <v>3624</v>
      </c>
      <c r="B39" s="748" t="s">
        <v>2446</v>
      </c>
      <c r="C39" s="749" t="s">
        <v>80</v>
      </c>
      <c r="D39" s="750" t="str">
        <f t="array" ref="D39">iferror(INDEX('作品'!D:D,MATCH(C39,'作品'!A:A,0),0),"")</f>
        <v>ダンダダン</v>
      </c>
      <c r="E39" s="751" t="s">
        <v>2447</v>
      </c>
      <c r="F39" s="748" t="s">
        <v>2527</v>
      </c>
      <c r="G39" s="748" t="s">
        <v>3650</v>
      </c>
      <c r="H39" s="748" t="s">
        <v>3650</v>
      </c>
      <c r="I39" s="748" t="s">
        <v>3680</v>
      </c>
      <c r="J39" s="748" t="s">
        <v>3681</v>
      </c>
      <c r="K39" s="748" t="s">
        <v>3693</v>
      </c>
      <c r="L39" s="599" t="s">
        <v>3682</v>
      </c>
      <c r="M39" s="599" t="s">
        <v>3683</v>
      </c>
      <c r="N39" s="599" t="str">
        <f t="shared" si="1"/>
        <v>talk_dan_main_005_05_action_ta-bobabaa3</v>
      </c>
      <c r="O39" s="599" t="str">
        <f t="shared" si="2"/>
        <v>manga_animation_talk_dan_main_005_05_action_ta-bobabaa3</v>
      </c>
      <c r="P39" s="752" t="s">
        <v>3694</v>
      </c>
      <c r="Q39" s="753"/>
      <c r="R39" s="753" t="s">
        <v>3632</v>
      </c>
      <c r="S39" s="754"/>
      <c r="T39" s="754"/>
    </row>
    <row r="40">
      <c r="A40" s="747" t="s">
        <v>3624</v>
      </c>
      <c r="B40" s="748" t="s">
        <v>2446</v>
      </c>
      <c r="C40" s="749" t="s">
        <v>80</v>
      </c>
      <c r="D40" s="750" t="str">
        <f t="array" ref="D40">iferror(INDEX('作品'!D:D,MATCH(C40,'作品'!A:A,0),0),"")</f>
        <v>ダンダダン</v>
      </c>
      <c r="E40" s="751" t="s">
        <v>2447</v>
      </c>
      <c r="F40" s="748" t="s">
        <v>2527</v>
      </c>
      <c r="G40" s="748" t="s">
        <v>3650</v>
      </c>
      <c r="H40" s="748" t="s">
        <v>3650</v>
      </c>
      <c r="I40" s="748" t="s">
        <v>3680</v>
      </c>
      <c r="J40" s="748" t="s">
        <v>3681</v>
      </c>
      <c r="K40" s="748" t="s">
        <v>3695</v>
      </c>
      <c r="L40" s="599" t="s">
        <v>3682</v>
      </c>
      <c r="M40" s="599" t="s">
        <v>3683</v>
      </c>
      <c r="N40" s="599" t="str">
        <f t="shared" si="1"/>
        <v>talk_dan_main_005_05_action_ta-bobabaa4</v>
      </c>
      <c r="O40" s="599" t="str">
        <f t="shared" si="2"/>
        <v>manga_animation_talk_dan_main_005_05_action_ta-bobabaa4</v>
      </c>
      <c r="P40" s="752" t="s">
        <v>3696</v>
      </c>
      <c r="Q40" s="753"/>
      <c r="R40" s="753" t="s">
        <v>3632</v>
      </c>
      <c r="S40" s="754"/>
      <c r="T40" s="754"/>
    </row>
    <row r="41">
      <c r="A41" s="747" t="s">
        <v>3624</v>
      </c>
      <c r="B41" s="748" t="s">
        <v>2446</v>
      </c>
      <c r="C41" s="749" t="s">
        <v>80</v>
      </c>
      <c r="D41" s="750" t="str">
        <f t="array" ref="D41">iferror(INDEX('作品'!D:D,MATCH(C41,'作品'!A:A,0),0),"")</f>
        <v>ダンダダン</v>
      </c>
      <c r="E41" s="751" t="s">
        <v>2447</v>
      </c>
      <c r="F41" s="748" t="s">
        <v>2527</v>
      </c>
      <c r="G41" s="748" t="s">
        <v>3650</v>
      </c>
      <c r="H41" s="748" t="s">
        <v>3650</v>
      </c>
      <c r="I41" s="748" t="s">
        <v>3680</v>
      </c>
      <c r="J41" s="748" t="s">
        <v>3681</v>
      </c>
      <c r="K41" s="748" t="s">
        <v>3697</v>
      </c>
      <c r="L41" s="599" t="s">
        <v>3682</v>
      </c>
      <c r="M41" s="599" t="s">
        <v>3683</v>
      </c>
      <c r="N41" s="599" t="str">
        <f t="shared" si="1"/>
        <v>talk_dan_main_005_05_action_ta-bobabaa5</v>
      </c>
      <c r="O41" s="599" t="str">
        <f t="shared" si="2"/>
        <v>manga_animation_talk_dan_main_005_05_action_ta-bobabaa5</v>
      </c>
      <c r="P41" s="752" t="s">
        <v>3698</v>
      </c>
      <c r="Q41" s="753"/>
      <c r="R41" s="753" t="s">
        <v>3632</v>
      </c>
      <c r="S41" s="754"/>
      <c r="T41" s="754"/>
    </row>
    <row r="42">
      <c r="A42" s="747" t="s">
        <v>3624</v>
      </c>
      <c r="B42" s="748" t="s">
        <v>2446</v>
      </c>
      <c r="C42" s="749" t="s">
        <v>80</v>
      </c>
      <c r="D42" s="750" t="str">
        <f t="array" ref="D42">iferror(INDEX('作品'!D:D,MATCH(C42,'作品'!A:A,0),0),"")</f>
        <v>ダンダダン</v>
      </c>
      <c r="E42" s="751" t="s">
        <v>2447</v>
      </c>
      <c r="F42" s="748" t="s">
        <v>2527</v>
      </c>
      <c r="G42" s="748" t="s">
        <v>3650</v>
      </c>
      <c r="H42" s="748" t="s">
        <v>3650</v>
      </c>
      <c r="I42" s="748" t="s">
        <v>3680</v>
      </c>
      <c r="J42" s="748" t="s">
        <v>3681</v>
      </c>
      <c r="K42" s="748" t="s">
        <v>3699</v>
      </c>
      <c r="L42" s="599" t="s">
        <v>3682</v>
      </c>
      <c r="M42" s="599" t="s">
        <v>3683</v>
      </c>
      <c r="N42" s="599" t="str">
        <f t="shared" si="1"/>
        <v>talk_dan_main_005_05_action_ta-bobabaa6</v>
      </c>
      <c r="O42" s="599" t="str">
        <f t="shared" si="2"/>
        <v>manga_animation_talk_dan_main_005_05_action_ta-bobabaa6</v>
      </c>
      <c r="P42" s="752" t="s">
        <v>3700</v>
      </c>
      <c r="Q42" s="753"/>
      <c r="R42" s="753" t="s">
        <v>3632</v>
      </c>
      <c r="S42" s="754"/>
      <c r="T42" s="754"/>
    </row>
    <row r="43">
      <c r="A43" s="747" t="s">
        <v>3624</v>
      </c>
      <c r="B43" s="748" t="s">
        <v>2446</v>
      </c>
      <c r="C43" s="749" t="s">
        <v>80</v>
      </c>
      <c r="D43" s="750" t="str">
        <f t="array" ref="D43">iferror(INDEX('作品'!D:D,MATCH(C43,'作品'!A:A,0),0),"")</f>
        <v>ダンダダン</v>
      </c>
      <c r="E43" s="751" t="s">
        <v>2447</v>
      </c>
      <c r="F43" s="748" t="s">
        <v>2527</v>
      </c>
      <c r="G43" s="748" t="s">
        <v>3650</v>
      </c>
      <c r="H43" s="748" t="s">
        <v>3650</v>
      </c>
      <c r="I43" s="748" t="s">
        <v>3680</v>
      </c>
      <c r="J43" s="748" t="s">
        <v>3681</v>
      </c>
      <c r="K43" s="748" t="s">
        <v>3701</v>
      </c>
      <c r="L43" s="599" t="s">
        <v>3682</v>
      </c>
      <c r="M43" s="599" t="s">
        <v>3683</v>
      </c>
      <c r="N43" s="599" t="str">
        <f t="shared" si="1"/>
        <v>talk_dan_main_005_05_action_ta-bobabaa7</v>
      </c>
      <c r="O43" s="599" t="str">
        <f t="shared" si="2"/>
        <v>manga_animation_talk_dan_main_005_05_action_ta-bobabaa7</v>
      </c>
      <c r="P43" s="752" t="s">
        <v>3702</v>
      </c>
      <c r="Q43" s="753"/>
      <c r="R43" s="753" t="s">
        <v>3632</v>
      </c>
      <c r="S43" s="754"/>
      <c r="T43" s="754"/>
    </row>
    <row r="44">
      <c r="A44" s="747" t="s">
        <v>3624</v>
      </c>
      <c r="B44" s="748" t="s">
        <v>2446</v>
      </c>
      <c r="C44" s="749" t="s">
        <v>80</v>
      </c>
      <c r="D44" s="750" t="str">
        <f t="array" ref="D44">iferror(INDEX('作品'!D:D,MATCH(C44,'作品'!A:A,0),0),"")</f>
        <v>ダンダダン</v>
      </c>
      <c r="E44" s="751" t="s">
        <v>2447</v>
      </c>
      <c r="F44" s="748" t="s">
        <v>2527</v>
      </c>
      <c r="G44" s="748" t="s">
        <v>3650</v>
      </c>
      <c r="H44" s="748" t="s">
        <v>3650</v>
      </c>
      <c r="I44" s="748" t="s">
        <v>3680</v>
      </c>
      <c r="J44" s="748" t="s">
        <v>3681</v>
      </c>
      <c r="K44" s="748" t="s">
        <v>3703</v>
      </c>
      <c r="L44" s="599" t="s">
        <v>3682</v>
      </c>
      <c r="M44" s="599" t="s">
        <v>3683</v>
      </c>
      <c r="N44" s="599" t="str">
        <f t="shared" si="1"/>
        <v>talk_dan_main_005_05_action_ta-bobabaa8</v>
      </c>
      <c r="O44" s="599" t="str">
        <f t="shared" si="2"/>
        <v>manga_animation_talk_dan_main_005_05_action_ta-bobabaa8</v>
      </c>
      <c r="P44" s="752" t="s">
        <v>3704</v>
      </c>
      <c r="Q44" s="753"/>
      <c r="R44" s="753" t="s">
        <v>3632</v>
      </c>
      <c r="S44" s="754"/>
      <c r="T44" s="754"/>
    </row>
    <row r="45">
      <c r="A45" s="747" t="s">
        <v>3624</v>
      </c>
      <c r="B45" s="748" t="s">
        <v>2446</v>
      </c>
      <c r="C45" s="749" t="s">
        <v>80</v>
      </c>
      <c r="D45" s="750" t="str">
        <f t="array" ref="D45">iferror(INDEX('作品'!D:D,MATCH(C45,'作品'!A:A,0),0),"")</f>
        <v>ダンダダン</v>
      </c>
      <c r="E45" s="751" t="s">
        <v>2447</v>
      </c>
      <c r="F45" s="748" t="s">
        <v>2527</v>
      </c>
      <c r="G45" s="748" t="s">
        <v>3650</v>
      </c>
      <c r="H45" s="748" t="s">
        <v>3650</v>
      </c>
      <c r="I45" s="748" t="s">
        <v>3680</v>
      </c>
      <c r="J45" s="748" t="s">
        <v>3681</v>
      </c>
      <c r="K45" s="748" t="s">
        <v>3705</v>
      </c>
      <c r="L45" s="599" t="s">
        <v>3682</v>
      </c>
      <c r="M45" s="599" t="s">
        <v>3683</v>
      </c>
      <c r="N45" s="599" t="str">
        <f t="shared" si="1"/>
        <v>talk_dan_main_005_05_action_ta-bobabaa9</v>
      </c>
      <c r="O45" s="599" t="str">
        <f t="shared" si="2"/>
        <v>manga_animation_talk_dan_main_005_05_action_ta-bobabaa9</v>
      </c>
      <c r="P45" s="752" t="s">
        <v>3706</v>
      </c>
      <c r="Q45" s="753"/>
      <c r="R45" s="753" t="s">
        <v>3632</v>
      </c>
      <c r="S45" s="754"/>
      <c r="T45" s="754"/>
    </row>
    <row r="46">
      <c r="A46" s="747" t="s">
        <v>3624</v>
      </c>
      <c r="B46" s="748" t="s">
        <v>2446</v>
      </c>
      <c r="C46" s="749" t="s">
        <v>80</v>
      </c>
      <c r="D46" s="750" t="str">
        <f t="array" ref="D46">iferror(INDEX('作品'!D:D,MATCH(C46,'作品'!A:A,0),0),"")</f>
        <v>ダンダダン</v>
      </c>
      <c r="E46" s="751" t="s">
        <v>2447</v>
      </c>
      <c r="F46" s="748" t="s">
        <v>2527</v>
      </c>
      <c r="G46" s="748" t="s">
        <v>3650</v>
      </c>
      <c r="H46" s="748" t="s">
        <v>3650</v>
      </c>
      <c r="I46" s="748" t="s">
        <v>3680</v>
      </c>
      <c r="J46" s="748" t="s">
        <v>3681</v>
      </c>
      <c r="K46" s="748" t="s">
        <v>3707</v>
      </c>
      <c r="L46" s="599" t="s">
        <v>3682</v>
      </c>
      <c r="M46" s="599" t="s">
        <v>3683</v>
      </c>
      <c r="N46" s="599" t="str">
        <f t="shared" si="1"/>
        <v>talk_dan_main_005_05_action_ta-bobabaa10</v>
      </c>
      <c r="O46" s="599" t="str">
        <f t="shared" si="2"/>
        <v>manga_animation_talk_dan_main_005_05_action_ta-bobabaa10</v>
      </c>
      <c r="P46" s="752" t="s">
        <v>3708</v>
      </c>
      <c r="Q46" s="753"/>
      <c r="R46" s="753" t="s">
        <v>3632</v>
      </c>
      <c r="S46" s="754"/>
      <c r="T46" s="754"/>
    </row>
    <row r="47">
      <c r="A47" s="747" t="s">
        <v>3624</v>
      </c>
      <c r="B47" s="748" t="s">
        <v>2446</v>
      </c>
      <c r="C47" s="749" t="s">
        <v>80</v>
      </c>
      <c r="D47" s="750" t="str">
        <f t="array" ref="D47">iferror(INDEX('作品'!D:D,MATCH(C47,'作品'!A:A,0),0),"")</f>
        <v>ダンダダン</v>
      </c>
      <c r="E47" s="751" t="s">
        <v>2447</v>
      </c>
      <c r="F47" s="748" t="s">
        <v>2527</v>
      </c>
      <c r="G47" s="748" t="s">
        <v>3650</v>
      </c>
      <c r="H47" s="748" t="s">
        <v>3650</v>
      </c>
      <c r="I47" s="748" t="s">
        <v>3680</v>
      </c>
      <c r="J47" s="748" t="s">
        <v>3681</v>
      </c>
      <c r="K47" s="748" t="s">
        <v>3709</v>
      </c>
      <c r="L47" s="599" t="s">
        <v>3682</v>
      </c>
      <c r="M47" s="599" t="s">
        <v>3683</v>
      </c>
      <c r="N47" s="599" t="str">
        <f t="shared" si="1"/>
        <v>talk_dan_main_005_05_action_ta-bobabaa11</v>
      </c>
      <c r="O47" s="599" t="str">
        <f t="shared" si="2"/>
        <v>manga_animation_talk_dan_main_005_05_action_ta-bobabaa11</v>
      </c>
      <c r="P47" s="752" t="s">
        <v>3710</v>
      </c>
      <c r="Q47" s="753"/>
      <c r="R47" s="753" t="s">
        <v>3632</v>
      </c>
      <c r="S47" s="754"/>
      <c r="T47" s="754"/>
    </row>
    <row r="48">
      <c r="A48" s="747" t="s">
        <v>3624</v>
      </c>
      <c r="B48" s="748" t="s">
        <v>2446</v>
      </c>
      <c r="C48" s="749" t="s">
        <v>80</v>
      </c>
      <c r="D48" s="750" t="str">
        <f t="array" ref="D48">iferror(INDEX('作品'!D:D,MATCH(C48,'作品'!A:A,0),0),"")</f>
        <v>ダンダダン</v>
      </c>
      <c r="E48" s="751" t="s">
        <v>2447</v>
      </c>
      <c r="F48" s="748" t="s">
        <v>2527</v>
      </c>
      <c r="G48" s="748" t="s">
        <v>3650</v>
      </c>
      <c r="H48" s="748" t="s">
        <v>3650</v>
      </c>
      <c r="I48" s="748" t="s">
        <v>3680</v>
      </c>
      <c r="J48" s="748" t="s">
        <v>3681</v>
      </c>
      <c r="K48" s="748" t="s">
        <v>3711</v>
      </c>
      <c r="L48" s="599" t="s">
        <v>3682</v>
      </c>
      <c r="M48" s="599" t="s">
        <v>3683</v>
      </c>
      <c r="N48" s="599" t="str">
        <f t="shared" si="1"/>
        <v>talk_dan_main_005_05_action_ta-bobabaa12</v>
      </c>
      <c r="O48" s="599" t="str">
        <f t="shared" si="2"/>
        <v>manga_animation_talk_dan_main_005_05_action_ta-bobabaa12</v>
      </c>
      <c r="P48" s="752" t="s">
        <v>3712</v>
      </c>
      <c r="Q48" s="753"/>
      <c r="R48" s="753" t="s">
        <v>3632</v>
      </c>
      <c r="S48" s="754"/>
      <c r="T48" s="754"/>
    </row>
    <row r="49">
      <c r="A49" s="747" t="s">
        <v>3624</v>
      </c>
      <c r="B49" s="748" t="s">
        <v>2446</v>
      </c>
      <c r="C49" s="749" t="s">
        <v>80</v>
      </c>
      <c r="D49" s="750" t="str">
        <f t="array" ref="D49">iferror(INDEX('作品'!D:D,MATCH(C49,'作品'!A:A,0),0),"")</f>
        <v>ダンダダン</v>
      </c>
      <c r="E49" s="751" t="s">
        <v>2447</v>
      </c>
      <c r="F49" s="748" t="s">
        <v>2527</v>
      </c>
      <c r="G49" s="748" t="s">
        <v>3650</v>
      </c>
      <c r="H49" s="748" t="s">
        <v>3650</v>
      </c>
      <c r="I49" s="748" t="s">
        <v>2433</v>
      </c>
      <c r="J49" s="748" t="s">
        <v>3681</v>
      </c>
      <c r="K49" s="748" t="s">
        <v>3672</v>
      </c>
      <c r="L49" s="599" t="s">
        <v>3628</v>
      </c>
      <c r="M49" s="599" t="s">
        <v>3683</v>
      </c>
      <c r="N49" s="599" t="str">
        <f t="shared" si="1"/>
        <v>genga_dan_main_005_05_action_ta-bobabaa</v>
      </c>
      <c r="O49" s="599" t="str">
        <f t="shared" si="2"/>
        <v>manga_animation_genga_dan_main_005_05_action_ta-bobabaa</v>
      </c>
      <c r="P49" s="752" t="s">
        <v>3713</v>
      </c>
      <c r="Q49" s="753"/>
      <c r="R49" s="753" t="s">
        <v>3632</v>
      </c>
      <c r="S49" s="754"/>
      <c r="T49" s="754"/>
    </row>
    <row r="50">
      <c r="A50" s="747" t="s">
        <v>3624</v>
      </c>
      <c r="B50" s="748" t="s">
        <v>2446</v>
      </c>
      <c r="C50" s="749" t="s">
        <v>80</v>
      </c>
      <c r="D50" s="750" t="str">
        <f t="array" ref="D50">iferror(INDEX('作品'!D:D,MATCH(C50,'作品'!A:A,0),0),"")</f>
        <v>ダンダダン</v>
      </c>
      <c r="E50" s="751" t="s">
        <v>2447</v>
      </c>
      <c r="F50" s="748" t="s">
        <v>2527</v>
      </c>
      <c r="G50" s="748" t="s">
        <v>3650</v>
      </c>
      <c r="H50" s="748" t="s">
        <v>3655</v>
      </c>
      <c r="I50" s="748" t="s">
        <v>2433</v>
      </c>
      <c r="J50" s="748" t="s">
        <v>3656</v>
      </c>
      <c r="K50" s="748" t="s">
        <v>3714</v>
      </c>
      <c r="L50" s="599" t="s">
        <v>3628</v>
      </c>
      <c r="M50" s="599" t="s">
        <v>3658</v>
      </c>
      <c r="N50" s="599" t="str">
        <f t="shared" si="1"/>
        <v>genga_dan_main_005_06_appear_ayasemomo</v>
      </c>
      <c r="O50" s="599" t="str">
        <f t="shared" si="2"/>
        <v>manga_animation_genga_dan_main_005_06_appear_ayasemomo</v>
      </c>
      <c r="P50" s="752" t="s">
        <v>3715</v>
      </c>
      <c r="Q50" s="753"/>
      <c r="R50" s="753" t="s">
        <v>3632</v>
      </c>
      <c r="S50" s="754"/>
      <c r="T50" s="754"/>
    </row>
    <row r="51">
      <c r="A51" s="747" t="s">
        <v>3624</v>
      </c>
      <c r="B51" s="748" t="s">
        <v>2446</v>
      </c>
      <c r="C51" s="749" t="s">
        <v>80</v>
      </c>
      <c r="D51" s="750" t="str">
        <f t="array" ref="D51">iferror(INDEX('作品'!D:D,MATCH(C51,'作品'!A:A,0),0),"")</f>
        <v>ダンダダン</v>
      </c>
      <c r="E51" s="751" t="s">
        <v>2447</v>
      </c>
      <c r="F51" s="748" t="s">
        <v>2527</v>
      </c>
      <c r="G51" s="748" t="s">
        <v>3650</v>
      </c>
      <c r="H51" s="748" t="s">
        <v>3655</v>
      </c>
      <c r="I51" s="748" t="s">
        <v>2433</v>
      </c>
      <c r="J51" s="748" t="s">
        <v>3656</v>
      </c>
      <c r="K51" s="748" t="s">
        <v>3716</v>
      </c>
      <c r="L51" s="599" t="s">
        <v>3628</v>
      </c>
      <c r="M51" s="599" t="s">
        <v>3658</v>
      </c>
      <c r="N51" s="599" t="str">
        <f t="shared" si="1"/>
        <v>genga_dan_main_005_06_appear_okarun</v>
      </c>
      <c r="O51" s="599" t="str">
        <f t="shared" si="2"/>
        <v>manga_animation_genga_dan_main_005_06_appear_okarun</v>
      </c>
      <c r="P51" s="752" t="s">
        <v>3717</v>
      </c>
      <c r="Q51" s="753"/>
      <c r="R51" s="753" t="s">
        <v>3632</v>
      </c>
      <c r="S51" s="754"/>
      <c r="T51" s="754"/>
    </row>
    <row r="52">
      <c r="A52" s="747" t="s">
        <v>3624</v>
      </c>
      <c r="B52" s="748" t="s">
        <v>2446</v>
      </c>
      <c r="C52" s="749" t="s">
        <v>148</v>
      </c>
      <c r="D52" s="750" t="str">
        <f t="array" ref="D52">iferror(INDEX('作品'!D:D,MATCH(C52,'作品'!A:A,0),0),"")</f>
        <v>地獄楽</v>
      </c>
      <c r="E52" s="751" t="s">
        <v>2447</v>
      </c>
      <c r="F52" s="748" t="s">
        <v>2527</v>
      </c>
      <c r="G52" s="748" t="s">
        <v>3655</v>
      </c>
      <c r="H52" s="748" t="s">
        <v>1762</v>
      </c>
      <c r="I52" s="748" t="s">
        <v>2433</v>
      </c>
      <c r="J52" s="748" t="s">
        <v>3625</v>
      </c>
      <c r="K52" s="748"/>
      <c r="L52" s="599" t="s">
        <v>3628</v>
      </c>
      <c r="M52" s="599" t="s">
        <v>3629</v>
      </c>
      <c r="N52" s="599" t="str">
        <f t="shared" si="1"/>
        <v>genga_jig_main_006_01_start</v>
      </c>
      <c r="O52" s="599" t="str">
        <f t="shared" si="2"/>
        <v>manga_animation_genga_jig_main_006_01_start</v>
      </c>
      <c r="P52" s="752" t="s">
        <v>3718</v>
      </c>
      <c r="Q52" s="752" t="s">
        <v>3719</v>
      </c>
      <c r="R52" s="753" t="s">
        <v>3632</v>
      </c>
      <c r="S52" s="754"/>
      <c r="T52" s="754"/>
    </row>
    <row r="53">
      <c r="A53" s="747" t="s">
        <v>3624</v>
      </c>
      <c r="B53" s="748" t="s">
        <v>2446</v>
      </c>
      <c r="C53" s="749" t="s">
        <v>148</v>
      </c>
      <c r="D53" s="750" t="str">
        <f t="array" ref="D53">iferror(INDEX('作品'!D:D,MATCH(C53,'作品'!A:A,0),0),"")</f>
        <v>地獄楽</v>
      </c>
      <c r="E53" s="751" t="s">
        <v>2447</v>
      </c>
      <c r="F53" s="748" t="s">
        <v>2527</v>
      </c>
      <c r="G53" s="748" t="s">
        <v>3655</v>
      </c>
      <c r="H53" s="748" t="s">
        <v>1762</v>
      </c>
      <c r="I53" s="748" t="s">
        <v>2433</v>
      </c>
      <c r="J53" s="748" t="s">
        <v>3633</v>
      </c>
      <c r="K53" s="748"/>
      <c r="L53" s="599" t="s">
        <v>3628</v>
      </c>
      <c r="M53" s="599" t="s">
        <v>3634</v>
      </c>
      <c r="N53" s="599" t="str">
        <f t="shared" si="1"/>
        <v>genga_jig_main_006_01_victory</v>
      </c>
      <c r="O53" s="599" t="str">
        <f t="shared" si="2"/>
        <v>manga_animation_genga_jig_main_006_01_victory</v>
      </c>
      <c r="P53" s="752" t="s">
        <v>3720</v>
      </c>
      <c r="Q53" s="752" t="s">
        <v>3721</v>
      </c>
      <c r="R53" s="753" t="s">
        <v>3632</v>
      </c>
      <c r="S53" s="754"/>
      <c r="T53" s="754"/>
    </row>
    <row r="54">
      <c r="A54" s="747" t="s">
        <v>3624</v>
      </c>
      <c r="B54" s="748" t="s">
        <v>2446</v>
      </c>
      <c r="C54" s="749" t="s">
        <v>148</v>
      </c>
      <c r="D54" s="750" t="str">
        <f t="array" ref="D54">iferror(INDEX('作品'!D:D,MATCH(C54,'作品'!A:A,0),0),"")</f>
        <v>地獄楽</v>
      </c>
      <c r="E54" s="751" t="s">
        <v>2447</v>
      </c>
      <c r="F54" s="748" t="s">
        <v>2527</v>
      </c>
      <c r="G54" s="748" t="s">
        <v>3655</v>
      </c>
      <c r="H54" s="748" t="s">
        <v>3627</v>
      </c>
      <c r="I54" s="748" t="s">
        <v>2433</v>
      </c>
      <c r="J54" s="748" t="s">
        <v>3625</v>
      </c>
      <c r="K54" s="748"/>
      <c r="L54" s="599" t="s">
        <v>3628</v>
      </c>
      <c r="M54" s="599" t="s">
        <v>3629</v>
      </c>
      <c r="N54" s="599" t="str">
        <f t="shared" si="1"/>
        <v>genga_jig_main_006_02_start</v>
      </c>
      <c r="O54" s="599" t="str">
        <f t="shared" si="2"/>
        <v>manga_animation_genga_jig_main_006_02_start</v>
      </c>
      <c r="P54" s="752" t="s">
        <v>3722</v>
      </c>
      <c r="Q54" s="752" t="s">
        <v>3723</v>
      </c>
      <c r="R54" s="753" t="s">
        <v>3632</v>
      </c>
      <c r="S54" s="754"/>
      <c r="T54" s="754"/>
    </row>
    <row r="55">
      <c r="A55" s="747" t="s">
        <v>3624</v>
      </c>
      <c r="B55" s="748" t="s">
        <v>2446</v>
      </c>
      <c r="C55" s="749" t="s">
        <v>148</v>
      </c>
      <c r="D55" s="750" t="str">
        <f t="array" ref="D55">iferror(INDEX('作品'!D:D,MATCH(C55,'作品'!A:A,0),0),"")</f>
        <v>地獄楽</v>
      </c>
      <c r="E55" s="751" t="s">
        <v>2447</v>
      </c>
      <c r="F55" s="748" t="s">
        <v>2527</v>
      </c>
      <c r="G55" s="748" t="s">
        <v>3655</v>
      </c>
      <c r="H55" s="748" t="s">
        <v>1588</v>
      </c>
      <c r="I55" s="748" t="s">
        <v>2433</v>
      </c>
      <c r="J55" s="748" t="s">
        <v>3625</v>
      </c>
      <c r="K55" s="748"/>
      <c r="L55" s="599" t="s">
        <v>3628</v>
      </c>
      <c r="M55" s="599" t="s">
        <v>3629</v>
      </c>
      <c r="N55" s="599" t="str">
        <f t="shared" si="1"/>
        <v>genga_jig_main_006_03_start</v>
      </c>
      <c r="O55" s="599" t="str">
        <f t="shared" si="2"/>
        <v>manga_animation_genga_jig_main_006_03_start</v>
      </c>
      <c r="P55" s="752" t="s">
        <v>3724</v>
      </c>
      <c r="Q55" s="752" t="s">
        <v>3725</v>
      </c>
      <c r="R55" s="753" t="s">
        <v>3632</v>
      </c>
      <c r="S55" s="754"/>
      <c r="T55" s="754"/>
    </row>
    <row r="56">
      <c r="A56" s="747" t="s">
        <v>3624</v>
      </c>
      <c r="B56" s="748" t="s">
        <v>2446</v>
      </c>
      <c r="C56" s="749" t="s">
        <v>148</v>
      </c>
      <c r="D56" s="750" t="str">
        <f t="array" ref="D56">iferror(INDEX('作品'!D:D,MATCH(C56,'作品'!A:A,0),0),"")</f>
        <v>地獄楽</v>
      </c>
      <c r="E56" s="751" t="s">
        <v>2447</v>
      </c>
      <c r="F56" s="748" t="s">
        <v>2527</v>
      </c>
      <c r="G56" s="748" t="s">
        <v>3655</v>
      </c>
      <c r="H56" s="748" t="s">
        <v>3645</v>
      </c>
      <c r="I56" s="748" t="s">
        <v>2433</v>
      </c>
      <c r="J56" s="748" t="s">
        <v>3625</v>
      </c>
      <c r="K56" s="748"/>
      <c r="L56" s="599" t="s">
        <v>3628</v>
      </c>
      <c r="M56" s="599" t="s">
        <v>3629</v>
      </c>
      <c r="N56" s="599" t="str">
        <f t="shared" si="1"/>
        <v>genga_jig_main_006_04_start</v>
      </c>
      <c r="O56" s="599" t="str">
        <f t="shared" si="2"/>
        <v>manga_animation_genga_jig_main_006_04_start</v>
      </c>
      <c r="P56" s="752" t="s">
        <v>3726</v>
      </c>
      <c r="Q56" s="752" t="s">
        <v>3727</v>
      </c>
      <c r="R56" s="753" t="s">
        <v>3632</v>
      </c>
      <c r="S56" s="754"/>
      <c r="T56" s="754"/>
    </row>
    <row r="57">
      <c r="A57" s="747" t="s">
        <v>3624</v>
      </c>
      <c r="B57" s="748" t="s">
        <v>2446</v>
      </c>
      <c r="C57" s="749" t="s">
        <v>148</v>
      </c>
      <c r="D57" s="750" t="str">
        <f t="array" ref="D57">iferror(INDEX('作品'!D:D,MATCH(C57,'作品'!A:A,0),0),"")</f>
        <v>地獄楽</v>
      </c>
      <c r="E57" s="751" t="s">
        <v>2447</v>
      </c>
      <c r="F57" s="748" t="s">
        <v>2527</v>
      </c>
      <c r="G57" s="748" t="s">
        <v>3655</v>
      </c>
      <c r="H57" s="748" t="s">
        <v>3645</v>
      </c>
      <c r="I57" s="748" t="s">
        <v>2433</v>
      </c>
      <c r="J57" s="748" t="s">
        <v>3633</v>
      </c>
      <c r="K57" s="748"/>
      <c r="L57" s="599" t="s">
        <v>3628</v>
      </c>
      <c r="M57" s="599" t="s">
        <v>3634</v>
      </c>
      <c r="N57" s="599" t="str">
        <f t="shared" si="1"/>
        <v>genga_jig_main_006_04_victory</v>
      </c>
      <c r="O57" s="599" t="str">
        <f t="shared" si="2"/>
        <v>manga_animation_genga_jig_main_006_04_victory</v>
      </c>
      <c r="P57" s="752" t="s">
        <v>3728</v>
      </c>
      <c r="Q57" s="752" t="s">
        <v>3729</v>
      </c>
      <c r="R57" s="753" t="s">
        <v>3632</v>
      </c>
      <c r="S57" s="754"/>
      <c r="T57" s="754"/>
    </row>
    <row r="58">
      <c r="A58" s="747" t="s">
        <v>3624</v>
      </c>
      <c r="B58" s="748" t="s">
        <v>2446</v>
      </c>
      <c r="C58" s="749" t="s">
        <v>148</v>
      </c>
      <c r="D58" s="750" t="str">
        <f t="array" ref="D58">iferror(INDEX('作品'!D:D,MATCH(C58,'作品'!A:A,0),0),"")</f>
        <v>地獄楽</v>
      </c>
      <c r="E58" s="751" t="s">
        <v>2447</v>
      </c>
      <c r="F58" s="748" t="s">
        <v>2527</v>
      </c>
      <c r="G58" s="748" t="s">
        <v>3655</v>
      </c>
      <c r="H58" s="748" t="s">
        <v>3650</v>
      </c>
      <c r="I58" s="748" t="s">
        <v>2433</v>
      </c>
      <c r="J58" s="748" t="s">
        <v>3625</v>
      </c>
      <c r="K58" s="748"/>
      <c r="L58" s="599" t="s">
        <v>3628</v>
      </c>
      <c r="M58" s="599" t="s">
        <v>3629</v>
      </c>
      <c r="N58" s="599" t="str">
        <f t="shared" si="1"/>
        <v>genga_jig_main_006_05_start</v>
      </c>
      <c r="O58" s="599" t="str">
        <f t="shared" si="2"/>
        <v>manga_animation_genga_jig_main_006_05_start</v>
      </c>
      <c r="P58" s="752" t="s">
        <v>3730</v>
      </c>
      <c r="Q58" s="752" t="s">
        <v>3731</v>
      </c>
      <c r="R58" s="753" t="s">
        <v>3632</v>
      </c>
      <c r="S58" s="754"/>
      <c r="T58" s="754"/>
    </row>
    <row r="59">
      <c r="A59" s="747" t="s">
        <v>3624</v>
      </c>
      <c r="B59" s="748" t="s">
        <v>2446</v>
      </c>
      <c r="C59" s="749" t="s">
        <v>148</v>
      </c>
      <c r="D59" s="750" t="str">
        <f t="array" ref="D59">iferror(INDEX('作品'!D:D,MATCH(C59,'作品'!A:A,0),0),"")</f>
        <v>地獄楽</v>
      </c>
      <c r="E59" s="751" t="s">
        <v>2447</v>
      </c>
      <c r="F59" s="748" t="s">
        <v>2527</v>
      </c>
      <c r="G59" s="748" t="s">
        <v>3655</v>
      </c>
      <c r="H59" s="748" t="s">
        <v>3655</v>
      </c>
      <c r="I59" s="748" t="s">
        <v>2433</v>
      </c>
      <c r="J59" s="748" t="s">
        <v>3656</v>
      </c>
      <c r="K59" s="748"/>
      <c r="L59" s="599" t="s">
        <v>3628</v>
      </c>
      <c r="M59" s="599" t="s">
        <v>3658</v>
      </c>
      <c r="N59" s="599" t="str">
        <f t="shared" si="1"/>
        <v>genga_jig_main_006_06_appear</v>
      </c>
      <c r="O59" s="599" t="str">
        <f t="shared" si="2"/>
        <v>manga_animation_genga_jig_main_006_06_appear</v>
      </c>
      <c r="P59" s="752" t="s">
        <v>3732</v>
      </c>
      <c r="Q59" s="752" t="s">
        <v>3733</v>
      </c>
      <c r="R59" s="753" t="s">
        <v>3632</v>
      </c>
      <c r="S59" s="754"/>
      <c r="T59" s="754"/>
    </row>
    <row r="60">
      <c r="A60" s="747" t="s">
        <v>3624</v>
      </c>
      <c r="B60" s="748" t="s">
        <v>2446</v>
      </c>
      <c r="C60" s="749" t="s">
        <v>153</v>
      </c>
      <c r="D60" s="750" t="str">
        <f t="array" ref="D60">iferror(INDEX('作品'!D:D,MATCH(C60,'作品'!A:A,0),0),"")</f>
        <v>タコピーの原罪</v>
      </c>
      <c r="E60" s="751" t="s">
        <v>2447</v>
      </c>
      <c r="F60" s="748" t="s">
        <v>2527</v>
      </c>
      <c r="G60" s="748" t="s">
        <v>3734</v>
      </c>
      <c r="H60" s="748" t="s">
        <v>1762</v>
      </c>
      <c r="I60" s="748" t="s">
        <v>2433</v>
      </c>
      <c r="J60" s="748" t="s">
        <v>3625</v>
      </c>
      <c r="K60" s="748"/>
      <c r="L60" s="599" t="s">
        <v>3628</v>
      </c>
      <c r="M60" s="599" t="s">
        <v>3629</v>
      </c>
      <c r="N60" s="599" t="str">
        <f t="shared" si="1"/>
        <v>genga_tak_main_007_01_start</v>
      </c>
      <c r="O60" s="599" t="str">
        <f t="shared" si="2"/>
        <v>manga_animation_genga_tak_main_007_01_start</v>
      </c>
      <c r="P60" s="752" t="s">
        <v>3735</v>
      </c>
      <c r="Q60" s="752"/>
      <c r="R60" s="753" t="s">
        <v>3632</v>
      </c>
      <c r="S60" s="754"/>
      <c r="T60" s="754"/>
    </row>
    <row r="61">
      <c r="A61" s="747" t="s">
        <v>3624</v>
      </c>
      <c r="B61" s="748" t="s">
        <v>2446</v>
      </c>
      <c r="C61" s="749" t="s">
        <v>153</v>
      </c>
      <c r="D61" s="750" t="str">
        <f t="array" ref="D61">iferror(INDEX('作品'!D:D,MATCH(C61,'作品'!A:A,0),0),"")</f>
        <v>タコピーの原罪</v>
      </c>
      <c r="E61" s="751" t="s">
        <v>2447</v>
      </c>
      <c r="F61" s="748" t="s">
        <v>2527</v>
      </c>
      <c r="G61" s="748" t="s">
        <v>3734</v>
      </c>
      <c r="H61" s="748" t="s">
        <v>3627</v>
      </c>
      <c r="I61" s="748" t="s">
        <v>2433</v>
      </c>
      <c r="J61" s="748" t="s">
        <v>3625</v>
      </c>
      <c r="K61" s="748"/>
      <c r="L61" s="599" t="s">
        <v>3628</v>
      </c>
      <c r="M61" s="599" t="s">
        <v>3629</v>
      </c>
      <c r="N61" s="599" t="str">
        <f t="shared" si="1"/>
        <v>genga_tak_main_007_02_start</v>
      </c>
      <c r="O61" s="599" t="str">
        <f t="shared" si="2"/>
        <v>manga_animation_genga_tak_main_007_02_start</v>
      </c>
      <c r="P61" s="752" t="s">
        <v>3736</v>
      </c>
      <c r="Q61" s="752"/>
      <c r="R61" s="753" t="s">
        <v>3632</v>
      </c>
      <c r="S61" s="754"/>
      <c r="T61" s="754"/>
    </row>
    <row r="62">
      <c r="A62" s="747" t="s">
        <v>3624</v>
      </c>
      <c r="B62" s="748" t="s">
        <v>2446</v>
      </c>
      <c r="C62" s="749" t="s">
        <v>153</v>
      </c>
      <c r="D62" s="750" t="str">
        <f t="array" ref="D62">iferror(INDEX('作品'!D:D,MATCH(C62,'作品'!A:A,0),0),"")</f>
        <v>タコピーの原罪</v>
      </c>
      <c r="E62" s="751" t="s">
        <v>2447</v>
      </c>
      <c r="F62" s="748" t="s">
        <v>2527</v>
      </c>
      <c r="G62" s="748" t="s">
        <v>3734</v>
      </c>
      <c r="H62" s="748" t="s">
        <v>1588</v>
      </c>
      <c r="I62" s="748" t="s">
        <v>2433</v>
      </c>
      <c r="J62" s="748" t="s">
        <v>3625</v>
      </c>
      <c r="K62" s="748"/>
      <c r="L62" s="599" t="s">
        <v>3628</v>
      </c>
      <c r="M62" s="599" t="s">
        <v>3629</v>
      </c>
      <c r="N62" s="599" t="str">
        <f t="shared" si="1"/>
        <v>genga_tak_main_007_03_start</v>
      </c>
      <c r="O62" s="599" t="str">
        <f t="shared" si="2"/>
        <v>manga_animation_genga_tak_main_007_03_start</v>
      </c>
      <c r="P62" s="752" t="s">
        <v>3737</v>
      </c>
      <c r="Q62" s="752"/>
      <c r="R62" s="753" t="s">
        <v>3632</v>
      </c>
      <c r="S62" s="754"/>
      <c r="T62" s="754"/>
    </row>
    <row r="63">
      <c r="A63" s="747" t="s">
        <v>3624</v>
      </c>
      <c r="B63" s="748" t="s">
        <v>2446</v>
      </c>
      <c r="C63" s="749" t="s">
        <v>153</v>
      </c>
      <c r="D63" s="750" t="str">
        <f t="array" ref="D63">iferror(INDEX('作品'!D:D,MATCH(C63,'作品'!A:A,0),0),"")</f>
        <v>タコピーの原罪</v>
      </c>
      <c r="E63" s="751" t="s">
        <v>2447</v>
      </c>
      <c r="F63" s="748" t="s">
        <v>2527</v>
      </c>
      <c r="G63" s="748" t="s">
        <v>3734</v>
      </c>
      <c r="H63" s="748" t="s">
        <v>1762</v>
      </c>
      <c r="I63" s="748" t="s">
        <v>2433</v>
      </c>
      <c r="J63" s="748" t="s">
        <v>3633</v>
      </c>
      <c r="K63" s="748"/>
      <c r="L63" s="599" t="s">
        <v>3628</v>
      </c>
      <c r="M63" s="599" t="s">
        <v>3634</v>
      </c>
      <c r="N63" s="599" t="str">
        <f t="shared" si="1"/>
        <v>genga_tak_main_007_01_victory</v>
      </c>
      <c r="O63" s="599" t="str">
        <f t="shared" si="2"/>
        <v>manga_animation_genga_tak_main_007_01_victory</v>
      </c>
      <c r="P63" s="752" t="s">
        <v>3738</v>
      </c>
      <c r="Q63" s="752"/>
      <c r="R63" s="753" t="s">
        <v>3632</v>
      </c>
      <c r="S63" s="754"/>
      <c r="T63" s="754"/>
    </row>
    <row r="64">
      <c r="A64" s="747" t="s">
        <v>3624</v>
      </c>
      <c r="B64" s="748" t="s">
        <v>2446</v>
      </c>
      <c r="C64" s="749" t="s">
        <v>153</v>
      </c>
      <c r="D64" s="750" t="str">
        <f t="array" ref="D64">iferror(INDEX('作品'!D:D,MATCH(C64,'作品'!A:A,0),0),"")</f>
        <v>タコピーの原罪</v>
      </c>
      <c r="E64" s="751" t="s">
        <v>2447</v>
      </c>
      <c r="F64" s="748" t="s">
        <v>2527</v>
      </c>
      <c r="G64" s="748" t="s">
        <v>3734</v>
      </c>
      <c r="H64" s="748" t="s">
        <v>3627</v>
      </c>
      <c r="I64" s="748" t="s">
        <v>2433</v>
      </c>
      <c r="J64" s="748" t="s">
        <v>3633</v>
      </c>
      <c r="K64" s="748"/>
      <c r="L64" s="599" t="s">
        <v>3628</v>
      </c>
      <c r="M64" s="599" t="s">
        <v>3634</v>
      </c>
      <c r="N64" s="599" t="str">
        <f t="shared" si="1"/>
        <v>genga_tak_main_007_02_victory</v>
      </c>
      <c r="O64" s="599" t="str">
        <f t="shared" si="2"/>
        <v>manga_animation_genga_tak_main_007_02_victory</v>
      </c>
      <c r="P64" s="752" t="s">
        <v>3738</v>
      </c>
      <c r="Q64" s="752"/>
      <c r="R64" s="753" t="s">
        <v>3632</v>
      </c>
      <c r="S64" s="754"/>
      <c r="T64" s="754"/>
    </row>
    <row r="65">
      <c r="A65" s="747" t="s">
        <v>3624</v>
      </c>
      <c r="B65" s="748" t="s">
        <v>2446</v>
      </c>
      <c r="C65" s="749" t="s">
        <v>153</v>
      </c>
      <c r="D65" s="750" t="str">
        <f t="array" ref="D65">iferror(INDEX('作品'!D:D,MATCH(C65,'作品'!A:A,0),0),"")</f>
        <v>タコピーの原罪</v>
      </c>
      <c r="E65" s="751" t="s">
        <v>2447</v>
      </c>
      <c r="F65" s="748" t="s">
        <v>2527</v>
      </c>
      <c r="G65" s="748" t="s">
        <v>3734</v>
      </c>
      <c r="H65" s="748" t="s">
        <v>1588</v>
      </c>
      <c r="I65" s="748" t="s">
        <v>2433</v>
      </c>
      <c r="J65" s="748" t="s">
        <v>3633</v>
      </c>
      <c r="K65" s="748"/>
      <c r="L65" s="599" t="s">
        <v>3628</v>
      </c>
      <c r="M65" s="599" t="s">
        <v>3634</v>
      </c>
      <c r="N65" s="599" t="str">
        <f t="shared" si="1"/>
        <v>genga_tak_main_007_03_victory</v>
      </c>
      <c r="O65" s="599" t="str">
        <f t="shared" si="2"/>
        <v>manga_animation_genga_tak_main_007_03_victory</v>
      </c>
      <c r="P65" s="752" t="s">
        <v>3738</v>
      </c>
      <c r="Q65" s="752"/>
      <c r="R65" s="753" t="s">
        <v>3632</v>
      </c>
      <c r="S65" s="754"/>
      <c r="T65" s="754"/>
    </row>
    <row r="66">
      <c r="A66" s="747" t="s">
        <v>3624</v>
      </c>
      <c r="B66" s="748" t="s">
        <v>2446</v>
      </c>
      <c r="C66" s="749" t="s">
        <v>92</v>
      </c>
      <c r="D66" s="750" t="str">
        <f t="array" ref="D66">iferror(INDEX('作品'!D:D,MATCH(C66,'作品'!A:A,0),0),"")</f>
        <v>チェンソーマン</v>
      </c>
      <c r="E66" s="751" t="s">
        <v>2447</v>
      </c>
      <c r="F66" s="748" t="s">
        <v>2527</v>
      </c>
      <c r="G66" s="748" t="s">
        <v>3739</v>
      </c>
      <c r="H66" s="748" t="s">
        <v>1762</v>
      </c>
      <c r="I66" s="748" t="s">
        <v>2433</v>
      </c>
      <c r="J66" s="748" t="s">
        <v>3625</v>
      </c>
      <c r="K66" s="748"/>
      <c r="L66" s="599" t="s">
        <v>3628</v>
      </c>
      <c r="M66" s="599" t="s">
        <v>3629</v>
      </c>
      <c r="N66" s="599" t="str">
        <f t="shared" si="1"/>
        <v>genga_chi_main_009_01_start</v>
      </c>
      <c r="O66" s="599" t="str">
        <f t="shared" si="2"/>
        <v>manga_animation_genga_chi_main_009_01_start</v>
      </c>
      <c r="P66" s="752"/>
      <c r="Q66" s="752"/>
      <c r="R66" s="753" t="s">
        <v>3632</v>
      </c>
      <c r="S66" s="754"/>
      <c r="T66" s="754"/>
    </row>
    <row r="67">
      <c r="A67" s="747" t="s">
        <v>3624</v>
      </c>
      <c r="B67" s="748" t="s">
        <v>2446</v>
      </c>
      <c r="C67" s="749" t="s">
        <v>92</v>
      </c>
      <c r="D67" s="750" t="str">
        <f t="array" ref="D67">iferror(INDEX('作品'!D:D,MATCH(C67,'作品'!A:A,0),0),"")</f>
        <v>チェンソーマン</v>
      </c>
      <c r="E67" s="751" t="s">
        <v>2447</v>
      </c>
      <c r="F67" s="748" t="s">
        <v>2527</v>
      </c>
      <c r="G67" s="748" t="s">
        <v>3739</v>
      </c>
      <c r="H67" s="748" t="s">
        <v>3627</v>
      </c>
      <c r="I67" s="748" t="s">
        <v>2433</v>
      </c>
      <c r="J67" s="748" t="s">
        <v>3625</v>
      </c>
      <c r="K67" s="748"/>
      <c r="L67" s="599" t="s">
        <v>3628</v>
      </c>
      <c r="M67" s="599" t="s">
        <v>3629</v>
      </c>
      <c r="N67" s="599" t="str">
        <f t="shared" si="1"/>
        <v>genga_chi_main_009_02_start</v>
      </c>
      <c r="O67" s="599" t="str">
        <f t="shared" si="2"/>
        <v>manga_animation_genga_chi_main_009_02_start</v>
      </c>
      <c r="P67" s="752"/>
      <c r="Q67" s="752"/>
      <c r="R67" s="753" t="s">
        <v>3632</v>
      </c>
      <c r="S67" s="754"/>
      <c r="T67" s="754"/>
    </row>
    <row r="68">
      <c r="A68" s="747" t="s">
        <v>3624</v>
      </c>
      <c r="B68" s="748" t="s">
        <v>2446</v>
      </c>
      <c r="C68" s="749" t="s">
        <v>92</v>
      </c>
      <c r="D68" s="750" t="str">
        <f t="array" ref="D68">iferror(INDEX('作品'!D:D,MATCH(C68,'作品'!A:A,0),0),"")</f>
        <v>チェンソーマン</v>
      </c>
      <c r="E68" s="751" t="s">
        <v>2447</v>
      </c>
      <c r="F68" s="748" t="s">
        <v>2527</v>
      </c>
      <c r="G68" s="748" t="s">
        <v>3739</v>
      </c>
      <c r="H68" s="748" t="s">
        <v>1588</v>
      </c>
      <c r="I68" s="748" t="s">
        <v>2433</v>
      </c>
      <c r="J68" s="748" t="s">
        <v>3625</v>
      </c>
      <c r="K68" s="748"/>
      <c r="L68" s="599" t="s">
        <v>3628</v>
      </c>
      <c r="M68" s="599" t="s">
        <v>3629</v>
      </c>
      <c r="N68" s="599" t="str">
        <f t="shared" si="1"/>
        <v>genga_chi_main_009_03_start</v>
      </c>
      <c r="O68" s="599" t="str">
        <f t="shared" si="2"/>
        <v>manga_animation_genga_chi_main_009_03_start</v>
      </c>
      <c r="P68" s="752"/>
      <c r="Q68" s="752"/>
      <c r="R68" s="753" t="s">
        <v>3632</v>
      </c>
      <c r="S68" s="754"/>
      <c r="T68" s="754"/>
    </row>
    <row r="69">
      <c r="A69" s="747" t="s">
        <v>3624</v>
      </c>
      <c r="B69" s="748" t="s">
        <v>2446</v>
      </c>
      <c r="C69" s="749" t="s">
        <v>92</v>
      </c>
      <c r="D69" s="750" t="str">
        <f t="array" ref="D69">iferror(INDEX('作品'!D:D,MATCH(C69,'作品'!A:A,0),0),"")</f>
        <v>チェンソーマン</v>
      </c>
      <c r="E69" s="751" t="s">
        <v>2447</v>
      </c>
      <c r="F69" s="748" t="s">
        <v>2527</v>
      </c>
      <c r="G69" s="748" t="s">
        <v>3739</v>
      </c>
      <c r="H69" s="748" t="s">
        <v>3645</v>
      </c>
      <c r="I69" s="748" t="s">
        <v>2433</v>
      </c>
      <c r="J69" s="748" t="s">
        <v>3625</v>
      </c>
      <c r="K69" s="748"/>
      <c r="L69" s="599" t="s">
        <v>3628</v>
      </c>
      <c r="M69" s="599" t="s">
        <v>3629</v>
      </c>
      <c r="N69" s="599" t="str">
        <f t="shared" si="1"/>
        <v>genga_chi_main_009_04_start</v>
      </c>
      <c r="O69" s="599" t="str">
        <f t="shared" si="2"/>
        <v>manga_animation_genga_chi_main_009_04_start</v>
      </c>
      <c r="P69" s="752"/>
      <c r="Q69" s="752"/>
      <c r="R69" s="753" t="s">
        <v>3632</v>
      </c>
      <c r="S69" s="754"/>
      <c r="T69" s="754"/>
    </row>
    <row r="70">
      <c r="A70" s="747" t="s">
        <v>3624</v>
      </c>
      <c r="B70" s="748" t="s">
        <v>2446</v>
      </c>
      <c r="C70" s="749" t="s">
        <v>92</v>
      </c>
      <c r="D70" s="750" t="str">
        <f t="array" ref="D70">iferror(INDEX('作品'!D:D,MATCH(C70,'作品'!A:A,0),0),"")</f>
        <v>チェンソーマン</v>
      </c>
      <c r="E70" s="751" t="s">
        <v>2447</v>
      </c>
      <c r="F70" s="748" t="s">
        <v>2527</v>
      </c>
      <c r="G70" s="748" t="s">
        <v>3739</v>
      </c>
      <c r="H70" s="748" t="s">
        <v>3650</v>
      </c>
      <c r="I70" s="748" t="s">
        <v>2433</v>
      </c>
      <c r="J70" s="748" t="s">
        <v>3625</v>
      </c>
      <c r="K70" s="748"/>
      <c r="L70" s="599" t="s">
        <v>3628</v>
      </c>
      <c r="M70" s="599" t="s">
        <v>3629</v>
      </c>
      <c r="N70" s="599" t="str">
        <f t="shared" si="1"/>
        <v>genga_chi_main_009_05_start</v>
      </c>
      <c r="O70" s="599" t="str">
        <f t="shared" si="2"/>
        <v>manga_animation_genga_chi_main_009_05_start</v>
      </c>
      <c r="P70" s="752"/>
      <c r="Q70" s="752"/>
      <c r="R70" s="753" t="s">
        <v>3632</v>
      </c>
      <c r="S70" s="754"/>
      <c r="T70" s="754"/>
    </row>
    <row r="71">
      <c r="A71" s="747" t="s">
        <v>3624</v>
      </c>
      <c r="B71" s="748" t="s">
        <v>2446</v>
      </c>
      <c r="C71" s="749" t="s">
        <v>92</v>
      </c>
      <c r="D71" s="750" t="str">
        <f t="array" ref="D71">iferror(INDEX('作品'!D:D,MATCH(C71,'作品'!A:A,0),0),"")</f>
        <v>チェンソーマン</v>
      </c>
      <c r="E71" s="751" t="s">
        <v>2447</v>
      </c>
      <c r="F71" s="748" t="s">
        <v>2527</v>
      </c>
      <c r="G71" s="748" t="s">
        <v>3739</v>
      </c>
      <c r="H71" s="748" t="s">
        <v>3655</v>
      </c>
      <c r="I71" s="748" t="s">
        <v>2433</v>
      </c>
      <c r="J71" s="748" t="s">
        <v>3656</v>
      </c>
      <c r="K71" s="748" t="s">
        <v>3740</v>
      </c>
      <c r="L71" s="599" t="s">
        <v>3628</v>
      </c>
      <c r="M71" s="599" t="s">
        <v>3658</v>
      </c>
      <c r="N71" s="599" t="str">
        <f t="shared" si="1"/>
        <v>genga_chi_main_009_06_appear_denji</v>
      </c>
      <c r="O71" s="599" t="str">
        <f t="shared" si="2"/>
        <v>manga_animation_genga_chi_main_009_06_appear_denji</v>
      </c>
      <c r="P71" s="752"/>
      <c r="Q71" s="752"/>
      <c r="R71" s="753" t="s">
        <v>3632</v>
      </c>
      <c r="S71" s="754"/>
      <c r="T71" s="754"/>
    </row>
    <row r="72">
      <c r="A72" s="747" t="s">
        <v>3624</v>
      </c>
      <c r="B72" s="748" t="s">
        <v>2446</v>
      </c>
      <c r="C72" s="749" t="s">
        <v>92</v>
      </c>
      <c r="D72" s="750" t="str">
        <f t="array" ref="D72">iferror(INDEX('作品'!D:D,MATCH(C72,'作品'!A:A,0),0),"")</f>
        <v>チェンソーマン</v>
      </c>
      <c r="E72" s="751" t="s">
        <v>2447</v>
      </c>
      <c r="F72" s="748" t="s">
        <v>2527</v>
      </c>
      <c r="G72" s="748" t="s">
        <v>3739</v>
      </c>
      <c r="H72" s="748" t="s">
        <v>1762</v>
      </c>
      <c r="I72" s="748" t="s">
        <v>2433</v>
      </c>
      <c r="J72" s="748" t="s">
        <v>3633</v>
      </c>
      <c r="K72" s="748"/>
      <c r="L72" s="599" t="s">
        <v>3628</v>
      </c>
      <c r="M72" s="599" t="s">
        <v>3634</v>
      </c>
      <c r="N72" s="599" t="str">
        <f t="shared" si="1"/>
        <v>genga_chi_main_009_01_victory</v>
      </c>
      <c r="O72" s="599" t="str">
        <f t="shared" si="2"/>
        <v>manga_animation_genga_chi_main_009_01_victory</v>
      </c>
      <c r="P72" s="752"/>
      <c r="Q72" s="752"/>
      <c r="R72" s="753" t="s">
        <v>3632</v>
      </c>
      <c r="S72" s="754"/>
      <c r="T72" s="754"/>
    </row>
    <row r="73">
      <c r="A73" s="747" t="s">
        <v>3624</v>
      </c>
      <c r="B73" s="748" t="s">
        <v>2446</v>
      </c>
      <c r="C73" s="749" t="s">
        <v>92</v>
      </c>
      <c r="D73" s="750" t="str">
        <f t="array" ref="D73">iferror(INDEX('作品'!D:D,MATCH(C73,'作品'!A:A,0),0),"")</f>
        <v>チェンソーマン</v>
      </c>
      <c r="E73" s="751" t="s">
        <v>2447</v>
      </c>
      <c r="F73" s="748" t="s">
        <v>2527</v>
      </c>
      <c r="G73" s="748" t="s">
        <v>3739</v>
      </c>
      <c r="H73" s="748" t="s">
        <v>3627</v>
      </c>
      <c r="I73" s="748" t="s">
        <v>2433</v>
      </c>
      <c r="J73" s="748" t="s">
        <v>3633</v>
      </c>
      <c r="K73" s="748"/>
      <c r="L73" s="599" t="s">
        <v>3628</v>
      </c>
      <c r="M73" s="599" t="s">
        <v>3634</v>
      </c>
      <c r="N73" s="599" t="str">
        <f t="shared" si="1"/>
        <v>genga_chi_main_009_02_victory</v>
      </c>
      <c r="O73" s="599" t="str">
        <f t="shared" si="2"/>
        <v>manga_animation_genga_chi_main_009_02_victory</v>
      </c>
      <c r="P73" s="752"/>
      <c r="Q73" s="752"/>
      <c r="R73" s="753" t="s">
        <v>3632</v>
      </c>
      <c r="S73" s="754"/>
      <c r="T73" s="754"/>
    </row>
    <row r="74">
      <c r="A74" s="747" t="s">
        <v>3624</v>
      </c>
      <c r="B74" s="748" t="s">
        <v>2446</v>
      </c>
      <c r="C74" s="749" t="s">
        <v>92</v>
      </c>
      <c r="D74" s="750" t="str">
        <f t="array" ref="D74">iferror(INDEX('作品'!D:D,MATCH(C74,'作品'!A:A,0),0),"")</f>
        <v>チェンソーマン</v>
      </c>
      <c r="E74" s="751" t="s">
        <v>2447</v>
      </c>
      <c r="F74" s="748" t="s">
        <v>2527</v>
      </c>
      <c r="G74" s="748" t="s">
        <v>3739</v>
      </c>
      <c r="H74" s="748" t="s">
        <v>1588</v>
      </c>
      <c r="I74" s="748" t="s">
        <v>2433</v>
      </c>
      <c r="J74" s="748" t="s">
        <v>3633</v>
      </c>
      <c r="K74" s="748"/>
      <c r="L74" s="599" t="s">
        <v>3628</v>
      </c>
      <c r="M74" s="599" t="s">
        <v>3634</v>
      </c>
      <c r="N74" s="599" t="str">
        <f t="shared" si="1"/>
        <v>genga_chi_main_009_03_victory</v>
      </c>
      <c r="O74" s="599" t="str">
        <f t="shared" si="2"/>
        <v>manga_animation_genga_chi_main_009_03_victory</v>
      </c>
      <c r="P74" s="752"/>
      <c r="Q74" s="752"/>
      <c r="R74" s="753" t="s">
        <v>3632</v>
      </c>
      <c r="S74" s="754"/>
      <c r="T74" s="754"/>
    </row>
    <row r="75">
      <c r="A75" s="747" t="s">
        <v>3624</v>
      </c>
      <c r="B75" s="748" t="s">
        <v>2446</v>
      </c>
      <c r="C75" s="749" t="s">
        <v>92</v>
      </c>
      <c r="D75" s="750" t="str">
        <f t="array" ref="D75">iferror(INDEX('作品'!D:D,MATCH(C75,'作品'!A:A,0),0),"")</f>
        <v>チェンソーマン</v>
      </c>
      <c r="E75" s="751" t="s">
        <v>2447</v>
      </c>
      <c r="F75" s="748" t="s">
        <v>2527</v>
      </c>
      <c r="G75" s="748" t="s">
        <v>3739</v>
      </c>
      <c r="H75" s="748" t="s">
        <v>3645</v>
      </c>
      <c r="I75" s="748" t="s">
        <v>2433</v>
      </c>
      <c r="J75" s="748" t="s">
        <v>3633</v>
      </c>
      <c r="K75" s="748"/>
      <c r="L75" s="599" t="s">
        <v>3628</v>
      </c>
      <c r="M75" s="599" t="s">
        <v>3634</v>
      </c>
      <c r="N75" s="599" t="str">
        <f t="shared" si="1"/>
        <v>genga_chi_main_009_04_victory</v>
      </c>
      <c r="O75" s="599" t="str">
        <f t="shared" si="2"/>
        <v>manga_animation_genga_chi_main_009_04_victory</v>
      </c>
      <c r="P75" s="752"/>
      <c r="Q75" s="752"/>
      <c r="R75" s="753" t="s">
        <v>3632</v>
      </c>
      <c r="S75" s="754"/>
      <c r="T75" s="754"/>
    </row>
    <row r="76">
      <c r="A76" s="747" t="s">
        <v>3624</v>
      </c>
      <c r="B76" s="748" t="s">
        <v>2446</v>
      </c>
      <c r="C76" s="749" t="s">
        <v>92</v>
      </c>
      <c r="D76" s="750" t="str">
        <f t="array" ref="D76">iferror(INDEX('作品'!D:D,MATCH(C76,'作品'!A:A,0),0),"")</f>
        <v>チェンソーマン</v>
      </c>
      <c r="E76" s="751" t="s">
        <v>2447</v>
      </c>
      <c r="F76" s="748" t="s">
        <v>2527</v>
      </c>
      <c r="G76" s="748" t="s">
        <v>3739</v>
      </c>
      <c r="H76" s="748" t="s">
        <v>3650</v>
      </c>
      <c r="I76" s="748" t="s">
        <v>2433</v>
      </c>
      <c r="J76" s="748" t="s">
        <v>3633</v>
      </c>
      <c r="K76" s="748"/>
      <c r="L76" s="599" t="s">
        <v>3628</v>
      </c>
      <c r="M76" s="599" t="s">
        <v>3634</v>
      </c>
      <c r="N76" s="599" t="str">
        <f t="shared" si="1"/>
        <v>genga_chi_main_009_05_victory</v>
      </c>
      <c r="O76" s="599" t="str">
        <f t="shared" si="2"/>
        <v>manga_animation_genga_chi_main_009_05_victory</v>
      </c>
      <c r="P76" s="752"/>
      <c r="Q76" s="752"/>
      <c r="R76" s="753" t="s">
        <v>3632</v>
      </c>
      <c r="S76" s="754"/>
      <c r="T76" s="754"/>
    </row>
    <row r="77">
      <c r="A77" s="747" t="s">
        <v>3624</v>
      </c>
      <c r="B77" s="748" t="s">
        <v>2446</v>
      </c>
      <c r="C77" s="749" t="s">
        <v>115</v>
      </c>
      <c r="D77" s="750" t="str">
        <f t="array" ref="D77">iferror(INDEX('作品'!D:D,MATCH(C77,'作品'!A:A,0),0),"")</f>
        <v>怪獣８号</v>
      </c>
      <c r="E77" s="751" t="s">
        <v>2447</v>
      </c>
      <c r="F77" s="748" t="s">
        <v>2527</v>
      </c>
      <c r="G77" s="748" t="s">
        <v>3741</v>
      </c>
      <c r="H77" s="748" t="s">
        <v>1762</v>
      </c>
      <c r="I77" s="748" t="s">
        <v>2433</v>
      </c>
      <c r="J77" s="748" t="s">
        <v>3625</v>
      </c>
      <c r="K77" s="748"/>
      <c r="L77" s="599" t="s">
        <v>3628</v>
      </c>
      <c r="M77" s="599" t="s">
        <v>3629</v>
      </c>
      <c r="N77" s="599" t="str">
        <f t="shared" si="1"/>
        <v>genga_kai_main_015_01_start</v>
      </c>
      <c r="O77" s="599" t="str">
        <f t="shared" si="2"/>
        <v>manga_animation_genga_kai_main_015_01_start</v>
      </c>
      <c r="P77" s="752"/>
      <c r="Q77" s="752"/>
      <c r="R77" s="753" t="s">
        <v>3669</v>
      </c>
      <c r="S77" s="754"/>
      <c r="T77" s="754"/>
    </row>
    <row r="78">
      <c r="A78" s="747" t="s">
        <v>3624</v>
      </c>
      <c r="B78" s="748" t="s">
        <v>2446</v>
      </c>
      <c r="C78" s="749" t="s">
        <v>115</v>
      </c>
      <c r="D78" s="750" t="str">
        <f t="array" ref="D78">iferror(INDEX('作品'!D:D,MATCH(C78,'作品'!A:A,0),0),"")</f>
        <v>怪獣８号</v>
      </c>
      <c r="E78" s="751" t="s">
        <v>2447</v>
      </c>
      <c r="F78" s="748" t="s">
        <v>2527</v>
      </c>
      <c r="G78" s="748" t="s">
        <v>3741</v>
      </c>
      <c r="H78" s="748" t="s">
        <v>3627</v>
      </c>
      <c r="I78" s="748" t="s">
        <v>2433</v>
      </c>
      <c r="J78" s="748" t="s">
        <v>3625</v>
      </c>
      <c r="K78" s="748"/>
      <c r="L78" s="599" t="s">
        <v>3628</v>
      </c>
      <c r="M78" s="599" t="s">
        <v>3629</v>
      </c>
      <c r="N78" s="599" t="str">
        <f t="shared" si="1"/>
        <v>genga_kai_main_015_02_start</v>
      </c>
      <c r="O78" s="599" t="str">
        <f t="shared" si="2"/>
        <v>manga_animation_genga_kai_main_015_02_start</v>
      </c>
      <c r="P78" s="752"/>
      <c r="Q78" s="752"/>
      <c r="R78" s="753" t="s">
        <v>3669</v>
      </c>
      <c r="S78" s="754"/>
      <c r="T78" s="754"/>
    </row>
    <row r="79">
      <c r="A79" s="747" t="s">
        <v>3624</v>
      </c>
      <c r="B79" s="748" t="s">
        <v>2446</v>
      </c>
      <c r="C79" s="749" t="s">
        <v>115</v>
      </c>
      <c r="D79" s="750" t="str">
        <f t="array" ref="D79">iferror(INDEX('作品'!D:D,MATCH(C79,'作品'!A:A,0),0),"")</f>
        <v>怪獣８号</v>
      </c>
      <c r="E79" s="751" t="s">
        <v>2447</v>
      </c>
      <c r="F79" s="748" t="s">
        <v>2527</v>
      </c>
      <c r="G79" s="748" t="s">
        <v>3741</v>
      </c>
      <c r="H79" s="748" t="s">
        <v>1588</v>
      </c>
      <c r="I79" s="748" t="s">
        <v>2433</v>
      </c>
      <c r="J79" s="748" t="s">
        <v>3625</v>
      </c>
      <c r="K79" s="748"/>
      <c r="L79" s="599" t="s">
        <v>3628</v>
      </c>
      <c r="M79" s="599" t="s">
        <v>3629</v>
      </c>
      <c r="N79" s="599" t="str">
        <f t="shared" si="1"/>
        <v>genga_kai_main_015_03_start</v>
      </c>
      <c r="O79" s="599" t="str">
        <f t="shared" si="2"/>
        <v>manga_animation_genga_kai_main_015_03_start</v>
      </c>
      <c r="P79" s="752"/>
      <c r="Q79" s="752"/>
      <c r="R79" s="753" t="s">
        <v>3669</v>
      </c>
      <c r="S79" s="754"/>
      <c r="T79" s="754"/>
    </row>
    <row r="80">
      <c r="A80" s="747" t="s">
        <v>3624</v>
      </c>
      <c r="B80" s="748" t="s">
        <v>2446</v>
      </c>
      <c r="C80" s="749" t="s">
        <v>115</v>
      </c>
      <c r="D80" s="750" t="str">
        <f t="array" ref="D80">iferror(INDEX('作品'!D:D,MATCH(C80,'作品'!A:A,0),0),"")</f>
        <v>怪獣８号</v>
      </c>
      <c r="E80" s="751" t="s">
        <v>2447</v>
      </c>
      <c r="F80" s="748" t="s">
        <v>2527</v>
      </c>
      <c r="G80" s="748" t="s">
        <v>3741</v>
      </c>
      <c r="H80" s="748" t="s">
        <v>3645</v>
      </c>
      <c r="I80" s="748" t="s">
        <v>2433</v>
      </c>
      <c r="J80" s="748" t="s">
        <v>3625</v>
      </c>
      <c r="K80" s="748"/>
      <c r="L80" s="599" t="s">
        <v>3628</v>
      </c>
      <c r="M80" s="599" t="s">
        <v>3629</v>
      </c>
      <c r="N80" s="599" t="str">
        <f t="shared" si="1"/>
        <v>genga_kai_main_015_04_start</v>
      </c>
      <c r="O80" s="599" t="str">
        <f t="shared" si="2"/>
        <v>manga_animation_genga_kai_main_015_04_start</v>
      </c>
      <c r="P80" s="752"/>
      <c r="Q80" s="752"/>
      <c r="R80" s="753" t="s">
        <v>3669</v>
      </c>
      <c r="S80" s="754"/>
      <c r="T80" s="754"/>
    </row>
    <row r="81">
      <c r="A81" s="747" t="s">
        <v>3624</v>
      </c>
      <c r="B81" s="748" t="s">
        <v>2446</v>
      </c>
      <c r="C81" s="749" t="s">
        <v>115</v>
      </c>
      <c r="D81" s="750" t="str">
        <f t="array" ref="D81">iferror(INDEX('作品'!D:D,MATCH(C81,'作品'!A:A,0),0),"")</f>
        <v>怪獣８号</v>
      </c>
      <c r="E81" s="751" t="s">
        <v>2447</v>
      </c>
      <c r="F81" s="748" t="s">
        <v>2527</v>
      </c>
      <c r="G81" s="748" t="s">
        <v>3741</v>
      </c>
      <c r="H81" s="748" t="s">
        <v>3650</v>
      </c>
      <c r="I81" s="748" t="s">
        <v>2433</v>
      </c>
      <c r="J81" s="748" t="s">
        <v>3625</v>
      </c>
      <c r="K81" s="748"/>
      <c r="L81" s="599" t="s">
        <v>3628</v>
      </c>
      <c r="M81" s="599" t="s">
        <v>3629</v>
      </c>
      <c r="N81" s="599" t="str">
        <f t="shared" si="1"/>
        <v>genga_kai_main_015_05_start</v>
      </c>
      <c r="O81" s="599" t="str">
        <f t="shared" si="2"/>
        <v>manga_animation_genga_kai_main_015_05_start</v>
      </c>
      <c r="P81" s="752"/>
      <c r="Q81" s="752"/>
      <c r="R81" s="753" t="s">
        <v>3669</v>
      </c>
      <c r="S81" s="754"/>
      <c r="T81" s="754"/>
    </row>
    <row r="82">
      <c r="A82" s="747" t="s">
        <v>3624</v>
      </c>
      <c r="B82" s="748" t="s">
        <v>2446</v>
      </c>
      <c r="C82" s="749" t="s">
        <v>115</v>
      </c>
      <c r="D82" s="750" t="str">
        <f t="array" ref="D82">iferror(INDEX('作品'!D:D,MATCH(C82,'作品'!A:A,0),0),"")</f>
        <v>怪獣８号</v>
      </c>
      <c r="E82" s="751" t="s">
        <v>2447</v>
      </c>
      <c r="F82" s="748" t="s">
        <v>2527</v>
      </c>
      <c r="G82" s="748" t="s">
        <v>3741</v>
      </c>
      <c r="H82" s="748" t="s">
        <v>3655</v>
      </c>
      <c r="I82" s="748" t="s">
        <v>2433</v>
      </c>
      <c r="J82" s="748" t="s">
        <v>3656</v>
      </c>
      <c r="K82" s="748" t="s">
        <v>3742</v>
      </c>
      <c r="L82" s="599" t="s">
        <v>3628</v>
      </c>
      <c r="M82" s="599" t="s">
        <v>3658</v>
      </c>
      <c r="N82" s="599" t="str">
        <f t="shared" si="1"/>
        <v>genga_kai_main_015_06_appear_8gou</v>
      </c>
      <c r="O82" s="599" t="str">
        <f t="shared" si="2"/>
        <v>manga_animation_genga_kai_main_015_06_appear_8gou</v>
      </c>
      <c r="P82" s="752"/>
      <c r="Q82" s="752"/>
      <c r="R82" s="753" t="s">
        <v>3669</v>
      </c>
      <c r="S82" s="754"/>
      <c r="T82" s="754"/>
    </row>
    <row r="83">
      <c r="A83" s="747" t="s">
        <v>3624</v>
      </c>
      <c r="B83" s="748" t="s">
        <v>2446</v>
      </c>
      <c r="C83" s="749" t="s">
        <v>115</v>
      </c>
      <c r="D83" s="750" t="str">
        <f t="array" ref="D83">iferror(INDEX('作品'!D:D,MATCH(C83,'作品'!A:A,0),0),"")</f>
        <v>怪獣８号</v>
      </c>
      <c r="E83" s="751" t="s">
        <v>2447</v>
      </c>
      <c r="F83" s="748" t="s">
        <v>2527</v>
      </c>
      <c r="G83" s="748" t="s">
        <v>3741</v>
      </c>
      <c r="H83" s="748" t="s">
        <v>1762</v>
      </c>
      <c r="I83" s="748" t="s">
        <v>2433</v>
      </c>
      <c r="J83" s="748" t="s">
        <v>3633</v>
      </c>
      <c r="K83" s="748"/>
      <c r="L83" s="599" t="s">
        <v>3628</v>
      </c>
      <c r="M83" s="599" t="s">
        <v>3634</v>
      </c>
      <c r="N83" s="599" t="str">
        <f t="shared" si="1"/>
        <v>genga_kai_main_015_01_victory</v>
      </c>
      <c r="O83" s="599" t="str">
        <f t="shared" si="2"/>
        <v>manga_animation_genga_kai_main_015_01_victory</v>
      </c>
      <c r="P83" s="752"/>
      <c r="Q83" s="752"/>
      <c r="R83" s="753" t="s">
        <v>3669</v>
      </c>
      <c r="S83" s="754"/>
      <c r="T83" s="754"/>
    </row>
    <row r="84">
      <c r="A84" s="747" t="s">
        <v>3624</v>
      </c>
      <c r="B84" s="748" t="s">
        <v>2446</v>
      </c>
      <c r="C84" s="749" t="s">
        <v>115</v>
      </c>
      <c r="D84" s="750" t="str">
        <f t="array" ref="D84">iferror(INDEX('作品'!D:D,MATCH(C84,'作品'!A:A,0),0),"")</f>
        <v>怪獣８号</v>
      </c>
      <c r="E84" s="751" t="s">
        <v>2447</v>
      </c>
      <c r="F84" s="748" t="s">
        <v>2527</v>
      </c>
      <c r="G84" s="748" t="s">
        <v>3741</v>
      </c>
      <c r="H84" s="748" t="s">
        <v>3627</v>
      </c>
      <c r="I84" s="748" t="s">
        <v>2433</v>
      </c>
      <c r="J84" s="748" t="s">
        <v>3633</v>
      </c>
      <c r="K84" s="748"/>
      <c r="L84" s="599" t="s">
        <v>3628</v>
      </c>
      <c r="M84" s="599" t="s">
        <v>3634</v>
      </c>
      <c r="N84" s="599" t="str">
        <f t="shared" si="1"/>
        <v>genga_kai_main_015_02_victory</v>
      </c>
      <c r="O84" s="599" t="str">
        <f t="shared" si="2"/>
        <v>manga_animation_genga_kai_main_015_02_victory</v>
      </c>
      <c r="P84" s="752"/>
      <c r="Q84" s="752"/>
      <c r="R84" s="753" t="s">
        <v>3669</v>
      </c>
      <c r="S84" s="754"/>
      <c r="T84" s="754"/>
    </row>
    <row r="85">
      <c r="A85" s="747" t="s">
        <v>3624</v>
      </c>
      <c r="B85" s="748" t="s">
        <v>2446</v>
      </c>
      <c r="C85" s="749" t="s">
        <v>115</v>
      </c>
      <c r="D85" s="750" t="str">
        <f t="array" ref="D85">iferror(INDEX('作品'!D:D,MATCH(C85,'作品'!A:A,0),0),"")</f>
        <v>怪獣８号</v>
      </c>
      <c r="E85" s="751" t="s">
        <v>2447</v>
      </c>
      <c r="F85" s="748" t="s">
        <v>2527</v>
      </c>
      <c r="G85" s="748" t="s">
        <v>3741</v>
      </c>
      <c r="H85" s="748" t="s">
        <v>1588</v>
      </c>
      <c r="I85" s="748" t="s">
        <v>2433</v>
      </c>
      <c r="J85" s="748" t="s">
        <v>3633</v>
      </c>
      <c r="K85" s="748"/>
      <c r="L85" s="599" t="s">
        <v>3628</v>
      </c>
      <c r="M85" s="599" t="s">
        <v>3634</v>
      </c>
      <c r="N85" s="599" t="str">
        <f t="shared" si="1"/>
        <v>genga_kai_main_015_03_victory</v>
      </c>
      <c r="O85" s="599" t="str">
        <f t="shared" si="2"/>
        <v>manga_animation_genga_kai_main_015_03_victory</v>
      </c>
      <c r="P85" s="752"/>
      <c r="Q85" s="752"/>
      <c r="R85" s="753" t="s">
        <v>3669</v>
      </c>
      <c r="S85" s="754"/>
      <c r="T85" s="754"/>
    </row>
    <row r="86">
      <c r="A86" s="747" t="s">
        <v>3624</v>
      </c>
      <c r="B86" s="748" t="s">
        <v>2446</v>
      </c>
      <c r="C86" s="749" t="s">
        <v>115</v>
      </c>
      <c r="D86" s="750" t="str">
        <f t="array" ref="D86">iferror(INDEX('作品'!D:D,MATCH(C86,'作品'!A:A,0),0),"")</f>
        <v>怪獣８号</v>
      </c>
      <c r="E86" s="751" t="s">
        <v>2447</v>
      </c>
      <c r="F86" s="748" t="s">
        <v>2527</v>
      </c>
      <c r="G86" s="748" t="s">
        <v>3741</v>
      </c>
      <c r="H86" s="748" t="s">
        <v>3645</v>
      </c>
      <c r="I86" s="748" t="s">
        <v>2433</v>
      </c>
      <c r="J86" s="748" t="s">
        <v>3633</v>
      </c>
      <c r="K86" s="748"/>
      <c r="L86" s="599" t="s">
        <v>3628</v>
      </c>
      <c r="M86" s="599" t="s">
        <v>3634</v>
      </c>
      <c r="N86" s="599" t="str">
        <f t="shared" si="1"/>
        <v>genga_kai_main_015_04_victory</v>
      </c>
      <c r="O86" s="599" t="str">
        <f t="shared" si="2"/>
        <v>manga_animation_genga_kai_main_015_04_victory</v>
      </c>
      <c r="P86" s="752"/>
      <c r="Q86" s="752"/>
      <c r="R86" s="753" t="s">
        <v>3669</v>
      </c>
      <c r="S86" s="754"/>
      <c r="T86" s="754"/>
    </row>
    <row r="87">
      <c r="A87" s="747" t="s">
        <v>3624</v>
      </c>
      <c r="B87" s="748" t="s">
        <v>2446</v>
      </c>
      <c r="C87" s="749" t="s">
        <v>115</v>
      </c>
      <c r="D87" s="750" t="str">
        <f t="array" ref="D87">iferror(INDEX('作品'!D:D,MATCH(C87,'作品'!A:A,0),0),"")</f>
        <v>怪獣８号</v>
      </c>
      <c r="E87" s="751" t="s">
        <v>2447</v>
      </c>
      <c r="F87" s="748" t="s">
        <v>2527</v>
      </c>
      <c r="G87" s="748" t="s">
        <v>3741</v>
      </c>
      <c r="H87" s="748" t="s">
        <v>3650</v>
      </c>
      <c r="I87" s="748" t="s">
        <v>2433</v>
      </c>
      <c r="J87" s="748" t="s">
        <v>3633</v>
      </c>
      <c r="K87" s="748"/>
      <c r="L87" s="599" t="s">
        <v>3628</v>
      </c>
      <c r="M87" s="599" t="s">
        <v>3634</v>
      </c>
      <c r="N87" s="599" t="str">
        <f t="shared" si="1"/>
        <v>genga_kai_main_015_05_victory</v>
      </c>
      <c r="O87" s="599" t="str">
        <f t="shared" si="2"/>
        <v>manga_animation_genga_kai_main_015_05_victory</v>
      </c>
      <c r="P87" s="752"/>
      <c r="Q87" s="752"/>
      <c r="R87" s="753" t="s">
        <v>3669</v>
      </c>
      <c r="S87" s="754"/>
      <c r="T87" s="754"/>
    </row>
    <row r="88">
      <c r="A88" s="747" t="s">
        <v>3624</v>
      </c>
      <c r="B88" s="748" t="s">
        <v>2446</v>
      </c>
      <c r="C88" s="749" t="s">
        <v>115</v>
      </c>
      <c r="D88" s="750" t="str">
        <f t="array" ref="D88">iferror(INDEX('作品'!D:D,MATCH(C88,'作品'!A:A,0),0),"")</f>
        <v>怪獣８号</v>
      </c>
      <c r="E88" s="751" t="s">
        <v>2447</v>
      </c>
      <c r="F88" s="748" t="s">
        <v>2527</v>
      </c>
      <c r="G88" s="748" t="s">
        <v>3741</v>
      </c>
      <c r="H88" s="748" t="s">
        <v>3650</v>
      </c>
      <c r="I88" s="748" t="s">
        <v>2433</v>
      </c>
      <c r="J88" s="748" t="s">
        <v>3656</v>
      </c>
      <c r="K88" s="748" t="s">
        <v>3743</v>
      </c>
      <c r="L88" s="599" t="s">
        <v>3628</v>
      </c>
      <c r="M88" s="599" t="s">
        <v>3658</v>
      </c>
      <c r="N88" s="599" t="str">
        <f t="shared" si="1"/>
        <v>genga_kai_main_015_05_appear_9gou</v>
      </c>
      <c r="O88" s="599" t="str">
        <f t="shared" si="2"/>
        <v>manga_animation_genga_kai_main_015_05_appear_9gou</v>
      </c>
      <c r="P88" s="752"/>
      <c r="Q88" s="752"/>
      <c r="R88" s="753" t="s">
        <v>3669</v>
      </c>
      <c r="S88" s="754"/>
      <c r="T88" s="754"/>
    </row>
    <row r="89">
      <c r="A89" s="747" t="s">
        <v>3624</v>
      </c>
      <c r="B89" s="748" t="s">
        <v>2446</v>
      </c>
      <c r="C89" s="749" t="s">
        <v>127</v>
      </c>
      <c r="D89" s="750" t="str">
        <f t="array" ref="D89">iferror(INDEX('作品'!D:D,MATCH(C89,'作品'!A:A,0),0),"")</f>
        <v>魔都精兵のスレイブ</v>
      </c>
      <c r="E89" s="751" t="s">
        <v>2447</v>
      </c>
      <c r="F89" s="748" t="s">
        <v>2527</v>
      </c>
      <c r="G89" s="748" t="s">
        <v>3744</v>
      </c>
      <c r="H89" s="748" t="s">
        <v>1762</v>
      </c>
      <c r="I89" s="748" t="s">
        <v>2433</v>
      </c>
      <c r="J89" s="748" t="s">
        <v>3625</v>
      </c>
      <c r="K89" s="748"/>
      <c r="L89" s="599" t="s">
        <v>3628</v>
      </c>
      <c r="M89" s="599" t="s">
        <v>3629</v>
      </c>
      <c r="N89" s="599" t="str">
        <f t="shared" si="1"/>
        <v>genga_sur_main_010_01_start</v>
      </c>
      <c r="O89" s="599" t="str">
        <f t="shared" si="2"/>
        <v>manga_animation_genga_sur_main_010_01_start</v>
      </c>
      <c r="P89" s="752"/>
      <c r="Q89" s="752"/>
      <c r="R89" s="753" t="s">
        <v>3669</v>
      </c>
      <c r="S89" s="754"/>
      <c r="T89" s="754"/>
    </row>
    <row r="90">
      <c r="A90" s="747" t="s">
        <v>3624</v>
      </c>
      <c r="B90" s="748" t="s">
        <v>2446</v>
      </c>
      <c r="C90" s="749" t="s">
        <v>127</v>
      </c>
      <c r="D90" s="750" t="str">
        <f t="array" ref="D90">iferror(INDEX('作品'!D:D,MATCH(C90,'作品'!A:A,0),0),"")</f>
        <v>魔都精兵のスレイブ</v>
      </c>
      <c r="E90" s="751" t="s">
        <v>2447</v>
      </c>
      <c r="F90" s="748" t="s">
        <v>2527</v>
      </c>
      <c r="G90" s="748" t="s">
        <v>3744</v>
      </c>
      <c r="H90" s="748" t="s">
        <v>3627</v>
      </c>
      <c r="I90" s="748" t="s">
        <v>2433</v>
      </c>
      <c r="J90" s="748" t="s">
        <v>3625</v>
      </c>
      <c r="K90" s="748"/>
      <c r="L90" s="599" t="s">
        <v>3628</v>
      </c>
      <c r="M90" s="599" t="s">
        <v>3629</v>
      </c>
      <c r="N90" s="599" t="str">
        <f t="shared" si="1"/>
        <v>genga_sur_main_010_02_start</v>
      </c>
      <c r="O90" s="599" t="str">
        <f t="shared" si="2"/>
        <v>manga_animation_genga_sur_main_010_02_start</v>
      </c>
      <c r="P90" s="752"/>
      <c r="Q90" s="752"/>
      <c r="R90" s="753" t="s">
        <v>3669</v>
      </c>
      <c r="S90" s="754"/>
      <c r="T90" s="754"/>
    </row>
    <row r="91">
      <c r="A91" s="747" t="s">
        <v>3624</v>
      </c>
      <c r="B91" s="748" t="s">
        <v>2446</v>
      </c>
      <c r="C91" s="749" t="s">
        <v>127</v>
      </c>
      <c r="D91" s="750" t="str">
        <f t="array" ref="D91">iferror(INDEX('作品'!D:D,MATCH(C91,'作品'!A:A,0),0),"")</f>
        <v>魔都精兵のスレイブ</v>
      </c>
      <c r="E91" s="751" t="s">
        <v>2447</v>
      </c>
      <c r="F91" s="748" t="s">
        <v>2527</v>
      </c>
      <c r="G91" s="748" t="s">
        <v>3744</v>
      </c>
      <c r="H91" s="748" t="s">
        <v>1588</v>
      </c>
      <c r="I91" s="748" t="s">
        <v>2433</v>
      </c>
      <c r="J91" s="748" t="s">
        <v>3625</v>
      </c>
      <c r="K91" s="748"/>
      <c r="L91" s="599" t="s">
        <v>3628</v>
      </c>
      <c r="M91" s="599" t="s">
        <v>3629</v>
      </c>
      <c r="N91" s="599" t="str">
        <f t="shared" si="1"/>
        <v>genga_sur_main_010_03_start</v>
      </c>
      <c r="O91" s="599" t="str">
        <f t="shared" si="2"/>
        <v>manga_animation_genga_sur_main_010_03_start</v>
      </c>
      <c r="P91" s="752"/>
      <c r="Q91" s="752"/>
      <c r="R91" s="753" t="s">
        <v>3669</v>
      </c>
      <c r="S91" s="754"/>
      <c r="T91" s="754"/>
    </row>
    <row r="92">
      <c r="A92" s="747" t="s">
        <v>3624</v>
      </c>
      <c r="B92" s="748" t="s">
        <v>2446</v>
      </c>
      <c r="C92" s="749" t="s">
        <v>127</v>
      </c>
      <c r="D92" s="750" t="str">
        <f t="array" ref="D92">iferror(INDEX('作品'!D:D,MATCH(C92,'作品'!A:A,0),0),"")</f>
        <v>魔都精兵のスレイブ</v>
      </c>
      <c r="E92" s="751" t="s">
        <v>2447</v>
      </c>
      <c r="F92" s="748" t="s">
        <v>2527</v>
      </c>
      <c r="G92" s="748" t="s">
        <v>3744</v>
      </c>
      <c r="H92" s="748" t="s">
        <v>3645</v>
      </c>
      <c r="I92" s="748" t="s">
        <v>2433</v>
      </c>
      <c r="J92" s="748" t="s">
        <v>3625</v>
      </c>
      <c r="K92" s="748"/>
      <c r="L92" s="599" t="s">
        <v>3628</v>
      </c>
      <c r="M92" s="599" t="s">
        <v>3629</v>
      </c>
      <c r="N92" s="599" t="str">
        <f t="shared" si="1"/>
        <v>genga_sur_main_010_04_start</v>
      </c>
      <c r="O92" s="599" t="str">
        <f t="shared" si="2"/>
        <v>manga_animation_genga_sur_main_010_04_start</v>
      </c>
      <c r="P92" s="752"/>
      <c r="Q92" s="752"/>
      <c r="R92" s="753" t="s">
        <v>3669</v>
      </c>
      <c r="S92" s="754"/>
      <c r="T92" s="754"/>
    </row>
    <row r="93">
      <c r="A93" s="747" t="s">
        <v>3624</v>
      </c>
      <c r="B93" s="748" t="s">
        <v>2446</v>
      </c>
      <c r="C93" s="749" t="s">
        <v>127</v>
      </c>
      <c r="D93" s="750" t="str">
        <f t="array" ref="D93">iferror(INDEX('作品'!D:D,MATCH(C93,'作品'!A:A,0),0),"")</f>
        <v>魔都精兵のスレイブ</v>
      </c>
      <c r="E93" s="751" t="s">
        <v>2447</v>
      </c>
      <c r="F93" s="748" t="s">
        <v>2527</v>
      </c>
      <c r="G93" s="748" t="s">
        <v>3744</v>
      </c>
      <c r="H93" s="748" t="s">
        <v>3650</v>
      </c>
      <c r="I93" s="748" t="s">
        <v>2433</v>
      </c>
      <c r="J93" s="748" t="s">
        <v>3625</v>
      </c>
      <c r="K93" s="748"/>
      <c r="L93" s="599" t="s">
        <v>3628</v>
      </c>
      <c r="M93" s="599" t="s">
        <v>3629</v>
      </c>
      <c r="N93" s="599" t="str">
        <f t="shared" si="1"/>
        <v>genga_sur_main_010_05_start</v>
      </c>
      <c r="O93" s="599" t="str">
        <f t="shared" si="2"/>
        <v>manga_animation_genga_sur_main_010_05_start</v>
      </c>
      <c r="P93" s="752"/>
      <c r="Q93" s="752"/>
      <c r="R93" s="753" t="s">
        <v>3669</v>
      </c>
      <c r="S93" s="754"/>
      <c r="T93" s="754"/>
    </row>
    <row r="94">
      <c r="A94" s="747" t="s">
        <v>3624</v>
      </c>
      <c r="B94" s="748" t="s">
        <v>2446</v>
      </c>
      <c r="C94" s="749" t="s">
        <v>127</v>
      </c>
      <c r="D94" s="750" t="str">
        <f t="array" ref="D94">iferror(INDEX('作品'!D:D,MATCH(C94,'作品'!A:A,0),0),"")</f>
        <v>魔都精兵のスレイブ</v>
      </c>
      <c r="E94" s="751" t="s">
        <v>2447</v>
      </c>
      <c r="F94" s="748" t="s">
        <v>2527</v>
      </c>
      <c r="G94" s="748" t="s">
        <v>3744</v>
      </c>
      <c r="H94" s="748" t="s">
        <v>3655</v>
      </c>
      <c r="I94" s="748" t="s">
        <v>2433</v>
      </c>
      <c r="J94" s="748" t="s">
        <v>3656</v>
      </c>
      <c r="K94" s="748" t="s">
        <v>3745</v>
      </c>
      <c r="L94" s="599" t="s">
        <v>3628</v>
      </c>
      <c r="M94" s="599" t="s">
        <v>3658</v>
      </c>
      <c r="N94" s="599" t="str">
        <f t="shared" si="1"/>
        <v>genga_sur_main_010_06_appear_kyoka</v>
      </c>
      <c r="O94" s="599" t="str">
        <f t="shared" si="2"/>
        <v>manga_animation_genga_sur_main_010_06_appear_kyoka</v>
      </c>
      <c r="P94" s="752"/>
      <c r="Q94" s="752"/>
      <c r="R94" s="753" t="s">
        <v>3669</v>
      </c>
      <c r="S94" s="754"/>
      <c r="T94" s="754"/>
    </row>
    <row r="95">
      <c r="A95" s="747" t="s">
        <v>3624</v>
      </c>
      <c r="B95" s="748" t="s">
        <v>2446</v>
      </c>
      <c r="C95" s="749" t="s">
        <v>127</v>
      </c>
      <c r="D95" s="750" t="str">
        <f t="array" ref="D95">iferror(INDEX('作品'!D:D,MATCH(C95,'作品'!A:A,0),0),"")</f>
        <v>魔都精兵のスレイブ</v>
      </c>
      <c r="E95" s="751" t="s">
        <v>2447</v>
      </c>
      <c r="F95" s="748" t="s">
        <v>2527</v>
      </c>
      <c r="G95" s="748" t="s">
        <v>3744</v>
      </c>
      <c r="H95" s="748" t="s">
        <v>1762</v>
      </c>
      <c r="I95" s="748" t="s">
        <v>2433</v>
      </c>
      <c r="J95" s="748" t="s">
        <v>3633</v>
      </c>
      <c r="K95" s="748"/>
      <c r="L95" s="599" t="s">
        <v>3628</v>
      </c>
      <c r="M95" s="599" t="s">
        <v>3634</v>
      </c>
      <c r="N95" s="599" t="str">
        <f t="shared" si="1"/>
        <v>genga_sur_main_010_01_victory</v>
      </c>
      <c r="O95" s="599" t="str">
        <f t="shared" si="2"/>
        <v>manga_animation_genga_sur_main_010_01_victory</v>
      </c>
      <c r="P95" s="752"/>
      <c r="Q95" s="752"/>
      <c r="R95" s="753" t="s">
        <v>3669</v>
      </c>
      <c r="S95" s="754"/>
      <c r="T95" s="754"/>
    </row>
    <row r="96">
      <c r="A96" s="747" t="s">
        <v>3624</v>
      </c>
      <c r="B96" s="748" t="s">
        <v>2446</v>
      </c>
      <c r="C96" s="749" t="s">
        <v>127</v>
      </c>
      <c r="D96" s="750" t="str">
        <f t="array" ref="D96">iferror(INDEX('作品'!D:D,MATCH(C96,'作品'!A:A,0),0),"")</f>
        <v>魔都精兵のスレイブ</v>
      </c>
      <c r="E96" s="751" t="s">
        <v>2447</v>
      </c>
      <c r="F96" s="748" t="s">
        <v>2527</v>
      </c>
      <c r="G96" s="748" t="s">
        <v>3744</v>
      </c>
      <c r="H96" s="748" t="s">
        <v>3627</v>
      </c>
      <c r="I96" s="748" t="s">
        <v>2433</v>
      </c>
      <c r="J96" s="748" t="s">
        <v>3633</v>
      </c>
      <c r="K96" s="748"/>
      <c r="L96" s="599" t="s">
        <v>3628</v>
      </c>
      <c r="M96" s="599" t="s">
        <v>3634</v>
      </c>
      <c r="N96" s="599" t="str">
        <f t="shared" si="1"/>
        <v>genga_sur_main_010_02_victory</v>
      </c>
      <c r="O96" s="599" t="str">
        <f t="shared" si="2"/>
        <v>manga_animation_genga_sur_main_010_02_victory</v>
      </c>
      <c r="P96" s="752"/>
      <c r="Q96" s="752"/>
      <c r="R96" s="753" t="s">
        <v>3669</v>
      </c>
      <c r="S96" s="754"/>
      <c r="T96" s="754"/>
    </row>
    <row r="97">
      <c r="A97" s="747" t="s">
        <v>3624</v>
      </c>
      <c r="B97" s="748" t="s">
        <v>2446</v>
      </c>
      <c r="C97" s="749" t="s">
        <v>127</v>
      </c>
      <c r="D97" s="750" t="str">
        <f t="array" ref="D97">iferror(INDEX('作品'!D:D,MATCH(C97,'作品'!A:A,0),0),"")</f>
        <v>魔都精兵のスレイブ</v>
      </c>
      <c r="E97" s="751" t="s">
        <v>2447</v>
      </c>
      <c r="F97" s="748" t="s">
        <v>2527</v>
      </c>
      <c r="G97" s="748" t="s">
        <v>3744</v>
      </c>
      <c r="H97" s="748" t="s">
        <v>1588</v>
      </c>
      <c r="I97" s="748" t="s">
        <v>2433</v>
      </c>
      <c r="J97" s="748" t="s">
        <v>3633</v>
      </c>
      <c r="K97" s="748"/>
      <c r="L97" s="599" t="s">
        <v>3628</v>
      </c>
      <c r="M97" s="599" t="s">
        <v>3634</v>
      </c>
      <c r="N97" s="599" t="str">
        <f t="shared" si="1"/>
        <v>genga_sur_main_010_03_victory</v>
      </c>
      <c r="O97" s="599" t="str">
        <f t="shared" si="2"/>
        <v>manga_animation_genga_sur_main_010_03_victory</v>
      </c>
      <c r="P97" s="752"/>
      <c r="Q97" s="752"/>
      <c r="R97" s="753" t="s">
        <v>3669</v>
      </c>
      <c r="S97" s="754"/>
      <c r="T97" s="754"/>
    </row>
    <row r="98">
      <c r="A98" s="747" t="s">
        <v>3624</v>
      </c>
      <c r="B98" s="748" t="s">
        <v>2446</v>
      </c>
      <c r="C98" s="749" t="s">
        <v>127</v>
      </c>
      <c r="D98" s="750" t="str">
        <f t="array" ref="D98">iferror(INDEX('作品'!D:D,MATCH(C98,'作品'!A:A,0),0),"")</f>
        <v>魔都精兵のスレイブ</v>
      </c>
      <c r="E98" s="751" t="s">
        <v>2447</v>
      </c>
      <c r="F98" s="748" t="s">
        <v>2527</v>
      </c>
      <c r="G98" s="748" t="s">
        <v>3744</v>
      </c>
      <c r="H98" s="748" t="s">
        <v>3645</v>
      </c>
      <c r="I98" s="748" t="s">
        <v>2433</v>
      </c>
      <c r="J98" s="748" t="s">
        <v>3633</v>
      </c>
      <c r="K98" s="748"/>
      <c r="L98" s="599" t="s">
        <v>3628</v>
      </c>
      <c r="M98" s="599" t="s">
        <v>3634</v>
      </c>
      <c r="N98" s="599" t="str">
        <f t="shared" si="1"/>
        <v>genga_sur_main_010_04_victory</v>
      </c>
      <c r="O98" s="599" t="str">
        <f t="shared" si="2"/>
        <v>manga_animation_genga_sur_main_010_04_victory</v>
      </c>
      <c r="P98" s="752"/>
      <c r="Q98" s="752"/>
      <c r="R98" s="753" t="s">
        <v>3669</v>
      </c>
      <c r="S98" s="754"/>
      <c r="T98" s="754"/>
    </row>
    <row r="99">
      <c r="A99" s="747" t="s">
        <v>3624</v>
      </c>
      <c r="B99" s="748" t="s">
        <v>2446</v>
      </c>
      <c r="C99" s="749" t="s">
        <v>127</v>
      </c>
      <c r="D99" s="750" t="str">
        <f t="array" ref="D99">iferror(INDEX('作品'!D:D,MATCH(C99,'作品'!A:A,0),0),"")</f>
        <v>魔都精兵のスレイブ</v>
      </c>
      <c r="E99" s="751" t="s">
        <v>2447</v>
      </c>
      <c r="F99" s="748" t="s">
        <v>2527</v>
      </c>
      <c r="G99" s="748" t="s">
        <v>3744</v>
      </c>
      <c r="H99" s="748" t="s">
        <v>3650</v>
      </c>
      <c r="I99" s="748" t="s">
        <v>2433</v>
      </c>
      <c r="J99" s="748" t="s">
        <v>3633</v>
      </c>
      <c r="K99" s="748"/>
      <c r="L99" s="599" t="s">
        <v>3628</v>
      </c>
      <c r="M99" s="599" t="s">
        <v>3634</v>
      </c>
      <c r="N99" s="599" t="str">
        <f t="shared" si="1"/>
        <v>genga_sur_main_010_05_victory</v>
      </c>
      <c r="O99" s="599" t="str">
        <f t="shared" si="2"/>
        <v>manga_animation_genga_sur_main_010_05_victory</v>
      </c>
      <c r="P99" s="752"/>
      <c r="Q99" s="752"/>
      <c r="R99" s="753" t="s">
        <v>3669</v>
      </c>
      <c r="S99" s="754"/>
      <c r="T99" s="754"/>
    </row>
    <row r="100">
      <c r="A100" s="747" t="s">
        <v>3624</v>
      </c>
      <c r="B100" s="748" t="s">
        <v>2446</v>
      </c>
      <c r="C100" s="749" t="s">
        <v>75</v>
      </c>
      <c r="D100" s="750" t="str">
        <f t="array" ref="D100">iferror(INDEX('作品'!D:D,MATCH(C100,'作品'!A:A,0),0),"")</f>
        <v>トマトイプーのリコピン</v>
      </c>
      <c r="E100" s="751" t="s">
        <v>2447</v>
      </c>
      <c r="F100" s="748" t="s">
        <v>2527</v>
      </c>
      <c r="G100" s="748" t="s">
        <v>3746</v>
      </c>
      <c r="H100" s="748" t="s">
        <v>1762</v>
      </c>
      <c r="I100" s="748" t="s">
        <v>2433</v>
      </c>
      <c r="J100" s="748" t="s">
        <v>3625</v>
      </c>
      <c r="K100" s="748"/>
      <c r="L100" s="599" t="s">
        <v>3628</v>
      </c>
      <c r="M100" s="599" t="s">
        <v>3629</v>
      </c>
      <c r="N100" s="599" t="str">
        <f t="shared" si="1"/>
        <v>genga_rik_main_011_01_start</v>
      </c>
      <c r="O100" s="599" t="str">
        <f t="shared" si="2"/>
        <v>manga_animation_genga_rik_main_011_01_start</v>
      </c>
      <c r="P100" s="752"/>
      <c r="Q100" s="752"/>
      <c r="R100" s="753" t="s">
        <v>3669</v>
      </c>
      <c r="S100" s="754"/>
      <c r="T100" s="754"/>
    </row>
    <row r="101">
      <c r="A101" s="747" t="s">
        <v>3624</v>
      </c>
      <c r="B101" s="748" t="s">
        <v>2446</v>
      </c>
      <c r="C101" s="749" t="s">
        <v>75</v>
      </c>
      <c r="D101" s="750" t="str">
        <f t="array" ref="D101">iferror(INDEX('作品'!D:D,MATCH(C101,'作品'!A:A,0),0),"")</f>
        <v>トマトイプーのリコピン</v>
      </c>
      <c r="E101" s="751" t="s">
        <v>2447</v>
      </c>
      <c r="F101" s="748" t="s">
        <v>2527</v>
      </c>
      <c r="G101" s="748" t="s">
        <v>3746</v>
      </c>
      <c r="H101" s="748" t="s">
        <v>3627</v>
      </c>
      <c r="I101" s="748" t="s">
        <v>2433</v>
      </c>
      <c r="J101" s="748" t="s">
        <v>3625</v>
      </c>
      <c r="K101" s="748"/>
      <c r="L101" s="599" t="s">
        <v>3628</v>
      </c>
      <c r="M101" s="599" t="s">
        <v>3629</v>
      </c>
      <c r="N101" s="599" t="str">
        <f t="shared" si="1"/>
        <v>genga_rik_main_011_02_start</v>
      </c>
      <c r="O101" s="599" t="str">
        <f t="shared" si="2"/>
        <v>manga_animation_genga_rik_main_011_02_start</v>
      </c>
      <c r="P101" s="752"/>
      <c r="Q101" s="752"/>
      <c r="R101" s="753" t="s">
        <v>3669</v>
      </c>
      <c r="S101" s="754"/>
      <c r="T101" s="754"/>
    </row>
    <row r="102">
      <c r="A102" s="747" t="s">
        <v>3624</v>
      </c>
      <c r="B102" s="748" t="s">
        <v>2446</v>
      </c>
      <c r="C102" s="749" t="s">
        <v>75</v>
      </c>
      <c r="D102" s="750" t="str">
        <f t="array" ref="D102">iferror(INDEX('作品'!D:D,MATCH(C102,'作品'!A:A,0),0),"")</f>
        <v>トマトイプーのリコピン</v>
      </c>
      <c r="E102" s="751" t="s">
        <v>2447</v>
      </c>
      <c r="F102" s="748" t="s">
        <v>2527</v>
      </c>
      <c r="G102" s="748" t="s">
        <v>3746</v>
      </c>
      <c r="H102" s="748" t="s">
        <v>1588</v>
      </c>
      <c r="I102" s="748" t="s">
        <v>2433</v>
      </c>
      <c r="J102" s="748" t="s">
        <v>3625</v>
      </c>
      <c r="K102" s="748"/>
      <c r="L102" s="599" t="s">
        <v>3628</v>
      </c>
      <c r="M102" s="599" t="s">
        <v>3629</v>
      </c>
      <c r="N102" s="599" t="str">
        <f t="shared" si="1"/>
        <v>genga_rik_main_011_03_start</v>
      </c>
      <c r="O102" s="599" t="str">
        <f t="shared" si="2"/>
        <v>manga_animation_genga_rik_main_011_03_start</v>
      </c>
      <c r="P102" s="752"/>
      <c r="Q102" s="752"/>
      <c r="R102" s="753" t="s">
        <v>3669</v>
      </c>
      <c r="S102" s="754"/>
      <c r="T102" s="754"/>
    </row>
    <row r="103">
      <c r="A103" s="747" t="s">
        <v>3624</v>
      </c>
      <c r="B103" s="748" t="s">
        <v>2446</v>
      </c>
      <c r="C103" s="749" t="s">
        <v>75</v>
      </c>
      <c r="D103" s="750" t="str">
        <f t="array" ref="D103">iferror(INDEX('作品'!D:D,MATCH(C103,'作品'!A:A,0),0),"")</f>
        <v>トマトイプーのリコピン</v>
      </c>
      <c r="E103" s="751" t="s">
        <v>2447</v>
      </c>
      <c r="F103" s="748" t="s">
        <v>2527</v>
      </c>
      <c r="G103" s="748" t="s">
        <v>3746</v>
      </c>
      <c r="H103" s="748" t="s">
        <v>1762</v>
      </c>
      <c r="I103" s="748" t="s">
        <v>2433</v>
      </c>
      <c r="J103" s="748" t="s">
        <v>3656</v>
      </c>
      <c r="K103" s="748" t="s">
        <v>3747</v>
      </c>
      <c r="L103" s="599" t="s">
        <v>3628</v>
      </c>
      <c r="M103" s="599" t="s">
        <v>3658</v>
      </c>
      <c r="N103" s="599" t="str">
        <f t="shared" si="1"/>
        <v>genga_rik_main_011_01_appear_lycopene</v>
      </c>
      <c r="O103" s="599" t="str">
        <f t="shared" si="2"/>
        <v>manga_animation_genga_rik_main_011_01_appear_lycopene</v>
      </c>
      <c r="P103" s="752" t="s">
        <v>3748</v>
      </c>
      <c r="Q103" s="752"/>
      <c r="R103" s="753" t="s">
        <v>3669</v>
      </c>
      <c r="S103" s="754"/>
      <c r="T103" s="754"/>
    </row>
    <row r="104">
      <c r="A104" s="747" t="s">
        <v>3624</v>
      </c>
      <c r="B104" s="748" t="s">
        <v>2446</v>
      </c>
      <c r="C104" s="749" t="s">
        <v>98</v>
      </c>
      <c r="D104" s="750" t="str">
        <f t="array" ref="D104">iferror(INDEX('作品'!D:D,MATCH(C104,'作品'!A:A,0),0),"")</f>
        <v>株式会社マジルミエ</v>
      </c>
      <c r="E104" s="751" t="s">
        <v>2447</v>
      </c>
      <c r="F104" s="748" t="s">
        <v>2527</v>
      </c>
      <c r="G104" s="748" t="s">
        <v>3749</v>
      </c>
      <c r="H104" s="748" t="s">
        <v>1762</v>
      </c>
      <c r="I104" s="748" t="s">
        <v>2433</v>
      </c>
      <c r="J104" s="748" t="s">
        <v>3625</v>
      </c>
      <c r="K104" s="748"/>
      <c r="L104" s="599" t="s">
        <v>3628</v>
      </c>
      <c r="M104" s="599" t="s">
        <v>3629</v>
      </c>
      <c r="N104" s="599" t="str">
        <f t="shared" si="1"/>
        <v>genga_mag_main_013_01_start</v>
      </c>
      <c r="O104" s="599" t="str">
        <f t="shared" si="2"/>
        <v>manga_animation_genga_mag_main_013_01_start</v>
      </c>
      <c r="P104" s="752"/>
      <c r="Q104" s="752"/>
      <c r="R104" s="753" t="s">
        <v>3669</v>
      </c>
      <c r="S104" s="754"/>
      <c r="T104" s="754"/>
    </row>
    <row r="105">
      <c r="A105" s="747" t="s">
        <v>3624</v>
      </c>
      <c r="B105" s="748" t="s">
        <v>2446</v>
      </c>
      <c r="C105" s="749" t="s">
        <v>98</v>
      </c>
      <c r="D105" s="750" t="str">
        <f t="array" ref="D105">iferror(INDEX('作品'!D:D,MATCH(C105,'作品'!A:A,0),0),"")</f>
        <v>株式会社マジルミエ</v>
      </c>
      <c r="E105" s="751" t="s">
        <v>2447</v>
      </c>
      <c r="F105" s="748" t="s">
        <v>2527</v>
      </c>
      <c r="G105" s="748" t="s">
        <v>3749</v>
      </c>
      <c r="H105" s="748" t="s">
        <v>3627</v>
      </c>
      <c r="I105" s="748" t="s">
        <v>2433</v>
      </c>
      <c r="J105" s="748" t="s">
        <v>3625</v>
      </c>
      <c r="K105" s="748"/>
      <c r="L105" s="599" t="s">
        <v>3628</v>
      </c>
      <c r="M105" s="599" t="s">
        <v>3629</v>
      </c>
      <c r="N105" s="599" t="str">
        <f t="shared" si="1"/>
        <v>genga_mag_main_013_02_start</v>
      </c>
      <c r="O105" s="599" t="str">
        <f t="shared" si="2"/>
        <v>manga_animation_genga_mag_main_013_02_start</v>
      </c>
      <c r="P105" s="752"/>
      <c r="Q105" s="752"/>
      <c r="R105" s="753" t="s">
        <v>3669</v>
      </c>
      <c r="S105" s="754"/>
      <c r="T105" s="754"/>
    </row>
    <row r="106">
      <c r="A106" s="747" t="s">
        <v>3624</v>
      </c>
      <c r="B106" s="748" t="s">
        <v>2446</v>
      </c>
      <c r="C106" s="749" t="s">
        <v>98</v>
      </c>
      <c r="D106" s="750" t="str">
        <f t="array" ref="D106">iferror(INDEX('作品'!D:D,MATCH(C106,'作品'!A:A,0),0),"")</f>
        <v>株式会社マジルミエ</v>
      </c>
      <c r="E106" s="751" t="s">
        <v>2447</v>
      </c>
      <c r="F106" s="748" t="s">
        <v>2527</v>
      </c>
      <c r="G106" s="748" t="s">
        <v>3749</v>
      </c>
      <c r="H106" s="748" t="s">
        <v>1588</v>
      </c>
      <c r="I106" s="748" t="s">
        <v>2433</v>
      </c>
      <c r="J106" s="748" t="s">
        <v>3625</v>
      </c>
      <c r="K106" s="748"/>
      <c r="L106" s="599" t="s">
        <v>3628</v>
      </c>
      <c r="M106" s="599" t="s">
        <v>3629</v>
      </c>
      <c r="N106" s="599" t="str">
        <f t="shared" si="1"/>
        <v>genga_mag_main_013_03_start</v>
      </c>
      <c r="O106" s="599" t="str">
        <f t="shared" si="2"/>
        <v>manga_animation_genga_mag_main_013_03_start</v>
      </c>
      <c r="P106" s="752"/>
      <c r="Q106" s="752"/>
      <c r="R106" s="753" t="s">
        <v>3669</v>
      </c>
      <c r="S106" s="754"/>
      <c r="T106" s="754"/>
    </row>
    <row r="107">
      <c r="A107" s="747" t="s">
        <v>3624</v>
      </c>
      <c r="B107" s="748" t="s">
        <v>2446</v>
      </c>
      <c r="C107" s="749" t="s">
        <v>98</v>
      </c>
      <c r="D107" s="750" t="str">
        <f t="array" ref="D107">iferror(INDEX('作品'!D:D,MATCH(C107,'作品'!A:A,0),0),"")</f>
        <v>株式会社マジルミエ</v>
      </c>
      <c r="E107" s="751" t="s">
        <v>2447</v>
      </c>
      <c r="F107" s="748" t="s">
        <v>2527</v>
      </c>
      <c r="G107" s="748" t="s">
        <v>3749</v>
      </c>
      <c r="H107" s="748" t="s">
        <v>3645</v>
      </c>
      <c r="I107" s="748" t="s">
        <v>2433</v>
      </c>
      <c r="J107" s="748" t="s">
        <v>3625</v>
      </c>
      <c r="K107" s="748"/>
      <c r="L107" s="599" t="s">
        <v>3628</v>
      </c>
      <c r="M107" s="599" t="s">
        <v>3629</v>
      </c>
      <c r="N107" s="599" t="str">
        <f t="shared" si="1"/>
        <v>genga_mag_main_013_04_start</v>
      </c>
      <c r="O107" s="599" t="str">
        <f t="shared" si="2"/>
        <v>manga_animation_genga_mag_main_013_04_start</v>
      </c>
      <c r="P107" s="752"/>
      <c r="Q107" s="752"/>
      <c r="R107" s="753" t="s">
        <v>3669</v>
      </c>
      <c r="S107" s="754"/>
      <c r="T107" s="754"/>
    </row>
    <row r="108">
      <c r="A108" s="747" t="s">
        <v>3624</v>
      </c>
      <c r="B108" s="748" t="s">
        <v>2446</v>
      </c>
      <c r="C108" s="749" t="s">
        <v>98</v>
      </c>
      <c r="D108" s="750" t="str">
        <f t="array" ref="D108">iferror(INDEX('作品'!D:D,MATCH(C108,'作品'!A:A,0),0),"")</f>
        <v>株式会社マジルミエ</v>
      </c>
      <c r="E108" s="751" t="s">
        <v>2447</v>
      </c>
      <c r="F108" s="748" t="s">
        <v>2527</v>
      </c>
      <c r="G108" s="748" t="s">
        <v>3749</v>
      </c>
      <c r="H108" s="748" t="s">
        <v>3650</v>
      </c>
      <c r="I108" s="748" t="s">
        <v>2433</v>
      </c>
      <c r="J108" s="748" t="s">
        <v>3625</v>
      </c>
      <c r="K108" s="748"/>
      <c r="L108" s="599" t="s">
        <v>3628</v>
      </c>
      <c r="M108" s="599" t="s">
        <v>3629</v>
      </c>
      <c r="N108" s="599" t="str">
        <f t="shared" si="1"/>
        <v>genga_mag_main_013_05_start</v>
      </c>
      <c r="O108" s="599" t="str">
        <f t="shared" si="2"/>
        <v>manga_animation_genga_mag_main_013_05_start</v>
      </c>
      <c r="P108" s="752"/>
      <c r="Q108" s="753"/>
      <c r="R108" s="753" t="s">
        <v>3669</v>
      </c>
      <c r="S108" s="754"/>
      <c r="T108" s="754"/>
    </row>
    <row r="109">
      <c r="A109" s="747" t="s">
        <v>3624</v>
      </c>
      <c r="B109" s="748" t="s">
        <v>2446</v>
      </c>
      <c r="C109" s="749" t="s">
        <v>98</v>
      </c>
      <c r="D109" s="750" t="str">
        <f t="array" ref="D109">iferror(INDEX('作品'!D:D,MATCH(C109,'作品'!A:A,0),0),"")</f>
        <v>株式会社マジルミエ</v>
      </c>
      <c r="E109" s="751" t="s">
        <v>2447</v>
      </c>
      <c r="F109" s="748" t="s">
        <v>2527</v>
      </c>
      <c r="G109" s="748" t="s">
        <v>3749</v>
      </c>
      <c r="H109" s="748" t="s">
        <v>3655</v>
      </c>
      <c r="I109" s="748" t="s">
        <v>2433</v>
      </c>
      <c r="J109" s="748" t="s">
        <v>3656</v>
      </c>
      <c r="K109" s="748" t="s">
        <v>3750</v>
      </c>
      <c r="L109" s="599" t="s">
        <v>3628</v>
      </c>
      <c r="M109" s="599" t="s">
        <v>3658</v>
      </c>
      <c r="N109" s="599" t="str">
        <f t="shared" si="1"/>
        <v>genga_mag_main_013_06_appear_kana</v>
      </c>
      <c r="O109" s="599" t="str">
        <f t="shared" si="2"/>
        <v>manga_animation_genga_mag_main_013_06_appear_kana</v>
      </c>
      <c r="P109" s="752"/>
      <c r="Q109" s="753"/>
      <c r="R109" s="753" t="s">
        <v>3669</v>
      </c>
      <c r="S109" s="754"/>
      <c r="T109" s="754"/>
    </row>
    <row r="110">
      <c r="A110" s="747" t="s">
        <v>3624</v>
      </c>
      <c r="B110" s="748" t="s">
        <v>2446</v>
      </c>
      <c r="C110" s="749" t="s">
        <v>98</v>
      </c>
      <c r="D110" s="750" t="str">
        <f t="array" ref="D110">iferror(INDEX('作品'!D:D,MATCH(C110,'作品'!A:A,0),0),"")</f>
        <v>株式会社マジルミエ</v>
      </c>
      <c r="E110" s="751" t="s">
        <v>2447</v>
      </c>
      <c r="F110" s="748" t="s">
        <v>2527</v>
      </c>
      <c r="G110" s="748" t="s">
        <v>3749</v>
      </c>
      <c r="H110" s="748" t="s">
        <v>1762</v>
      </c>
      <c r="I110" s="748" t="s">
        <v>2433</v>
      </c>
      <c r="J110" s="748" t="s">
        <v>3633</v>
      </c>
      <c r="K110" s="748"/>
      <c r="L110" s="599" t="s">
        <v>3628</v>
      </c>
      <c r="M110" s="599" t="s">
        <v>3634</v>
      </c>
      <c r="N110" s="599" t="str">
        <f t="shared" si="1"/>
        <v>genga_mag_main_013_01_victory</v>
      </c>
      <c r="O110" s="599" t="str">
        <f t="shared" si="2"/>
        <v>manga_animation_genga_mag_main_013_01_victory</v>
      </c>
      <c r="P110" s="752"/>
      <c r="Q110" s="752"/>
      <c r="R110" s="753" t="s">
        <v>3669</v>
      </c>
      <c r="S110" s="754"/>
      <c r="T110" s="754"/>
    </row>
    <row r="111">
      <c r="A111" s="747" t="s">
        <v>3624</v>
      </c>
      <c r="B111" s="748" t="s">
        <v>2446</v>
      </c>
      <c r="C111" s="749" t="s">
        <v>98</v>
      </c>
      <c r="D111" s="750" t="str">
        <f t="array" ref="D111">iferror(INDEX('作品'!D:D,MATCH(C111,'作品'!A:A,0),0),"")</f>
        <v>株式会社マジルミエ</v>
      </c>
      <c r="E111" s="751" t="s">
        <v>2447</v>
      </c>
      <c r="F111" s="748" t="s">
        <v>2527</v>
      </c>
      <c r="G111" s="748" t="s">
        <v>3749</v>
      </c>
      <c r="H111" s="748" t="s">
        <v>3627</v>
      </c>
      <c r="I111" s="748" t="s">
        <v>2433</v>
      </c>
      <c r="J111" s="748" t="s">
        <v>3633</v>
      </c>
      <c r="K111" s="748"/>
      <c r="L111" s="599" t="s">
        <v>3628</v>
      </c>
      <c r="M111" s="599" t="s">
        <v>3634</v>
      </c>
      <c r="N111" s="599" t="str">
        <f t="shared" si="1"/>
        <v>genga_mag_main_013_02_victory</v>
      </c>
      <c r="O111" s="599" t="str">
        <f t="shared" si="2"/>
        <v>manga_animation_genga_mag_main_013_02_victory</v>
      </c>
      <c r="P111" s="752"/>
      <c r="Q111" s="752"/>
      <c r="R111" s="753" t="s">
        <v>3669</v>
      </c>
      <c r="S111" s="754"/>
      <c r="T111" s="754"/>
    </row>
    <row r="112">
      <c r="A112" s="747" t="s">
        <v>3624</v>
      </c>
      <c r="B112" s="748" t="s">
        <v>2446</v>
      </c>
      <c r="C112" s="749" t="s">
        <v>98</v>
      </c>
      <c r="D112" s="750" t="str">
        <f t="array" ref="D112">iferror(INDEX('作品'!D:D,MATCH(C112,'作品'!A:A,0),0),"")</f>
        <v>株式会社マジルミエ</v>
      </c>
      <c r="E112" s="751" t="s">
        <v>2447</v>
      </c>
      <c r="F112" s="748" t="s">
        <v>2527</v>
      </c>
      <c r="G112" s="748" t="s">
        <v>3749</v>
      </c>
      <c r="H112" s="748" t="s">
        <v>1588</v>
      </c>
      <c r="I112" s="748" t="s">
        <v>2433</v>
      </c>
      <c r="J112" s="748" t="s">
        <v>3633</v>
      </c>
      <c r="K112" s="748"/>
      <c r="L112" s="599" t="s">
        <v>3628</v>
      </c>
      <c r="M112" s="599" t="s">
        <v>3634</v>
      </c>
      <c r="N112" s="599" t="str">
        <f t="shared" si="1"/>
        <v>genga_mag_main_013_03_victory</v>
      </c>
      <c r="O112" s="599" t="str">
        <f t="shared" si="2"/>
        <v>manga_animation_genga_mag_main_013_03_victory</v>
      </c>
      <c r="P112" s="752"/>
      <c r="Q112" s="752"/>
      <c r="R112" s="753" t="s">
        <v>3669</v>
      </c>
      <c r="S112" s="754"/>
      <c r="T112" s="754"/>
    </row>
    <row r="113">
      <c r="A113" s="747" t="s">
        <v>3624</v>
      </c>
      <c r="B113" s="748" t="s">
        <v>2446</v>
      </c>
      <c r="C113" s="749" t="s">
        <v>98</v>
      </c>
      <c r="D113" s="750" t="str">
        <f t="array" ref="D113">iferror(INDEX('作品'!D:D,MATCH(C113,'作品'!A:A,0),0),"")</f>
        <v>株式会社マジルミエ</v>
      </c>
      <c r="E113" s="751" t="s">
        <v>2447</v>
      </c>
      <c r="F113" s="748" t="s">
        <v>2527</v>
      </c>
      <c r="G113" s="748" t="s">
        <v>3749</v>
      </c>
      <c r="H113" s="748" t="s">
        <v>3645</v>
      </c>
      <c r="I113" s="748" t="s">
        <v>2433</v>
      </c>
      <c r="J113" s="748" t="s">
        <v>3633</v>
      </c>
      <c r="K113" s="748"/>
      <c r="L113" s="599" t="s">
        <v>3628</v>
      </c>
      <c r="M113" s="599" t="s">
        <v>3634</v>
      </c>
      <c r="N113" s="599" t="str">
        <f t="shared" si="1"/>
        <v>genga_mag_main_013_04_victory</v>
      </c>
      <c r="O113" s="599" t="str">
        <f t="shared" si="2"/>
        <v>manga_animation_genga_mag_main_013_04_victory</v>
      </c>
      <c r="P113" s="752"/>
      <c r="Q113" s="752"/>
      <c r="R113" s="753" t="s">
        <v>3669</v>
      </c>
      <c r="S113" s="754"/>
      <c r="T113" s="754"/>
    </row>
    <row r="114">
      <c r="A114" s="747" t="s">
        <v>3624</v>
      </c>
      <c r="B114" s="748" t="s">
        <v>2446</v>
      </c>
      <c r="C114" s="749" t="s">
        <v>98</v>
      </c>
      <c r="D114" s="750" t="str">
        <f t="array" ref="D114">iferror(INDEX('作品'!D:D,MATCH(C114,'作品'!A:A,0),0),"")</f>
        <v>株式会社マジルミエ</v>
      </c>
      <c r="E114" s="751" t="s">
        <v>2447</v>
      </c>
      <c r="F114" s="748" t="s">
        <v>2527</v>
      </c>
      <c r="G114" s="748" t="s">
        <v>3749</v>
      </c>
      <c r="H114" s="748" t="s">
        <v>3650</v>
      </c>
      <c r="I114" s="748" t="s">
        <v>2433</v>
      </c>
      <c r="J114" s="748" t="s">
        <v>3633</v>
      </c>
      <c r="K114" s="748"/>
      <c r="L114" s="599" t="s">
        <v>3628</v>
      </c>
      <c r="M114" s="599" t="s">
        <v>3634</v>
      </c>
      <c r="N114" s="599" t="str">
        <f t="shared" si="1"/>
        <v>genga_mag_main_013_05_victory</v>
      </c>
      <c r="O114" s="599" t="str">
        <f t="shared" si="2"/>
        <v>manga_animation_genga_mag_main_013_05_victory</v>
      </c>
      <c r="P114" s="752"/>
      <c r="Q114" s="752"/>
      <c r="R114" s="753" t="s">
        <v>3669</v>
      </c>
      <c r="S114" s="754"/>
      <c r="T114" s="754"/>
    </row>
    <row r="115">
      <c r="A115" s="747" t="s">
        <v>3624</v>
      </c>
      <c r="B115" s="748" t="s">
        <v>2446</v>
      </c>
      <c r="C115" s="749" t="s">
        <v>143</v>
      </c>
      <c r="D115" s="750" t="str">
        <f t="array" ref="D115">iferror(INDEX('作品'!D:D,MATCH(C115,'作品'!A:A,0),0),"")</f>
        <v>サマータイムレンダ</v>
      </c>
      <c r="E115" s="751" t="s">
        <v>2447</v>
      </c>
      <c r="F115" s="748" t="s">
        <v>2527</v>
      </c>
      <c r="G115" s="748" t="s">
        <v>3751</v>
      </c>
      <c r="H115" s="748" t="s">
        <v>1762</v>
      </c>
      <c r="I115" s="748" t="s">
        <v>2433</v>
      </c>
      <c r="J115" s="748" t="s">
        <v>3625</v>
      </c>
      <c r="K115" s="748"/>
      <c r="L115" s="599" t="s">
        <v>3628</v>
      </c>
      <c r="M115" s="599" t="s">
        <v>3629</v>
      </c>
      <c r="N115" s="599" t="str">
        <f t="shared" si="1"/>
        <v>genga_sum_main_014_01_start</v>
      </c>
      <c r="O115" s="599" t="str">
        <f t="shared" si="2"/>
        <v>manga_animation_genga_sum_main_014_01_start</v>
      </c>
      <c r="P115" s="752"/>
      <c r="Q115" s="752"/>
      <c r="R115" s="753" t="s">
        <v>3669</v>
      </c>
      <c r="S115" s="754"/>
      <c r="T115" s="754"/>
    </row>
    <row r="116">
      <c r="A116" s="747" t="s">
        <v>3624</v>
      </c>
      <c r="B116" s="748" t="s">
        <v>2446</v>
      </c>
      <c r="C116" s="749" t="s">
        <v>143</v>
      </c>
      <c r="D116" s="750" t="str">
        <f t="array" ref="D116">iferror(INDEX('作品'!D:D,MATCH(C116,'作品'!A:A,0),0),"")</f>
        <v>サマータイムレンダ</v>
      </c>
      <c r="E116" s="751" t="s">
        <v>2447</v>
      </c>
      <c r="F116" s="748" t="s">
        <v>2527</v>
      </c>
      <c r="G116" s="748" t="s">
        <v>3751</v>
      </c>
      <c r="H116" s="748" t="s">
        <v>3627</v>
      </c>
      <c r="I116" s="748" t="s">
        <v>2433</v>
      </c>
      <c r="J116" s="748" t="s">
        <v>3625</v>
      </c>
      <c r="K116" s="748"/>
      <c r="L116" s="599" t="s">
        <v>3628</v>
      </c>
      <c r="M116" s="599" t="s">
        <v>3629</v>
      </c>
      <c r="N116" s="599" t="str">
        <f t="shared" si="1"/>
        <v>genga_sum_main_014_02_start</v>
      </c>
      <c r="O116" s="599" t="str">
        <f t="shared" si="2"/>
        <v>manga_animation_genga_sum_main_014_02_start</v>
      </c>
      <c r="P116" s="752"/>
      <c r="Q116" s="752"/>
      <c r="R116" s="753" t="s">
        <v>3669</v>
      </c>
      <c r="S116" s="754"/>
      <c r="T116" s="754"/>
    </row>
    <row r="117">
      <c r="A117" s="747" t="s">
        <v>3624</v>
      </c>
      <c r="B117" s="748" t="s">
        <v>2446</v>
      </c>
      <c r="C117" s="749" t="s">
        <v>143</v>
      </c>
      <c r="D117" s="750" t="str">
        <f t="array" ref="D117">iferror(INDEX('作品'!D:D,MATCH(C117,'作品'!A:A,0),0),"")</f>
        <v>サマータイムレンダ</v>
      </c>
      <c r="E117" s="751" t="s">
        <v>2447</v>
      </c>
      <c r="F117" s="748" t="s">
        <v>2527</v>
      </c>
      <c r="G117" s="748" t="s">
        <v>3751</v>
      </c>
      <c r="H117" s="748" t="s">
        <v>1588</v>
      </c>
      <c r="I117" s="748" t="s">
        <v>2433</v>
      </c>
      <c r="J117" s="748" t="s">
        <v>3625</v>
      </c>
      <c r="K117" s="748"/>
      <c r="L117" s="599" t="s">
        <v>3628</v>
      </c>
      <c r="M117" s="599" t="s">
        <v>3629</v>
      </c>
      <c r="N117" s="599" t="str">
        <f t="shared" si="1"/>
        <v>genga_sum_main_014_03_start</v>
      </c>
      <c r="O117" s="599" t="str">
        <f t="shared" si="2"/>
        <v>manga_animation_genga_sum_main_014_03_start</v>
      </c>
      <c r="P117" s="752"/>
      <c r="Q117" s="752"/>
      <c r="R117" s="753" t="s">
        <v>3669</v>
      </c>
      <c r="S117" s="754"/>
      <c r="T117" s="754"/>
    </row>
    <row r="118">
      <c r="A118" s="747" t="s">
        <v>3624</v>
      </c>
      <c r="B118" s="748" t="s">
        <v>2446</v>
      </c>
      <c r="C118" s="749" t="s">
        <v>143</v>
      </c>
      <c r="D118" s="750" t="str">
        <f t="array" ref="D118">iferror(INDEX('作品'!D:D,MATCH(C118,'作品'!A:A,0),0),"")</f>
        <v>サマータイムレンダ</v>
      </c>
      <c r="E118" s="751" t="s">
        <v>2447</v>
      </c>
      <c r="F118" s="748" t="s">
        <v>2527</v>
      </c>
      <c r="G118" s="748" t="s">
        <v>3751</v>
      </c>
      <c r="H118" s="748" t="s">
        <v>3645</v>
      </c>
      <c r="I118" s="748" t="s">
        <v>2433</v>
      </c>
      <c r="J118" s="748" t="s">
        <v>3625</v>
      </c>
      <c r="K118" s="748"/>
      <c r="L118" s="599" t="s">
        <v>3628</v>
      </c>
      <c r="M118" s="599" t="s">
        <v>3629</v>
      </c>
      <c r="N118" s="599" t="str">
        <f t="shared" si="1"/>
        <v>genga_sum_main_014_04_start</v>
      </c>
      <c r="O118" s="599" t="str">
        <f t="shared" si="2"/>
        <v>manga_animation_genga_sum_main_014_04_start</v>
      </c>
      <c r="P118" s="752"/>
      <c r="Q118" s="752"/>
      <c r="R118" s="753" t="s">
        <v>3669</v>
      </c>
      <c r="S118" s="754"/>
      <c r="T118" s="754"/>
    </row>
    <row r="119">
      <c r="A119" s="747" t="s">
        <v>3624</v>
      </c>
      <c r="B119" s="748" t="s">
        <v>2446</v>
      </c>
      <c r="C119" s="749" t="s">
        <v>143</v>
      </c>
      <c r="D119" s="750" t="str">
        <f t="array" ref="D119">iferror(INDEX('作品'!D:D,MATCH(C119,'作品'!A:A,0),0),"")</f>
        <v>サマータイムレンダ</v>
      </c>
      <c r="E119" s="751" t="s">
        <v>2447</v>
      </c>
      <c r="F119" s="748" t="s">
        <v>2527</v>
      </c>
      <c r="G119" s="748" t="s">
        <v>3751</v>
      </c>
      <c r="H119" s="748" t="s">
        <v>3650</v>
      </c>
      <c r="I119" s="748" t="s">
        <v>2433</v>
      </c>
      <c r="J119" s="748" t="s">
        <v>3625</v>
      </c>
      <c r="K119" s="748"/>
      <c r="L119" s="599" t="s">
        <v>3628</v>
      </c>
      <c r="M119" s="599" t="s">
        <v>3629</v>
      </c>
      <c r="N119" s="599" t="str">
        <f t="shared" si="1"/>
        <v>genga_sum_main_014_05_start</v>
      </c>
      <c r="O119" s="599" t="str">
        <f t="shared" si="2"/>
        <v>manga_animation_genga_sum_main_014_05_start</v>
      </c>
      <c r="P119" s="752"/>
      <c r="Q119" s="752"/>
      <c r="R119" s="753" t="s">
        <v>3669</v>
      </c>
      <c r="S119" s="754"/>
      <c r="T119" s="754"/>
    </row>
    <row r="120">
      <c r="A120" s="747" t="s">
        <v>3624</v>
      </c>
      <c r="B120" s="748" t="s">
        <v>2446</v>
      </c>
      <c r="C120" s="749" t="s">
        <v>143</v>
      </c>
      <c r="D120" s="750" t="str">
        <f t="array" ref="D120">iferror(INDEX('作品'!D:D,MATCH(C120,'作品'!A:A,0),0),"")</f>
        <v>サマータイムレンダ</v>
      </c>
      <c r="E120" s="751" t="s">
        <v>2447</v>
      </c>
      <c r="F120" s="748" t="s">
        <v>2527</v>
      </c>
      <c r="G120" s="748" t="s">
        <v>3751</v>
      </c>
      <c r="H120" s="748" t="s">
        <v>3650</v>
      </c>
      <c r="I120" s="748" t="s">
        <v>2433</v>
      </c>
      <c r="J120" s="748" t="s">
        <v>3656</v>
      </c>
      <c r="K120" s="748" t="s">
        <v>3752</v>
      </c>
      <c r="L120" s="599" t="s">
        <v>3628</v>
      </c>
      <c r="M120" s="599" t="s">
        <v>3658</v>
      </c>
      <c r="N120" s="599" t="str">
        <f t="shared" si="1"/>
        <v>genga_sum_main_014_05_appear_mio</v>
      </c>
      <c r="O120" s="599" t="str">
        <f t="shared" si="2"/>
        <v>manga_animation_genga_sum_main_014_05_appear_mio</v>
      </c>
      <c r="P120" s="752"/>
      <c r="Q120" s="752"/>
      <c r="R120" s="753" t="s">
        <v>3669</v>
      </c>
      <c r="S120" s="754"/>
      <c r="T120" s="754"/>
    </row>
    <row r="121">
      <c r="A121" s="747" t="s">
        <v>3624</v>
      </c>
      <c r="B121" s="748" t="s">
        <v>2446</v>
      </c>
      <c r="C121" s="749" t="s">
        <v>143</v>
      </c>
      <c r="D121" s="750" t="str">
        <f t="array" ref="D121">iferror(INDEX('作品'!D:D,MATCH(C121,'作品'!A:A,0),0),"")</f>
        <v>サマータイムレンダ</v>
      </c>
      <c r="E121" s="751" t="s">
        <v>2447</v>
      </c>
      <c r="F121" s="748" t="s">
        <v>2527</v>
      </c>
      <c r="G121" s="748" t="s">
        <v>3751</v>
      </c>
      <c r="H121" s="748" t="s">
        <v>3627</v>
      </c>
      <c r="I121" s="748" t="s">
        <v>2433</v>
      </c>
      <c r="J121" s="748" t="s">
        <v>3633</v>
      </c>
      <c r="K121" s="748"/>
      <c r="L121" s="599" t="s">
        <v>3628</v>
      </c>
      <c r="M121" s="599" t="s">
        <v>3634</v>
      </c>
      <c r="N121" s="599" t="str">
        <f t="shared" si="1"/>
        <v>genga_sum_main_014_02_victory</v>
      </c>
      <c r="O121" s="599" t="str">
        <f t="shared" si="2"/>
        <v>manga_animation_genga_sum_main_014_02_victory</v>
      </c>
      <c r="P121" s="752"/>
      <c r="Q121" s="752"/>
      <c r="R121" s="753" t="s">
        <v>3669</v>
      </c>
      <c r="S121" s="754"/>
      <c r="T121" s="754"/>
    </row>
    <row r="122">
      <c r="A122" s="747" t="s">
        <v>3624</v>
      </c>
      <c r="B122" s="748" t="s">
        <v>2446</v>
      </c>
      <c r="C122" s="749" t="s">
        <v>143</v>
      </c>
      <c r="D122" s="750" t="str">
        <f t="array" ref="D122">iferror(INDEX('作品'!D:D,MATCH(C122,'作品'!A:A,0),0),"")</f>
        <v>サマータイムレンダ</v>
      </c>
      <c r="E122" s="751" t="s">
        <v>2447</v>
      </c>
      <c r="F122" s="748" t="s">
        <v>2527</v>
      </c>
      <c r="G122" s="748" t="s">
        <v>3751</v>
      </c>
      <c r="H122" s="748" t="s">
        <v>3645</v>
      </c>
      <c r="I122" s="748" t="s">
        <v>2433</v>
      </c>
      <c r="J122" s="748" t="s">
        <v>3633</v>
      </c>
      <c r="K122" s="748"/>
      <c r="L122" s="599" t="s">
        <v>3628</v>
      </c>
      <c r="M122" s="599" t="s">
        <v>3634</v>
      </c>
      <c r="N122" s="599" t="str">
        <f t="shared" si="1"/>
        <v>genga_sum_main_014_04_victory</v>
      </c>
      <c r="O122" s="599" t="str">
        <f t="shared" si="2"/>
        <v>manga_animation_genga_sum_main_014_04_victory</v>
      </c>
      <c r="P122" s="752"/>
      <c r="Q122" s="752"/>
      <c r="R122" s="753" t="s">
        <v>3669</v>
      </c>
      <c r="S122" s="754"/>
      <c r="T122" s="754"/>
    </row>
    <row r="123">
      <c r="A123" s="747" t="s">
        <v>3624</v>
      </c>
      <c r="B123" s="748" t="s">
        <v>2446</v>
      </c>
      <c r="C123" s="749" t="s">
        <v>143</v>
      </c>
      <c r="D123" s="750" t="str">
        <f t="array" ref="D123">iferror(INDEX('作品'!D:D,MATCH(C123,'作品'!A:A,0),0),"")</f>
        <v>サマータイムレンダ</v>
      </c>
      <c r="E123" s="751" t="s">
        <v>2447</v>
      </c>
      <c r="F123" s="748" t="s">
        <v>2457</v>
      </c>
      <c r="G123" s="748" t="s">
        <v>3751</v>
      </c>
      <c r="H123" s="748" t="s">
        <v>3655</v>
      </c>
      <c r="I123" s="748" t="s">
        <v>2433</v>
      </c>
      <c r="J123" s="748" t="s">
        <v>3656</v>
      </c>
      <c r="K123" s="748" t="s">
        <v>3753</v>
      </c>
      <c r="L123" s="599" t="s">
        <v>3628</v>
      </c>
      <c r="M123" s="599" t="s">
        <v>3658</v>
      </c>
      <c r="N123" s="599" t="str">
        <f t="shared" si="1"/>
        <v>genga_sum_main_014_06_appear_ushio</v>
      </c>
      <c r="O123" s="599" t="str">
        <f t="shared" si="2"/>
        <v>manga_animation_genga_sum_main_014_06_appear_ushio</v>
      </c>
      <c r="P123" s="752"/>
      <c r="Q123" s="752"/>
      <c r="R123" s="753"/>
      <c r="S123" s="754"/>
      <c r="T123" s="754"/>
    </row>
    <row r="124">
      <c r="A124" s="747" t="s">
        <v>3624</v>
      </c>
      <c r="B124" s="748" t="s">
        <v>2446</v>
      </c>
      <c r="C124" s="749" t="s">
        <v>60</v>
      </c>
      <c r="D124" s="750" t="str">
        <f t="array" ref="D124">iferror(INDEX('作品'!D:D,MATCH(C124,'作品'!A:A,0),0),"")</f>
        <v>SPY×FAMILY</v>
      </c>
      <c r="E124" s="751" t="s">
        <v>2447</v>
      </c>
      <c r="F124" s="748" t="s">
        <v>2527</v>
      </c>
      <c r="G124" s="748" t="s">
        <v>1762</v>
      </c>
      <c r="H124" s="748" t="s">
        <v>1762</v>
      </c>
      <c r="I124" s="748" t="s">
        <v>2433</v>
      </c>
      <c r="J124" s="748" t="s">
        <v>3625</v>
      </c>
      <c r="K124" s="748"/>
      <c r="L124" s="599" t="s">
        <v>3628</v>
      </c>
      <c r="M124" s="599" t="s">
        <v>3629</v>
      </c>
      <c r="N124" s="599" t="str">
        <f t="shared" si="1"/>
        <v>genga_spy_main_001_01_start</v>
      </c>
      <c r="O124" s="599" t="str">
        <f t="shared" si="2"/>
        <v>manga_animation_genga_spy_main_001_01_start</v>
      </c>
      <c r="P124" s="752"/>
      <c r="Q124" s="752"/>
      <c r="R124" s="753" t="s">
        <v>3669</v>
      </c>
      <c r="S124" s="754"/>
      <c r="T124" s="754"/>
    </row>
    <row r="125">
      <c r="A125" s="747" t="s">
        <v>3624</v>
      </c>
      <c r="B125" s="748" t="s">
        <v>2446</v>
      </c>
      <c r="C125" s="749" t="s">
        <v>60</v>
      </c>
      <c r="D125" s="750" t="str">
        <f t="array" ref="D125">iferror(INDEX('作品'!D:D,MATCH(C125,'作品'!A:A,0),0),"")</f>
        <v>SPY×FAMILY</v>
      </c>
      <c r="E125" s="751" t="s">
        <v>2447</v>
      </c>
      <c r="F125" s="748" t="s">
        <v>2527</v>
      </c>
      <c r="G125" s="748" t="s">
        <v>1762</v>
      </c>
      <c r="H125" s="748" t="s">
        <v>3627</v>
      </c>
      <c r="I125" s="748" t="s">
        <v>2433</v>
      </c>
      <c r="J125" s="748" t="s">
        <v>3625</v>
      </c>
      <c r="K125" s="748"/>
      <c r="L125" s="599" t="s">
        <v>3628</v>
      </c>
      <c r="M125" s="599" t="s">
        <v>3629</v>
      </c>
      <c r="N125" s="599" t="str">
        <f t="shared" si="1"/>
        <v>genga_spy_main_001_02_start</v>
      </c>
      <c r="O125" s="599" t="str">
        <f t="shared" si="2"/>
        <v>manga_animation_genga_spy_main_001_02_start</v>
      </c>
      <c r="P125" s="752"/>
      <c r="Q125" s="752"/>
      <c r="R125" s="753" t="s">
        <v>3669</v>
      </c>
      <c r="S125" s="754"/>
      <c r="T125" s="754"/>
    </row>
    <row r="126">
      <c r="A126" s="747" t="s">
        <v>3624</v>
      </c>
      <c r="B126" s="748" t="s">
        <v>2446</v>
      </c>
      <c r="C126" s="749" t="s">
        <v>60</v>
      </c>
      <c r="D126" s="750" t="str">
        <f t="array" ref="D126">iferror(INDEX('作品'!D:D,MATCH(C126,'作品'!A:A,0),0),"")</f>
        <v>SPY×FAMILY</v>
      </c>
      <c r="E126" s="751" t="s">
        <v>2447</v>
      </c>
      <c r="F126" s="748" t="s">
        <v>2527</v>
      </c>
      <c r="G126" s="748" t="s">
        <v>1762</v>
      </c>
      <c r="H126" s="748" t="s">
        <v>1588</v>
      </c>
      <c r="I126" s="748" t="s">
        <v>2433</v>
      </c>
      <c r="J126" s="748" t="s">
        <v>3625</v>
      </c>
      <c r="K126" s="748"/>
      <c r="L126" s="599" t="s">
        <v>3628</v>
      </c>
      <c r="M126" s="599" t="s">
        <v>3629</v>
      </c>
      <c r="N126" s="599" t="str">
        <f t="shared" si="1"/>
        <v>genga_spy_main_001_03_start</v>
      </c>
      <c r="O126" s="599" t="str">
        <f t="shared" si="2"/>
        <v>manga_animation_genga_spy_main_001_03_start</v>
      </c>
      <c r="P126" s="752"/>
      <c r="Q126" s="752"/>
      <c r="R126" s="753" t="s">
        <v>3669</v>
      </c>
      <c r="S126" s="754"/>
      <c r="T126" s="754"/>
    </row>
    <row r="127">
      <c r="A127" s="747" t="s">
        <v>3624</v>
      </c>
      <c r="B127" s="748" t="s">
        <v>2446</v>
      </c>
      <c r="C127" s="749" t="s">
        <v>60</v>
      </c>
      <c r="D127" s="750" t="str">
        <f t="array" ref="D127">iferror(INDEX('作品'!D:D,MATCH(C127,'作品'!A:A,0),0),"")</f>
        <v>SPY×FAMILY</v>
      </c>
      <c r="E127" s="751" t="s">
        <v>2447</v>
      </c>
      <c r="F127" s="748" t="s">
        <v>2527</v>
      </c>
      <c r="G127" s="748" t="s">
        <v>1762</v>
      </c>
      <c r="H127" s="748" t="s">
        <v>3645</v>
      </c>
      <c r="I127" s="748" t="s">
        <v>2433</v>
      </c>
      <c r="J127" s="748" t="s">
        <v>3625</v>
      </c>
      <c r="K127" s="748"/>
      <c r="L127" s="599" t="s">
        <v>3628</v>
      </c>
      <c r="M127" s="599" t="s">
        <v>3629</v>
      </c>
      <c r="N127" s="599" t="str">
        <f t="shared" si="1"/>
        <v>genga_spy_main_001_04_start</v>
      </c>
      <c r="O127" s="599" t="str">
        <f t="shared" si="2"/>
        <v>manga_animation_genga_spy_main_001_04_start</v>
      </c>
      <c r="P127" s="752"/>
      <c r="Q127" s="752"/>
      <c r="R127" s="753" t="s">
        <v>3669</v>
      </c>
      <c r="S127" s="754"/>
      <c r="T127" s="754"/>
    </row>
    <row r="128">
      <c r="A128" s="747" t="s">
        <v>3624</v>
      </c>
      <c r="B128" s="748" t="s">
        <v>2446</v>
      </c>
      <c r="C128" s="749" t="s">
        <v>60</v>
      </c>
      <c r="D128" s="750" t="str">
        <f t="array" ref="D128">iferror(INDEX('作品'!D:D,MATCH(C128,'作品'!A:A,0),0),"")</f>
        <v>SPY×FAMILY</v>
      </c>
      <c r="E128" s="751" t="s">
        <v>2447</v>
      </c>
      <c r="F128" s="748" t="s">
        <v>2527</v>
      </c>
      <c r="G128" s="748" t="s">
        <v>1762</v>
      </c>
      <c r="H128" s="748" t="s">
        <v>3650</v>
      </c>
      <c r="I128" s="748" t="s">
        <v>2433</v>
      </c>
      <c r="J128" s="748" t="s">
        <v>3625</v>
      </c>
      <c r="K128" s="748"/>
      <c r="L128" s="599" t="s">
        <v>3628</v>
      </c>
      <c r="M128" s="599" t="s">
        <v>3629</v>
      </c>
      <c r="N128" s="599" t="str">
        <f t="shared" si="1"/>
        <v>genga_spy_main_001_05_start</v>
      </c>
      <c r="O128" s="599" t="str">
        <f t="shared" si="2"/>
        <v>manga_animation_genga_spy_main_001_05_start</v>
      </c>
      <c r="P128" s="752"/>
      <c r="Q128" s="752"/>
      <c r="R128" s="753" t="s">
        <v>3669</v>
      </c>
      <c r="S128" s="754"/>
      <c r="T128" s="754"/>
    </row>
    <row r="129">
      <c r="A129" s="747" t="s">
        <v>3624</v>
      </c>
      <c r="B129" s="748" t="s">
        <v>2446</v>
      </c>
      <c r="C129" s="749" t="s">
        <v>60</v>
      </c>
      <c r="D129" s="750" t="str">
        <f t="array" ref="D129">iferror(INDEX('作品'!D:D,MATCH(C129,'作品'!A:A,0),0),"")</f>
        <v>SPY×FAMILY</v>
      </c>
      <c r="E129" s="751" t="s">
        <v>2447</v>
      </c>
      <c r="F129" s="748" t="s">
        <v>2527</v>
      </c>
      <c r="G129" s="748" t="s">
        <v>1762</v>
      </c>
      <c r="H129" s="748" t="s">
        <v>3655</v>
      </c>
      <c r="I129" s="748" t="s">
        <v>2433</v>
      </c>
      <c r="J129" s="748" t="s">
        <v>3656</v>
      </c>
      <c r="K129" s="748" t="s">
        <v>3754</v>
      </c>
      <c r="L129" s="599" t="s">
        <v>3628</v>
      </c>
      <c r="M129" s="599" t="s">
        <v>3658</v>
      </c>
      <c r="N129" s="599" t="str">
        <f t="shared" si="1"/>
        <v>genga_spy_main_001_06_appear_loid</v>
      </c>
      <c r="O129" s="599" t="str">
        <f t="shared" si="2"/>
        <v>manga_animation_genga_spy_main_001_06_appear_loid</v>
      </c>
      <c r="P129" s="752"/>
      <c r="Q129" s="752"/>
      <c r="R129" s="753" t="s">
        <v>3669</v>
      </c>
      <c r="S129" s="754"/>
      <c r="T129" s="754"/>
    </row>
    <row r="130">
      <c r="A130" s="747" t="s">
        <v>3624</v>
      </c>
      <c r="B130" s="748" t="s">
        <v>2446</v>
      </c>
      <c r="C130" s="749" t="s">
        <v>60</v>
      </c>
      <c r="D130" s="750" t="str">
        <f t="array" ref="D130">iferror(INDEX('作品'!D:D,MATCH(C130,'作品'!A:A,0),0),"")</f>
        <v>SPY×FAMILY</v>
      </c>
      <c r="E130" s="751" t="s">
        <v>2447</v>
      </c>
      <c r="F130" s="748" t="s">
        <v>2527</v>
      </c>
      <c r="G130" s="748" t="s">
        <v>1762</v>
      </c>
      <c r="H130" s="748" t="s">
        <v>1762</v>
      </c>
      <c r="I130" s="748" t="s">
        <v>2433</v>
      </c>
      <c r="J130" s="748" t="s">
        <v>3633</v>
      </c>
      <c r="K130" s="748"/>
      <c r="L130" s="599" t="s">
        <v>3628</v>
      </c>
      <c r="M130" s="599" t="s">
        <v>3634</v>
      </c>
      <c r="N130" s="599" t="str">
        <f t="shared" si="1"/>
        <v>genga_spy_main_001_01_victory</v>
      </c>
      <c r="O130" s="599" t="str">
        <f t="shared" si="2"/>
        <v>manga_animation_genga_spy_main_001_01_victory</v>
      </c>
      <c r="P130" s="752"/>
      <c r="Q130" s="752"/>
      <c r="R130" s="753" t="s">
        <v>3669</v>
      </c>
      <c r="S130" s="754"/>
      <c r="T130" s="754"/>
    </row>
    <row r="131">
      <c r="A131" s="747" t="s">
        <v>3624</v>
      </c>
      <c r="B131" s="748" t="s">
        <v>2446</v>
      </c>
      <c r="C131" s="749" t="s">
        <v>60</v>
      </c>
      <c r="D131" s="750" t="str">
        <f t="array" ref="D131">iferror(INDEX('作品'!D:D,MATCH(C131,'作品'!A:A,0),0),"")</f>
        <v>SPY×FAMILY</v>
      </c>
      <c r="E131" s="751" t="s">
        <v>2447</v>
      </c>
      <c r="F131" s="748" t="s">
        <v>2527</v>
      </c>
      <c r="G131" s="748" t="s">
        <v>1762</v>
      </c>
      <c r="H131" s="748" t="s">
        <v>3627</v>
      </c>
      <c r="I131" s="748" t="s">
        <v>2433</v>
      </c>
      <c r="J131" s="748" t="s">
        <v>3633</v>
      </c>
      <c r="K131" s="748"/>
      <c r="L131" s="599" t="s">
        <v>3628</v>
      </c>
      <c r="M131" s="599" t="s">
        <v>3634</v>
      </c>
      <c r="N131" s="599" t="str">
        <f t="shared" si="1"/>
        <v>genga_spy_main_001_02_victory</v>
      </c>
      <c r="O131" s="599" t="str">
        <f t="shared" si="2"/>
        <v>manga_animation_genga_spy_main_001_02_victory</v>
      </c>
      <c r="P131" s="752"/>
      <c r="Q131" s="752"/>
      <c r="R131" s="753" t="s">
        <v>3669</v>
      </c>
      <c r="S131" s="754"/>
      <c r="T131" s="754"/>
    </row>
    <row r="132">
      <c r="A132" s="747" t="s">
        <v>3624</v>
      </c>
      <c r="B132" s="748" t="s">
        <v>2446</v>
      </c>
      <c r="C132" s="749" t="s">
        <v>60</v>
      </c>
      <c r="D132" s="750" t="str">
        <f t="array" ref="D132">iferror(INDEX('作品'!D:D,MATCH(C132,'作品'!A:A,0),0),"")</f>
        <v>SPY×FAMILY</v>
      </c>
      <c r="E132" s="751" t="s">
        <v>2447</v>
      </c>
      <c r="F132" s="748" t="s">
        <v>2527</v>
      </c>
      <c r="G132" s="748" t="s">
        <v>1762</v>
      </c>
      <c r="H132" s="748" t="s">
        <v>1588</v>
      </c>
      <c r="I132" s="748" t="s">
        <v>2433</v>
      </c>
      <c r="J132" s="748" t="s">
        <v>3633</v>
      </c>
      <c r="K132" s="748"/>
      <c r="L132" s="599" t="s">
        <v>3628</v>
      </c>
      <c r="M132" s="599" t="s">
        <v>3634</v>
      </c>
      <c r="N132" s="599" t="str">
        <f t="shared" si="1"/>
        <v>genga_spy_main_001_03_victory</v>
      </c>
      <c r="O132" s="599" t="str">
        <f t="shared" si="2"/>
        <v>manga_animation_genga_spy_main_001_03_victory</v>
      </c>
      <c r="P132" s="752"/>
      <c r="Q132" s="752"/>
      <c r="R132" s="753" t="s">
        <v>3669</v>
      </c>
      <c r="S132" s="754"/>
      <c r="T132" s="754"/>
    </row>
    <row r="133">
      <c r="A133" s="747" t="s">
        <v>3624</v>
      </c>
      <c r="B133" s="748" t="s">
        <v>2446</v>
      </c>
      <c r="C133" s="749" t="s">
        <v>60</v>
      </c>
      <c r="D133" s="750" t="str">
        <f t="array" ref="D133">iferror(INDEX('作品'!D:D,MATCH(C133,'作品'!A:A,0),0),"")</f>
        <v>SPY×FAMILY</v>
      </c>
      <c r="E133" s="751" t="s">
        <v>2447</v>
      </c>
      <c r="F133" s="748" t="s">
        <v>2527</v>
      </c>
      <c r="G133" s="748" t="s">
        <v>1762</v>
      </c>
      <c r="H133" s="748" t="s">
        <v>3645</v>
      </c>
      <c r="I133" s="748" t="s">
        <v>2433</v>
      </c>
      <c r="J133" s="748" t="s">
        <v>3633</v>
      </c>
      <c r="K133" s="748"/>
      <c r="L133" s="599" t="s">
        <v>3628</v>
      </c>
      <c r="M133" s="599" t="s">
        <v>3634</v>
      </c>
      <c r="N133" s="599" t="str">
        <f t="shared" si="1"/>
        <v>genga_spy_main_001_04_victory</v>
      </c>
      <c r="O133" s="599" t="str">
        <f t="shared" si="2"/>
        <v>manga_animation_genga_spy_main_001_04_victory</v>
      </c>
      <c r="P133" s="752"/>
      <c r="Q133" s="752"/>
      <c r="R133" s="753" t="s">
        <v>3669</v>
      </c>
      <c r="S133" s="754"/>
      <c r="T133" s="754"/>
    </row>
    <row r="134">
      <c r="A134" s="747" t="s">
        <v>3624</v>
      </c>
      <c r="B134" s="748" t="s">
        <v>2446</v>
      </c>
      <c r="C134" s="749" t="s">
        <v>60</v>
      </c>
      <c r="D134" s="750" t="str">
        <f t="array" ref="D134">iferror(INDEX('作品'!D:D,MATCH(C134,'作品'!A:A,0),0),"")</f>
        <v>SPY×FAMILY</v>
      </c>
      <c r="E134" s="751" t="s">
        <v>2447</v>
      </c>
      <c r="F134" s="748" t="s">
        <v>2527</v>
      </c>
      <c r="G134" s="748" t="s">
        <v>1762</v>
      </c>
      <c r="H134" s="748" t="s">
        <v>3650</v>
      </c>
      <c r="I134" s="748" t="s">
        <v>2433</v>
      </c>
      <c r="J134" s="748" t="s">
        <v>3633</v>
      </c>
      <c r="K134" s="748"/>
      <c r="L134" s="599" t="s">
        <v>3628</v>
      </c>
      <c r="M134" s="599" t="s">
        <v>3634</v>
      </c>
      <c r="N134" s="599" t="str">
        <f t="shared" si="1"/>
        <v>genga_spy_main_001_05_victory</v>
      </c>
      <c r="O134" s="599" t="str">
        <f t="shared" si="2"/>
        <v>manga_animation_genga_spy_main_001_05_victory</v>
      </c>
      <c r="P134" s="752"/>
      <c r="Q134" s="752"/>
      <c r="R134" s="753" t="s">
        <v>3669</v>
      </c>
      <c r="S134" s="754"/>
      <c r="T134" s="754"/>
    </row>
    <row r="135">
      <c r="A135" s="747" t="s">
        <v>3624</v>
      </c>
      <c r="B135" s="748" t="s">
        <v>2446</v>
      </c>
      <c r="C135" s="749" t="s">
        <v>143</v>
      </c>
      <c r="D135" s="750" t="str">
        <f t="array" ref="D135">iferror(INDEX('作品'!D:D,MATCH(C135,'作品'!A:A,0),0),"")</f>
        <v>サマータイムレンダ</v>
      </c>
      <c r="E135" s="751" t="s">
        <v>2447</v>
      </c>
      <c r="F135" s="748" t="s">
        <v>2527</v>
      </c>
      <c r="G135" s="748" t="s">
        <v>3751</v>
      </c>
      <c r="H135" s="748" t="s">
        <v>3655</v>
      </c>
      <c r="I135" s="748" t="s">
        <v>2433</v>
      </c>
      <c r="J135" s="748" t="s">
        <v>3656</v>
      </c>
      <c r="K135" s="748" t="s">
        <v>3753</v>
      </c>
      <c r="L135" s="599" t="s">
        <v>3628</v>
      </c>
      <c r="M135" s="599" t="s">
        <v>3658</v>
      </c>
      <c r="N135" s="599" t="str">
        <f t="shared" si="1"/>
        <v>genga_sum_main_014_06_appear_ushio</v>
      </c>
      <c r="O135" s="599" t="str">
        <f t="shared" si="2"/>
        <v>manga_animation_genga_sum_main_014_06_appear_ushio</v>
      </c>
      <c r="P135" s="752"/>
      <c r="Q135" s="752"/>
      <c r="R135" s="753" t="s">
        <v>3669</v>
      </c>
      <c r="S135" s="754"/>
      <c r="T135" s="754"/>
    </row>
    <row r="136">
      <c r="A136" s="747" t="s">
        <v>3624</v>
      </c>
      <c r="B136" s="748" t="s">
        <v>2446</v>
      </c>
      <c r="C136" s="749" t="s">
        <v>158</v>
      </c>
      <c r="D136" s="750" t="str">
        <f t="array" ref="D136">iferror(INDEX('作品'!D:D,MATCH(C136,'作品'!A:A,0),0),"")</f>
        <v>【推しの子】</v>
      </c>
      <c r="E136" s="751" t="s">
        <v>2447</v>
      </c>
      <c r="F136" s="748" t="s">
        <v>2527</v>
      </c>
      <c r="G136" s="748" t="s">
        <v>3755</v>
      </c>
      <c r="H136" s="748" t="s">
        <v>1762</v>
      </c>
      <c r="I136" s="748" t="s">
        <v>2433</v>
      </c>
      <c r="J136" s="748" t="s">
        <v>3625</v>
      </c>
      <c r="K136" s="748"/>
      <c r="L136" s="599" t="s">
        <v>3628</v>
      </c>
      <c r="M136" s="599" t="s">
        <v>3629</v>
      </c>
      <c r="N136" s="599" t="str">
        <f t="shared" si="1"/>
        <v>genga_osh_main_017_01_start</v>
      </c>
      <c r="O136" s="599" t="str">
        <f t="shared" si="2"/>
        <v>manga_animation_genga_osh_main_017_01_start</v>
      </c>
      <c r="P136" s="752"/>
      <c r="Q136" s="752"/>
      <c r="R136" s="752"/>
      <c r="S136" s="757"/>
      <c r="T136" s="754"/>
    </row>
    <row r="137">
      <c r="A137" s="747" t="s">
        <v>3624</v>
      </c>
      <c r="B137" s="748" t="s">
        <v>2446</v>
      </c>
      <c r="C137" s="749" t="s">
        <v>158</v>
      </c>
      <c r="D137" s="750" t="str">
        <f t="array" ref="D137">iferror(INDEX('作品'!D:D,MATCH(C137,'作品'!A:A,0),0),"")</f>
        <v>【推しの子】</v>
      </c>
      <c r="E137" s="751" t="s">
        <v>2447</v>
      </c>
      <c r="F137" s="748" t="s">
        <v>2527</v>
      </c>
      <c r="G137" s="748" t="s">
        <v>3755</v>
      </c>
      <c r="H137" s="748" t="s">
        <v>1762</v>
      </c>
      <c r="I137" s="748" t="s">
        <v>2433</v>
      </c>
      <c r="J137" s="748" t="s">
        <v>3633</v>
      </c>
      <c r="K137" s="748"/>
      <c r="L137" s="599" t="s">
        <v>3628</v>
      </c>
      <c r="M137" s="599" t="s">
        <v>3634</v>
      </c>
      <c r="N137" s="599" t="str">
        <f t="shared" si="1"/>
        <v>genga_osh_main_017_01_victory</v>
      </c>
      <c r="O137" s="599" t="str">
        <f t="shared" si="2"/>
        <v>manga_animation_genga_osh_main_017_01_victory</v>
      </c>
      <c r="P137" s="752"/>
      <c r="Q137" s="752"/>
      <c r="R137" s="752"/>
      <c r="S137" s="757"/>
      <c r="T137" s="754"/>
    </row>
    <row r="138">
      <c r="A138" s="747" t="s">
        <v>3624</v>
      </c>
      <c r="B138" s="748" t="s">
        <v>2446</v>
      </c>
      <c r="C138" s="749" t="s">
        <v>158</v>
      </c>
      <c r="D138" s="750" t="str">
        <f t="array" ref="D138">iferror(INDEX('作品'!D:D,MATCH(C138,'作品'!A:A,0),0),"")</f>
        <v>【推しの子】</v>
      </c>
      <c r="E138" s="751" t="s">
        <v>2447</v>
      </c>
      <c r="F138" s="748" t="s">
        <v>2527</v>
      </c>
      <c r="G138" s="748" t="s">
        <v>3755</v>
      </c>
      <c r="H138" s="748" t="s">
        <v>3627</v>
      </c>
      <c r="I138" s="748" t="s">
        <v>2433</v>
      </c>
      <c r="J138" s="748" t="s">
        <v>3625</v>
      </c>
      <c r="K138" s="748"/>
      <c r="L138" s="599" t="s">
        <v>3628</v>
      </c>
      <c r="M138" s="599" t="s">
        <v>3629</v>
      </c>
      <c r="N138" s="599" t="str">
        <f t="shared" si="1"/>
        <v>genga_osh_main_017_02_start</v>
      </c>
      <c r="O138" s="599" t="str">
        <f t="shared" si="2"/>
        <v>manga_animation_genga_osh_main_017_02_start</v>
      </c>
      <c r="P138" s="752"/>
      <c r="Q138" s="752"/>
      <c r="R138" s="752"/>
      <c r="S138" s="757"/>
      <c r="T138" s="754"/>
    </row>
    <row r="139">
      <c r="A139" s="747" t="s">
        <v>3624</v>
      </c>
      <c r="B139" s="748" t="s">
        <v>2446</v>
      </c>
      <c r="C139" s="749" t="s">
        <v>158</v>
      </c>
      <c r="D139" s="750" t="str">
        <f t="array" ref="D139">iferror(INDEX('作品'!D:D,MATCH(C139,'作品'!A:A,0),0),"")</f>
        <v>【推しの子】</v>
      </c>
      <c r="E139" s="751" t="s">
        <v>2447</v>
      </c>
      <c r="F139" s="748" t="s">
        <v>2527</v>
      </c>
      <c r="G139" s="758" t="s">
        <v>3755</v>
      </c>
      <c r="H139" s="748" t="s">
        <v>3627</v>
      </c>
      <c r="I139" s="748" t="s">
        <v>2433</v>
      </c>
      <c r="J139" s="748" t="s">
        <v>3633</v>
      </c>
      <c r="K139" s="748"/>
      <c r="L139" s="599" t="s">
        <v>3628</v>
      </c>
      <c r="M139" s="599" t="s">
        <v>3634</v>
      </c>
      <c r="N139" s="599" t="str">
        <f t="shared" si="1"/>
        <v>genga_osh_main_017_02_victory</v>
      </c>
      <c r="O139" s="599" t="str">
        <f t="shared" si="2"/>
        <v>manga_animation_genga_osh_main_017_02_victory</v>
      </c>
      <c r="P139" s="752"/>
      <c r="Q139" s="752"/>
      <c r="R139" s="752"/>
      <c r="S139" s="757"/>
      <c r="T139" s="754"/>
    </row>
    <row r="140">
      <c r="A140" s="747" t="s">
        <v>3624</v>
      </c>
      <c r="B140" s="748" t="s">
        <v>2446</v>
      </c>
      <c r="C140" s="749" t="s">
        <v>158</v>
      </c>
      <c r="D140" s="750" t="str">
        <f t="array" ref="D140">iferror(INDEX('作品'!D:D,MATCH(C140,'作品'!A:A,0),0),"")</f>
        <v>【推しの子】</v>
      </c>
      <c r="E140" s="751" t="s">
        <v>2447</v>
      </c>
      <c r="F140" s="748" t="s">
        <v>2527</v>
      </c>
      <c r="G140" s="759" t="s">
        <v>3755</v>
      </c>
      <c r="H140" s="748" t="s">
        <v>1588</v>
      </c>
      <c r="I140" s="748" t="s">
        <v>2433</v>
      </c>
      <c r="J140" s="748" t="s">
        <v>3625</v>
      </c>
      <c r="K140" s="748"/>
      <c r="L140" s="599" t="s">
        <v>3628</v>
      </c>
      <c r="M140" s="599" t="s">
        <v>3629</v>
      </c>
      <c r="N140" s="599" t="str">
        <f t="shared" si="1"/>
        <v>genga_osh_main_017_03_start</v>
      </c>
      <c r="O140" s="599" t="str">
        <f t="shared" si="2"/>
        <v>manga_animation_genga_osh_main_017_03_start</v>
      </c>
      <c r="P140" s="752"/>
      <c r="Q140" s="752"/>
      <c r="R140" s="752"/>
      <c r="S140" s="757"/>
      <c r="T140" s="754"/>
    </row>
    <row r="141">
      <c r="A141" s="747" t="s">
        <v>3624</v>
      </c>
      <c r="B141" s="748" t="s">
        <v>2446</v>
      </c>
      <c r="C141" s="749" t="s">
        <v>158</v>
      </c>
      <c r="D141" s="750" t="str">
        <f t="array" ref="D141">iferror(INDEX('作品'!D:D,MATCH(C141,'作品'!A:A,0),0),"")</f>
        <v>【推しの子】</v>
      </c>
      <c r="E141" s="751" t="s">
        <v>2447</v>
      </c>
      <c r="F141" s="748" t="s">
        <v>2527</v>
      </c>
      <c r="G141" s="758" t="s">
        <v>3755</v>
      </c>
      <c r="H141" s="748" t="s">
        <v>1588</v>
      </c>
      <c r="I141" s="748" t="s">
        <v>2433</v>
      </c>
      <c r="J141" s="748" t="s">
        <v>3633</v>
      </c>
      <c r="K141" s="748"/>
      <c r="L141" s="599" t="s">
        <v>3628</v>
      </c>
      <c r="M141" s="599" t="s">
        <v>3634</v>
      </c>
      <c r="N141" s="599" t="str">
        <f t="shared" si="1"/>
        <v>genga_osh_main_017_03_victory</v>
      </c>
      <c r="O141" s="599" t="str">
        <f t="shared" si="2"/>
        <v>manga_animation_genga_osh_main_017_03_victory</v>
      </c>
      <c r="P141" s="752"/>
      <c r="Q141" s="752"/>
      <c r="R141" s="752"/>
      <c r="S141" s="757"/>
      <c r="T141" s="754"/>
    </row>
    <row r="142">
      <c r="A142" s="747"/>
      <c r="B142" s="748"/>
      <c r="C142" s="749"/>
      <c r="D142" s="750"/>
      <c r="E142" s="751" t="s">
        <v>71</v>
      </c>
      <c r="F142" s="748"/>
      <c r="G142" s="748"/>
      <c r="H142" s="748"/>
      <c r="I142" s="748"/>
      <c r="J142" s="748"/>
      <c r="K142" s="748"/>
      <c r="L142" s="599" t="s">
        <v>71</v>
      </c>
      <c r="M142" s="599" t="s">
        <v>71</v>
      </c>
      <c r="N142" s="599"/>
      <c r="O142" s="599"/>
      <c r="P142" s="752"/>
      <c r="Q142" s="752"/>
      <c r="R142" s="752"/>
      <c r="S142" s="757"/>
      <c r="T142" s="754"/>
    </row>
    <row r="143">
      <c r="A143" s="747"/>
      <c r="B143" s="748"/>
      <c r="C143" s="749"/>
      <c r="D143" s="750"/>
      <c r="E143" s="751" t="s">
        <v>71</v>
      </c>
      <c r="F143" s="748"/>
      <c r="G143" s="748"/>
      <c r="H143" s="748"/>
      <c r="I143" s="748"/>
      <c r="J143" s="748"/>
      <c r="K143" s="748"/>
      <c r="L143" s="599" t="s">
        <v>71</v>
      </c>
      <c r="M143" s="599" t="s">
        <v>71</v>
      </c>
      <c r="N143" s="599"/>
      <c r="O143" s="599"/>
      <c r="P143" s="752"/>
      <c r="Q143" s="752"/>
      <c r="R143" s="752"/>
      <c r="S143" s="757"/>
      <c r="T143" s="754"/>
    </row>
    <row r="144">
      <c r="A144" s="747"/>
      <c r="B144" s="748"/>
      <c r="C144" s="749"/>
      <c r="D144" s="750"/>
      <c r="E144" s="751" t="s">
        <v>71</v>
      </c>
      <c r="F144" s="748"/>
      <c r="G144" s="748"/>
      <c r="H144" s="748"/>
      <c r="I144" s="748"/>
      <c r="J144" s="748"/>
      <c r="K144" s="748"/>
      <c r="L144" s="599" t="s">
        <v>71</v>
      </c>
      <c r="M144" s="599" t="s">
        <v>71</v>
      </c>
      <c r="N144" s="599"/>
      <c r="O144" s="599"/>
      <c r="P144" s="752"/>
      <c r="Q144" s="752"/>
      <c r="R144" s="752"/>
      <c r="S144" s="757"/>
      <c r="T144" s="754"/>
    </row>
    <row r="145">
      <c r="A145" s="747"/>
      <c r="B145" s="748"/>
      <c r="C145" s="749"/>
      <c r="D145" s="750"/>
      <c r="E145" s="751" t="s">
        <v>71</v>
      </c>
      <c r="F145" s="748"/>
      <c r="G145" s="748"/>
      <c r="H145" s="748"/>
      <c r="I145" s="748"/>
      <c r="J145" s="748"/>
      <c r="K145" s="748"/>
      <c r="L145" s="599" t="s">
        <v>71</v>
      </c>
      <c r="M145" s="599" t="s">
        <v>71</v>
      </c>
      <c r="N145" s="599"/>
      <c r="O145" s="599"/>
      <c r="P145" s="752"/>
      <c r="Q145" s="752"/>
      <c r="R145" s="752"/>
      <c r="S145" s="757"/>
      <c r="T145" s="754"/>
    </row>
    <row r="146">
      <c r="A146" s="747"/>
      <c r="B146" s="748"/>
      <c r="C146" s="749"/>
      <c r="D146" s="750"/>
      <c r="E146" s="751" t="s">
        <v>71</v>
      </c>
      <c r="F146" s="748"/>
      <c r="G146" s="748"/>
      <c r="H146" s="748"/>
      <c r="I146" s="748"/>
      <c r="J146" s="748"/>
      <c r="K146" s="748"/>
      <c r="L146" s="599" t="s">
        <v>71</v>
      </c>
      <c r="M146" s="599" t="s">
        <v>71</v>
      </c>
      <c r="N146" s="599"/>
      <c r="O146" s="599"/>
      <c r="P146" s="752"/>
      <c r="Q146" s="752"/>
      <c r="R146" s="752"/>
      <c r="S146" s="757"/>
      <c r="T146" s="754"/>
    </row>
    <row r="147">
      <c r="A147" s="747"/>
      <c r="B147" s="748"/>
      <c r="C147" s="749"/>
      <c r="D147" s="750"/>
      <c r="E147" s="751" t="s">
        <v>71</v>
      </c>
      <c r="F147" s="748"/>
      <c r="G147" s="748"/>
      <c r="H147" s="748"/>
      <c r="I147" s="748"/>
      <c r="J147" s="748"/>
      <c r="K147" s="748"/>
      <c r="L147" s="599" t="s">
        <v>71</v>
      </c>
      <c r="M147" s="599" t="s">
        <v>71</v>
      </c>
      <c r="N147" s="599"/>
      <c r="O147" s="599"/>
      <c r="P147" s="752"/>
      <c r="Q147" s="752"/>
      <c r="R147" s="752"/>
      <c r="S147" s="757"/>
      <c r="T147" s="754"/>
    </row>
    <row r="148">
      <c r="A148" s="747"/>
      <c r="B148" s="748"/>
      <c r="C148" s="749"/>
      <c r="D148" s="750"/>
      <c r="E148" s="751" t="s">
        <v>71</v>
      </c>
      <c r="F148" s="748"/>
      <c r="G148" s="748"/>
      <c r="H148" s="748"/>
      <c r="I148" s="748"/>
      <c r="J148" s="748"/>
      <c r="K148" s="748"/>
      <c r="L148" s="599" t="s">
        <v>71</v>
      </c>
      <c r="M148" s="599" t="s">
        <v>71</v>
      </c>
      <c r="N148" s="599"/>
      <c r="O148" s="599"/>
      <c r="P148" s="752"/>
      <c r="Q148" s="752"/>
      <c r="R148" s="752"/>
      <c r="S148" s="757"/>
      <c r="T148" s="754"/>
    </row>
    <row r="149">
      <c r="A149" s="747"/>
      <c r="B149" s="748"/>
      <c r="C149" s="749"/>
      <c r="D149" s="750"/>
      <c r="E149" s="751" t="s">
        <v>71</v>
      </c>
      <c r="F149" s="748"/>
      <c r="G149" s="748"/>
      <c r="H149" s="748"/>
      <c r="I149" s="748"/>
      <c r="J149" s="748"/>
      <c r="K149" s="748"/>
      <c r="L149" s="599" t="s">
        <v>71</v>
      </c>
      <c r="M149" s="599" t="s">
        <v>71</v>
      </c>
      <c r="N149" s="599"/>
      <c r="O149" s="599"/>
      <c r="P149" s="752"/>
      <c r="Q149" s="752"/>
      <c r="R149" s="752"/>
      <c r="S149" s="757"/>
      <c r="T149" s="754"/>
    </row>
    <row r="150">
      <c r="A150" s="747"/>
      <c r="B150" s="748"/>
      <c r="C150" s="749"/>
      <c r="D150" s="750"/>
      <c r="E150" s="751" t="s">
        <v>71</v>
      </c>
      <c r="F150" s="748"/>
      <c r="G150" s="748"/>
      <c r="H150" s="748"/>
      <c r="I150" s="748"/>
      <c r="J150" s="748"/>
      <c r="K150" s="748"/>
      <c r="L150" s="599" t="s">
        <v>71</v>
      </c>
      <c r="M150" s="599" t="s">
        <v>71</v>
      </c>
      <c r="N150" s="599"/>
      <c r="O150" s="599"/>
      <c r="P150" s="752"/>
      <c r="Q150" s="752"/>
      <c r="R150" s="752"/>
      <c r="S150" s="757"/>
      <c r="T150" s="754"/>
    </row>
    <row r="151">
      <c r="A151" s="747"/>
      <c r="B151" s="748"/>
      <c r="C151" s="749"/>
      <c r="D151" s="750"/>
      <c r="E151" s="751" t="s">
        <v>71</v>
      </c>
      <c r="F151" s="748"/>
      <c r="G151" s="748"/>
      <c r="H151" s="748"/>
      <c r="I151" s="748"/>
      <c r="J151" s="748"/>
      <c r="K151" s="748"/>
      <c r="L151" s="599" t="s">
        <v>71</v>
      </c>
      <c r="M151" s="599" t="s">
        <v>71</v>
      </c>
      <c r="N151" s="599"/>
      <c r="O151" s="599"/>
      <c r="P151" s="752"/>
      <c r="Q151" s="752"/>
      <c r="R151" s="752"/>
      <c r="S151" s="757"/>
      <c r="T151" s="754"/>
    </row>
    <row r="152">
      <c r="A152" s="747"/>
      <c r="B152" s="748"/>
      <c r="C152" s="749"/>
      <c r="D152" s="750"/>
      <c r="E152" s="751" t="s">
        <v>71</v>
      </c>
      <c r="F152" s="748"/>
      <c r="G152" s="748"/>
      <c r="H152" s="748"/>
      <c r="I152" s="748"/>
      <c r="J152" s="748"/>
      <c r="K152" s="748"/>
      <c r="L152" s="599" t="s">
        <v>71</v>
      </c>
      <c r="M152" s="599" t="s">
        <v>71</v>
      </c>
      <c r="N152" s="599"/>
      <c r="O152" s="599"/>
      <c r="P152" s="752"/>
      <c r="Q152" s="752"/>
      <c r="R152" s="752"/>
      <c r="S152" s="757"/>
      <c r="T152" s="754"/>
    </row>
    <row r="153">
      <c r="A153" s="747"/>
      <c r="B153" s="748"/>
      <c r="C153" s="749"/>
      <c r="D153" s="750"/>
      <c r="E153" s="751" t="s">
        <v>71</v>
      </c>
      <c r="F153" s="748"/>
      <c r="G153" s="748"/>
      <c r="H153" s="748"/>
      <c r="I153" s="748"/>
      <c r="J153" s="748"/>
      <c r="K153" s="748"/>
      <c r="L153" s="599" t="s">
        <v>71</v>
      </c>
      <c r="M153" s="599" t="s">
        <v>71</v>
      </c>
      <c r="N153" s="599"/>
      <c r="O153" s="599"/>
      <c r="P153" s="752"/>
      <c r="Q153" s="752"/>
      <c r="R153" s="752"/>
      <c r="S153" s="757"/>
      <c r="T153" s="754"/>
    </row>
    <row r="154">
      <c r="A154" s="747"/>
      <c r="B154" s="748"/>
      <c r="C154" s="749"/>
      <c r="D154" s="750"/>
      <c r="E154" s="751" t="s">
        <v>71</v>
      </c>
      <c r="F154" s="748"/>
      <c r="G154" s="748"/>
      <c r="H154" s="748"/>
      <c r="I154" s="748"/>
      <c r="J154" s="748"/>
      <c r="K154" s="748"/>
      <c r="L154" s="599" t="s">
        <v>71</v>
      </c>
      <c r="M154" s="599" t="s">
        <v>71</v>
      </c>
      <c r="N154" s="599"/>
      <c r="O154" s="599"/>
      <c r="P154" s="752"/>
      <c r="Q154" s="752"/>
      <c r="R154" s="752"/>
      <c r="S154" s="757"/>
      <c r="T154" s="754"/>
    </row>
    <row r="155">
      <c r="A155" s="747"/>
      <c r="B155" s="748"/>
      <c r="C155" s="749"/>
      <c r="D155" s="750"/>
      <c r="E155" s="751" t="s">
        <v>71</v>
      </c>
      <c r="F155" s="748"/>
      <c r="G155" s="748"/>
      <c r="H155" s="748"/>
      <c r="I155" s="748"/>
      <c r="J155" s="748"/>
      <c r="K155" s="748"/>
      <c r="L155" s="599" t="s">
        <v>71</v>
      </c>
      <c r="M155" s="599" t="s">
        <v>71</v>
      </c>
      <c r="N155" s="599"/>
      <c r="O155" s="599"/>
      <c r="P155" s="752"/>
      <c r="Q155" s="752"/>
      <c r="R155" s="752"/>
      <c r="S155" s="757"/>
      <c r="T155" s="754"/>
    </row>
    <row r="156">
      <c r="A156" s="741"/>
      <c r="B156" s="742"/>
      <c r="C156" s="237"/>
      <c r="D156" s="743"/>
      <c r="E156" s="247" t="s">
        <v>71</v>
      </c>
      <c r="F156" s="742"/>
      <c r="G156" s="742"/>
      <c r="H156" s="742"/>
      <c r="I156" s="742"/>
      <c r="J156" s="742"/>
      <c r="K156" s="742"/>
      <c r="L156" s="742" t="s">
        <v>71</v>
      </c>
      <c r="M156" s="742" t="s">
        <v>71</v>
      </c>
      <c r="N156" s="744" t="s">
        <v>3756</v>
      </c>
      <c r="O156" s="742"/>
      <c r="P156" s="745"/>
      <c r="Q156" s="745"/>
      <c r="R156" s="745"/>
      <c r="S156" s="746"/>
      <c r="T156" s="348"/>
    </row>
    <row r="157">
      <c r="A157" s="760"/>
      <c r="B157" s="755" t="s">
        <v>2458</v>
      </c>
      <c r="C157" s="756" t="s">
        <v>115</v>
      </c>
      <c r="D157" s="750" t="str">
        <f t="array" ref="D157">iferror(INDEX('作品'!D:D,MATCH(C157,'作品'!A:A,0),0),"")</f>
        <v>怪獣８号</v>
      </c>
      <c r="E157" s="423" t="s">
        <v>2459</v>
      </c>
      <c r="F157" s="755" t="s">
        <v>2457</v>
      </c>
      <c r="G157" s="755" t="s">
        <v>1762</v>
      </c>
      <c r="H157" s="755" t="s">
        <v>1762</v>
      </c>
      <c r="I157" s="755" t="s">
        <v>2433</v>
      </c>
      <c r="J157" s="755" t="s">
        <v>3625</v>
      </c>
      <c r="K157" s="755"/>
      <c r="L157" s="761" t="s">
        <v>3628</v>
      </c>
      <c r="M157" s="761" t="s">
        <v>3629</v>
      </c>
      <c r="N157" s="599" t="str">
        <f t="shared" ref="N157:N397" si="3">CONCATENATE(L157,C157,"_",E157,"_",F157,"_",text(G157,"00000"),"_",text(H157,"00"),M157)</f>
        <v>genga_kai_event_story_00001_01_start</v>
      </c>
      <c r="O157" s="599" t="str">
        <f t="shared" ref="O157:O424" si="4">"manga_animation_"&amp;N157</f>
        <v>manga_animation_genga_kai_event_story_00001_01_start</v>
      </c>
      <c r="P157" s="753"/>
      <c r="Q157" s="753"/>
      <c r="R157" s="753" t="s">
        <v>3632</v>
      </c>
      <c r="S157" s="754"/>
      <c r="T157" s="754"/>
    </row>
    <row r="158">
      <c r="A158" s="760"/>
      <c r="B158" s="755" t="s">
        <v>2458</v>
      </c>
      <c r="C158" s="756" t="s">
        <v>115</v>
      </c>
      <c r="D158" s="750" t="str">
        <f t="array" ref="D158">iferror(INDEX('作品'!D:D,MATCH(C158,'作品'!A:A,0),0),"")</f>
        <v>怪獣８号</v>
      </c>
      <c r="E158" s="423" t="s">
        <v>2459</v>
      </c>
      <c r="F158" s="755" t="s">
        <v>2457</v>
      </c>
      <c r="G158" s="755" t="s">
        <v>1762</v>
      </c>
      <c r="H158" s="755" t="s">
        <v>3627</v>
      </c>
      <c r="I158" s="755" t="s">
        <v>2433</v>
      </c>
      <c r="J158" s="755" t="s">
        <v>3625</v>
      </c>
      <c r="K158" s="755"/>
      <c r="L158" s="761" t="s">
        <v>3628</v>
      </c>
      <c r="M158" s="761" t="s">
        <v>3629</v>
      </c>
      <c r="N158" s="599" t="str">
        <f t="shared" si="3"/>
        <v>genga_kai_event_story_00001_02_start</v>
      </c>
      <c r="O158" s="599" t="str">
        <f t="shared" si="4"/>
        <v>manga_animation_genga_kai_event_story_00001_02_start</v>
      </c>
      <c r="P158" s="753"/>
      <c r="Q158" s="753"/>
      <c r="R158" s="753" t="s">
        <v>3632</v>
      </c>
      <c r="S158" s="754"/>
      <c r="T158" s="754"/>
    </row>
    <row r="159">
      <c r="A159" s="760"/>
      <c r="B159" s="755" t="s">
        <v>2458</v>
      </c>
      <c r="C159" s="756" t="s">
        <v>115</v>
      </c>
      <c r="D159" s="750" t="str">
        <f t="array" ref="D159">iferror(INDEX('作品'!D:D,MATCH(C159,'作品'!A:A,0),0),"")</f>
        <v>怪獣８号</v>
      </c>
      <c r="E159" s="423" t="s">
        <v>2459</v>
      </c>
      <c r="F159" s="755" t="s">
        <v>2457</v>
      </c>
      <c r="G159" s="755" t="s">
        <v>1762</v>
      </c>
      <c r="H159" s="755" t="s">
        <v>1588</v>
      </c>
      <c r="I159" s="755" t="s">
        <v>2433</v>
      </c>
      <c r="J159" s="755" t="s">
        <v>3625</v>
      </c>
      <c r="K159" s="755"/>
      <c r="L159" s="761" t="s">
        <v>3628</v>
      </c>
      <c r="M159" s="761" t="s">
        <v>3629</v>
      </c>
      <c r="N159" s="599" t="str">
        <f t="shared" si="3"/>
        <v>genga_kai_event_story_00001_03_start</v>
      </c>
      <c r="O159" s="599" t="str">
        <f t="shared" si="4"/>
        <v>manga_animation_genga_kai_event_story_00001_03_start</v>
      </c>
      <c r="P159" s="753"/>
      <c r="Q159" s="753"/>
      <c r="R159" s="753" t="s">
        <v>3632</v>
      </c>
      <c r="S159" s="754"/>
      <c r="T159" s="754"/>
    </row>
    <row r="160">
      <c r="A160" s="760"/>
      <c r="B160" s="755" t="s">
        <v>2458</v>
      </c>
      <c r="C160" s="756" t="s">
        <v>115</v>
      </c>
      <c r="D160" s="750" t="str">
        <f t="array" ref="D160">iferror(INDEX('作品'!D:D,MATCH(C160,'作品'!A:A,0),0),"")</f>
        <v>怪獣８号</v>
      </c>
      <c r="E160" s="423" t="s">
        <v>2459</v>
      </c>
      <c r="F160" s="755" t="s">
        <v>2457</v>
      </c>
      <c r="G160" s="755" t="s">
        <v>1762</v>
      </c>
      <c r="H160" s="755" t="s">
        <v>1588</v>
      </c>
      <c r="I160" s="755" t="s">
        <v>2433</v>
      </c>
      <c r="J160" s="755" t="s">
        <v>3633</v>
      </c>
      <c r="K160" s="755"/>
      <c r="L160" s="761" t="s">
        <v>3628</v>
      </c>
      <c r="M160" s="761" t="s">
        <v>3634</v>
      </c>
      <c r="N160" s="599" t="str">
        <f t="shared" si="3"/>
        <v>genga_kai_event_story_00001_03_victory</v>
      </c>
      <c r="O160" s="599" t="str">
        <f t="shared" si="4"/>
        <v>manga_animation_genga_kai_event_story_00001_03_victory</v>
      </c>
      <c r="P160" s="753"/>
      <c r="Q160" s="753"/>
      <c r="R160" s="753" t="s">
        <v>3632</v>
      </c>
      <c r="S160" s="754"/>
      <c r="T160" s="754"/>
    </row>
    <row r="161">
      <c r="A161" s="760"/>
      <c r="B161" s="755" t="s">
        <v>2458</v>
      </c>
      <c r="C161" s="756" t="s">
        <v>115</v>
      </c>
      <c r="D161" s="750" t="str">
        <f t="array" ref="D161">iferror(INDEX('作品'!D:D,MATCH(C161,'作品'!A:A,0),0),"")</f>
        <v>怪獣８号</v>
      </c>
      <c r="E161" s="423" t="s">
        <v>2459</v>
      </c>
      <c r="F161" s="755" t="s">
        <v>2457</v>
      </c>
      <c r="G161" s="755" t="s">
        <v>1762</v>
      </c>
      <c r="H161" s="755" t="s">
        <v>3645</v>
      </c>
      <c r="I161" s="755" t="s">
        <v>2433</v>
      </c>
      <c r="J161" s="755" t="s">
        <v>3625</v>
      </c>
      <c r="K161" s="755"/>
      <c r="L161" s="761" t="s">
        <v>3628</v>
      </c>
      <c r="M161" s="761" t="s">
        <v>3629</v>
      </c>
      <c r="N161" s="599" t="str">
        <f t="shared" si="3"/>
        <v>genga_kai_event_story_00001_04_start</v>
      </c>
      <c r="O161" s="599" t="str">
        <f t="shared" si="4"/>
        <v>manga_animation_genga_kai_event_story_00001_04_start</v>
      </c>
      <c r="P161" s="753"/>
      <c r="Q161" s="753"/>
      <c r="R161" s="753" t="s">
        <v>3632</v>
      </c>
      <c r="S161" s="754"/>
      <c r="T161" s="754"/>
    </row>
    <row r="162">
      <c r="A162" s="760"/>
      <c r="B162" s="755" t="s">
        <v>2458</v>
      </c>
      <c r="C162" s="756" t="s">
        <v>115</v>
      </c>
      <c r="D162" s="750" t="str">
        <f t="array" ref="D162">iferror(INDEX('作品'!D:D,MATCH(C162,'作品'!A:A,0),0),"")</f>
        <v>怪獣８号</v>
      </c>
      <c r="E162" s="423" t="s">
        <v>2459</v>
      </c>
      <c r="F162" s="755" t="s">
        <v>2457</v>
      </c>
      <c r="G162" s="755" t="s">
        <v>1762</v>
      </c>
      <c r="H162" s="755" t="s">
        <v>3650</v>
      </c>
      <c r="I162" s="755" t="s">
        <v>2433</v>
      </c>
      <c r="J162" s="755" t="s">
        <v>3633</v>
      </c>
      <c r="K162" s="755"/>
      <c r="L162" s="761" t="s">
        <v>3628</v>
      </c>
      <c r="M162" s="761" t="s">
        <v>3634</v>
      </c>
      <c r="N162" s="599" t="str">
        <f t="shared" si="3"/>
        <v>genga_kai_event_story_00001_05_victory</v>
      </c>
      <c r="O162" s="599" t="str">
        <f t="shared" si="4"/>
        <v>manga_animation_genga_kai_event_story_00001_05_victory</v>
      </c>
      <c r="P162" s="753"/>
      <c r="Q162" s="753"/>
      <c r="R162" s="753" t="s">
        <v>3632</v>
      </c>
      <c r="S162" s="754"/>
      <c r="T162" s="754"/>
    </row>
    <row r="163">
      <c r="A163" s="760"/>
      <c r="B163" s="755" t="s">
        <v>2458</v>
      </c>
      <c r="C163" s="756" t="s">
        <v>115</v>
      </c>
      <c r="D163" s="750" t="str">
        <f t="array" ref="D163">iferror(INDEX('作品'!D:D,MATCH(C163,'作品'!A:A,0),0),"")</f>
        <v>怪獣８号</v>
      </c>
      <c r="E163" s="423" t="s">
        <v>2459</v>
      </c>
      <c r="F163" s="755" t="s">
        <v>2457</v>
      </c>
      <c r="G163" s="755" t="s">
        <v>1762</v>
      </c>
      <c r="H163" s="755" t="s">
        <v>3655</v>
      </c>
      <c r="I163" s="755" t="s">
        <v>2433</v>
      </c>
      <c r="J163" s="755" t="s">
        <v>3625</v>
      </c>
      <c r="K163" s="755"/>
      <c r="L163" s="761" t="s">
        <v>3628</v>
      </c>
      <c r="M163" s="761" t="s">
        <v>3629</v>
      </c>
      <c r="N163" s="599" t="str">
        <f t="shared" si="3"/>
        <v>genga_kai_event_story_00001_06_start</v>
      </c>
      <c r="O163" s="599" t="str">
        <f t="shared" si="4"/>
        <v>manga_animation_genga_kai_event_story_00001_06_start</v>
      </c>
      <c r="P163" s="753"/>
      <c r="Q163" s="753"/>
      <c r="R163" s="753" t="s">
        <v>3632</v>
      </c>
      <c r="S163" s="754"/>
      <c r="T163" s="754"/>
    </row>
    <row r="164">
      <c r="A164" s="760"/>
      <c r="B164" s="755" t="s">
        <v>2458</v>
      </c>
      <c r="C164" s="756" t="s">
        <v>115</v>
      </c>
      <c r="D164" s="750" t="str">
        <f t="array" ref="D164">iferror(INDEX('作品'!D:D,MATCH(C164,'作品'!A:A,0),0),"")</f>
        <v>怪獣８号</v>
      </c>
      <c r="E164" s="423" t="s">
        <v>2459</v>
      </c>
      <c r="F164" s="755" t="s">
        <v>2457</v>
      </c>
      <c r="G164" s="755" t="s">
        <v>1762</v>
      </c>
      <c r="H164" s="755" t="s">
        <v>3655</v>
      </c>
      <c r="I164" s="755" t="s">
        <v>2433</v>
      </c>
      <c r="J164" s="755" t="s">
        <v>3633</v>
      </c>
      <c r="K164" s="755"/>
      <c r="L164" s="761" t="s">
        <v>3628</v>
      </c>
      <c r="M164" s="761" t="s">
        <v>3634</v>
      </c>
      <c r="N164" s="599" t="str">
        <f t="shared" si="3"/>
        <v>genga_kai_event_story_00001_06_victory</v>
      </c>
      <c r="O164" s="599" t="str">
        <f t="shared" si="4"/>
        <v>manga_animation_genga_kai_event_story_00001_06_victory</v>
      </c>
      <c r="P164" s="753"/>
      <c r="Q164" s="753"/>
      <c r="R164" s="753" t="s">
        <v>3632</v>
      </c>
      <c r="S164" s="754"/>
      <c r="T164" s="754"/>
    </row>
    <row r="165">
      <c r="A165" s="760"/>
      <c r="B165" s="755" t="s">
        <v>2458</v>
      </c>
      <c r="C165" s="756" t="s">
        <v>115</v>
      </c>
      <c r="D165" s="750" t="str">
        <f t="array" ref="D165">iferror(INDEX('作品'!D:D,MATCH(C165,'作品'!A:A,0),0),"")</f>
        <v>怪獣８号</v>
      </c>
      <c r="E165" s="423" t="s">
        <v>2459</v>
      </c>
      <c r="F165" s="755" t="s">
        <v>2457</v>
      </c>
      <c r="G165" s="755" t="s">
        <v>1762</v>
      </c>
      <c r="H165" s="755" t="s">
        <v>3734</v>
      </c>
      <c r="I165" s="755" t="s">
        <v>2433</v>
      </c>
      <c r="J165" s="755" t="s">
        <v>3633</v>
      </c>
      <c r="K165" s="755"/>
      <c r="L165" s="761" t="s">
        <v>3628</v>
      </c>
      <c r="M165" s="761" t="s">
        <v>3634</v>
      </c>
      <c r="N165" s="599" t="str">
        <f t="shared" si="3"/>
        <v>genga_kai_event_story_00001_07_victory</v>
      </c>
      <c r="O165" s="599" t="str">
        <f t="shared" si="4"/>
        <v>manga_animation_genga_kai_event_story_00001_07_victory</v>
      </c>
      <c r="P165" s="753"/>
      <c r="Q165" s="753"/>
      <c r="R165" s="753" t="s">
        <v>3632</v>
      </c>
      <c r="S165" s="754"/>
      <c r="T165" s="754"/>
    </row>
    <row r="166">
      <c r="A166" s="760"/>
      <c r="B166" s="755" t="s">
        <v>2458</v>
      </c>
      <c r="C166" s="756" t="s">
        <v>115</v>
      </c>
      <c r="D166" s="750" t="str">
        <f t="array" ref="D166">iferror(INDEX('作品'!D:D,MATCH(C166,'作品'!A:A,0),0),"")</f>
        <v>怪獣８号</v>
      </c>
      <c r="E166" s="423" t="s">
        <v>2459</v>
      </c>
      <c r="F166" s="755" t="s">
        <v>2457</v>
      </c>
      <c r="G166" s="755" t="s">
        <v>1762</v>
      </c>
      <c r="H166" s="755" t="s">
        <v>3757</v>
      </c>
      <c r="I166" s="755" t="s">
        <v>2433</v>
      </c>
      <c r="J166" s="755" t="s">
        <v>3625</v>
      </c>
      <c r="K166" s="755"/>
      <c r="L166" s="761" t="s">
        <v>3628</v>
      </c>
      <c r="M166" s="761" t="s">
        <v>3629</v>
      </c>
      <c r="N166" s="599" t="str">
        <f t="shared" si="3"/>
        <v>genga_kai_event_story_00001_08_start</v>
      </c>
      <c r="O166" s="599" t="str">
        <f t="shared" si="4"/>
        <v>manga_animation_genga_kai_event_story_00001_08_start</v>
      </c>
      <c r="P166" s="753"/>
      <c r="Q166" s="753"/>
      <c r="R166" s="753" t="s">
        <v>3632</v>
      </c>
      <c r="S166" s="754"/>
      <c r="T166" s="754"/>
    </row>
    <row r="167">
      <c r="A167" s="760"/>
      <c r="B167" s="755" t="s">
        <v>2458</v>
      </c>
      <c r="C167" s="756" t="s">
        <v>115</v>
      </c>
      <c r="D167" s="750" t="str">
        <f t="array" ref="D167">iferror(INDEX('作品'!D:D,MATCH(C167,'作品'!A:A,0),0),"")</f>
        <v>怪獣８号</v>
      </c>
      <c r="E167" s="423" t="s">
        <v>2459</v>
      </c>
      <c r="F167" s="755" t="s">
        <v>2457</v>
      </c>
      <c r="G167" s="755" t="s">
        <v>1762</v>
      </c>
      <c r="H167" s="755" t="s">
        <v>3757</v>
      </c>
      <c r="I167" s="755" t="s">
        <v>2433</v>
      </c>
      <c r="J167" s="755" t="s">
        <v>3633</v>
      </c>
      <c r="K167" s="755"/>
      <c r="L167" s="761" t="s">
        <v>3628</v>
      </c>
      <c r="M167" s="761" t="s">
        <v>3634</v>
      </c>
      <c r="N167" s="599" t="str">
        <f t="shared" si="3"/>
        <v>genga_kai_event_story_00001_08_victory</v>
      </c>
      <c r="O167" s="599" t="str">
        <f t="shared" si="4"/>
        <v>manga_animation_genga_kai_event_story_00001_08_victory</v>
      </c>
      <c r="P167" s="753"/>
      <c r="Q167" s="753"/>
      <c r="R167" s="753" t="s">
        <v>3632</v>
      </c>
      <c r="S167" s="754"/>
      <c r="T167" s="754"/>
    </row>
    <row r="168">
      <c r="A168" s="760"/>
      <c r="B168" s="755" t="s">
        <v>2458</v>
      </c>
      <c r="C168" s="756" t="s">
        <v>115</v>
      </c>
      <c r="D168" s="750" t="str">
        <f t="array" ref="D168">iferror(INDEX('作品'!D:D,MATCH(C168,'作品'!A:A,0),0),"")</f>
        <v>怪獣８号</v>
      </c>
      <c r="E168" s="423" t="s">
        <v>2459</v>
      </c>
      <c r="F168" s="755" t="s">
        <v>2457</v>
      </c>
      <c r="G168" s="755" t="s">
        <v>3627</v>
      </c>
      <c r="H168" s="755" t="s">
        <v>1762</v>
      </c>
      <c r="I168" s="755" t="s">
        <v>2433</v>
      </c>
      <c r="J168" s="755" t="s">
        <v>3625</v>
      </c>
      <c r="K168" s="755"/>
      <c r="L168" s="761" t="s">
        <v>3628</v>
      </c>
      <c r="M168" s="761" t="s">
        <v>3629</v>
      </c>
      <c r="N168" s="599" t="str">
        <f t="shared" si="3"/>
        <v>genga_kai_event_story_00002_01_start</v>
      </c>
      <c r="O168" s="599" t="str">
        <f t="shared" si="4"/>
        <v>manga_animation_genga_kai_event_story_00002_01_start</v>
      </c>
      <c r="P168" s="753"/>
      <c r="Q168" s="753"/>
      <c r="R168" s="753" t="s">
        <v>3632</v>
      </c>
      <c r="S168" s="754"/>
      <c r="T168" s="754"/>
    </row>
    <row r="169">
      <c r="A169" s="760"/>
      <c r="B169" s="755" t="s">
        <v>2458</v>
      </c>
      <c r="C169" s="756" t="s">
        <v>115</v>
      </c>
      <c r="D169" s="750" t="str">
        <f t="array" ref="D169">iferror(INDEX('作品'!D:D,MATCH(C169,'作品'!A:A,0),0),"")</f>
        <v>怪獣８号</v>
      </c>
      <c r="E169" s="423" t="s">
        <v>2459</v>
      </c>
      <c r="F169" s="755" t="s">
        <v>2457</v>
      </c>
      <c r="G169" s="755" t="s">
        <v>3627</v>
      </c>
      <c r="H169" s="755" t="s">
        <v>1762</v>
      </c>
      <c r="I169" s="755" t="s">
        <v>2433</v>
      </c>
      <c r="J169" s="755" t="s">
        <v>3633</v>
      </c>
      <c r="K169" s="755"/>
      <c r="L169" s="761" t="s">
        <v>3628</v>
      </c>
      <c r="M169" s="761" t="s">
        <v>3634</v>
      </c>
      <c r="N169" s="599" t="str">
        <f t="shared" si="3"/>
        <v>genga_kai_event_story_00002_01_victory</v>
      </c>
      <c r="O169" s="599" t="str">
        <f t="shared" si="4"/>
        <v>manga_animation_genga_kai_event_story_00002_01_victory</v>
      </c>
      <c r="P169" s="753"/>
      <c r="Q169" s="753"/>
      <c r="R169" s="753" t="s">
        <v>3632</v>
      </c>
      <c r="S169" s="754"/>
      <c r="T169" s="754"/>
    </row>
    <row r="170">
      <c r="A170" s="760"/>
      <c r="B170" s="755" t="s">
        <v>2458</v>
      </c>
      <c r="C170" s="756" t="s">
        <v>115</v>
      </c>
      <c r="D170" s="750" t="str">
        <f t="array" ref="D170">iferror(INDEX('作品'!D:D,MATCH(C170,'作品'!A:A,0),0),"")</f>
        <v>怪獣８号</v>
      </c>
      <c r="E170" s="423" t="s">
        <v>2459</v>
      </c>
      <c r="F170" s="755" t="s">
        <v>2457</v>
      </c>
      <c r="G170" s="755" t="s">
        <v>3627</v>
      </c>
      <c r="H170" s="755" t="s">
        <v>3627</v>
      </c>
      <c r="I170" s="755" t="s">
        <v>2433</v>
      </c>
      <c r="J170" s="755" t="s">
        <v>3625</v>
      </c>
      <c r="K170" s="755"/>
      <c r="L170" s="761" t="s">
        <v>3628</v>
      </c>
      <c r="M170" s="761" t="s">
        <v>3629</v>
      </c>
      <c r="N170" s="599" t="str">
        <f t="shared" si="3"/>
        <v>genga_kai_event_story_00002_02_start</v>
      </c>
      <c r="O170" s="599" t="str">
        <f t="shared" si="4"/>
        <v>manga_animation_genga_kai_event_story_00002_02_start</v>
      </c>
      <c r="P170" s="753"/>
      <c r="Q170" s="753"/>
      <c r="R170" s="753" t="s">
        <v>3632</v>
      </c>
      <c r="S170" s="754"/>
      <c r="T170" s="754"/>
    </row>
    <row r="171">
      <c r="A171" s="760"/>
      <c r="B171" s="755" t="s">
        <v>2458</v>
      </c>
      <c r="C171" s="756" t="s">
        <v>115</v>
      </c>
      <c r="D171" s="750" t="str">
        <f t="array" ref="D171">iferror(INDEX('作品'!D:D,MATCH(C171,'作品'!A:A,0),0),"")</f>
        <v>怪獣８号</v>
      </c>
      <c r="E171" s="423" t="s">
        <v>2459</v>
      </c>
      <c r="F171" s="755" t="s">
        <v>2457</v>
      </c>
      <c r="G171" s="755" t="s">
        <v>3627</v>
      </c>
      <c r="H171" s="755" t="s">
        <v>3627</v>
      </c>
      <c r="I171" s="755" t="s">
        <v>2433</v>
      </c>
      <c r="J171" s="755" t="s">
        <v>3633</v>
      </c>
      <c r="K171" s="755"/>
      <c r="L171" s="761" t="s">
        <v>3628</v>
      </c>
      <c r="M171" s="761" t="s">
        <v>3634</v>
      </c>
      <c r="N171" s="599" t="str">
        <f t="shared" si="3"/>
        <v>genga_kai_event_story_00002_02_victory</v>
      </c>
      <c r="O171" s="599" t="str">
        <f t="shared" si="4"/>
        <v>manga_animation_genga_kai_event_story_00002_02_victory</v>
      </c>
      <c r="P171" s="753"/>
      <c r="Q171" s="753"/>
      <c r="R171" s="753" t="s">
        <v>3632</v>
      </c>
      <c r="S171" s="754"/>
      <c r="T171" s="754"/>
    </row>
    <row r="172">
      <c r="A172" s="760"/>
      <c r="B172" s="755" t="s">
        <v>2458</v>
      </c>
      <c r="C172" s="756" t="s">
        <v>115</v>
      </c>
      <c r="D172" s="750" t="str">
        <f t="array" ref="D172">iferror(INDEX('作品'!D:D,MATCH(C172,'作品'!A:A,0),0),"")</f>
        <v>怪獣８号</v>
      </c>
      <c r="E172" s="423" t="s">
        <v>2459</v>
      </c>
      <c r="F172" s="755" t="s">
        <v>2457</v>
      </c>
      <c r="G172" s="755" t="s">
        <v>3627</v>
      </c>
      <c r="H172" s="755" t="s">
        <v>1588</v>
      </c>
      <c r="I172" s="755" t="s">
        <v>2433</v>
      </c>
      <c r="J172" s="755" t="s">
        <v>3625</v>
      </c>
      <c r="K172" s="755"/>
      <c r="L172" s="761" t="s">
        <v>3628</v>
      </c>
      <c r="M172" s="761" t="s">
        <v>3629</v>
      </c>
      <c r="N172" s="599" t="str">
        <f t="shared" si="3"/>
        <v>genga_kai_event_story_00002_03_start</v>
      </c>
      <c r="O172" s="599" t="str">
        <f t="shared" si="4"/>
        <v>manga_animation_genga_kai_event_story_00002_03_start</v>
      </c>
      <c r="P172" s="753"/>
      <c r="Q172" s="753"/>
      <c r="R172" s="753" t="s">
        <v>3632</v>
      </c>
      <c r="S172" s="754"/>
      <c r="T172" s="754"/>
    </row>
    <row r="173">
      <c r="A173" s="760"/>
      <c r="B173" s="755" t="s">
        <v>2458</v>
      </c>
      <c r="C173" s="756" t="s">
        <v>115</v>
      </c>
      <c r="D173" s="750" t="str">
        <f t="array" ref="D173">iferror(INDEX('作品'!D:D,MATCH(C173,'作品'!A:A,0),0),"")</f>
        <v>怪獣８号</v>
      </c>
      <c r="E173" s="423" t="s">
        <v>2459</v>
      </c>
      <c r="F173" s="755" t="s">
        <v>2457</v>
      </c>
      <c r="G173" s="755" t="s">
        <v>3627</v>
      </c>
      <c r="H173" s="755" t="s">
        <v>1588</v>
      </c>
      <c r="I173" s="755" t="s">
        <v>2433</v>
      </c>
      <c r="J173" s="755" t="s">
        <v>3633</v>
      </c>
      <c r="K173" s="755"/>
      <c r="L173" s="761" t="s">
        <v>3628</v>
      </c>
      <c r="M173" s="761" t="s">
        <v>3634</v>
      </c>
      <c r="N173" s="599" t="str">
        <f t="shared" si="3"/>
        <v>genga_kai_event_story_00002_03_victory</v>
      </c>
      <c r="O173" s="599" t="str">
        <f t="shared" si="4"/>
        <v>manga_animation_genga_kai_event_story_00002_03_victory</v>
      </c>
      <c r="P173" s="753"/>
      <c r="Q173" s="753"/>
      <c r="R173" s="753" t="s">
        <v>3632</v>
      </c>
      <c r="S173" s="754"/>
      <c r="T173" s="754"/>
    </row>
    <row r="174">
      <c r="A174" s="760"/>
      <c r="B174" s="755" t="s">
        <v>2458</v>
      </c>
      <c r="C174" s="756" t="s">
        <v>115</v>
      </c>
      <c r="D174" s="750" t="str">
        <f t="array" ref="D174">iferror(INDEX('作品'!D:D,MATCH(C174,'作品'!A:A,0),0),"")</f>
        <v>怪獣８号</v>
      </c>
      <c r="E174" s="423" t="s">
        <v>2459</v>
      </c>
      <c r="F174" s="755" t="s">
        <v>2457</v>
      </c>
      <c r="G174" s="755" t="s">
        <v>3627</v>
      </c>
      <c r="H174" s="755" t="s">
        <v>3645</v>
      </c>
      <c r="I174" s="755" t="s">
        <v>2433</v>
      </c>
      <c r="J174" s="755" t="s">
        <v>3625</v>
      </c>
      <c r="K174" s="755"/>
      <c r="L174" s="761" t="s">
        <v>3628</v>
      </c>
      <c r="M174" s="761" t="s">
        <v>3629</v>
      </c>
      <c r="N174" s="599" t="str">
        <f t="shared" si="3"/>
        <v>genga_kai_event_story_00002_04_start</v>
      </c>
      <c r="O174" s="599" t="str">
        <f t="shared" si="4"/>
        <v>manga_animation_genga_kai_event_story_00002_04_start</v>
      </c>
      <c r="P174" s="753"/>
      <c r="Q174" s="753"/>
      <c r="R174" s="753" t="s">
        <v>3632</v>
      </c>
      <c r="S174" s="754"/>
      <c r="T174" s="754"/>
    </row>
    <row r="175">
      <c r="A175" s="760"/>
      <c r="B175" s="755" t="s">
        <v>2458</v>
      </c>
      <c r="C175" s="756" t="s">
        <v>115</v>
      </c>
      <c r="D175" s="750" t="str">
        <f t="array" ref="D175">iferror(INDEX('作品'!D:D,MATCH(C175,'作品'!A:A,0),0),"")</f>
        <v>怪獣８号</v>
      </c>
      <c r="E175" s="423" t="s">
        <v>2459</v>
      </c>
      <c r="F175" s="755" t="s">
        <v>2457</v>
      </c>
      <c r="G175" s="755" t="s">
        <v>3627</v>
      </c>
      <c r="H175" s="755" t="s">
        <v>3645</v>
      </c>
      <c r="I175" s="755" t="s">
        <v>2433</v>
      </c>
      <c r="J175" s="755" t="s">
        <v>3633</v>
      </c>
      <c r="K175" s="755"/>
      <c r="L175" s="761" t="s">
        <v>3628</v>
      </c>
      <c r="M175" s="761" t="s">
        <v>3634</v>
      </c>
      <c r="N175" s="599" t="str">
        <f t="shared" si="3"/>
        <v>genga_kai_event_story_00002_04_victory</v>
      </c>
      <c r="O175" s="599" t="str">
        <f t="shared" si="4"/>
        <v>manga_animation_genga_kai_event_story_00002_04_victory</v>
      </c>
      <c r="P175" s="753"/>
      <c r="Q175" s="753"/>
      <c r="R175" s="753" t="s">
        <v>3632</v>
      </c>
      <c r="S175" s="754"/>
      <c r="T175" s="754"/>
    </row>
    <row r="176">
      <c r="A176" s="760"/>
      <c r="B176" s="755" t="s">
        <v>2458</v>
      </c>
      <c r="C176" s="756" t="s">
        <v>115</v>
      </c>
      <c r="D176" s="750" t="str">
        <f t="array" ref="D176">iferror(INDEX('作品'!D:D,MATCH(C176,'作品'!A:A,0),0),"")</f>
        <v>怪獣８号</v>
      </c>
      <c r="E176" s="423" t="s">
        <v>2459</v>
      </c>
      <c r="F176" s="755" t="s">
        <v>2457</v>
      </c>
      <c r="G176" s="755" t="s">
        <v>3627</v>
      </c>
      <c r="H176" s="755" t="s">
        <v>3650</v>
      </c>
      <c r="I176" s="755" t="s">
        <v>2433</v>
      </c>
      <c r="J176" s="755" t="s">
        <v>3625</v>
      </c>
      <c r="K176" s="755"/>
      <c r="L176" s="761" t="s">
        <v>3628</v>
      </c>
      <c r="M176" s="761" t="s">
        <v>3629</v>
      </c>
      <c r="N176" s="599" t="str">
        <f t="shared" si="3"/>
        <v>genga_kai_event_story_00002_05_start</v>
      </c>
      <c r="O176" s="599" t="str">
        <f t="shared" si="4"/>
        <v>manga_animation_genga_kai_event_story_00002_05_start</v>
      </c>
      <c r="P176" s="753"/>
      <c r="Q176" s="753"/>
      <c r="R176" s="753" t="s">
        <v>3632</v>
      </c>
      <c r="S176" s="754"/>
      <c r="T176" s="754"/>
    </row>
    <row r="177">
      <c r="A177" s="760"/>
      <c r="B177" s="755" t="s">
        <v>2458</v>
      </c>
      <c r="C177" s="756" t="s">
        <v>115</v>
      </c>
      <c r="D177" s="750" t="str">
        <f t="array" ref="D177">iferror(INDEX('作品'!D:D,MATCH(C177,'作品'!A:A,0),0),"")</f>
        <v>怪獣８号</v>
      </c>
      <c r="E177" s="423" t="s">
        <v>2459</v>
      </c>
      <c r="F177" s="755" t="s">
        <v>2457</v>
      </c>
      <c r="G177" s="755" t="s">
        <v>3627</v>
      </c>
      <c r="H177" s="755" t="s">
        <v>3650</v>
      </c>
      <c r="I177" s="755" t="s">
        <v>2433</v>
      </c>
      <c r="J177" s="755" t="s">
        <v>3633</v>
      </c>
      <c r="K177" s="755"/>
      <c r="L177" s="761" t="s">
        <v>3628</v>
      </c>
      <c r="M177" s="761" t="s">
        <v>3634</v>
      </c>
      <c r="N177" s="599" t="str">
        <f t="shared" si="3"/>
        <v>genga_kai_event_story_00002_05_victory</v>
      </c>
      <c r="O177" s="599" t="str">
        <f t="shared" si="4"/>
        <v>manga_animation_genga_kai_event_story_00002_05_victory</v>
      </c>
      <c r="P177" s="753"/>
      <c r="Q177" s="753"/>
      <c r="R177" s="753" t="s">
        <v>3632</v>
      </c>
      <c r="S177" s="754"/>
      <c r="T177" s="754"/>
    </row>
    <row r="178">
      <c r="A178" s="760"/>
      <c r="B178" s="755" t="s">
        <v>2458</v>
      </c>
      <c r="C178" s="756" t="s">
        <v>115</v>
      </c>
      <c r="D178" s="750" t="str">
        <f t="array" ref="D178">iferror(INDEX('作品'!D:D,MATCH(C178,'作品'!A:A,0),0),"")</f>
        <v>怪獣８号</v>
      </c>
      <c r="E178" s="423" t="s">
        <v>2459</v>
      </c>
      <c r="F178" s="755" t="s">
        <v>2457</v>
      </c>
      <c r="G178" s="755" t="s">
        <v>3627</v>
      </c>
      <c r="H178" s="755" t="s">
        <v>3655</v>
      </c>
      <c r="I178" s="755" t="s">
        <v>2433</v>
      </c>
      <c r="J178" s="755" t="s">
        <v>3625</v>
      </c>
      <c r="K178" s="755"/>
      <c r="L178" s="761" t="s">
        <v>3628</v>
      </c>
      <c r="M178" s="761" t="s">
        <v>3629</v>
      </c>
      <c r="N178" s="599" t="str">
        <f t="shared" si="3"/>
        <v>genga_kai_event_story_00002_06_start</v>
      </c>
      <c r="O178" s="599" t="str">
        <f t="shared" si="4"/>
        <v>manga_animation_genga_kai_event_story_00002_06_start</v>
      </c>
      <c r="P178" s="753"/>
      <c r="Q178" s="753"/>
      <c r="R178" s="753" t="s">
        <v>3632</v>
      </c>
      <c r="S178" s="754"/>
      <c r="T178" s="754"/>
    </row>
    <row r="179">
      <c r="A179" s="760"/>
      <c r="B179" s="755" t="s">
        <v>2458</v>
      </c>
      <c r="C179" s="756" t="s">
        <v>115</v>
      </c>
      <c r="D179" s="750" t="str">
        <f t="array" ref="D179">iferror(INDEX('作品'!D:D,MATCH(C179,'作品'!A:A,0),0),"")</f>
        <v>怪獣８号</v>
      </c>
      <c r="E179" s="423" t="s">
        <v>2459</v>
      </c>
      <c r="F179" s="755" t="s">
        <v>2457</v>
      </c>
      <c r="G179" s="755" t="s">
        <v>3627</v>
      </c>
      <c r="H179" s="755" t="s">
        <v>3734</v>
      </c>
      <c r="I179" s="755" t="s">
        <v>2433</v>
      </c>
      <c r="J179" s="755" t="s">
        <v>3625</v>
      </c>
      <c r="K179" s="755"/>
      <c r="L179" s="761" t="s">
        <v>3628</v>
      </c>
      <c r="M179" s="761" t="s">
        <v>3629</v>
      </c>
      <c r="N179" s="599" t="str">
        <f t="shared" si="3"/>
        <v>genga_kai_event_story_00002_07_start</v>
      </c>
      <c r="O179" s="599" t="str">
        <f t="shared" si="4"/>
        <v>manga_animation_genga_kai_event_story_00002_07_start</v>
      </c>
      <c r="P179" s="753"/>
      <c r="Q179" s="753"/>
      <c r="R179" s="753" t="s">
        <v>3632</v>
      </c>
      <c r="S179" s="754"/>
      <c r="T179" s="754"/>
    </row>
    <row r="180">
      <c r="A180" s="760"/>
      <c r="B180" s="755" t="s">
        <v>2458</v>
      </c>
      <c r="C180" s="756" t="s">
        <v>115</v>
      </c>
      <c r="D180" s="750" t="str">
        <f t="array" ref="D180">iferror(INDEX('作品'!D:D,MATCH(C180,'作品'!A:A,0),0),"")</f>
        <v>怪獣８号</v>
      </c>
      <c r="E180" s="423" t="s">
        <v>2459</v>
      </c>
      <c r="F180" s="755" t="s">
        <v>2457</v>
      </c>
      <c r="G180" s="755" t="s">
        <v>3627</v>
      </c>
      <c r="H180" s="755" t="s">
        <v>3734</v>
      </c>
      <c r="I180" s="755" t="s">
        <v>2433</v>
      </c>
      <c r="J180" s="755" t="s">
        <v>3633</v>
      </c>
      <c r="K180" s="755"/>
      <c r="L180" s="761" t="s">
        <v>3628</v>
      </c>
      <c r="M180" s="761" t="s">
        <v>3634</v>
      </c>
      <c r="N180" s="599" t="str">
        <f t="shared" si="3"/>
        <v>genga_kai_event_story_00002_07_victory</v>
      </c>
      <c r="O180" s="599" t="str">
        <f t="shared" si="4"/>
        <v>manga_animation_genga_kai_event_story_00002_07_victory</v>
      </c>
      <c r="P180" s="753"/>
      <c r="Q180" s="753"/>
      <c r="R180" s="753" t="s">
        <v>3632</v>
      </c>
      <c r="S180" s="754"/>
      <c r="T180" s="754"/>
    </row>
    <row r="181">
      <c r="A181" s="760"/>
      <c r="B181" s="755" t="s">
        <v>2458</v>
      </c>
      <c r="C181" s="756" t="s">
        <v>115</v>
      </c>
      <c r="D181" s="750" t="str">
        <f t="array" ref="D181">iferror(INDEX('作品'!D:D,MATCH(C181,'作品'!A:A,0),0),"")</f>
        <v>怪獣８号</v>
      </c>
      <c r="E181" s="423" t="s">
        <v>2459</v>
      </c>
      <c r="F181" s="755" t="s">
        <v>2457</v>
      </c>
      <c r="G181" s="755" t="s">
        <v>3627</v>
      </c>
      <c r="H181" s="755" t="s">
        <v>3757</v>
      </c>
      <c r="I181" s="755" t="s">
        <v>2433</v>
      </c>
      <c r="J181" s="755" t="s">
        <v>3625</v>
      </c>
      <c r="K181" s="755"/>
      <c r="L181" s="761" t="s">
        <v>3628</v>
      </c>
      <c r="M181" s="761" t="s">
        <v>3629</v>
      </c>
      <c r="N181" s="599" t="str">
        <f t="shared" si="3"/>
        <v>genga_kai_event_story_00002_08_start</v>
      </c>
      <c r="O181" s="599" t="str">
        <f t="shared" si="4"/>
        <v>manga_animation_genga_kai_event_story_00002_08_start</v>
      </c>
      <c r="P181" s="753"/>
      <c r="Q181" s="753"/>
      <c r="R181" s="753" t="s">
        <v>3632</v>
      </c>
      <c r="S181" s="754"/>
      <c r="T181" s="754"/>
    </row>
    <row r="182">
      <c r="A182" s="760"/>
      <c r="B182" s="755" t="s">
        <v>2458</v>
      </c>
      <c r="C182" s="756" t="s">
        <v>115</v>
      </c>
      <c r="D182" s="750" t="str">
        <f t="array" ref="D182">iferror(INDEX('作品'!D:D,MATCH(C182,'作品'!A:A,0),0),"")</f>
        <v>怪獣８号</v>
      </c>
      <c r="E182" s="423" t="s">
        <v>2459</v>
      </c>
      <c r="F182" s="755" t="s">
        <v>2457</v>
      </c>
      <c r="G182" s="755" t="s">
        <v>3627</v>
      </c>
      <c r="H182" s="755" t="s">
        <v>3757</v>
      </c>
      <c r="I182" s="755" t="s">
        <v>2433</v>
      </c>
      <c r="J182" s="755" t="s">
        <v>3633</v>
      </c>
      <c r="K182" s="755"/>
      <c r="L182" s="761" t="s">
        <v>3628</v>
      </c>
      <c r="M182" s="761" t="s">
        <v>3634</v>
      </c>
      <c r="N182" s="599" t="str">
        <f t="shared" si="3"/>
        <v>genga_kai_event_story_00002_08_victory</v>
      </c>
      <c r="O182" s="599" t="str">
        <f t="shared" si="4"/>
        <v>manga_animation_genga_kai_event_story_00002_08_victory</v>
      </c>
      <c r="P182" s="753"/>
      <c r="Q182" s="753"/>
      <c r="R182" s="753" t="s">
        <v>3632</v>
      </c>
      <c r="S182" s="754"/>
      <c r="T182" s="754"/>
    </row>
    <row r="183">
      <c r="A183" s="760"/>
      <c r="B183" s="755" t="s">
        <v>2458</v>
      </c>
      <c r="C183" s="756" t="s">
        <v>115</v>
      </c>
      <c r="D183" s="750" t="str">
        <f t="array" ref="D183">iferror(INDEX('作品'!D:D,MATCH(C183,'作品'!A:A,0),0),"")</f>
        <v>怪獣８号</v>
      </c>
      <c r="E183" s="423" t="s">
        <v>2459</v>
      </c>
      <c r="F183" s="755" t="s">
        <v>2462</v>
      </c>
      <c r="G183" s="755" t="s">
        <v>1762</v>
      </c>
      <c r="H183" s="755" t="s">
        <v>1588</v>
      </c>
      <c r="I183" s="755" t="s">
        <v>2433</v>
      </c>
      <c r="J183" s="755" t="s">
        <v>3625</v>
      </c>
      <c r="K183" s="755"/>
      <c r="L183" s="761" t="s">
        <v>3628</v>
      </c>
      <c r="M183" s="761" t="s">
        <v>3629</v>
      </c>
      <c r="N183" s="599" t="str">
        <f t="shared" si="3"/>
        <v>genga_kai_event_challenge_00001_03_start</v>
      </c>
      <c r="O183" s="599" t="str">
        <f t="shared" si="4"/>
        <v>manga_animation_genga_kai_event_challenge_00001_03_start</v>
      </c>
      <c r="P183" s="753"/>
      <c r="Q183" s="753"/>
      <c r="R183" s="753" t="s">
        <v>3632</v>
      </c>
      <c r="S183" s="754"/>
      <c r="T183" s="754"/>
    </row>
    <row r="184">
      <c r="A184" s="760"/>
      <c r="B184" s="755" t="s">
        <v>2458</v>
      </c>
      <c r="C184" s="756" t="s">
        <v>115</v>
      </c>
      <c r="D184" s="750" t="str">
        <f t="array" ref="D184">iferror(INDEX('作品'!D:D,MATCH(C184,'作品'!A:A,0),0),"")</f>
        <v>怪獣８号</v>
      </c>
      <c r="E184" s="423" t="s">
        <v>2459</v>
      </c>
      <c r="F184" s="755" t="s">
        <v>2462</v>
      </c>
      <c r="G184" s="755" t="s">
        <v>1762</v>
      </c>
      <c r="H184" s="755" t="s">
        <v>3645</v>
      </c>
      <c r="I184" s="755" t="s">
        <v>2433</v>
      </c>
      <c r="J184" s="755" t="s">
        <v>3625</v>
      </c>
      <c r="K184" s="755"/>
      <c r="L184" s="761" t="s">
        <v>3628</v>
      </c>
      <c r="M184" s="761" t="s">
        <v>3629</v>
      </c>
      <c r="N184" s="599" t="str">
        <f t="shared" si="3"/>
        <v>genga_kai_event_challenge_00001_04_start</v>
      </c>
      <c r="O184" s="599" t="str">
        <f t="shared" si="4"/>
        <v>manga_animation_genga_kai_event_challenge_00001_04_start</v>
      </c>
      <c r="P184" s="753"/>
      <c r="Q184" s="753"/>
      <c r="R184" s="753" t="s">
        <v>3632</v>
      </c>
      <c r="S184" s="754"/>
      <c r="T184" s="754"/>
    </row>
    <row r="185">
      <c r="A185" s="760"/>
      <c r="B185" s="755" t="s">
        <v>2458</v>
      </c>
      <c r="C185" s="756" t="s">
        <v>115</v>
      </c>
      <c r="D185" s="750" t="str">
        <f t="array" ref="D185">iferror(INDEX('作品'!D:D,MATCH(C185,'作品'!A:A,0),0),"")</f>
        <v>怪獣８号</v>
      </c>
      <c r="E185" s="423" t="s">
        <v>2459</v>
      </c>
      <c r="F185" s="755" t="s">
        <v>2464</v>
      </c>
      <c r="G185" s="755" t="s">
        <v>1762</v>
      </c>
      <c r="H185" s="755" t="s">
        <v>1762</v>
      </c>
      <c r="I185" s="755" t="s">
        <v>2433</v>
      </c>
      <c r="J185" s="755" t="s">
        <v>3625</v>
      </c>
      <c r="K185" s="755"/>
      <c r="L185" s="761" t="s">
        <v>3628</v>
      </c>
      <c r="M185" s="761" t="s">
        <v>3629</v>
      </c>
      <c r="N185" s="599" t="str">
        <f t="shared" si="3"/>
        <v>genga_kai_event_savage_00001_01_start</v>
      </c>
      <c r="O185" s="599" t="str">
        <f t="shared" si="4"/>
        <v>manga_animation_genga_kai_event_savage_00001_01_start</v>
      </c>
      <c r="P185" s="753"/>
      <c r="Q185" s="753"/>
      <c r="R185" s="753" t="s">
        <v>3632</v>
      </c>
      <c r="S185" s="754"/>
      <c r="T185" s="754"/>
    </row>
    <row r="186">
      <c r="A186" s="760"/>
      <c r="B186" s="755" t="s">
        <v>2458</v>
      </c>
      <c r="C186" s="756" t="s">
        <v>115</v>
      </c>
      <c r="D186" s="750" t="str">
        <f t="array" ref="D186">iferror(INDEX('作品'!D:D,MATCH(C186,'作品'!A:A,0),0),"")</f>
        <v>怪獣８号</v>
      </c>
      <c r="E186" s="423" t="s">
        <v>2459</v>
      </c>
      <c r="F186" s="755" t="s">
        <v>2464</v>
      </c>
      <c r="G186" s="755" t="s">
        <v>1762</v>
      </c>
      <c r="H186" s="755" t="s">
        <v>3627</v>
      </c>
      <c r="I186" s="755" t="s">
        <v>2433</v>
      </c>
      <c r="J186" s="755" t="s">
        <v>3625</v>
      </c>
      <c r="K186" s="755"/>
      <c r="L186" s="761" t="s">
        <v>3628</v>
      </c>
      <c r="M186" s="761" t="s">
        <v>3629</v>
      </c>
      <c r="N186" s="599" t="str">
        <f t="shared" si="3"/>
        <v>genga_kai_event_savage_00001_02_start</v>
      </c>
      <c r="O186" s="599" t="str">
        <f t="shared" si="4"/>
        <v>manga_animation_genga_kai_event_savage_00001_02_start</v>
      </c>
      <c r="P186" s="753"/>
      <c r="Q186" s="753"/>
      <c r="R186" s="753" t="s">
        <v>3632</v>
      </c>
      <c r="S186" s="754"/>
      <c r="T186" s="754"/>
    </row>
    <row r="187">
      <c r="A187" s="762"/>
      <c r="B187" s="755" t="s">
        <v>2458</v>
      </c>
      <c r="C187" s="756" t="s">
        <v>115</v>
      </c>
      <c r="D187" s="750" t="str">
        <f t="array" ref="D187">iferror(INDEX('作品'!D:D,MATCH(C187,'作品'!A:A,0),0),"")</f>
        <v>怪獣８号</v>
      </c>
      <c r="E187" s="423" t="s">
        <v>2459</v>
      </c>
      <c r="F187" s="755" t="s">
        <v>2449</v>
      </c>
      <c r="G187" s="755" t="s">
        <v>1762</v>
      </c>
      <c r="H187" s="755" t="s">
        <v>1762</v>
      </c>
      <c r="I187" s="755" t="s">
        <v>2433</v>
      </c>
      <c r="J187" s="755" t="s">
        <v>3625</v>
      </c>
      <c r="K187" s="755"/>
      <c r="L187" s="761" t="s">
        <v>3628</v>
      </c>
      <c r="M187" s="761" t="s">
        <v>3629</v>
      </c>
      <c r="N187" s="599" t="str">
        <f t="shared" si="3"/>
        <v>genga_kai_event_1day_00001_01_start</v>
      </c>
      <c r="O187" s="599" t="str">
        <f t="shared" si="4"/>
        <v>manga_animation_genga_kai_event_1day_00001_01_start</v>
      </c>
      <c r="P187" s="753"/>
      <c r="Q187" s="753"/>
      <c r="R187" s="753" t="s">
        <v>3632</v>
      </c>
      <c r="S187" s="754"/>
      <c r="T187" s="754"/>
    </row>
    <row r="188">
      <c r="A188" s="762" t="s">
        <v>3624</v>
      </c>
      <c r="B188" s="755" t="s">
        <v>2458</v>
      </c>
      <c r="C188" s="756" t="s">
        <v>60</v>
      </c>
      <c r="D188" s="750" t="str">
        <f t="array" ref="D188">iferror(INDEX('作品'!D:D,MATCH(C188,'作品'!A:A,0),0),"")</f>
        <v>SPY×FAMILY</v>
      </c>
      <c r="E188" s="423" t="s">
        <v>2459</v>
      </c>
      <c r="F188" s="755" t="s">
        <v>2457</v>
      </c>
      <c r="G188" s="755" t="s">
        <v>1762</v>
      </c>
      <c r="H188" s="755" t="s">
        <v>1762</v>
      </c>
      <c r="I188" s="755" t="s">
        <v>2433</v>
      </c>
      <c r="J188" s="755" t="s">
        <v>3625</v>
      </c>
      <c r="K188" s="755"/>
      <c r="L188" s="761" t="s">
        <v>3628</v>
      </c>
      <c r="M188" s="761" t="s">
        <v>3629</v>
      </c>
      <c r="N188" s="599" t="str">
        <f t="shared" si="3"/>
        <v>genga_spy_event_story_00001_01_start</v>
      </c>
      <c r="O188" s="599" t="str">
        <f t="shared" si="4"/>
        <v>manga_animation_genga_spy_event_story_00001_01_start</v>
      </c>
      <c r="P188" s="753"/>
      <c r="Q188" s="753"/>
      <c r="R188" s="753" t="s">
        <v>3632</v>
      </c>
      <c r="S188" s="754"/>
      <c r="T188" s="754"/>
    </row>
    <row r="189">
      <c r="A189" s="762" t="s">
        <v>3624</v>
      </c>
      <c r="B189" s="755" t="s">
        <v>2458</v>
      </c>
      <c r="C189" s="756" t="s">
        <v>60</v>
      </c>
      <c r="D189" s="750" t="str">
        <f t="array" ref="D189">iferror(INDEX('作品'!D:D,MATCH(C189,'作品'!A:A,0),0),"")</f>
        <v>SPY×FAMILY</v>
      </c>
      <c r="E189" s="423" t="s">
        <v>2459</v>
      </c>
      <c r="F189" s="755" t="s">
        <v>2457</v>
      </c>
      <c r="G189" s="755" t="s">
        <v>1762</v>
      </c>
      <c r="H189" s="755" t="s">
        <v>1762</v>
      </c>
      <c r="I189" s="755" t="s">
        <v>2433</v>
      </c>
      <c r="J189" s="755" t="s">
        <v>3633</v>
      </c>
      <c r="K189" s="755"/>
      <c r="L189" s="761" t="s">
        <v>3628</v>
      </c>
      <c r="M189" s="761" t="s">
        <v>3634</v>
      </c>
      <c r="N189" s="599" t="str">
        <f t="shared" si="3"/>
        <v>genga_spy_event_story_00001_01_victory</v>
      </c>
      <c r="O189" s="599" t="str">
        <f t="shared" si="4"/>
        <v>manga_animation_genga_spy_event_story_00001_01_victory</v>
      </c>
      <c r="P189" s="753"/>
      <c r="Q189" s="753"/>
      <c r="R189" s="753" t="s">
        <v>3632</v>
      </c>
      <c r="S189" s="754"/>
      <c r="T189" s="754"/>
    </row>
    <row r="190">
      <c r="A190" s="762" t="s">
        <v>3624</v>
      </c>
      <c r="B190" s="755" t="s">
        <v>2458</v>
      </c>
      <c r="C190" s="756" t="s">
        <v>60</v>
      </c>
      <c r="D190" s="750" t="str">
        <f t="array" ref="D190">iferror(INDEX('作品'!D:D,MATCH(C190,'作品'!A:A,0),0),"")</f>
        <v>SPY×FAMILY</v>
      </c>
      <c r="E190" s="423" t="s">
        <v>2459</v>
      </c>
      <c r="F190" s="755" t="s">
        <v>2457</v>
      </c>
      <c r="G190" s="755" t="s">
        <v>1762</v>
      </c>
      <c r="H190" s="755" t="s">
        <v>3627</v>
      </c>
      <c r="I190" s="755" t="s">
        <v>2433</v>
      </c>
      <c r="J190" s="755" t="s">
        <v>3625</v>
      </c>
      <c r="K190" s="755"/>
      <c r="L190" s="761" t="s">
        <v>3628</v>
      </c>
      <c r="M190" s="761" t="s">
        <v>3629</v>
      </c>
      <c r="N190" s="599" t="str">
        <f t="shared" si="3"/>
        <v>genga_spy_event_story_00001_02_start</v>
      </c>
      <c r="O190" s="599" t="str">
        <f t="shared" si="4"/>
        <v>manga_animation_genga_spy_event_story_00001_02_start</v>
      </c>
      <c r="P190" s="753"/>
      <c r="Q190" s="753"/>
      <c r="R190" s="753" t="s">
        <v>3632</v>
      </c>
      <c r="S190" s="754"/>
      <c r="T190" s="754"/>
    </row>
    <row r="191">
      <c r="A191" s="762" t="s">
        <v>3624</v>
      </c>
      <c r="B191" s="755" t="s">
        <v>2458</v>
      </c>
      <c r="C191" s="756" t="s">
        <v>60</v>
      </c>
      <c r="D191" s="750" t="str">
        <f t="array" ref="D191">iferror(INDEX('作品'!D:D,MATCH(C191,'作品'!A:A,0),0),"")</f>
        <v>SPY×FAMILY</v>
      </c>
      <c r="E191" s="423" t="s">
        <v>2459</v>
      </c>
      <c r="F191" s="755" t="s">
        <v>2457</v>
      </c>
      <c r="G191" s="755" t="s">
        <v>1762</v>
      </c>
      <c r="H191" s="755" t="s">
        <v>3627</v>
      </c>
      <c r="I191" s="755" t="s">
        <v>2433</v>
      </c>
      <c r="J191" s="755" t="s">
        <v>3633</v>
      </c>
      <c r="K191" s="755"/>
      <c r="L191" s="761" t="s">
        <v>3628</v>
      </c>
      <c r="M191" s="761" t="s">
        <v>3634</v>
      </c>
      <c r="N191" s="599" t="str">
        <f t="shared" si="3"/>
        <v>genga_spy_event_story_00001_02_victory</v>
      </c>
      <c r="O191" s="599" t="str">
        <f t="shared" si="4"/>
        <v>manga_animation_genga_spy_event_story_00001_02_victory</v>
      </c>
      <c r="P191" s="753"/>
      <c r="Q191" s="753"/>
      <c r="R191" s="753" t="s">
        <v>3632</v>
      </c>
      <c r="S191" s="754"/>
      <c r="T191" s="754"/>
    </row>
    <row r="192">
      <c r="A192" s="762" t="s">
        <v>3624</v>
      </c>
      <c r="B192" s="755" t="s">
        <v>2458</v>
      </c>
      <c r="C192" s="756" t="s">
        <v>60</v>
      </c>
      <c r="D192" s="750" t="str">
        <f t="array" ref="D192">iferror(INDEX('作品'!D:D,MATCH(C192,'作品'!A:A,0),0),"")</f>
        <v>SPY×FAMILY</v>
      </c>
      <c r="E192" s="423" t="s">
        <v>2459</v>
      </c>
      <c r="F192" s="755" t="s">
        <v>2457</v>
      </c>
      <c r="G192" s="755" t="s">
        <v>1762</v>
      </c>
      <c r="H192" s="755" t="s">
        <v>1588</v>
      </c>
      <c r="I192" s="755" t="s">
        <v>2433</v>
      </c>
      <c r="J192" s="755" t="s">
        <v>3625</v>
      </c>
      <c r="K192" s="755"/>
      <c r="L192" s="761" t="s">
        <v>3628</v>
      </c>
      <c r="M192" s="761" t="s">
        <v>3629</v>
      </c>
      <c r="N192" s="599" t="str">
        <f t="shared" si="3"/>
        <v>genga_spy_event_story_00001_03_start</v>
      </c>
      <c r="O192" s="599" t="str">
        <f t="shared" si="4"/>
        <v>manga_animation_genga_spy_event_story_00001_03_start</v>
      </c>
      <c r="P192" s="753"/>
      <c r="Q192" s="753"/>
      <c r="R192" s="753" t="s">
        <v>3632</v>
      </c>
      <c r="S192" s="754"/>
      <c r="T192" s="754"/>
    </row>
    <row r="193">
      <c r="A193" s="762" t="s">
        <v>3624</v>
      </c>
      <c r="B193" s="755" t="s">
        <v>2458</v>
      </c>
      <c r="C193" s="756" t="s">
        <v>60</v>
      </c>
      <c r="D193" s="750" t="str">
        <f t="array" ref="D193">iferror(INDEX('作品'!D:D,MATCH(C193,'作品'!A:A,0),0),"")</f>
        <v>SPY×FAMILY</v>
      </c>
      <c r="E193" s="423" t="s">
        <v>2459</v>
      </c>
      <c r="F193" s="755" t="s">
        <v>2457</v>
      </c>
      <c r="G193" s="755" t="s">
        <v>1762</v>
      </c>
      <c r="H193" s="755" t="s">
        <v>1588</v>
      </c>
      <c r="I193" s="755" t="s">
        <v>2433</v>
      </c>
      <c r="J193" s="755" t="s">
        <v>3633</v>
      </c>
      <c r="K193" s="755"/>
      <c r="L193" s="761" t="s">
        <v>3628</v>
      </c>
      <c r="M193" s="761" t="s">
        <v>3634</v>
      </c>
      <c r="N193" s="599" t="str">
        <f t="shared" si="3"/>
        <v>genga_spy_event_story_00001_03_victory</v>
      </c>
      <c r="O193" s="599" t="str">
        <f t="shared" si="4"/>
        <v>manga_animation_genga_spy_event_story_00001_03_victory</v>
      </c>
      <c r="P193" s="753"/>
      <c r="Q193" s="753"/>
      <c r="R193" s="753" t="s">
        <v>3632</v>
      </c>
      <c r="S193" s="754"/>
      <c r="T193" s="754"/>
    </row>
    <row r="194">
      <c r="A194" s="762" t="s">
        <v>3624</v>
      </c>
      <c r="B194" s="755" t="s">
        <v>2458</v>
      </c>
      <c r="C194" s="756" t="s">
        <v>60</v>
      </c>
      <c r="D194" s="750" t="str">
        <f t="array" ref="D194">iferror(INDEX('作品'!D:D,MATCH(C194,'作品'!A:A,0),0),"")</f>
        <v>SPY×FAMILY</v>
      </c>
      <c r="E194" s="423" t="s">
        <v>2459</v>
      </c>
      <c r="F194" s="755" t="s">
        <v>2457</v>
      </c>
      <c r="G194" s="755" t="s">
        <v>1762</v>
      </c>
      <c r="H194" s="755" t="s">
        <v>3645</v>
      </c>
      <c r="I194" s="755" t="s">
        <v>2433</v>
      </c>
      <c r="J194" s="755" t="s">
        <v>3625</v>
      </c>
      <c r="K194" s="755"/>
      <c r="L194" s="761" t="s">
        <v>3628</v>
      </c>
      <c r="M194" s="761" t="s">
        <v>3629</v>
      </c>
      <c r="N194" s="599" t="str">
        <f t="shared" si="3"/>
        <v>genga_spy_event_story_00001_04_start</v>
      </c>
      <c r="O194" s="599" t="str">
        <f t="shared" si="4"/>
        <v>manga_animation_genga_spy_event_story_00001_04_start</v>
      </c>
      <c r="P194" s="753"/>
      <c r="Q194" s="753"/>
      <c r="R194" s="753" t="s">
        <v>3632</v>
      </c>
      <c r="S194" s="754"/>
      <c r="T194" s="754"/>
    </row>
    <row r="195">
      <c r="A195" s="762" t="s">
        <v>3624</v>
      </c>
      <c r="B195" s="755" t="s">
        <v>2458</v>
      </c>
      <c r="C195" s="756" t="s">
        <v>60</v>
      </c>
      <c r="D195" s="750" t="str">
        <f t="array" ref="D195">iferror(INDEX('作品'!D:D,MATCH(C195,'作品'!A:A,0),0),"")</f>
        <v>SPY×FAMILY</v>
      </c>
      <c r="E195" s="423" t="s">
        <v>2459</v>
      </c>
      <c r="F195" s="755" t="s">
        <v>2457</v>
      </c>
      <c r="G195" s="755" t="s">
        <v>1762</v>
      </c>
      <c r="H195" s="755" t="s">
        <v>3655</v>
      </c>
      <c r="I195" s="755" t="s">
        <v>2433</v>
      </c>
      <c r="J195" s="755" t="s">
        <v>3625</v>
      </c>
      <c r="K195" s="755"/>
      <c r="L195" s="761" t="s">
        <v>3628</v>
      </c>
      <c r="M195" s="761" t="s">
        <v>3629</v>
      </c>
      <c r="N195" s="599" t="str">
        <f t="shared" si="3"/>
        <v>genga_spy_event_story_00001_06_start</v>
      </c>
      <c r="O195" s="599" t="str">
        <f t="shared" si="4"/>
        <v>manga_animation_genga_spy_event_story_00001_06_start</v>
      </c>
      <c r="P195" s="753"/>
      <c r="Q195" s="753"/>
      <c r="R195" s="753" t="s">
        <v>3632</v>
      </c>
      <c r="S195" s="754"/>
      <c r="T195" s="754"/>
    </row>
    <row r="196">
      <c r="A196" s="762" t="s">
        <v>3624</v>
      </c>
      <c r="B196" s="755" t="s">
        <v>2458</v>
      </c>
      <c r="C196" s="756" t="s">
        <v>60</v>
      </c>
      <c r="D196" s="750" t="str">
        <f t="array" ref="D196">iferror(INDEX('作品'!D:D,MATCH(C196,'作品'!A:A,0),0),"")</f>
        <v>SPY×FAMILY</v>
      </c>
      <c r="E196" s="423" t="s">
        <v>2459</v>
      </c>
      <c r="F196" s="755" t="s">
        <v>2457</v>
      </c>
      <c r="G196" s="755" t="s">
        <v>1762</v>
      </c>
      <c r="H196" s="755" t="s">
        <v>3734</v>
      </c>
      <c r="I196" s="755" t="s">
        <v>2433</v>
      </c>
      <c r="J196" s="755" t="s">
        <v>3625</v>
      </c>
      <c r="K196" s="755"/>
      <c r="L196" s="761" t="s">
        <v>3628</v>
      </c>
      <c r="M196" s="761" t="s">
        <v>3629</v>
      </c>
      <c r="N196" s="599" t="str">
        <f t="shared" si="3"/>
        <v>genga_spy_event_story_00001_07_start</v>
      </c>
      <c r="O196" s="599" t="str">
        <f t="shared" si="4"/>
        <v>manga_animation_genga_spy_event_story_00001_07_start</v>
      </c>
      <c r="P196" s="753"/>
      <c r="Q196" s="753"/>
      <c r="R196" s="753" t="s">
        <v>3632</v>
      </c>
      <c r="S196" s="754"/>
      <c r="T196" s="754"/>
    </row>
    <row r="197">
      <c r="A197" s="762" t="s">
        <v>3624</v>
      </c>
      <c r="B197" s="755" t="s">
        <v>2458</v>
      </c>
      <c r="C197" s="756" t="s">
        <v>60</v>
      </c>
      <c r="D197" s="750" t="str">
        <f t="array" ref="D197">iferror(INDEX('作品'!D:D,MATCH(C197,'作品'!A:A,0),0),"")</f>
        <v>SPY×FAMILY</v>
      </c>
      <c r="E197" s="423" t="s">
        <v>2459</v>
      </c>
      <c r="F197" s="755" t="s">
        <v>2457</v>
      </c>
      <c r="G197" s="755" t="s">
        <v>1762</v>
      </c>
      <c r="H197" s="755" t="s">
        <v>3734</v>
      </c>
      <c r="I197" s="755" t="s">
        <v>2433</v>
      </c>
      <c r="J197" s="755" t="s">
        <v>3633</v>
      </c>
      <c r="K197" s="755"/>
      <c r="L197" s="761" t="s">
        <v>3628</v>
      </c>
      <c r="M197" s="761" t="s">
        <v>3634</v>
      </c>
      <c r="N197" s="599" t="str">
        <f t="shared" si="3"/>
        <v>genga_spy_event_story_00001_07_victory</v>
      </c>
      <c r="O197" s="599" t="str">
        <f t="shared" si="4"/>
        <v>manga_animation_genga_spy_event_story_00001_07_victory</v>
      </c>
      <c r="P197" s="753"/>
      <c r="Q197" s="753"/>
      <c r="R197" s="753" t="s">
        <v>3632</v>
      </c>
      <c r="S197" s="754"/>
      <c r="T197" s="754"/>
    </row>
    <row r="198">
      <c r="A198" s="762" t="s">
        <v>3624</v>
      </c>
      <c r="B198" s="755" t="s">
        <v>2458</v>
      </c>
      <c r="C198" s="756" t="s">
        <v>60</v>
      </c>
      <c r="D198" s="750" t="str">
        <f t="array" ref="D198">iferror(INDEX('作品'!D:D,MATCH(C198,'作品'!A:A,0),0),"")</f>
        <v>SPY×FAMILY</v>
      </c>
      <c r="E198" s="423" t="s">
        <v>2459</v>
      </c>
      <c r="F198" s="755" t="s">
        <v>2457</v>
      </c>
      <c r="G198" s="755" t="s">
        <v>1762</v>
      </c>
      <c r="H198" s="755" t="s">
        <v>3757</v>
      </c>
      <c r="I198" s="755" t="s">
        <v>2433</v>
      </c>
      <c r="J198" s="755" t="s">
        <v>3625</v>
      </c>
      <c r="K198" s="755"/>
      <c r="L198" s="761" t="s">
        <v>3628</v>
      </c>
      <c r="M198" s="761" t="s">
        <v>3629</v>
      </c>
      <c r="N198" s="599" t="str">
        <f t="shared" si="3"/>
        <v>genga_spy_event_story_00001_08_start</v>
      </c>
      <c r="O198" s="599" t="str">
        <f t="shared" si="4"/>
        <v>manga_animation_genga_spy_event_story_00001_08_start</v>
      </c>
      <c r="P198" s="753"/>
      <c r="Q198" s="753"/>
      <c r="R198" s="753" t="s">
        <v>3632</v>
      </c>
      <c r="S198" s="754"/>
      <c r="T198" s="754"/>
    </row>
    <row r="199">
      <c r="A199" s="762" t="s">
        <v>3624</v>
      </c>
      <c r="B199" s="755" t="s">
        <v>2458</v>
      </c>
      <c r="C199" s="756" t="s">
        <v>60</v>
      </c>
      <c r="D199" s="750" t="str">
        <f t="array" ref="D199">iferror(INDEX('作品'!D:D,MATCH(C199,'作品'!A:A,0),0),"")</f>
        <v>SPY×FAMILY</v>
      </c>
      <c r="E199" s="423" t="s">
        <v>2459</v>
      </c>
      <c r="F199" s="755" t="s">
        <v>2457</v>
      </c>
      <c r="G199" s="755" t="s">
        <v>1762</v>
      </c>
      <c r="H199" s="755" t="s">
        <v>3757</v>
      </c>
      <c r="I199" s="755" t="s">
        <v>2433</v>
      </c>
      <c r="J199" s="755" t="s">
        <v>3633</v>
      </c>
      <c r="K199" s="755"/>
      <c r="L199" s="761" t="s">
        <v>3628</v>
      </c>
      <c r="M199" s="761" t="s">
        <v>3634</v>
      </c>
      <c r="N199" s="599" t="str">
        <f t="shared" si="3"/>
        <v>genga_spy_event_story_00001_08_victory</v>
      </c>
      <c r="O199" s="599" t="str">
        <f t="shared" si="4"/>
        <v>manga_animation_genga_spy_event_story_00001_08_victory</v>
      </c>
      <c r="P199" s="753"/>
      <c r="Q199" s="753"/>
      <c r="R199" s="753" t="s">
        <v>3632</v>
      </c>
      <c r="S199" s="754"/>
      <c r="T199" s="754"/>
    </row>
    <row r="200">
      <c r="A200" s="762" t="s">
        <v>3624</v>
      </c>
      <c r="B200" s="755" t="s">
        <v>2458</v>
      </c>
      <c r="C200" s="756" t="s">
        <v>60</v>
      </c>
      <c r="D200" s="750" t="str">
        <f t="array" ref="D200">iferror(INDEX('作品'!D:D,MATCH(C200,'作品'!A:A,0),0),"")</f>
        <v>SPY×FAMILY</v>
      </c>
      <c r="E200" s="423" t="s">
        <v>2459</v>
      </c>
      <c r="F200" s="755" t="s">
        <v>2457</v>
      </c>
      <c r="G200" s="755" t="s">
        <v>3627</v>
      </c>
      <c r="H200" s="755" t="s">
        <v>1762</v>
      </c>
      <c r="I200" s="755" t="s">
        <v>2433</v>
      </c>
      <c r="J200" s="755" t="s">
        <v>3625</v>
      </c>
      <c r="K200" s="755"/>
      <c r="L200" s="761" t="s">
        <v>3628</v>
      </c>
      <c r="M200" s="761" t="s">
        <v>3629</v>
      </c>
      <c r="N200" s="599" t="str">
        <f t="shared" si="3"/>
        <v>genga_spy_event_story_00002_01_start</v>
      </c>
      <c r="O200" s="599" t="str">
        <f t="shared" si="4"/>
        <v>manga_animation_genga_spy_event_story_00002_01_start</v>
      </c>
      <c r="P200" s="753"/>
      <c r="Q200" s="753"/>
      <c r="R200" s="753" t="s">
        <v>3632</v>
      </c>
      <c r="S200" s="754"/>
      <c r="T200" s="754"/>
    </row>
    <row r="201">
      <c r="A201" s="762" t="s">
        <v>3624</v>
      </c>
      <c r="B201" s="755" t="s">
        <v>2458</v>
      </c>
      <c r="C201" s="756" t="s">
        <v>60</v>
      </c>
      <c r="D201" s="750" t="str">
        <f t="array" ref="D201">iferror(INDEX('作品'!D:D,MATCH(C201,'作品'!A:A,0),0),"")</f>
        <v>SPY×FAMILY</v>
      </c>
      <c r="E201" s="423" t="s">
        <v>2459</v>
      </c>
      <c r="F201" s="755" t="s">
        <v>2457</v>
      </c>
      <c r="G201" s="755" t="s">
        <v>3627</v>
      </c>
      <c r="H201" s="755" t="s">
        <v>1762</v>
      </c>
      <c r="I201" s="755" t="s">
        <v>2433</v>
      </c>
      <c r="J201" s="755" t="s">
        <v>3633</v>
      </c>
      <c r="K201" s="755"/>
      <c r="L201" s="761" t="s">
        <v>3628</v>
      </c>
      <c r="M201" s="761" t="s">
        <v>3634</v>
      </c>
      <c r="N201" s="599" t="str">
        <f t="shared" si="3"/>
        <v>genga_spy_event_story_00002_01_victory</v>
      </c>
      <c r="O201" s="599" t="str">
        <f t="shared" si="4"/>
        <v>manga_animation_genga_spy_event_story_00002_01_victory</v>
      </c>
      <c r="P201" s="753"/>
      <c r="Q201" s="753"/>
      <c r="R201" s="753" t="s">
        <v>3632</v>
      </c>
      <c r="S201" s="754"/>
      <c r="T201" s="754"/>
    </row>
    <row r="202">
      <c r="A202" s="762" t="s">
        <v>3624</v>
      </c>
      <c r="B202" s="755" t="s">
        <v>2458</v>
      </c>
      <c r="C202" s="756" t="s">
        <v>60</v>
      </c>
      <c r="D202" s="750" t="str">
        <f t="array" ref="D202">iferror(INDEX('作品'!D:D,MATCH(C202,'作品'!A:A,0),0),"")</f>
        <v>SPY×FAMILY</v>
      </c>
      <c r="E202" s="423" t="s">
        <v>2459</v>
      </c>
      <c r="F202" s="755" t="s">
        <v>2457</v>
      </c>
      <c r="G202" s="755" t="s">
        <v>3627</v>
      </c>
      <c r="H202" s="755" t="s">
        <v>3627</v>
      </c>
      <c r="I202" s="755" t="s">
        <v>2433</v>
      </c>
      <c r="J202" s="755" t="s">
        <v>3625</v>
      </c>
      <c r="K202" s="755"/>
      <c r="L202" s="761" t="s">
        <v>3628</v>
      </c>
      <c r="M202" s="761" t="s">
        <v>3629</v>
      </c>
      <c r="N202" s="599" t="str">
        <f t="shared" si="3"/>
        <v>genga_spy_event_story_00002_02_start</v>
      </c>
      <c r="O202" s="599" t="str">
        <f t="shared" si="4"/>
        <v>manga_animation_genga_spy_event_story_00002_02_start</v>
      </c>
      <c r="P202" s="753"/>
      <c r="Q202" s="753"/>
      <c r="R202" s="753" t="s">
        <v>3632</v>
      </c>
      <c r="S202" s="754"/>
      <c r="T202" s="754"/>
    </row>
    <row r="203">
      <c r="A203" s="762" t="s">
        <v>3624</v>
      </c>
      <c r="B203" s="755" t="s">
        <v>2458</v>
      </c>
      <c r="C203" s="756" t="s">
        <v>60</v>
      </c>
      <c r="D203" s="750" t="str">
        <f t="array" ref="D203">iferror(INDEX('作品'!D:D,MATCH(C203,'作品'!A:A,0),0),"")</f>
        <v>SPY×FAMILY</v>
      </c>
      <c r="E203" s="423" t="s">
        <v>2459</v>
      </c>
      <c r="F203" s="755" t="s">
        <v>2457</v>
      </c>
      <c r="G203" s="755" t="s">
        <v>3627</v>
      </c>
      <c r="H203" s="755" t="s">
        <v>3627</v>
      </c>
      <c r="I203" s="755" t="s">
        <v>2433</v>
      </c>
      <c r="J203" s="755" t="s">
        <v>3633</v>
      </c>
      <c r="K203" s="755"/>
      <c r="L203" s="761" t="s">
        <v>3628</v>
      </c>
      <c r="M203" s="761" t="s">
        <v>3634</v>
      </c>
      <c r="N203" s="599" t="str">
        <f t="shared" si="3"/>
        <v>genga_spy_event_story_00002_02_victory</v>
      </c>
      <c r="O203" s="599" t="str">
        <f t="shared" si="4"/>
        <v>manga_animation_genga_spy_event_story_00002_02_victory</v>
      </c>
      <c r="P203" s="753"/>
      <c r="Q203" s="753"/>
      <c r="R203" s="753" t="s">
        <v>3632</v>
      </c>
      <c r="S203" s="754"/>
      <c r="T203" s="754"/>
    </row>
    <row r="204">
      <c r="A204" s="762" t="s">
        <v>3624</v>
      </c>
      <c r="B204" s="755" t="s">
        <v>2458</v>
      </c>
      <c r="C204" s="756" t="s">
        <v>60</v>
      </c>
      <c r="D204" s="750" t="str">
        <f t="array" ref="D204">iferror(INDEX('作品'!D:D,MATCH(C204,'作品'!A:A,0),0),"")</f>
        <v>SPY×FAMILY</v>
      </c>
      <c r="E204" s="423" t="s">
        <v>2459</v>
      </c>
      <c r="F204" s="755" t="s">
        <v>2457</v>
      </c>
      <c r="G204" s="755" t="s">
        <v>3627</v>
      </c>
      <c r="H204" s="755" t="s">
        <v>1588</v>
      </c>
      <c r="I204" s="755" t="s">
        <v>2433</v>
      </c>
      <c r="J204" s="755" t="s">
        <v>3625</v>
      </c>
      <c r="K204" s="755"/>
      <c r="L204" s="761" t="s">
        <v>3628</v>
      </c>
      <c r="M204" s="761" t="s">
        <v>3629</v>
      </c>
      <c r="N204" s="599" t="str">
        <f t="shared" si="3"/>
        <v>genga_spy_event_story_00002_03_start</v>
      </c>
      <c r="O204" s="599" t="str">
        <f t="shared" si="4"/>
        <v>manga_animation_genga_spy_event_story_00002_03_start</v>
      </c>
      <c r="P204" s="753"/>
      <c r="Q204" s="753"/>
      <c r="R204" s="753" t="s">
        <v>3632</v>
      </c>
      <c r="S204" s="754"/>
      <c r="T204" s="754"/>
    </row>
    <row r="205">
      <c r="A205" s="762" t="s">
        <v>3624</v>
      </c>
      <c r="B205" s="755" t="s">
        <v>2458</v>
      </c>
      <c r="C205" s="756" t="s">
        <v>60</v>
      </c>
      <c r="D205" s="750" t="str">
        <f t="array" ref="D205">iferror(INDEX('作品'!D:D,MATCH(C205,'作品'!A:A,0),0),"")</f>
        <v>SPY×FAMILY</v>
      </c>
      <c r="E205" s="423" t="s">
        <v>2459</v>
      </c>
      <c r="F205" s="755" t="s">
        <v>2457</v>
      </c>
      <c r="G205" s="755" t="s">
        <v>3627</v>
      </c>
      <c r="H205" s="755" t="s">
        <v>1588</v>
      </c>
      <c r="I205" s="755" t="s">
        <v>2433</v>
      </c>
      <c r="J205" s="755" t="s">
        <v>3633</v>
      </c>
      <c r="K205" s="755"/>
      <c r="L205" s="761" t="s">
        <v>3628</v>
      </c>
      <c r="M205" s="761" t="s">
        <v>3634</v>
      </c>
      <c r="N205" s="599" t="str">
        <f t="shared" si="3"/>
        <v>genga_spy_event_story_00002_03_victory</v>
      </c>
      <c r="O205" s="599" t="str">
        <f t="shared" si="4"/>
        <v>manga_animation_genga_spy_event_story_00002_03_victory</v>
      </c>
      <c r="P205" s="753"/>
      <c r="Q205" s="753"/>
      <c r="R205" s="753" t="s">
        <v>3632</v>
      </c>
      <c r="S205" s="754"/>
      <c r="T205" s="754"/>
    </row>
    <row r="206">
      <c r="A206" s="762" t="s">
        <v>3624</v>
      </c>
      <c r="B206" s="755" t="s">
        <v>2458</v>
      </c>
      <c r="C206" s="756" t="s">
        <v>60</v>
      </c>
      <c r="D206" s="750" t="str">
        <f t="array" ref="D206">iferror(INDEX('作品'!D:D,MATCH(C206,'作品'!A:A,0),0),"")</f>
        <v>SPY×FAMILY</v>
      </c>
      <c r="E206" s="423" t="s">
        <v>2459</v>
      </c>
      <c r="F206" s="755" t="s">
        <v>2457</v>
      </c>
      <c r="G206" s="755" t="s">
        <v>3627</v>
      </c>
      <c r="H206" s="755" t="s">
        <v>3645</v>
      </c>
      <c r="I206" s="755" t="s">
        <v>2433</v>
      </c>
      <c r="J206" s="755" t="s">
        <v>3625</v>
      </c>
      <c r="K206" s="755"/>
      <c r="L206" s="761" t="s">
        <v>3628</v>
      </c>
      <c r="M206" s="761" t="s">
        <v>3629</v>
      </c>
      <c r="N206" s="599" t="str">
        <f t="shared" si="3"/>
        <v>genga_spy_event_story_00002_04_start</v>
      </c>
      <c r="O206" s="599" t="str">
        <f t="shared" si="4"/>
        <v>manga_animation_genga_spy_event_story_00002_04_start</v>
      </c>
      <c r="P206" s="753"/>
      <c r="Q206" s="753"/>
      <c r="R206" s="753" t="s">
        <v>3632</v>
      </c>
      <c r="S206" s="754"/>
      <c r="T206" s="754"/>
    </row>
    <row r="207">
      <c r="A207" s="762" t="s">
        <v>3624</v>
      </c>
      <c r="B207" s="755" t="s">
        <v>2458</v>
      </c>
      <c r="C207" s="756" t="s">
        <v>60</v>
      </c>
      <c r="D207" s="750" t="str">
        <f t="array" ref="D207">iferror(INDEX('作品'!D:D,MATCH(C207,'作品'!A:A,0),0),"")</f>
        <v>SPY×FAMILY</v>
      </c>
      <c r="E207" s="423" t="s">
        <v>2459</v>
      </c>
      <c r="F207" s="755" t="s">
        <v>2457</v>
      </c>
      <c r="G207" s="755" t="s">
        <v>3627</v>
      </c>
      <c r="H207" s="755" t="s">
        <v>3645</v>
      </c>
      <c r="I207" s="755" t="s">
        <v>2433</v>
      </c>
      <c r="J207" s="755" t="s">
        <v>3633</v>
      </c>
      <c r="K207" s="755"/>
      <c r="L207" s="761" t="s">
        <v>3628</v>
      </c>
      <c r="M207" s="761" t="s">
        <v>3634</v>
      </c>
      <c r="N207" s="599" t="str">
        <f t="shared" si="3"/>
        <v>genga_spy_event_story_00002_04_victory</v>
      </c>
      <c r="O207" s="599" t="str">
        <f t="shared" si="4"/>
        <v>manga_animation_genga_spy_event_story_00002_04_victory</v>
      </c>
      <c r="P207" s="753"/>
      <c r="Q207" s="753"/>
      <c r="R207" s="753" t="s">
        <v>3632</v>
      </c>
      <c r="S207" s="754"/>
      <c r="T207" s="754"/>
    </row>
    <row r="208">
      <c r="A208" s="762" t="s">
        <v>3624</v>
      </c>
      <c r="B208" s="755" t="s">
        <v>2458</v>
      </c>
      <c r="C208" s="756" t="s">
        <v>60</v>
      </c>
      <c r="D208" s="750" t="str">
        <f t="array" ref="D208">iferror(INDEX('作品'!D:D,MATCH(C208,'作品'!A:A,0),0),"")</f>
        <v>SPY×FAMILY</v>
      </c>
      <c r="E208" s="423" t="s">
        <v>2459</v>
      </c>
      <c r="F208" s="755" t="s">
        <v>2457</v>
      </c>
      <c r="G208" s="755" t="s">
        <v>3627</v>
      </c>
      <c r="H208" s="755" t="s">
        <v>3650</v>
      </c>
      <c r="I208" s="755" t="s">
        <v>2433</v>
      </c>
      <c r="J208" s="755" t="s">
        <v>3625</v>
      </c>
      <c r="K208" s="755"/>
      <c r="L208" s="761" t="s">
        <v>3628</v>
      </c>
      <c r="M208" s="761" t="s">
        <v>3629</v>
      </c>
      <c r="N208" s="599" t="str">
        <f t="shared" si="3"/>
        <v>genga_spy_event_story_00002_05_start</v>
      </c>
      <c r="O208" s="599" t="str">
        <f t="shared" si="4"/>
        <v>manga_animation_genga_spy_event_story_00002_05_start</v>
      </c>
      <c r="P208" s="753"/>
      <c r="Q208" s="753"/>
      <c r="R208" s="753" t="s">
        <v>3632</v>
      </c>
      <c r="S208" s="754"/>
      <c r="T208" s="754"/>
    </row>
    <row r="209">
      <c r="A209" s="762" t="s">
        <v>3624</v>
      </c>
      <c r="B209" s="755" t="s">
        <v>2458</v>
      </c>
      <c r="C209" s="756" t="s">
        <v>60</v>
      </c>
      <c r="D209" s="750" t="str">
        <f t="array" ref="D209">iferror(INDEX('作品'!D:D,MATCH(C209,'作品'!A:A,0),0),"")</f>
        <v>SPY×FAMILY</v>
      </c>
      <c r="E209" s="423" t="s">
        <v>2459</v>
      </c>
      <c r="F209" s="755" t="s">
        <v>2457</v>
      </c>
      <c r="G209" s="755" t="s">
        <v>3627</v>
      </c>
      <c r="H209" s="755" t="s">
        <v>3650</v>
      </c>
      <c r="I209" s="755" t="s">
        <v>2433</v>
      </c>
      <c r="J209" s="755" t="s">
        <v>3633</v>
      </c>
      <c r="K209" s="755"/>
      <c r="L209" s="761" t="s">
        <v>3628</v>
      </c>
      <c r="M209" s="761" t="s">
        <v>3634</v>
      </c>
      <c r="N209" s="599" t="str">
        <f t="shared" si="3"/>
        <v>genga_spy_event_story_00002_05_victory</v>
      </c>
      <c r="O209" s="599" t="str">
        <f t="shared" si="4"/>
        <v>manga_animation_genga_spy_event_story_00002_05_victory</v>
      </c>
      <c r="P209" s="753"/>
      <c r="Q209" s="753"/>
      <c r="R209" s="753" t="s">
        <v>3632</v>
      </c>
      <c r="S209" s="754"/>
      <c r="T209" s="754"/>
    </row>
    <row r="210">
      <c r="A210" s="762" t="s">
        <v>3624</v>
      </c>
      <c r="B210" s="755" t="s">
        <v>2458</v>
      </c>
      <c r="C210" s="756" t="s">
        <v>60</v>
      </c>
      <c r="D210" s="750" t="str">
        <f t="array" ref="D210">iferror(INDEX('作品'!D:D,MATCH(C210,'作品'!A:A,0),0),"")</f>
        <v>SPY×FAMILY</v>
      </c>
      <c r="E210" s="423" t="s">
        <v>2459</v>
      </c>
      <c r="F210" s="755" t="s">
        <v>2457</v>
      </c>
      <c r="G210" s="755" t="s">
        <v>3627</v>
      </c>
      <c r="H210" s="755" t="s">
        <v>3655</v>
      </c>
      <c r="I210" s="755" t="s">
        <v>2433</v>
      </c>
      <c r="J210" s="755" t="s">
        <v>3625</v>
      </c>
      <c r="K210" s="755"/>
      <c r="L210" s="761" t="s">
        <v>3628</v>
      </c>
      <c r="M210" s="761" t="s">
        <v>3629</v>
      </c>
      <c r="N210" s="599" t="str">
        <f t="shared" si="3"/>
        <v>genga_spy_event_story_00002_06_start</v>
      </c>
      <c r="O210" s="599" t="str">
        <f t="shared" si="4"/>
        <v>manga_animation_genga_spy_event_story_00002_06_start</v>
      </c>
      <c r="P210" s="753"/>
      <c r="Q210" s="753"/>
      <c r="R210" s="753" t="s">
        <v>3632</v>
      </c>
      <c r="S210" s="754"/>
      <c r="T210" s="754"/>
    </row>
    <row r="211">
      <c r="A211" s="762" t="s">
        <v>3624</v>
      </c>
      <c r="B211" s="755" t="s">
        <v>2458</v>
      </c>
      <c r="C211" s="756" t="s">
        <v>60</v>
      </c>
      <c r="D211" s="750" t="str">
        <f t="array" ref="D211">iferror(INDEX('作品'!D:D,MATCH(C211,'作品'!A:A,0),0),"")</f>
        <v>SPY×FAMILY</v>
      </c>
      <c r="E211" s="423" t="s">
        <v>2459</v>
      </c>
      <c r="F211" s="755" t="s">
        <v>2457</v>
      </c>
      <c r="G211" s="755" t="s">
        <v>3627</v>
      </c>
      <c r="H211" s="755" t="s">
        <v>3655</v>
      </c>
      <c r="I211" s="755" t="s">
        <v>2433</v>
      </c>
      <c r="J211" s="755" t="s">
        <v>3633</v>
      </c>
      <c r="K211" s="755"/>
      <c r="L211" s="761" t="s">
        <v>3628</v>
      </c>
      <c r="M211" s="761" t="s">
        <v>3634</v>
      </c>
      <c r="N211" s="599" t="str">
        <f t="shared" si="3"/>
        <v>genga_spy_event_story_00002_06_victory</v>
      </c>
      <c r="O211" s="599" t="str">
        <f t="shared" si="4"/>
        <v>manga_animation_genga_spy_event_story_00002_06_victory</v>
      </c>
      <c r="P211" s="753"/>
      <c r="Q211" s="753"/>
      <c r="R211" s="753" t="s">
        <v>3632</v>
      </c>
      <c r="S211" s="754"/>
      <c r="T211" s="754"/>
    </row>
    <row r="212">
      <c r="A212" s="762" t="s">
        <v>3624</v>
      </c>
      <c r="B212" s="755" t="s">
        <v>2458</v>
      </c>
      <c r="C212" s="756" t="s">
        <v>60</v>
      </c>
      <c r="D212" s="750" t="str">
        <f t="array" ref="D212">iferror(INDEX('作品'!D:D,MATCH(C212,'作品'!A:A,0),0),"")</f>
        <v>SPY×FAMILY</v>
      </c>
      <c r="E212" s="423" t="s">
        <v>2459</v>
      </c>
      <c r="F212" s="755" t="s">
        <v>2457</v>
      </c>
      <c r="G212" s="755" t="s">
        <v>3627</v>
      </c>
      <c r="H212" s="755" t="s">
        <v>3734</v>
      </c>
      <c r="I212" s="755" t="s">
        <v>2433</v>
      </c>
      <c r="J212" s="755" t="s">
        <v>3625</v>
      </c>
      <c r="K212" s="755"/>
      <c r="L212" s="761" t="s">
        <v>3628</v>
      </c>
      <c r="M212" s="761" t="s">
        <v>3629</v>
      </c>
      <c r="N212" s="599" t="str">
        <f t="shared" si="3"/>
        <v>genga_spy_event_story_00002_07_start</v>
      </c>
      <c r="O212" s="599" t="str">
        <f t="shared" si="4"/>
        <v>manga_animation_genga_spy_event_story_00002_07_start</v>
      </c>
      <c r="P212" s="753"/>
      <c r="Q212" s="753"/>
      <c r="R212" s="753" t="s">
        <v>3632</v>
      </c>
      <c r="S212" s="754"/>
      <c r="T212" s="754"/>
    </row>
    <row r="213">
      <c r="A213" s="762" t="s">
        <v>3624</v>
      </c>
      <c r="B213" s="755" t="s">
        <v>2458</v>
      </c>
      <c r="C213" s="756" t="s">
        <v>60</v>
      </c>
      <c r="D213" s="750" t="str">
        <f t="array" ref="D213">iferror(INDEX('作品'!D:D,MATCH(C213,'作品'!A:A,0),0),"")</f>
        <v>SPY×FAMILY</v>
      </c>
      <c r="E213" s="423" t="s">
        <v>2459</v>
      </c>
      <c r="F213" s="755" t="s">
        <v>2457</v>
      </c>
      <c r="G213" s="755" t="s">
        <v>3627</v>
      </c>
      <c r="H213" s="755" t="s">
        <v>3734</v>
      </c>
      <c r="I213" s="755" t="s">
        <v>2433</v>
      </c>
      <c r="J213" s="755" t="s">
        <v>3633</v>
      </c>
      <c r="K213" s="755"/>
      <c r="L213" s="761" t="s">
        <v>3628</v>
      </c>
      <c r="M213" s="761" t="s">
        <v>3634</v>
      </c>
      <c r="N213" s="599" t="str">
        <f t="shared" si="3"/>
        <v>genga_spy_event_story_00002_07_victory</v>
      </c>
      <c r="O213" s="599" t="str">
        <f t="shared" si="4"/>
        <v>manga_animation_genga_spy_event_story_00002_07_victory</v>
      </c>
      <c r="P213" s="753"/>
      <c r="Q213" s="753"/>
      <c r="R213" s="753" t="s">
        <v>3632</v>
      </c>
      <c r="S213" s="754"/>
      <c r="T213" s="754"/>
    </row>
    <row r="214">
      <c r="A214" s="762" t="s">
        <v>3624</v>
      </c>
      <c r="B214" s="755" t="s">
        <v>2458</v>
      </c>
      <c r="C214" s="756" t="s">
        <v>60</v>
      </c>
      <c r="D214" s="750" t="str">
        <f t="array" ref="D214">iferror(INDEX('作品'!D:D,MATCH(C214,'作品'!A:A,0),0),"")</f>
        <v>SPY×FAMILY</v>
      </c>
      <c r="E214" s="423" t="s">
        <v>2459</v>
      </c>
      <c r="F214" s="755" t="s">
        <v>2457</v>
      </c>
      <c r="G214" s="755" t="s">
        <v>3627</v>
      </c>
      <c r="H214" s="755" t="s">
        <v>3757</v>
      </c>
      <c r="I214" s="755" t="s">
        <v>2433</v>
      </c>
      <c r="J214" s="755" t="s">
        <v>3625</v>
      </c>
      <c r="K214" s="755"/>
      <c r="L214" s="761" t="s">
        <v>3628</v>
      </c>
      <c r="M214" s="761" t="s">
        <v>3629</v>
      </c>
      <c r="N214" s="599" t="str">
        <f t="shared" si="3"/>
        <v>genga_spy_event_story_00002_08_start</v>
      </c>
      <c r="O214" s="599" t="str">
        <f t="shared" si="4"/>
        <v>manga_animation_genga_spy_event_story_00002_08_start</v>
      </c>
      <c r="P214" s="753"/>
      <c r="Q214" s="753"/>
      <c r="R214" s="753" t="s">
        <v>3632</v>
      </c>
      <c r="S214" s="754"/>
      <c r="T214" s="754"/>
    </row>
    <row r="215">
      <c r="A215" s="762" t="s">
        <v>3624</v>
      </c>
      <c r="B215" s="755" t="s">
        <v>2458</v>
      </c>
      <c r="C215" s="756" t="s">
        <v>60</v>
      </c>
      <c r="D215" s="750" t="str">
        <f t="array" ref="D215">iferror(INDEX('作品'!D:D,MATCH(C215,'作品'!A:A,0),0),"")</f>
        <v>SPY×FAMILY</v>
      </c>
      <c r="E215" s="423" t="s">
        <v>2459</v>
      </c>
      <c r="F215" s="755" t="s">
        <v>2457</v>
      </c>
      <c r="G215" s="755" t="s">
        <v>3627</v>
      </c>
      <c r="H215" s="755" t="s">
        <v>3757</v>
      </c>
      <c r="I215" s="755" t="s">
        <v>2433</v>
      </c>
      <c r="J215" s="755" t="s">
        <v>3633</v>
      </c>
      <c r="K215" s="755"/>
      <c r="L215" s="761" t="s">
        <v>3628</v>
      </c>
      <c r="M215" s="761" t="s">
        <v>3634</v>
      </c>
      <c r="N215" s="599" t="str">
        <f t="shared" si="3"/>
        <v>genga_spy_event_story_00002_08_victory</v>
      </c>
      <c r="O215" s="599" t="str">
        <f t="shared" si="4"/>
        <v>manga_animation_genga_spy_event_story_00002_08_victory</v>
      </c>
      <c r="P215" s="753"/>
      <c r="Q215" s="753"/>
      <c r="R215" s="753" t="s">
        <v>3632</v>
      </c>
      <c r="S215" s="754"/>
      <c r="T215" s="754"/>
    </row>
    <row r="216">
      <c r="A216" s="762" t="s">
        <v>3758</v>
      </c>
      <c r="B216" s="755" t="s">
        <v>2458</v>
      </c>
      <c r="C216" s="756" t="s">
        <v>60</v>
      </c>
      <c r="D216" s="750" t="str">
        <f t="array" ref="D216">iferror(INDEX('作品'!D:D,MATCH(C216,'作品'!A:A,0),0),"")</f>
        <v>SPY×FAMILY</v>
      </c>
      <c r="E216" s="423" t="s">
        <v>2459</v>
      </c>
      <c r="F216" s="755" t="s">
        <v>2449</v>
      </c>
      <c r="G216" s="755" t="s">
        <v>1762</v>
      </c>
      <c r="H216" s="755" t="s">
        <v>1762</v>
      </c>
      <c r="I216" s="755" t="s">
        <v>2433</v>
      </c>
      <c r="J216" s="755" t="s">
        <v>3625</v>
      </c>
      <c r="K216" s="755"/>
      <c r="L216" s="761" t="s">
        <v>3628</v>
      </c>
      <c r="M216" s="761" t="s">
        <v>3629</v>
      </c>
      <c r="N216" s="599" t="str">
        <f t="shared" si="3"/>
        <v>genga_spy_event_1day_00001_01_start</v>
      </c>
      <c r="O216" s="599" t="str">
        <f t="shared" si="4"/>
        <v>manga_animation_genga_spy_event_1day_00001_01_start</v>
      </c>
      <c r="P216" s="753"/>
      <c r="Q216" s="753"/>
      <c r="R216" s="753" t="s">
        <v>3632</v>
      </c>
      <c r="S216" s="754"/>
      <c r="T216" s="754"/>
    </row>
    <row r="217">
      <c r="A217" s="762" t="s">
        <v>3758</v>
      </c>
      <c r="B217" s="755" t="s">
        <v>2458</v>
      </c>
      <c r="C217" s="756" t="s">
        <v>60</v>
      </c>
      <c r="D217" s="750" t="str">
        <f t="array" ref="D217">iferror(INDEX('作品'!D:D,MATCH(C217,'作品'!A:A,0),0),"")</f>
        <v>SPY×FAMILY</v>
      </c>
      <c r="E217" s="423" t="s">
        <v>2459</v>
      </c>
      <c r="F217" s="755" t="s">
        <v>2462</v>
      </c>
      <c r="G217" s="755" t="s">
        <v>1762</v>
      </c>
      <c r="H217" s="755" t="s">
        <v>3627</v>
      </c>
      <c r="I217" s="755" t="s">
        <v>2433</v>
      </c>
      <c r="J217" s="755" t="s">
        <v>3625</v>
      </c>
      <c r="K217" s="755" t="s">
        <v>3759</v>
      </c>
      <c r="L217" s="761" t="s">
        <v>3628</v>
      </c>
      <c r="M217" s="761" t="s">
        <v>3629</v>
      </c>
      <c r="N217" s="599" t="str">
        <f t="shared" si="3"/>
        <v>genga_spy_event_challenge_00001_02_start</v>
      </c>
      <c r="O217" s="599" t="str">
        <f t="shared" si="4"/>
        <v>manga_animation_genga_spy_event_challenge_00001_02_start</v>
      </c>
      <c r="P217" s="753"/>
      <c r="Q217" s="753"/>
      <c r="R217" s="753" t="s">
        <v>3632</v>
      </c>
      <c r="S217" s="754"/>
      <c r="T217" s="754"/>
    </row>
    <row r="218">
      <c r="A218" s="762" t="s">
        <v>3758</v>
      </c>
      <c r="B218" s="755" t="s">
        <v>2458</v>
      </c>
      <c r="C218" s="756" t="s">
        <v>60</v>
      </c>
      <c r="D218" s="750" t="str">
        <f t="array" ref="D218">iferror(INDEX('作品'!D:D,MATCH(C218,'作品'!A:A,0),0),"")</f>
        <v>SPY×FAMILY</v>
      </c>
      <c r="E218" s="423" t="s">
        <v>2459</v>
      </c>
      <c r="F218" s="755" t="s">
        <v>2462</v>
      </c>
      <c r="G218" s="755" t="s">
        <v>1762</v>
      </c>
      <c r="H218" s="755" t="s">
        <v>1588</v>
      </c>
      <c r="I218" s="755" t="s">
        <v>2433</v>
      </c>
      <c r="J218" s="755" t="s">
        <v>3625</v>
      </c>
      <c r="K218" s="755" t="s">
        <v>3760</v>
      </c>
      <c r="L218" s="761" t="s">
        <v>3628</v>
      </c>
      <c r="M218" s="761" t="s">
        <v>3629</v>
      </c>
      <c r="N218" s="599" t="str">
        <f t="shared" si="3"/>
        <v>genga_spy_event_challenge_00001_03_start</v>
      </c>
      <c r="O218" s="599" t="str">
        <f t="shared" si="4"/>
        <v>manga_animation_genga_spy_event_challenge_00001_03_start</v>
      </c>
      <c r="P218" s="753"/>
      <c r="Q218" s="753"/>
      <c r="R218" s="753" t="s">
        <v>3632</v>
      </c>
      <c r="S218" s="754"/>
      <c r="T218" s="754"/>
    </row>
    <row r="219">
      <c r="A219" s="762" t="s">
        <v>3758</v>
      </c>
      <c r="B219" s="755" t="s">
        <v>2458</v>
      </c>
      <c r="C219" s="756" t="s">
        <v>60</v>
      </c>
      <c r="D219" s="750" t="str">
        <f t="array" ref="D219">iferror(INDEX('作品'!D:D,MATCH(C219,'作品'!A:A,0),0),"")</f>
        <v>SPY×FAMILY</v>
      </c>
      <c r="E219" s="423" t="s">
        <v>2459</v>
      </c>
      <c r="F219" s="755" t="s">
        <v>2462</v>
      </c>
      <c r="G219" s="755" t="s">
        <v>1762</v>
      </c>
      <c r="H219" s="755" t="s">
        <v>3645</v>
      </c>
      <c r="I219" s="755" t="s">
        <v>2433</v>
      </c>
      <c r="J219" s="755" t="s">
        <v>3625</v>
      </c>
      <c r="K219" s="755" t="s">
        <v>3761</v>
      </c>
      <c r="L219" s="761" t="s">
        <v>3628</v>
      </c>
      <c r="M219" s="761" t="s">
        <v>3629</v>
      </c>
      <c r="N219" s="599" t="str">
        <f t="shared" si="3"/>
        <v>genga_spy_event_challenge_00001_04_start</v>
      </c>
      <c r="O219" s="599" t="str">
        <f t="shared" si="4"/>
        <v>manga_animation_genga_spy_event_challenge_00001_04_start</v>
      </c>
      <c r="P219" s="753"/>
      <c r="Q219" s="753"/>
      <c r="R219" s="753" t="s">
        <v>3632</v>
      </c>
      <c r="S219" s="754"/>
      <c r="T219" s="754"/>
    </row>
    <row r="220">
      <c r="A220" s="762" t="s">
        <v>3624</v>
      </c>
      <c r="B220" s="755" t="s">
        <v>2458</v>
      </c>
      <c r="C220" s="756" t="s">
        <v>80</v>
      </c>
      <c r="D220" s="750" t="str">
        <f t="array" ref="D220">iferror(INDEX('作品'!D:D,MATCH(C220,'作品'!A:A,0),0),"")</f>
        <v>ダンダダン</v>
      </c>
      <c r="E220" s="423" t="s">
        <v>2459</v>
      </c>
      <c r="F220" s="755" t="s">
        <v>2457</v>
      </c>
      <c r="G220" s="755" t="s">
        <v>1762</v>
      </c>
      <c r="H220" s="755" t="s">
        <v>1762</v>
      </c>
      <c r="I220" s="755" t="s">
        <v>2433</v>
      </c>
      <c r="J220" s="755" t="s">
        <v>3625</v>
      </c>
      <c r="K220" s="755"/>
      <c r="L220" s="761" t="s">
        <v>3628</v>
      </c>
      <c r="M220" s="761" t="s">
        <v>3629</v>
      </c>
      <c r="N220" s="599" t="str">
        <f t="shared" si="3"/>
        <v>genga_dan_event_story_00001_01_start</v>
      </c>
      <c r="O220" s="599" t="str">
        <f t="shared" si="4"/>
        <v>manga_animation_genga_dan_event_story_00001_01_start</v>
      </c>
      <c r="P220" s="753"/>
      <c r="Q220" s="753"/>
      <c r="R220" s="753" t="s">
        <v>3632</v>
      </c>
      <c r="S220" s="754"/>
      <c r="T220" s="754"/>
    </row>
    <row r="221">
      <c r="A221" s="762" t="s">
        <v>3624</v>
      </c>
      <c r="B221" s="755" t="s">
        <v>2458</v>
      </c>
      <c r="C221" s="756" t="s">
        <v>80</v>
      </c>
      <c r="D221" s="750" t="str">
        <f t="array" ref="D221">iferror(INDEX('作品'!D:D,MATCH(C221,'作品'!A:A,0),0),"")</f>
        <v>ダンダダン</v>
      </c>
      <c r="E221" s="423" t="s">
        <v>2459</v>
      </c>
      <c r="F221" s="755" t="s">
        <v>2457</v>
      </c>
      <c r="G221" s="755" t="s">
        <v>1762</v>
      </c>
      <c r="H221" s="755" t="s">
        <v>3627</v>
      </c>
      <c r="I221" s="755" t="s">
        <v>2433</v>
      </c>
      <c r="J221" s="755" t="s">
        <v>3625</v>
      </c>
      <c r="K221" s="755"/>
      <c r="L221" s="761" t="s">
        <v>3628</v>
      </c>
      <c r="M221" s="761" t="s">
        <v>3629</v>
      </c>
      <c r="N221" s="599" t="str">
        <f t="shared" si="3"/>
        <v>genga_dan_event_story_00001_02_start</v>
      </c>
      <c r="O221" s="599" t="str">
        <f t="shared" si="4"/>
        <v>manga_animation_genga_dan_event_story_00001_02_start</v>
      </c>
      <c r="P221" s="753"/>
      <c r="Q221" s="753"/>
      <c r="R221" s="753" t="s">
        <v>3632</v>
      </c>
      <c r="S221" s="754"/>
      <c r="T221" s="754"/>
    </row>
    <row r="222">
      <c r="A222" s="762" t="s">
        <v>3624</v>
      </c>
      <c r="B222" s="755" t="s">
        <v>2458</v>
      </c>
      <c r="C222" s="756" t="s">
        <v>80</v>
      </c>
      <c r="D222" s="750" t="str">
        <f t="array" ref="D222">iferror(INDEX('作品'!D:D,MATCH(C222,'作品'!A:A,0),0),"")</f>
        <v>ダンダダン</v>
      </c>
      <c r="E222" s="423" t="s">
        <v>2459</v>
      </c>
      <c r="F222" s="755" t="s">
        <v>2457</v>
      </c>
      <c r="G222" s="755" t="s">
        <v>1762</v>
      </c>
      <c r="H222" s="755" t="s">
        <v>1588</v>
      </c>
      <c r="I222" s="755" t="s">
        <v>2433</v>
      </c>
      <c r="J222" s="755" t="s">
        <v>3625</v>
      </c>
      <c r="K222" s="755"/>
      <c r="L222" s="761" t="s">
        <v>3628</v>
      </c>
      <c r="M222" s="761" t="s">
        <v>3629</v>
      </c>
      <c r="N222" s="599" t="str">
        <f t="shared" si="3"/>
        <v>genga_dan_event_story_00001_03_start</v>
      </c>
      <c r="O222" s="599" t="str">
        <f t="shared" si="4"/>
        <v>manga_animation_genga_dan_event_story_00001_03_start</v>
      </c>
      <c r="P222" s="753"/>
      <c r="Q222" s="753"/>
      <c r="R222" s="753" t="s">
        <v>3632</v>
      </c>
      <c r="S222" s="754"/>
      <c r="T222" s="754"/>
    </row>
    <row r="223">
      <c r="A223" s="762" t="s">
        <v>3624</v>
      </c>
      <c r="B223" s="755" t="s">
        <v>2458</v>
      </c>
      <c r="C223" s="756" t="s">
        <v>80</v>
      </c>
      <c r="D223" s="750" t="str">
        <f t="array" ref="D223">iferror(INDEX('作品'!D:D,MATCH(C223,'作品'!A:A,0),0),"")</f>
        <v>ダンダダン</v>
      </c>
      <c r="E223" s="423" t="s">
        <v>2459</v>
      </c>
      <c r="F223" s="755" t="s">
        <v>2457</v>
      </c>
      <c r="G223" s="755" t="s">
        <v>1762</v>
      </c>
      <c r="H223" s="755" t="s">
        <v>1588</v>
      </c>
      <c r="I223" s="755" t="s">
        <v>2433</v>
      </c>
      <c r="J223" s="755" t="s">
        <v>3633</v>
      </c>
      <c r="K223" s="755"/>
      <c r="L223" s="761" t="s">
        <v>3628</v>
      </c>
      <c r="M223" s="761" t="s">
        <v>3634</v>
      </c>
      <c r="N223" s="599" t="str">
        <f t="shared" si="3"/>
        <v>genga_dan_event_story_00001_03_victory</v>
      </c>
      <c r="O223" s="599" t="str">
        <f t="shared" si="4"/>
        <v>manga_animation_genga_dan_event_story_00001_03_victory</v>
      </c>
      <c r="P223" s="753"/>
      <c r="Q223" s="753"/>
      <c r="R223" s="753" t="s">
        <v>3632</v>
      </c>
      <c r="S223" s="754"/>
      <c r="T223" s="754"/>
    </row>
    <row r="224">
      <c r="A224" s="762" t="s">
        <v>3624</v>
      </c>
      <c r="B224" s="755" t="s">
        <v>2458</v>
      </c>
      <c r="C224" s="756" t="s">
        <v>80</v>
      </c>
      <c r="D224" s="750" t="str">
        <f t="array" ref="D224">iferror(INDEX('作品'!D:D,MATCH(C224,'作品'!A:A,0),0),"")</f>
        <v>ダンダダン</v>
      </c>
      <c r="E224" s="423" t="s">
        <v>2459</v>
      </c>
      <c r="F224" s="755" t="s">
        <v>2457</v>
      </c>
      <c r="G224" s="755" t="s">
        <v>1762</v>
      </c>
      <c r="H224" s="755" t="s">
        <v>3645</v>
      </c>
      <c r="I224" s="755" t="s">
        <v>2433</v>
      </c>
      <c r="J224" s="755" t="s">
        <v>3625</v>
      </c>
      <c r="K224" s="755"/>
      <c r="L224" s="761" t="s">
        <v>3628</v>
      </c>
      <c r="M224" s="761" t="s">
        <v>3629</v>
      </c>
      <c r="N224" s="599" t="str">
        <f t="shared" si="3"/>
        <v>genga_dan_event_story_00001_04_start</v>
      </c>
      <c r="O224" s="599" t="str">
        <f t="shared" si="4"/>
        <v>manga_animation_genga_dan_event_story_00001_04_start</v>
      </c>
      <c r="P224" s="753"/>
      <c r="Q224" s="753"/>
      <c r="R224" s="753" t="s">
        <v>3632</v>
      </c>
      <c r="S224" s="754"/>
      <c r="T224" s="754"/>
    </row>
    <row r="225">
      <c r="A225" s="762" t="s">
        <v>3624</v>
      </c>
      <c r="B225" s="755" t="s">
        <v>2458</v>
      </c>
      <c r="C225" s="756" t="s">
        <v>80</v>
      </c>
      <c r="D225" s="750" t="str">
        <f t="array" ref="D225">iferror(INDEX('作品'!D:D,MATCH(C225,'作品'!A:A,0),0),"")</f>
        <v>ダンダダン</v>
      </c>
      <c r="E225" s="423" t="s">
        <v>2459</v>
      </c>
      <c r="F225" s="755" t="s">
        <v>2457</v>
      </c>
      <c r="G225" s="755" t="s">
        <v>1762</v>
      </c>
      <c r="H225" s="755" t="s">
        <v>3645</v>
      </c>
      <c r="I225" s="755" t="s">
        <v>2433</v>
      </c>
      <c r="J225" s="755" t="s">
        <v>3633</v>
      </c>
      <c r="K225" s="755"/>
      <c r="L225" s="761" t="s">
        <v>3628</v>
      </c>
      <c r="M225" s="761" t="s">
        <v>3634</v>
      </c>
      <c r="N225" s="599" t="str">
        <f t="shared" si="3"/>
        <v>genga_dan_event_story_00001_04_victory</v>
      </c>
      <c r="O225" s="599" t="str">
        <f t="shared" si="4"/>
        <v>manga_animation_genga_dan_event_story_00001_04_victory</v>
      </c>
      <c r="P225" s="753"/>
      <c r="Q225" s="753"/>
      <c r="R225" s="753" t="s">
        <v>3632</v>
      </c>
      <c r="S225" s="754"/>
      <c r="T225" s="754"/>
    </row>
    <row r="226">
      <c r="A226" s="762" t="s">
        <v>3624</v>
      </c>
      <c r="B226" s="755" t="s">
        <v>2458</v>
      </c>
      <c r="C226" s="756" t="s">
        <v>80</v>
      </c>
      <c r="D226" s="750" t="str">
        <f t="array" ref="D226">iferror(INDEX('作品'!D:D,MATCH(C226,'作品'!A:A,0),0),"")</f>
        <v>ダンダダン</v>
      </c>
      <c r="E226" s="423" t="s">
        <v>2459</v>
      </c>
      <c r="F226" s="755" t="s">
        <v>2457</v>
      </c>
      <c r="G226" s="755" t="s">
        <v>1762</v>
      </c>
      <c r="H226" s="755" t="s">
        <v>3650</v>
      </c>
      <c r="I226" s="755" t="s">
        <v>2433</v>
      </c>
      <c r="J226" s="755" t="s">
        <v>3625</v>
      </c>
      <c r="K226" s="755"/>
      <c r="L226" s="761" t="s">
        <v>3628</v>
      </c>
      <c r="M226" s="761" t="s">
        <v>3629</v>
      </c>
      <c r="N226" s="599" t="str">
        <f t="shared" si="3"/>
        <v>genga_dan_event_story_00001_05_start</v>
      </c>
      <c r="O226" s="599" t="str">
        <f t="shared" si="4"/>
        <v>manga_animation_genga_dan_event_story_00001_05_start</v>
      </c>
      <c r="P226" s="753"/>
      <c r="Q226" s="753"/>
      <c r="R226" s="753" t="s">
        <v>3632</v>
      </c>
      <c r="S226" s="754"/>
      <c r="T226" s="754"/>
    </row>
    <row r="227">
      <c r="A227" s="762" t="s">
        <v>3624</v>
      </c>
      <c r="B227" s="755" t="s">
        <v>2458</v>
      </c>
      <c r="C227" s="756" t="s">
        <v>80</v>
      </c>
      <c r="D227" s="750" t="str">
        <f t="array" ref="D227">iferror(INDEX('作品'!D:D,MATCH(C227,'作品'!A:A,0),0),"")</f>
        <v>ダンダダン</v>
      </c>
      <c r="E227" s="423" t="s">
        <v>2459</v>
      </c>
      <c r="F227" s="755" t="s">
        <v>2457</v>
      </c>
      <c r="G227" s="755" t="s">
        <v>1762</v>
      </c>
      <c r="H227" s="755" t="s">
        <v>3655</v>
      </c>
      <c r="I227" s="755" t="s">
        <v>2433</v>
      </c>
      <c r="J227" s="755" t="s">
        <v>3625</v>
      </c>
      <c r="K227" s="755"/>
      <c r="L227" s="761" t="s">
        <v>3628</v>
      </c>
      <c r="M227" s="761" t="s">
        <v>3629</v>
      </c>
      <c r="N227" s="599" t="str">
        <f t="shared" si="3"/>
        <v>genga_dan_event_story_00001_06_start</v>
      </c>
      <c r="O227" s="599" t="str">
        <f t="shared" si="4"/>
        <v>manga_animation_genga_dan_event_story_00001_06_start</v>
      </c>
      <c r="P227" s="753"/>
      <c r="Q227" s="753"/>
      <c r="R227" s="753" t="s">
        <v>3632</v>
      </c>
      <c r="S227" s="754"/>
      <c r="T227" s="754"/>
    </row>
    <row r="228">
      <c r="A228" s="762" t="s">
        <v>3624</v>
      </c>
      <c r="B228" s="755" t="s">
        <v>2458</v>
      </c>
      <c r="C228" s="756" t="s">
        <v>80</v>
      </c>
      <c r="D228" s="750" t="str">
        <f t="array" ref="D228">iferror(INDEX('作品'!D:D,MATCH(C228,'作品'!A:A,0),0),"")</f>
        <v>ダンダダン</v>
      </c>
      <c r="E228" s="423" t="s">
        <v>2459</v>
      </c>
      <c r="F228" s="755" t="s">
        <v>2457</v>
      </c>
      <c r="G228" s="755" t="s">
        <v>1762</v>
      </c>
      <c r="H228" s="755" t="s">
        <v>3655</v>
      </c>
      <c r="I228" s="755" t="s">
        <v>2433</v>
      </c>
      <c r="J228" s="755" t="s">
        <v>3633</v>
      </c>
      <c r="K228" s="755"/>
      <c r="L228" s="761" t="s">
        <v>3628</v>
      </c>
      <c r="M228" s="761" t="s">
        <v>3634</v>
      </c>
      <c r="N228" s="599" t="str">
        <f t="shared" si="3"/>
        <v>genga_dan_event_story_00001_06_victory</v>
      </c>
      <c r="O228" s="599" t="str">
        <f t="shared" si="4"/>
        <v>manga_animation_genga_dan_event_story_00001_06_victory</v>
      </c>
      <c r="P228" s="753"/>
      <c r="Q228" s="753"/>
      <c r="R228" s="753" t="s">
        <v>3632</v>
      </c>
      <c r="S228" s="754"/>
      <c r="T228" s="754"/>
    </row>
    <row r="229">
      <c r="A229" s="762" t="s">
        <v>3624</v>
      </c>
      <c r="B229" s="755" t="s">
        <v>2458</v>
      </c>
      <c r="C229" s="756" t="s">
        <v>80</v>
      </c>
      <c r="D229" s="750" t="str">
        <f t="array" ref="D229">iferror(INDEX('作品'!D:D,MATCH(C229,'作品'!A:A,0),0),"")</f>
        <v>ダンダダン</v>
      </c>
      <c r="E229" s="423" t="s">
        <v>2459</v>
      </c>
      <c r="F229" s="755" t="s">
        <v>2457</v>
      </c>
      <c r="G229" s="755" t="s">
        <v>1762</v>
      </c>
      <c r="H229" s="755" t="s">
        <v>3734</v>
      </c>
      <c r="I229" s="755" t="s">
        <v>2433</v>
      </c>
      <c r="J229" s="755" t="s">
        <v>3625</v>
      </c>
      <c r="K229" s="755"/>
      <c r="L229" s="761" t="s">
        <v>3628</v>
      </c>
      <c r="M229" s="761" t="s">
        <v>3629</v>
      </c>
      <c r="N229" s="599" t="str">
        <f t="shared" si="3"/>
        <v>genga_dan_event_story_00001_07_start</v>
      </c>
      <c r="O229" s="599" t="str">
        <f t="shared" si="4"/>
        <v>manga_animation_genga_dan_event_story_00001_07_start</v>
      </c>
      <c r="P229" s="753"/>
      <c r="Q229" s="753"/>
      <c r="R229" s="753" t="s">
        <v>3632</v>
      </c>
      <c r="S229" s="754"/>
      <c r="T229" s="754"/>
    </row>
    <row r="230">
      <c r="A230" s="762" t="s">
        <v>3624</v>
      </c>
      <c r="B230" s="755" t="s">
        <v>2458</v>
      </c>
      <c r="C230" s="756" t="s">
        <v>80</v>
      </c>
      <c r="D230" s="750" t="str">
        <f t="array" ref="D230">iferror(INDEX('作品'!D:D,MATCH(C230,'作品'!A:A,0),0),"")</f>
        <v>ダンダダン</v>
      </c>
      <c r="E230" s="423" t="s">
        <v>2459</v>
      </c>
      <c r="F230" s="755" t="s">
        <v>2457</v>
      </c>
      <c r="G230" s="755" t="s">
        <v>1762</v>
      </c>
      <c r="H230" s="755" t="s">
        <v>3734</v>
      </c>
      <c r="I230" s="755" t="s">
        <v>2433</v>
      </c>
      <c r="J230" s="755" t="s">
        <v>3633</v>
      </c>
      <c r="K230" s="755"/>
      <c r="L230" s="761" t="s">
        <v>3628</v>
      </c>
      <c r="M230" s="761" t="s">
        <v>3634</v>
      </c>
      <c r="N230" s="599" t="str">
        <f t="shared" si="3"/>
        <v>genga_dan_event_story_00001_07_victory</v>
      </c>
      <c r="O230" s="599" t="str">
        <f t="shared" si="4"/>
        <v>manga_animation_genga_dan_event_story_00001_07_victory</v>
      </c>
      <c r="P230" s="753"/>
      <c r="Q230" s="753"/>
      <c r="R230" s="753" t="s">
        <v>3632</v>
      </c>
      <c r="S230" s="754"/>
      <c r="T230" s="754"/>
    </row>
    <row r="231">
      <c r="A231" s="762" t="s">
        <v>3624</v>
      </c>
      <c r="B231" s="755" t="s">
        <v>2458</v>
      </c>
      <c r="C231" s="756" t="s">
        <v>80</v>
      </c>
      <c r="D231" s="750" t="str">
        <f t="array" ref="D231">iferror(INDEX('作品'!D:D,MATCH(C231,'作品'!A:A,0),0),"")</f>
        <v>ダンダダン</v>
      </c>
      <c r="E231" s="423" t="s">
        <v>2459</v>
      </c>
      <c r="F231" s="755" t="s">
        <v>2457</v>
      </c>
      <c r="G231" s="755" t="s">
        <v>1762</v>
      </c>
      <c r="H231" s="755" t="s">
        <v>3757</v>
      </c>
      <c r="I231" s="755" t="s">
        <v>2433</v>
      </c>
      <c r="J231" s="755" t="s">
        <v>3625</v>
      </c>
      <c r="K231" s="755"/>
      <c r="L231" s="761" t="s">
        <v>3628</v>
      </c>
      <c r="M231" s="761" t="s">
        <v>3629</v>
      </c>
      <c r="N231" s="599" t="str">
        <f t="shared" si="3"/>
        <v>genga_dan_event_story_00001_08_start</v>
      </c>
      <c r="O231" s="599" t="str">
        <f t="shared" si="4"/>
        <v>manga_animation_genga_dan_event_story_00001_08_start</v>
      </c>
      <c r="P231" s="753"/>
      <c r="Q231" s="753"/>
      <c r="R231" s="753" t="s">
        <v>3632</v>
      </c>
      <c r="S231" s="754"/>
      <c r="T231" s="754"/>
    </row>
    <row r="232">
      <c r="A232" s="762" t="s">
        <v>3624</v>
      </c>
      <c r="B232" s="755" t="s">
        <v>2458</v>
      </c>
      <c r="C232" s="756" t="s">
        <v>80</v>
      </c>
      <c r="D232" s="750" t="str">
        <f t="array" ref="D232">iferror(INDEX('作品'!D:D,MATCH(C232,'作品'!A:A,0),0),"")</f>
        <v>ダンダダン</v>
      </c>
      <c r="E232" s="423" t="s">
        <v>2459</v>
      </c>
      <c r="F232" s="755" t="s">
        <v>2457</v>
      </c>
      <c r="G232" s="755" t="s">
        <v>1762</v>
      </c>
      <c r="H232" s="755" t="s">
        <v>3757</v>
      </c>
      <c r="I232" s="755" t="s">
        <v>2433</v>
      </c>
      <c r="J232" s="755" t="s">
        <v>3633</v>
      </c>
      <c r="K232" s="755"/>
      <c r="L232" s="761" t="s">
        <v>3628</v>
      </c>
      <c r="M232" s="761" t="s">
        <v>3634</v>
      </c>
      <c r="N232" s="599" t="str">
        <f t="shared" si="3"/>
        <v>genga_dan_event_story_00001_08_victory</v>
      </c>
      <c r="O232" s="599" t="str">
        <f t="shared" si="4"/>
        <v>manga_animation_genga_dan_event_story_00001_08_victory</v>
      </c>
      <c r="P232" s="753"/>
      <c r="Q232" s="753"/>
      <c r="R232" s="753" t="s">
        <v>3632</v>
      </c>
      <c r="S232" s="754"/>
      <c r="T232" s="754"/>
    </row>
    <row r="233">
      <c r="A233" s="762" t="s">
        <v>3624</v>
      </c>
      <c r="B233" s="755" t="s">
        <v>2458</v>
      </c>
      <c r="C233" s="756" t="s">
        <v>80</v>
      </c>
      <c r="D233" s="750" t="str">
        <f t="array" ref="D233">iferror(INDEX('作品'!D:D,MATCH(C233,'作品'!A:A,0),0),"")</f>
        <v>ダンダダン</v>
      </c>
      <c r="E233" s="423" t="s">
        <v>2459</v>
      </c>
      <c r="F233" s="755" t="s">
        <v>2457</v>
      </c>
      <c r="G233" s="755" t="s">
        <v>3627</v>
      </c>
      <c r="H233" s="755" t="s">
        <v>1762</v>
      </c>
      <c r="I233" s="755" t="s">
        <v>2433</v>
      </c>
      <c r="J233" s="755" t="s">
        <v>3625</v>
      </c>
      <c r="K233" s="755"/>
      <c r="L233" s="761" t="s">
        <v>3628</v>
      </c>
      <c r="M233" s="761" t="s">
        <v>3629</v>
      </c>
      <c r="N233" s="599" t="str">
        <f t="shared" si="3"/>
        <v>genga_dan_event_story_00002_01_start</v>
      </c>
      <c r="O233" s="599" t="str">
        <f t="shared" si="4"/>
        <v>manga_animation_genga_dan_event_story_00002_01_start</v>
      </c>
      <c r="P233" s="753"/>
      <c r="Q233" s="753"/>
      <c r="R233" s="753" t="s">
        <v>3632</v>
      </c>
      <c r="S233" s="754"/>
      <c r="T233" s="754"/>
    </row>
    <row r="234">
      <c r="A234" s="762" t="s">
        <v>3624</v>
      </c>
      <c r="B234" s="755" t="s">
        <v>2458</v>
      </c>
      <c r="C234" s="756" t="s">
        <v>80</v>
      </c>
      <c r="D234" s="750" t="str">
        <f t="array" ref="D234">iferror(INDEX('作品'!D:D,MATCH(C234,'作品'!A:A,0),0),"")</f>
        <v>ダンダダン</v>
      </c>
      <c r="E234" s="423" t="s">
        <v>2459</v>
      </c>
      <c r="F234" s="755" t="s">
        <v>2457</v>
      </c>
      <c r="G234" s="755" t="s">
        <v>3627</v>
      </c>
      <c r="H234" s="755" t="s">
        <v>3627</v>
      </c>
      <c r="I234" s="755" t="s">
        <v>2433</v>
      </c>
      <c r="J234" s="755" t="s">
        <v>3625</v>
      </c>
      <c r="K234" s="755"/>
      <c r="L234" s="761" t="s">
        <v>3628</v>
      </c>
      <c r="M234" s="761" t="s">
        <v>3629</v>
      </c>
      <c r="N234" s="599" t="str">
        <f t="shared" si="3"/>
        <v>genga_dan_event_story_00002_02_start</v>
      </c>
      <c r="O234" s="599" t="str">
        <f t="shared" si="4"/>
        <v>manga_animation_genga_dan_event_story_00002_02_start</v>
      </c>
      <c r="P234" s="753"/>
      <c r="Q234" s="753"/>
      <c r="R234" s="753" t="s">
        <v>3632</v>
      </c>
      <c r="S234" s="754"/>
      <c r="T234" s="754"/>
    </row>
    <row r="235">
      <c r="A235" s="762" t="s">
        <v>3624</v>
      </c>
      <c r="B235" s="755" t="s">
        <v>2458</v>
      </c>
      <c r="C235" s="756" t="s">
        <v>80</v>
      </c>
      <c r="D235" s="750" t="str">
        <f t="array" ref="D235">iferror(INDEX('作品'!D:D,MATCH(C235,'作品'!A:A,0),0),"")</f>
        <v>ダンダダン</v>
      </c>
      <c r="E235" s="423" t="s">
        <v>2459</v>
      </c>
      <c r="F235" s="755" t="s">
        <v>2457</v>
      </c>
      <c r="G235" s="755" t="s">
        <v>3627</v>
      </c>
      <c r="H235" s="755" t="s">
        <v>1588</v>
      </c>
      <c r="I235" s="755" t="s">
        <v>2433</v>
      </c>
      <c r="J235" s="755" t="s">
        <v>3625</v>
      </c>
      <c r="K235" s="755"/>
      <c r="L235" s="761" t="s">
        <v>3628</v>
      </c>
      <c r="M235" s="761" t="s">
        <v>3629</v>
      </c>
      <c r="N235" s="599" t="str">
        <f t="shared" si="3"/>
        <v>genga_dan_event_story_00002_03_start</v>
      </c>
      <c r="O235" s="599" t="str">
        <f t="shared" si="4"/>
        <v>manga_animation_genga_dan_event_story_00002_03_start</v>
      </c>
      <c r="P235" s="753"/>
      <c r="Q235" s="753"/>
      <c r="R235" s="753" t="s">
        <v>3632</v>
      </c>
      <c r="S235" s="754"/>
      <c r="T235" s="754"/>
    </row>
    <row r="236">
      <c r="A236" s="762" t="s">
        <v>3624</v>
      </c>
      <c r="B236" s="755" t="s">
        <v>2458</v>
      </c>
      <c r="C236" s="756" t="s">
        <v>80</v>
      </c>
      <c r="D236" s="750" t="str">
        <f t="array" ref="D236">iferror(INDEX('作品'!D:D,MATCH(C236,'作品'!A:A,0),0),"")</f>
        <v>ダンダダン</v>
      </c>
      <c r="E236" s="423" t="s">
        <v>2459</v>
      </c>
      <c r="F236" s="755" t="s">
        <v>2457</v>
      </c>
      <c r="G236" s="755" t="s">
        <v>3627</v>
      </c>
      <c r="H236" s="755" t="s">
        <v>1588</v>
      </c>
      <c r="I236" s="755" t="s">
        <v>2433</v>
      </c>
      <c r="J236" s="755" t="s">
        <v>3633</v>
      </c>
      <c r="K236" s="755"/>
      <c r="L236" s="761" t="s">
        <v>3628</v>
      </c>
      <c r="M236" s="761" t="s">
        <v>3634</v>
      </c>
      <c r="N236" s="599" t="str">
        <f t="shared" si="3"/>
        <v>genga_dan_event_story_00002_03_victory</v>
      </c>
      <c r="O236" s="599" t="str">
        <f t="shared" si="4"/>
        <v>manga_animation_genga_dan_event_story_00002_03_victory</v>
      </c>
      <c r="P236" s="753"/>
      <c r="Q236" s="753"/>
      <c r="R236" s="753" t="s">
        <v>3632</v>
      </c>
      <c r="S236" s="754"/>
      <c r="T236" s="754"/>
    </row>
    <row r="237">
      <c r="A237" s="762" t="s">
        <v>3624</v>
      </c>
      <c r="B237" s="755" t="s">
        <v>2458</v>
      </c>
      <c r="C237" s="756" t="s">
        <v>80</v>
      </c>
      <c r="D237" s="750" t="str">
        <f t="array" ref="D237">iferror(INDEX('作品'!D:D,MATCH(C237,'作品'!A:A,0),0),"")</f>
        <v>ダンダダン</v>
      </c>
      <c r="E237" s="423" t="s">
        <v>2459</v>
      </c>
      <c r="F237" s="755" t="s">
        <v>2457</v>
      </c>
      <c r="G237" s="755" t="s">
        <v>3627</v>
      </c>
      <c r="H237" s="755" t="s">
        <v>3645</v>
      </c>
      <c r="I237" s="755" t="s">
        <v>2433</v>
      </c>
      <c r="J237" s="755" t="s">
        <v>3625</v>
      </c>
      <c r="K237" s="755"/>
      <c r="L237" s="761" t="s">
        <v>3628</v>
      </c>
      <c r="M237" s="761" t="s">
        <v>3629</v>
      </c>
      <c r="N237" s="599" t="str">
        <f t="shared" si="3"/>
        <v>genga_dan_event_story_00002_04_start</v>
      </c>
      <c r="O237" s="599" t="str">
        <f t="shared" si="4"/>
        <v>manga_animation_genga_dan_event_story_00002_04_start</v>
      </c>
      <c r="P237" s="753"/>
      <c r="Q237" s="753"/>
      <c r="R237" s="753" t="s">
        <v>3632</v>
      </c>
      <c r="S237" s="754"/>
      <c r="T237" s="754"/>
    </row>
    <row r="238">
      <c r="A238" s="762" t="s">
        <v>3624</v>
      </c>
      <c r="B238" s="755" t="s">
        <v>2458</v>
      </c>
      <c r="C238" s="756" t="s">
        <v>80</v>
      </c>
      <c r="D238" s="750" t="str">
        <f t="array" ref="D238">iferror(INDEX('作品'!D:D,MATCH(C238,'作品'!A:A,0),0),"")</f>
        <v>ダンダダン</v>
      </c>
      <c r="E238" s="423" t="s">
        <v>2459</v>
      </c>
      <c r="F238" s="755" t="s">
        <v>2457</v>
      </c>
      <c r="G238" s="755" t="s">
        <v>3627</v>
      </c>
      <c r="H238" s="755" t="s">
        <v>3645</v>
      </c>
      <c r="I238" s="755" t="s">
        <v>2433</v>
      </c>
      <c r="J238" s="755" t="s">
        <v>3633</v>
      </c>
      <c r="K238" s="755"/>
      <c r="L238" s="761" t="s">
        <v>3628</v>
      </c>
      <c r="M238" s="761" t="s">
        <v>3634</v>
      </c>
      <c r="N238" s="599" t="str">
        <f t="shared" si="3"/>
        <v>genga_dan_event_story_00002_04_victory</v>
      </c>
      <c r="O238" s="599" t="str">
        <f t="shared" si="4"/>
        <v>manga_animation_genga_dan_event_story_00002_04_victory</v>
      </c>
      <c r="P238" s="753"/>
      <c r="Q238" s="753"/>
      <c r="R238" s="753" t="s">
        <v>3632</v>
      </c>
      <c r="S238" s="754"/>
      <c r="T238" s="754"/>
    </row>
    <row r="239">
      <c r="A239" s="762" t="s">
        <v>3624</v>
      </c>
      <c r="B239" s="755" t="s">
        <v>2458</v>
      </c>
      <c r="C239" s="756" t="s">
        <v>80</v>
      </c>
      <c r="D239" s="750" t="str">
        <f t="array" ref="D239">iferror(INDEX('作品'!D:D,MATCH(C239,'作品'!A:A,0),0),"")</f>
        <v>ダンダダン</v>
      </c>
      <c r="E239" s="423" t="s">
        <v>2459</v>
      </c>
      <c r="F239" s="755" t="s">
        <v>2457</v>
      </c>
      <c r="G239" s="755" t="s">
        <v>3627</v>
      </c>
      <c r="H239" s="755" t="s">
        <v>3650</v>
      </c>
      <c r="I239" s="755" t="s">
        <v>2433</v>
      </c>
      <c r="J239" s="755" t="s">
        <v>3625</v>
      </c>
      <c r="K239" s="755"/>
      <c r="L239" s="761" t="s">
        <v>3628</v>
      </c>
      <c r="M239" s="761" t="s">
        <v>3629</v>
      </c>
      <c r="N239" s="599" t="str">
        <f t="shared" si="3"/>
        <v>genga_dan_event_story_00002_05_start</v>
      </c>
      <c r="O239" s="599" t="str">
        <f t="shared" si="4"/>
        <v>manga_animation_genga_dan_event_story_00002_05_start</v>
      </c>
      <c r="P239" s="753"/>
      <c r="Q239" s="753"/>
      <c r="R239" s="753" t="s">
        <v>3632</v>
      </c>
      <c r="S239" s="754"/>
      <c r="T239" s="754"/>
    </row>
    <row r="240">
      <c r="A240" s="762" t="s">
        <v>3624</v>
      </c>
      <c r="B240" s="755" t="s">
        <v>2458</v>
      </c>
      <c r="C240" s="756" t="s">
        <v>80</v>
      </c>
      <c r="D240" s="750" t="str">
        <f t="array" ref="D240">iferror(INDEX('作品'!D:D,MATCH(C240,'作品'!A:A,0),0),"")</f>
        <v>ダンダダン</v>
      </c>
      <c r="E240" s="423" t="s">
        <v>2459</v>
      </c>
      <c r="F240" s="755" t="s">
        <v>2457</v>
      </c>
      <c r="G240" s="755" t="s">
        <v>3627</v>
      </c>
      <c r="H240" s="755" t="s">
        <v>3650</v>
      </c>
      <c r="I240" s="755" t="s">
        <v>2433</v>
      </c>
      <c r="J240" s="755" t="s">
        <v>3633</v>
      </c>
      <c r="K240" s="755"/>
      <c r="L240" s="761" t="s">
        <v>3628</v>
      </c>
      <c r="M240" s="761" t="s">
        <v>3634</v>
      </c>
      <c r="N240" s="599" t="str">
        <f t="shared" si="3"/>
        <v>genga_dan_event_story_00002_05_victory</v>
      </c>
      <c r="O240" s="599" t="str">
        <f t="shared" si="4"/>
        <v>manga_animation_genga_dan_event_story_00002_05_victory</v>
      </c>
      <c r="P240" s="753"/>
      <c r="Q240" s="753"/>
      <c r="R240" s="753" t="s">
        <v>3632</v>
      </c>
      <c r="S240" s="754"/>
      <c r="T240" s="754"/>
    </row>
    <row r="241">
      <c r="A241" s="762" t="s">
        <v>3624</v>
      </c>
      <c r="B241" s="755" t="s">
        <v>2458</v>
      </c>
      <c r="C241" s="756" t="s">
        <v>80</v>
      </c>
      <c r="D241" s="750" t="str">
        <f t="array" ref="D241">iferror(INDEX('作品'!D:D,MATCH(C241,'作品'!A:A,0),0),"")</f>
        <v>ダンダダン</v>
      </c>
      <c r="E241" s="423" t="s">
        <v>2459</v>
      </c>
      <c r="F241" s="755" t="s">
        <v>2457</v>
      </c>
      <c r="G241" s="755" t="s">
        <v>3627</v>
      </c>
      <c r="H241" s="755" t="s">
        <v>3655</v>
      </c>
      <c r="I241" s="755" t="s">
        <v>2433</v>
      </c>
      <c r="J241" s="755" t="s">
        <v>3625</v>
      </c>
      <c r="K241" s="755"/>
      <c r="L241" s="761" t="s">
        <v>3628</v>
      </c>
      <c r="M241" s="761" t="s">
        <v>3629</v>
      </c>
      <c r="N241" s="599" t="str">
        <f t="shared" si="3"/>
        <v>genga_dan_event_story_00002_06_start</v>
      </c>
      <c r="O241" s="599" t="str">
        <f t="shared" si="4"/>
        <v>manga_animation_genga_dan_event_story_00002_06_start</v>
      </c>
      <c r="P241" s="753"/>
      <c r="Q241" s="753"/>
      <c r="R241" s="753" t="s">
        <v>3632</v>
      </c>
      <c r="S241" s="754"/>
      <c r="T241" s="754"/>
    </row>
    <row r="242">
      <c r="A242" s="762" t="s">
        <v>3624</v>
      </c>
      <c r="B242" s="755" t="s">
        <v>2458</v>
      </c>
      <c r="C242" s="756" t="s">
        <v>80</v>
      </c>
      <c r="D242" s="750" t="str">
        <f t="array" ref="D242">iferror(INDEX('作品'!D:D,MATCH(C242,'作品'!A:A,0),0),"")</f>
        <v>ダンダダン</v>
      </c>
      <c r="E242" s="423" t="s">
        <v>2459</v>
      </c>
      <c r="F242" s="755" t="s">
        <v>2457</v>
      </c>
      <c r="G242" s="755" t="s">
        <v>3627</v>
      </c>
      <c r="H242" s="755" t="s">
        <v>3655</v>
      </c>
      <c r="I242" s="755" t="s">
        <v>2433</v>
      </c>
      <c r="J242" s="755" t="s">
        <v>3633</v>
      </c>
      <c r="K242" s="755"/>
      <c r="L242" s="761" t="s">
        <v>3628</v>
      </c>
      <c r="M242" s="761" t="s">
        <v>3634</v>
      </c>
      <c r="N242" s="599" t="str">
        <f t="shared" si="3"/>
        <v>genga_dan_event_story_00002_06_victory</v>
      </c>
      <c r="O242" s="599" t="str">
        <f t="shared" si="4"/>
        <v>manga_animation_genga_dan_event_story_00002_06_victory</v>
      </c>
      <c r="P242" s="753"/>
      <c r="Q242" s="753"/>
      <c r="R242" s="753" t="s">
        <v>3632</v>
      </c>
      <c r="S242" s="754"/>
      <c r="T242" s="754"/>
    </row>
    <row r="243">
      <c r="A243" s="762" t="s">
        <v>3624</v>
      </c>
      <c r="B243" s="755" t="s">
        <v>2458</v>
      </c>
      <c r="C243" s="756" t="s">
        <v>80</v>
      </c>
      <c r="D243" s="750" t="str">
        <f t="array" ref="D243">iferror(INDEX('作品'!D:D,MATCH(C243,'作品'!A:A,0),0),"")</f>
        <v>ダンダダン</v>
      </c>
      <c r="E243" s="423" t="s">
        <v>2459</v>
      </c>
      <c r="F243" s="755" t="s">
        <v>2457</v>
      </c>
      <c r="G243" s="755" t="s">
        <v>3627</v>
      </c>
      <c r="H243" s="755" t="s">
        <v>3734</v>
      </c>
      <c r="I243" s="755" t="s">
        <v>2433</v>
      </c>
      <c r="J243" s="755" t="s">
        <v>3625</v>
      </c>
      <c r="K243" s="755"/>
      <c r="L243" s="761" t="s">
        <v>3628</v>
      </c>
      <c r="M243" s="761" t="s">
        <v>3629</v>
      </c>
      <c r="N243" s="599" t="str">
        <f t="shared" si="3"/>
        <v>genga_dan_event_story_00002_07_start</v>
      </c>
      <c r="O243" s="599" t="str">
        <f t="shared" si="4"/>
        <v>manga_animation_genga_dan_event_story_00002_07_start</v>
      </c>
      <c r="P243" s="753"/>
      <c r="Q243" s="753"/>
      <c r="R243" s="753" t="s">
        <v>3632</v>
      </c>
      <c r="S243" s="754"/>
      <c r="T243" s="754"/>
    </row>
    <row r="244">
      <c r="A244" s="762" t="s">
        <v>3624</v>
      </c>
      <c r="B244" s="755" t="s">
        <v>2458</v>
      </c>
      <c r="C244" s="756" t="s">
        <v>80</v>
      </c>
      <c r="D244" s="750" t="str">
        <f t="array" ref="D244">iferror(INDEX('作品'!D:D,MATCH(C244,'作品'!A:A,0),0),"")</f>
        <v>ダンダダン</v>
      </c>
      <c r="E244" s="423" t="s">
        <v>2459</v>
      </c>
      <c r="F244" s="755" t="s">
        <v>2457</v>
      </c>
      <c r="G244" s="755" t="s">
        <v>3627</v>
      </c>
      <c r="H244" s="755" t="s">
        <v>3734</v>
      </c>
      <c r="I244" s="755" t="s">
        <v>2433</v>
      </c>
      <c r="J244" s="755" t="s">
        <v>3633</v>
      </c>
      <c r="K244" s="755"/>
      <c r="L244" s="761" t="s">
        <v>3628</v>
      </c>
      <c r="M244" s="761" t="s">
        <v>3634</v>
      </c>
      <c r="N244" s="599" t="str">
        <f t="shared" si="3"/>
        <v>genga_dan_event_story_00002_07_victory</v>
      </c>
      <c r="O244" s="599" t="str">
        <f t="shared" si="4"/>
        <v>manga_animation_genga_dan_event_story_00002_07_victory</v>
      </c>
      <c r="P244" s="753"/>
      <c r="Q244" s="753"/>
      <c r="R244" s="753" t="s">
        <v>3632</v>
      </c>
      <c r="S244" s="754"/>
      <c r="T244" s="754"/>
    </row>
    <row r="245">
      <c r="A245" s="762" t="s">
        <v>3624</v>
      </c>
      <c r="B245" s="755" t="s">
        <v>2458</v>
      </c>
      <c r="C245" s="756" t="s">
        <v>80</v>
      </c>
      <c r="D245" s="750" t="str">
        <f t="array" ref="D245">iferror(INDEX('作品'!D:D,MATCH(C245,'作品'!A:A,0),0),"")</f>
        <v>ダンダダン</v>
      </c>
      <c r="E245" s="423" t="s">
        <v>2459</v>
      </c>
      <c r="F245" s="755" t="s">
        <v>2457</v>
      </c>
      <c r="G245" s="755" t="s">
        <v>3627</v>
      </c>
      <c r="H245" s="755" t="s">
        <v>3757</v>
      </c>
      <c r="I245" s="755" t="s">
        <v>2433</v>
      </c>
      <c r="J245" s="755" t="s">
        <v>3625</v>
      </c>
      <c r="K245" s="755"/>
      <c r="L245" s="761" t="s">
        <v>3628</v>
      </c>
      <c r="M245" s="761" t="s">
        <v>3629</v>
      </c>
      <c r="N245" s="599" t="str">
        <f t="shared" si="3"/>
        <v>genga_dan_event_story_00002_08_start</v>
      </c>
      <c r="O245" s="599" t="str">
        <f t="shared" si="4"/>
        <v>manga_animation_genga_dan_event_story_00002_08_start</v>
      </c>
      <c r="P245" s="753"/>
      <c r="Q245" s="753"/>
      <c r="R245" s="753" t="s">
        <v>3632</v>
      </c>
      <c r="S245" s="754"/>
      <c r="T245" s="754"/>
    </row>
    <row r="246">
      <c r="A246" s="762" t="s">
        <v>3624</v>
      </c>
      <c r="B246" s="755" t="s">
        <v>2458</v>
      </c>
      <c r="C246" s="756" t="s">
        <v>80</v>
      </c>
      <c r="D246" s="750" t="str">
        <f t="array" ref="D246">iferror(INDEX('作品'!D:D,MATCH(C246,'作品'!A:A,0),0),"")</f>
        <v>ダンダダン</v>
      </c>
      <c r="E246" s="423" t="s">
        <v>2459</v>
      </c>
      <c r="F246" s="755" t="s">
        <v>2457</v>
      </c>
      <c r="G246" s="755" t="s">
        <v>3627</v>
      </c>
      <c r="H246" s="755" t="s">
        <v>3757</v>
      </c>
      <c r="I246" s="755" t="s">
        <v>2433</v>
      </c>
      <c r="J246" s="755" t="s">
        <v>3633</v>
      </c>
      <c r="K246" s="755"/>
      <c r="L246" s="761" t="s">
        <v>3628</v>
      </c>
      <c r="M246" s="761" t="s">
        <v>3634</v>
      </c>
      <c r="N246" s="599" t="str">
        <f t="shared" si="3"/>
        <v>genga_dan_event_story_00002_08_victory</v>
      </c>
      <c r="O246" s="599" t="str">
        <f t="shared" si="4"/>
        <v>manga_animation_genga_dan_event_story_00002_08_victory</v>
      </c>
      <c r="P246" s="753"/>
      <c r="Q246" s="753"/>
      <c r="R246" s="753" t="s">
        <v>3632</v>
      </c>
      <c r="S246" s="754"/>
      <c r="T246" s="754"/>
    </row>
    <row r="247">
      <c r="A247" s="762" t="s">
        <v>3624</v>
      </c>
      <c r="B247" s="755" t="s">
        <v>2458</v>
      </c>
      <c r="C247" s="756" t="s">
        <v>98</v>
      </c>
      <c r="D247" s="750" t="str">
        <f t="array" ref="D247">iferror(INDEX('作品'!D:D,MATCH(C247,'作品'!A:A,0),0),"")</f>
        <v>株式会社マジルミエ</v>
      </c>
      <c r="E247" s="423" t="s">
        <v>2459</v>
      </c>
      <c r="F247" s="755" t="s">
        <v>2449</v>
      </c>
      <c r="G247" s="755" t="s">
        <v>1762</v>
      </c>
      <c r="H247" s="755" t="s">
        <v>1762</v>
      </c>
      <c r="I247" s="755" t="s">
        <v>2433</v>
      </c>
      <c r="J247" s="755" t="s">
        <v>3625</v>
      </c>
      <c r="K247" s="755"/>
      <c r="L247" s="761" t="s">
        <v>3628</v>
      </c>
      <c r="M247" s="761" t="s">
        <v>3629</v>
      </c>
      <c r="N247" s="599" t="str">
        <f t="shared" si="3"/>
        <v>genga_mag_event_1day_00001_01_start</v>
      </c>
      <c r="O247" s="599" t="str">
        <f t="shared" si="4"/>
        <v>manga_animation_genga_mag_event_1day_00001_01_start</v>
      </c>
      <c r="P247" s="753"/>
      <c r="Q247" s="753"/>
      <c r="R247" s="753" t="s">
        <v>3632</v>
      </c>
      <c r="S247" s="754"/>
      <c r="T247" s="754"/>
    </row>
    <row r="248">
      <c r="A248" s="762" t="s">
        <v>3624</v>
      </c>
      <c r="B248" s="755" t="s">
        <v>2458</v>
      </c>
      <c r="C248" s="756" t="s">
        <v>98</v>
      </c>
      <c r="D248" s="750" t="str">
        <f t="array" ref="D248">iferror(INDEX('作品'!D:D,MATCH(C248,'作品'!A:A,0),0),"")</f>
        <v>株式会社マジルミエ</v>
      </c>
      <c r="E248" s="423" t="s">
        <v>2459</v>
      </c>
      <c r="F248" s="755" t="s">
        <v>2462</v>
      </c>
      <c r="G248" s="755" t="s">
        <v>1762</v>
      </c>
      <c r="H248" s="755" t="s">
        <v>1762</v>
      </c>
      <c r="I248" s="755" t="s">
        <v>2433</v>
      </c>
      <c r="J248" s="755" t="s">
        <v>3656</v>
      </c>
      <c r="K248" s="755" t="s">
        <v>3762</v>
      </c>
      <c r="L248" s="761" t="s">
        <v>3628</v>
      </c>
      <c r="M248" s="761" t="s">
        <v>3658</v>
      </c>
      <c r="N248" s="599" t="str">
        <f t="shared" si="3"/>
        <v>genga_mag_event_challenge_00001_01_appear</v>
      </c>
      <c r="O248" s="599" t="str">
        <f t="shared" si="4"/>
        <v>manga_animation_genga_mag_event_challenge_00001_01_appear</v>
      </c>
      <c r="P248" s="753"/>
      <c r="Q248" s="753"/>
      <c r="R248" s="753" t="s">
        <v>3632</v>
      </c>
      <c r="S248" s="754"/>
      <c r="T248" s="754"/>
    </row>
    <row r="249">
      <c r="A249" s="762" t="s">
        <v>3624</v>
      </c>
      <c r="B249" s="755" t="s">
        <v>2458</v>
      </c>
      <c r="C249" s="756" t="s">
        <v>98</v>
      </c>
      <c r="D249" s="750" t="str">
        <f t="array" ref="D249">iferror(INDEX('作品'!D:D,MATCH(C249,'作品'!A:A,0),0),"")</f>
        <v>株式会社マジルミエ</v>
      </c>
      <c r="E249" s="423" t="s">
        <v>2459</v>
      </c>
      <c r="F249" s="755" t="s">
        <v>2462</v>
      </c>
      <c r="G249" s="755" t="s">
        <v>1762</v>
      </c>
      <c r="H249" s="755" t="s">
        <v>3627</v>
      </c>
      <c r="I249" s="755" t="s">
        <v>2433</v>
      </c>
      <c r="J249" s="755" t="s">
        <v>3656</v>
      </c>
      <c r="K249" s="755" t="s">
        <v>3763</v>
      </c>
      <c r="L249" s="761" t="s">
        <v>3628</v>
      </c>
      <c r="M249" s="761" t="s">
        <v>3658</v>
      </c>
      <c r="N249" s="599" t="str">
        <f t="shared" si="3"/>
        <v>genga_mag_event_challenge_00001_02_appear</v>
      </c>
      <c r="O249" s="599" t="str">
        <f t="shared" si="4"/>
        <v>manga_animation_genga_mag_event_challenge_00001_02_appear</v>
      </c>
      <c r="P249" s="753"/>
      <c r="Q249" s="753"/>
      <c r="R249" s="753" t="s">
        <v>3632</v>
      </c>
      <c r="S249" s="754"/>
      <c r="T249" s="754"/>
    </row>
    <row r="250">
      <c r="A250" s="762" t="s">
        <v>3624</v>
      </c>
      <c r="B250" s="755" t="s">
        <v>2458</v>
      </c>
      <c r="C250" s="756" t="s">
        <v>98</v>
      </c>
      <c r="D250" s="750" t="str">
        <f t="array" ref="D250">iferror(INDEX('作品'!D:D,MATCH(C250,'作品'!A:A,0),0),"")</f>
        <v>株式会社マジルミエ</v>
      </c>
      <c r="E250" s="423" t="s">
        <v>2459</v>
      </c>
      <c r="F250" s="755" t="s">
        <v>2462</v>
      </c>
      <c r="G250" s="755" t="s">
        <v>1762</v>
      </c>
      <c r="H250" s="755" t="s">
        <v>1588</v>
      </c>
      <c r="I250" s="755" t="s">
        <v>2433</v>
      </c>
      <c r="J250" s="755" t="s">
        <v>3656</v>
      </c>
      <c r="K250" s="755" t="s">
        <v>3750</v>
      </c>
      <c r="L250" s="761" t="s">
        <v>3628</v>
      </c>
      <c r="M250" s="761" t="s">
        <v>3658</v>
      </c>
      <c r="N250" s="599" t="str">
        <f t="shared" si="3"/>
        <v>genga_mag_event_challenge_00001_03_appear</v>
      </c>
      <c r="O250" s="599" t="str">
        <f t="shared" si="4"/>
        <v>manga_animation_genga_mag_event_challenge_00001_03_appear</v>
      </c>
      <c r="P250" s="753"/>
      <c r="Q250" s="753"/>
      <c r="R250" s="753" t="s">
        <v>3632</v>
      </c>
      <c r="S250" s="754"/>
      <c r="T250" s="754"/>
    </row>
    <row r="251">
      <c r="A251" s="762" t="s">
        <v>3624</v>
      </c>
      <c r="B251" s="755" t="s">
        <v>2458</v>
      </c>
      <c r="C251" s="756" t="s">
        <v>98</v>
      </c>
      <c r="D251" s="750" t="str">
        <f t="array" ref="D251">iferror(INDEX('作品'!D:D,MATCH(C251,'作品'!A:A,0),0),"")</f>
        <v>株式会社マジルミエ</v>
      </c>
      <c r="E251" s="423" t="s">
        <v>2459</v>
      </c>
      <c r="F251" s="755" t="s">
        <v>2462</v>
      </c>
      <c r="G251" s="755" t="s">
        <v>1762</v>
      </c>
      <c r="H251" s="755" t="s">
        <v>3645</v>
      </c>
      <c r="I251" s="755" t="s">
        <v>2433</v>
      </c>
      <c r="J251" s="755" t="s">
        <v>3656</v>
      </c>
      <c r="K251" s="755" t="s">
        <v>3764</v>
      </c>
      <c r="L251" s="761" t="s">
        <v>3628</v>
      </c>
      <c r="M251" s="761" t="s">
        <v>3658</v>
      </c>
      <c r="N251" s="599" t="str">
        <f t="shared" si="3"/>
        <v>genga_mag_event_challenge_00001_04_appear</v>
      </c>
      <c r="O251" s="599" t="str">
        <f t="shared" si="4"/>
        <v>manga_animation_genga_mag_event_challenge_00001_04_appear</v>
      </c>
      <c r="P251" s="753"/>
      <c r="Q251" s="753"/>
      <c r="R251" s="753" t="s">
        <v>3632</v>
      </c>
      <c r="S251" s="754"/>
      <c r="T251" s="754"/>
    </row>
    <row r="252">
      <c r="A252" s="762" t="s">
        <v>3624</v>
      </c>
      <c r="B252" s="755" t="s">
        <v>2458</v>
      </c>
      <c r="C252" s="756" t="s">
        <v>98</v>
      </c>
      <c r="D252" s="750" t="str">
        <f t="array" ref="D252">iferror(INDEX('作品'!D:D,MATCH(C252,'作品'!A:A,0),0),"")</f>
        <v>株式会社マジルミエ</v>
      </c>
      <c r="E252" s="423" t="s">
        <v>2459</v>
      </c>
      <c r="F252" s="755" t="s">
        <v>2464</v>
      </c>
      <c r="G252" s="755" t="s">
        <v>1762</v>
      </c>
      <c r="H252" s="755" t="s">
        <v>1762</v>
      </c>
      <c r="I252" s="755" t="s">
        <v>2433</v>
      </c>
      <c r="J252" s="755" t="s">
        <v>3625</v>
      </c>
      <c r="K252" s="755"/>
      <c r="L252" s="761" t="s">
        <v>3628</v>
      </c>
      <c r="M252" s="761" t="s">
        <v>3629</v>
      </c>
      <c r="N252" s="599" t="str">
        <f t="shared" si="3"/>
        <v>genga_mag_event_savage_00001_01_start</v>
      </c>
      <c r="O252" s="599" t="str">
        <f t="shared" si="4"/>
        <v>manga_animation_genga_mag_event_savage_00001_01_start</v>
      </c>
      <c r="P252" s="753"/>
      <c r="Q252" s="753"/>
      <c r="R252" s="753" t="s">
        <v>3632</v>
      </c>
      <c r="S252" s="754"/>
      <c r="T252" s="754"/>
    </row>
    <row r="253">
      <c r="A253" s="762" t="s">
        <v>3624</v>
      </c>
      <c r="B253" s="755" t="s">
        <v>2458</v>
      </c>
      <c r="C253" s="756" t="s">
        <v>98</v>
      </c>
      <c r="D253" s="750" t="str">
        <f t="array" ref="D253">iferror(INDEX('作品'!D:D,MATCH(C253,'作品'!A:A,0),0),"")</f>
        <v>株式会社マジルミエ</v>
      </c>
      <c r="E253" s="423" t="s">
        <v>2459</v>
      </c>
      <c r="F253" s="755" t="s">
        <v>2464</v>
      </c>
      <c r="G253" s="755" t="s">
        <v>1762</v>
      </c>
      <c r="H253" s="755" t="s">
        <v>3627</v>
      </c>
      <c r="I253" s="755" t="s">
        <v>2433</v>
      </c>
      <c r="J253" s="755" t="s">
        <v>3625</v>
      </c>
      <c r="K253" s="755"/>
      <c r="L253" s="761" t="s">
        <v>3628</v>
      </c>
      <c r="M253" s="761" t="s">
        <v>3629</v>
      </c>
      <c r="N253" s="599" t="str">
        <f t="shared" si="3"/>
        <v>genga_mag_event_savage_00001_02_start</v>
      </c>
      <c r="O253" s="599" t="str">
        <f t="shared" si="4"/>
        <v>manga_animation_genga_mag_event_savage_00001_02_start</v>
      </c>
      <c r="P253" s="753"/>
      <c r="Q253" s="753"/>
      <c r="R253" s="753" t="s">
        <v>3632</v>
      </c>
      <c r="S253" s="754"/>
      <c r="T253" s="754"/>
    </row>
    <row r="254">
      <c r="A254" s="762" t="s">
        <v>3624</v>
      </c>
      <c r="B254" s="755" t="s">
        <v>2458</v>
      </c>
      <c r="C254" s="756" t="s">
        <v>98</v>
      </c>
      <c r="D254" s="750" t="str">
        <f t="array" ref="D254">iferror(INDEX('作品'!D:D,MATCH(C254,'作品'!A:A,0),0),"")</f>
        <v>株式会社マジルミエ</v>
      </c>
      <c r="E254" s="423" t="s">
        <v>2459</v>
      </c>
      <c r="F254" s="755" t="s">
        <v>2457</v>
      </c>
      <c r="G254" s="755" t="s">
        <v>1762</v>
      </c>
      <c r="H254" s="755" t="s">
        <v>1762</v>
      </c>
      <c r="I254" s="755" t="s">
        <v>2433</v>
      </c>
      <c r="J254" s="755" t="s">
        <v>3625</v>
      </c>
      <c r="K254" s="755"/>
      <c r="L254" s="761" t="s">
        <v>3628</v>
      </c>
      <c r="M254" s="761" t="s">
        <v>3629</v>
      </c>
      <c r="N254" s="599" t="str">
        <f t="shared" si="3"/>
        <v>genga_mag_event_story_00001_01_start</v>
      </c>
      <c r="O254" s="599" t="str">
        <f t="shared" si="4"/>
        <v>manga_animation_genga_mag_event_story_00001_01_start</v>
      </c>
      <c r="P254" s="753"/>
      <c r="Q254" s="753"/>
      <c r="R254" s="753" t="s">
        <v>3632</v>
      </c>
      <c r="S254" s="754"/>
      <c r="T254" s="754"/>
    </row>
    <row r="255">
      <c r="A255" s="762" t="s">
        <v>3624</v>
      </c>
      <c r="B255" s="755" t="s">
        <v>2458</v>
      </c>
      <c r="C255" s="756" t="s">
        <v>98</v>
      </c>
      <c r="D255" s="750" t="str">
        <f t="array" ref="D255">iferror(INDEX('作品'!D:D,MATCH(C255,'作品'!A:A,0),0),"")</f>
        <v>株式会社マジルミエ</v>
      </c>
      <c r="E255" s="423" t="s">
        <v>2459</v>
      </c>
      <c r="F255" s="755" t="s">
        <v>2457</v>
      </c>
      <c r="G255" s="755" t="s">
        <v>1762</v>
      </c>
      <c r="H255" s="755" t="s">
        <v>1762</v>
      </c>
      <c r="I255" s="755" t="s">
        <v>2433</v>
      </c>
      <c r="J255" s="755" t="s">
        <v>3633</v>
      </c>
      <c r="K255" s="755"/>
      <c r="L255" s="761" t="s">
        <v>3628</v>
      </c>
      <c r="M255" s="761" t="s">
        <v>3634</v>
      </c>
      <c r="N255" s="599" t="str">
        <f t="shared" si="3"/>
        <v>genga_mag_event_story_00001_01_victory</v>
      </c>
      <c r="O255" s="599" t="str">
        <f t="shared" si="4"/>
        <v>manga_animation_genga_mag_event_story_00001_01_victory</v>
      </c>
      <c r="P255" s="753"/>
      <c r="Q255" s="753"/>
      <c r="R255" s="753" t="s">
        <v>3632</v>
      </c>
      <c r="S255" s="754"/>
      <c r="T255" s="754"/>
    </row>
    <row r="256">
      <c r="A256" s="762" t="s">
        <v>3624</v>
      </c>
      <c r="B256" s="755" t="s">
        <v>2458</v>
      </c>
      <c r="C256" s="756" t="s">
        <v>98</v>
      </c>
      <c r="D256" s="750" t="str">
        <f t="array" ref="D256">iferror(INDEX('作品'!D:D,MATCH(C256,'作品'!A:A,0),0),"")</f>
        <v>株式会社マジルミエ</v>
      </c>
      <c r="E256" s="423" t="s">
        <v>2459</v>
      </c>
      <c r="F256" s="755" t="s">
        <v>2457</v>
      </c>
      <c r="G256" s="755" t="s">
        <v>1762</v>
      </c>
      <c r="H256" s="755" t="s">
        <v>3627</v>
      </c>
      <c r="I256" s="755" t="s">
        <v>2433</v>
      </c>
      <c r="J256" s="755" t="s">
        <v>3625</v>
      </c>
      <c r="K256" s="755"/>
      <c r="L256" s="761" t="s">
        <v>3628</v>
      </c>
      <c r="M256" s="761" t="s">
        <v>3629</v>
      </c>
      <c r="N256" s="599" t="str">
        <f t="shared" si="3"/>
        <v>genga_mag_event_story_00001_02_start</v>
      </c>
      <c r="O256" s="599" t="str">
        <f t="shared" si="4"/>
        <v>manga_animation_genga_mag_event_story_00001_02_start</v>
      </c>
      <c r="P256" s="753"/>
      <c r="Q256" s="753"/>
      <c r="R256" s="753" t="s">
        <v>3632</v>
      </c>
      <c r="S256" s="754"/>
      <c r="T256" s="754"/>
    </row>
    <row r="257">
      <c r="A257" s="762" t="s">
        <v>3624</v>
      </c>
      <c r="B257" s="755" t="s">
        <v>2458</v>
      </c>
      <c r="C257" s="756" t="s">
        <v>98</v>
      </c>
      <c r="D257" s="750" t="str">
        <f t="array" ref="D257">iferror(INDEX('作品'!D:D,MATCH(C257,'作品'!A:A,0),0),"")</f>
        <v>株式会社マジルミエ</v>
      </c>
      <c r="E257" s="423" t="s">
        <v>2459</v>
      </c>
      <c r="F257" s="755" t="s">
        <v>2457</v>
      </c>
      <c r="G257" s="755" t="s">
        <v>1762</v>
      </c>
      <c r="H257" s="755" t="s">
        <v>3627</v>
      </c>
      <c r="I257" s="755" t="s">
        <v>2433</v>
      </c>
      <c r="J257" s="755" t="s">
        <v>3633</v>
      </c>
      <c r="K257" s="755"/>
      <c r="L257" s="761" t="s">
        <v>3628</v>
      </c>
      <c r="M257" s="761" t="s">
        <v>3634</v>
      </c>
      <c r="N257" s="599" t="str">
        <f t="shared" si="3"/>
        <v>genga_mag_event_story_00001_02_victory</v>
      </c>
      <c r="O257" s="599" t="str">
        <f t="shared" si="4"/>
        <v>manga_animation_genga_mag_event_story_00001_02_victory</v>
      </c>
      <c r="P257" s="753"/>
      <c r="Q257" s="753"/>
      <c r="R257" s="753" t="s">
        <v>3632</v>
      </c>
      <c r="S257" s="754"/>
      <c r="T257" s="754"/>
    </row>
    <row r="258">
      <c r="A258" s="762" t="s">
        <v>3624</v>
      </c>
      <c r="B258" s="755" t="s">
        <v>2458</v>
      </c>
      <c r="C258" s="756" t="s">
        <v>98</v>
      </c>
      <c r="D258" s="750" t="str">
        <f t="array" ref="D258">iferror(INDEX('作品'!D:D,MATCH(C258,'作品'!A:A,0),0),"")</f>
        <v>株式会社マジルミエ</v>
      </c>
      <c r="E258" s="423" t="s">
        <v>2459</v>
      </c>
      <c r="F258" s="755" t="s">
        <v>2457</v>
      </c>
      <c r="G258" s="755" t="s">
        <v>1762</v>
      </c>
      <c r="H258" s="755" t="s">
        <v>1588</v>
      </c>
      <c r="I258" s="755" t="s">
        <v>2433</v>
      </c>
      <c r="J258" s="755" t="s">
        <v>3625</v>
      </c>
      <c r="K258" s="755"/>
      <c r="L258" s="761" t="s">
        <v>3628</v>
      </c>
      <c r="M258" s="761" t="s">
        <v>3629</v>
      </c>
      <c r="N258" s="599" t="str">
        <f t="shared" si="3"/>
        <v>genga_mag_event_story_00001_03_start</v>
      </c>
      <c r="O258" s="599" t="str">
        <f t="shared" si="4"/>
        <v>manga_animation_genga_mag_event_story_00001_03_start</v>
      </c>
      <c r="P258" s="753"/>
      <c r="Q258" s="753"/>
      <c r="R258" s="753" t="s">
        <v>3632</v>
      </c>
      <c r="S258" s="754"/>
      <c r="T258" s="754"/>
    </row>
    <row r="259">
      <c r="A259" s="762" t="s">
        <v>3624</v>
      </c>
      <c r="B259" s="755" t="s">
        <v>2458</v>
      </c>
      <c r="C259" s="756" t="s">
        <v>98</v>
      </c>
      <c r="D259" s="750" t="str">
        <f t="array" ref="D259">iferror(INDEX('作品'!D:D,MATCH(C259,'作品'!A:A,0),0),"")</f>
        <v>株式会社マジルミエ</v>
      </c>
      <c r="E259" s="423" t="s">
        <v>2459</v>
      </c>
      <c r="F259" s="755" t="s">
        <v>2457</v>
      </c>
      <c r="G259" s="755" t="s">
        <v>1762</v>
      </c>
      <c r="H259" s="755" t="s">
        <v>1588</v>
      </c>
      <c r="I259" s="755" t="s">
        <v>2433</v>
      </c>
      <c r="J259" s="755" t="s">
        <v>3633</v>
      </c>
      <c r="K259" s="755"/>
      <c r="L259" s="761" t="s">
        <v>3628</v>
      </c>
      <c r="M259" s="761" t="s">
        <v>3634</v>
      </c>
      <c r="N259" s="599" t="str">
        <f t="shared" si="3"/>
        <v>genga_mag_event_story_00001_03_victory</v>
      </c>
      <c r="O259" s="599" t="str">
        <f t="shared" si="4"/>
        <v>manga_animation_genga_mag_event_story_00001_03_victory</v>
      </c>
      <c r="P259" s="753"/>
      <c r="Q259" s="753"/>
      <c r="R259" s="753" t="s">
        <v>3632</v>
      </c>
      <c r="S259" s="754"/>
      <c r="T259" s="754"/>
    </row>
    <row r="260">
      <c r="A260" s="762" t="s">
        <v>3624</v>
      </c>
      <c r="B260" s="755" t="s">
        <v>2458</v>
      </c>
      <c r="C260" s="756" t="s">
        <v>98</v>
      </c>
      <c r="D260" s="750" t="str">
        <f t="array" ref="D260">iferror(INDEX('作品'!D:D,MATCH(C260,'作品'!A:A,0),0),"")</f>
        <v>株式会社マジルミエ</v>
      </c>
      <c r="E260" s="423" t="s">
        <v>2459</v>
      </c>
      <c r="F260" s="755" t="s">
        <v>2457</v>
      </c>
      <c r="G260" s="755" t="s">
        <v>1762</v>
      </c>
      <c r="H260" s="755" t="s">
        <v>3645</v>
      </c>
      <c r="I260" s="755" t="s">
        <v>2433</v>
      </c>
      <c r="J260" s="755" t="s">
        <v>3625</v>
      </c>
      <c r="K260" s="755"/>
      <c r="L260" s="761" t="s">
        <v>3628</v>
      </c>
      <c r="M260" s="761" t="s">
        <v>3629</v>
      </c>
      <c r="N260" s="599" t="str">
        <f t="shared" si="3"/>
        <v>genga_mag_event_story_00001_04_start</v>
      </c>
      <c r="O260" s="599" t="str">
        <f t="shared" si="4"/>
        <v>manga_animation_genga_mag_event_story_00001_04_start</v>
      </c>
      <c r="P260" s="753"/>
      <c r="Q260" s="753"/>
      <c r="R260" s="753" t="s">
        <v>3632</v>
      </c>
      <c r="S260" s="754"/>
      <c r="T260" s="754"/>
    </row>
    <row r="261">
      <c r="A261" s="762" t="s">
        <v>3624</v>
      </c>
      <c r="B261" s="755" t="s">
        <v>2458</v>
      </c>
      <c r="C261" s="756" t="s">
        <v>98</v>
      </c>
      <c r="D261" s="750" t="str">
        <f t="array" ref="D261">iferror(INDEX('作品'!D:D,MATCH(C261,'作品'!A:A,0),0),"")</f>
        <v>株式会社マジルミエ</v>
      </c>
      <c r="E261" s="423" t="s">
        <v>2459</v>
      </c>
      <c r="F261" s="755" t="s">
        <v>2457</v>
      </c>
      <c r="G261" s="755" t="s">
        <v>1762</v>
      </c>
      <c r="H261" s="755" t="s">
        <v>3645</v>
      </c>
      <c r="I261" s="755" t="s">
        <v>2433</v>
      </c>
      <c r="J261" s="755" t="s">
        <v>3633</v>
      </c>
      <c r="K261" s="755"/>
      <c r="L261" s="761" t="s">
        <v>3628</v>
      </c>
      <c r="M261" s="761" t="s">
        <v>3634</v>
      </c>
      <c r="N261" s="599" t="str">
        <f t="shared" si="3"/>
        <v>genga_mag_event_story_00001_04_victory</v>
      </c>
      <c r="O261" s="599" t="str">
        <f t="shared" si="4"/>
        <v>manga_animation_genga_mag_event_story_00001_04_victory</v>
      </c>
      <c r="P261" s="753"/>
      <c r="Q261" s="753"/>
      <c r="R261" s="753" t="s">
        <v>3632</v>
      </c>
      <c r="S261" s="754"/>
      <c r="T261" s="754"/>
    </row>
    <row r="262">
      <c r="A262" s="762" t="s">
        <v>3624</v>
      </c>
      <c r="B262" s="755" t="s">
        <v>2458</v>
      </c>
      <c r="C262" s="756" t="s">
        <v>98</v>
      </c>
      <c r="D262" s="750" t="str">
        <f t="array" ref="D262">iferror(INDEX('作品'!D:D,MATCH(C262,'作品'!A:A,0),0),"")</f>
        <v>株式会社マジルミエ</v>
      </c>
      <c r="E262" s="423" t="s">
        <v>2459</v>
      </c>
      <c r="F262" s="755" t="s">
        <v>2457</v>
      </c>
      <c r="G262" s="755" t="s">
        <v>1762</v>
      </c>
      <c r="H262" s="755" t="s">
        <v>3650</v>
      </c>
      <c r="I262" s="755" t="s">
        <v>2433</v>
      </c>
      <c r="J262" s="755" t="s">
        <v>3625</v>
      </c>
      <c r="K262" s="755"/>
      <c r="L262" s="761" t="s">
        <v>3628</v>
      </c>
      <c r="M262" s="761" t="s">
        <v>3629</v>
      </c>
      <c r="N262" s="599" t="str">
        <f t="shared" si="3"/>
        <v>genga_mag_event_story_00001_05_start</v>
      </c>
      <c r="O262" s="599" t="str">
        <f t="shared" si="4"/>
        <v>manga_animation_genga_mag_event_story_00001_05_start</v>
      </c>
      <c r="P262" s="753"/>
      <c r="Q262" s="753"/>
      <c r="R262" s="753" t="s">
        <v>3632</v>
      </c>
      <c r="S262" s="754"/>
      <c r="T262" s="754"/>
    </row>
    <row r="263">
      <c r="A263" s="762" t="s">
        <v>3624</v>
      </c>
      <c r="B263" s="755" t="s">
        <v>2458</v>
      </c>
      <c r="C263" s="756" t="s">
        <v>98</v>
      </c>
      <c r="D263" s="750" t="str">
        <f t="array" ref="D263">iferror(INDEX('作品'!D:D,MATCH(C263,'作品'!A:A,0),0),"")</f>
        <v>株式会社マジルミエ</v>
      </c>
      <c r="E263" s="423" t="s">
        <v>2459</v>
      </c>
      <c r="F263" s="755" t="s">
        <v>2457</v>
      </c>
      <c r="G263" s="755" t="s">
        <v>1762</v>
      </c>
      <c r="H263" s="755" t="s">
        <v>3655</v>
      </c>
      <c r="I263" s="755" t="s">
        <v>2433</v>
      </c>
      <c r="J263" s="755" t="s">
        <v>3625</v>
      </c>
      <c r="K263" s="755"/>
      <c r="L263" s="761" t="s">
        <v>3628</v>
      </c>
      <c r="M263" s="761" t="s">
        <v>3629</v>
      </c>
      <c r="N263" s="599" t="str">
        <f t="shared" si="3"/>
        <v>genga_mag_event_story_00001_06_start</v>
      </c>
      <c r="O263" s="599" t="str">
        <f t="shared" si="4"/>
        <v>manga_animation_genga_mag_event_story_00001_06_start</v>
      </c>
      <c r="P263" s="753"/>
      <c r="Q263" s="753"/>
      <c r="R263" s="753" t="s">
        <v>3632</v>
      </c>
      <c r="S263" s="754"/>
      <c r="T263" s="754"/>
    </row>
    <row r="264">
      <c r="A264" s="762" t="s">
        <v>3624</v>
      </c>
      <c r="B264" s="755" t="s">
        <v>2458</v>
      </c>
      <c r="C264" s="756" t="s">
        <v>98</v>
      </c>
      <c r="D264" s="750" t="str">
        <f t="array" ref="D264">iferror(INDEX('作品'!D:D,MATCH(C264,'作品'!A:A,0),0),"")</f>
        <v>株式会社マジルミエ</v>
      </c>
      <c r="E264" s="423" t="s">
        <v>2459</v>
      </c>
      <c r="F264" s="755" t="s">
        <v>2457</v>
      </c>
      <c r="G264" s="755" t="s">
        <v>1762</v>
      </c>
      <c r="H264" s="755" t="s">
        <v>3655</v>
      </c>
      <c r="I264" s="755" t="s">
        <v>2433</v>
      </c>
      <c r="J264" s="755" t="s">
        <v>3633</v>
      </c>
      <c r="K264" s="755"/>
      <c r="L264" s="761" t="s">
        <v>3628</v>
      </c>
      <c r="M264" s="761" t="s">
        <v>3634</v>
      </c>
      <c r="N264" s="599" t="str">
        <f t="shared" si="3"/>
        <v>genga_mag_event_story_00001_06_victory</v>
      </c>
      <c r="O264" s="599" t="str">
        <f t="shared" si="4"/>
        <v>manga_animation_genga_mag_event_story_00001_06_victory</v>
      </c>
      <c r="P264" s="753"/>
      <c r="Q264" s="753"/>
      <c r="R264" s="753" t="s">
        <v>3632</v>
      </c>
      <c r="S264" s="754"/>
      <c r="T264" s="754"/>
    </row>
    <row r="265">
      <c r="A265" s="762" t="s">
        <v>3624</v>
      </c>
      <c r="B265" s="755" t="s">
        <v>2458</v>
      </c>
      <c r="C265" s="756" t="s">
        <v>98</v>
      </c>
      <c r="D265" s="750" t="str">
        <f t="array" ref="D265">iferror(INDEX('作品'!D:D,MATCH(C265,'作品'!A:A,0),0),"")</f>
        <v>株式会社マジルミエ</v>
      </c>
      <c r="E265" s="423" t="s">
        <v>2459</v>
      </c>
      <c r="F265" s="755" t="s">
        <v>2457</v>
      </c>
      <c r="G265" s="755" t="s">
        <v>1762</v>
      </c>
      <c r="H265" s="755" t="s">
        <v>3734</v>
      </c>
      <c r="I265" s="755" t="s">
        <v>2433</v>
      </c>
      <c r="J265" s="755" t="s">
        <v>3625</v>
      </c>
      <c r="K265" s="755"/>
      <c r="L265" s="761" t="s">
        <v>3628</v>
      </c>
      <c r="M265" s="761" t="s">
        <v>3629</v>
      </c>
      <c r="N265" s="599" t="str">
        <f t="shared" si="3"/>
        <v>genga_mag_event_story_00001_07_start</v>
      </c>
      <c r="O265" s="599" t="str">
        <f t="shared" si="4"/>
        <v>manga_animation_genga_mag_event_story_00001_07_start</v>
      </c>
      <c r="P265" s="753"/>
      <c r="Q265" s="753"/>
      <c r="R265" s="753" t="s">
        <v>3632</v>
      </c>
      <c r="S265" s="754"/>
      <c r="T265" s="754"/>
    </row>
    <row r="266">
      <c r="A266" s="762" t="s">
        <v>3624</v>
      </c>
      <c r="B266" s="755" t="s">
        <v>2458</v>
      </c>
      <c r="C266" s="756" t="s">
        <v>98</v>
      </c>
      <c r="D266" s="750" t="str">
        <f t="array" ref="D266">iferror(INDEX('作品'!D:D,MATCH(C266,'作品'!A:A,0),0),"")</f>
        <v>株式会社マジルミエ</v>
      </c>
      <c r="E266" s="423" t="s">
        <v>2459</v>
      </c>
      <c r="F266" s="755" t="s">
        <v>2457</v>
      </c>
      <c r="G266" s="755" t="s">
        <v>1762</v>
      </c>
      <c r="H266" s="755" t="s">
        <v>3734</v>
      </c>
      <c r="I266" s="755" t="s">
        <v>2433</v>
      </c>
      <c r="J266" s="755" t="s">
        <v>3633</v>
      </c>
      <c r="K266" s="755"/>
      <c r="L266" s="761" t="s">
        <v>3628</v>
      </c>
      <c r="M266" s="761" t="s">
        <v>3634</v>
      </c>
      <c r="N266" s="599" t="str">
        <f t="shared" si="3"/>
        <v>genga_mag_event_story_00001_07_victory</v>
      </c>
      <c r="O266" s="599" t="str">
        <f t="shared" si="4"/>
        <v>manga_animation_genga_mag_event_story_00001_07_victory</v>
      </c>
      <c r="P266" s="753"/>
      <c r="Q266" s="753"/>
      <c r="R266" s="753" t="s">
        <v>3632</v>
      </c>
      <c r="S266" s="754"/>
      <c r="T266" s="754"/>
    </row>
    <row r="267">
      <c r="A267" s="762" t="s">
        <v>3624</v>
      </c>
      <c r="B267" s="755" t="s">
        <v>2458</v>
      </c>
      <c r="C267" s="756" t="s">
        <v>98</v>
      </c>
      <c r="D267" s="750" t="str">
        <f t="array" ref="D267">iferror(INDEX('作品'!D:D,MATCH(C267,'作品'!A:A,0),0),"")</f>
        <v>株式会社マジルミエ</v>
      </c>
      <c r="E267" s="423" t="s">
        <v>2459</v>
      </c>
      <c r="F267" s="755" t="s">
        <v>2457</v>
      </c>
      <c r="G267" s="755" t="s">
        <v>1762</v>
      </c>
      <c r="H267" s="755" t="s">
        <v>3757</v>
      </c>
      <c r="I267" s="755" t="s">
        <v>2433</v>
      </c>
      <c r="J267" s="755" t="s">
        <v>3625</v>
      </c>
      <c r="K267" s="755"/>
      <c r="L267" s="761" t="s">
        <v>3628</v>
      </c>
      <c r="M267" s="761" t="s">
        <v>3629</v>
      </c>
      <c r="N267" s="599" t="str">
        <f t="shared" si="3"/>
        <v>genga_mag_event_story_00001_08_start</v>
      </c>
      <c r="O267" s="599" t="str">
        <f t="shared" si="4"/>
        <v>manga_animation_genga_mag_event_story_00001_08_start</v>
      </c>
      <c r="P267" s="753"/>
      <c r="Q267" s="753"/>
      <c r="R267" s="753" t="s">
        <v>3632</v>
      </c>
      <c r="S267" s="754"/>
      <c r="T267" s="754"/>
    </row>
    <row r="268">
      <c r="A268" s="762" t="s">
        <v>3624</v>
      </c>
      <c r="B268" s="755" t="s">
        <v>2458</v>
      </c>
      <c r="C268" s="756" t="s">
        <v>98</v>
      </c>
      <c r="D268" s="750" t="str">
        <f t="array" ref="D268">iferror(INDEX('作品'!D:D,MATCH(C268,'作品'!A:A,0),0),"")</f>
        <v>株式会社マジルミエ</v>
      </c>
      <c r="E268" s="423" t="s">
        <v>2459</v>
      </c>
      <c r="F268" s="755" t="s">
        <v>2457</v>
      </c>
      <c r="G268" s="755" t="s">
        <v>1762</v>
      </c>
      <c r="H268" s="755" t="s">
        <v>3757</v>
      </c>
      <c r="I268" s="755" t="s">
        <v>2433</v>
      </c>
      <c r="J268" s="755" t="s">
        <v>3633</v>
      </c>
      <c r="K268" s="755"/>
      <c r="L268" s="761" t="s">
        <v>3628</v>
      </c>
      <c r="M268" s="761" t="s">
        <v>3634</v>
      </c>
      <c r="N268" s="599" t="str">
        <f t="shared" si="3"/>
        <v>genga_mag_event_story_00001_08_victory</v>
      </c>
      <c r="O268" s="599" t="str">
        <f t="shared" si="4"/>
        <v>manga_animation_genga_mag_event_story_00001_08_victory</v>
      </c>
      <c r="P268" s="753"/>
      <c r="Q268" s="753"/>
      <c r="R268" s="753" t="s">
        <v>3632</v>
      </c>
      <c r="S268" s="754"/>
      <c r="T268" s="754"/>
    </row>
    <row r="269">
      <c r="A269" s="762" t="s">
        <v>3624</v>
      </c>
      <c r="B269" s="755" t="s">
        <v>2458</v>
      </c>
      <c r="C269" s="756" t="s">
        <v>98</v>
      </c>
      <c r="D269" s="750" t="str">
        <f t="array" ref="D269">iferror(INDEX('作品'!D:D,MATCH(C269,'作品'!A:A,0),0),"")</f>
        <v>株式会社マジルミエ</v>
      </c>
      <c r="E269" s="423" t="s">
        <v>2459</v>
      </c>
      <c r="F269" s="755" t="s">
        <v>2457</v>
      </c>
      <c r="G269" s="755" t="s">
        <v>3627</v>
      </c>
      <c r="H269" s="755" t="s">
        <v>1762</v>
      </c>
      <c r="I269" s="755" t="s">
        <v>2433</v>
      </c>
      <c r="J269" s="755" t="s">
        <v>3625</v>
      </c>
      <c r="K269" s="755"/>
      <c r="L269" s="761" t="s">
        <v>3628</v>
      </c>
      <c r="M269" s="761" t="s">
        <v>3629</v>
      </c>
      <c r="N269" s="599" t="str">
        <f t="shared" si="3"/>
        <v>genga_mag_event_story_00002_01_start</v>
      </c>
      <c r="O269" s="599" t="str">
        <f t="shared" si="4"/>
        <v>manga_animation_genga_mag_event_story_00002_01_start</v>
      </c>
      <c r="P269" s="753"/>
      <c r="Q269" s="753"/>
      <c r="R269" s="753" t="s">
        <v>3632</v>
      </c>
      <c r="S269" s="754"/>
      <c r="T269" s="754"/>
    </row>
    <row r="270">
      <c r="A270" s="762" t="s">
        <v>3624</v>
      </c>
      <c r="B270" s="755" t="s">
        <v>2458</v>
      </c>
      <c r="C270" s="756" t="s">
        <v>98</v>
      </c>
      <c r="D270" s="750" t="str">
        <f t="array" ref="D270">iferror(INDEX('作品'!D:D,MATCH(C270,'作品'!A:A,0),0),"")</f>
        <v>株式会社マジルミエ</v>
      </c>
      <c r="E270" s="423" t="s">
        <v>2459</v>
      </c>
      <c r="F270" s="755" t="s">
        <v>2457</v>
      </c>
      <c r="G270" s="755" t="s">
        <v>3627</v>
      </c>
      <c r="H270" s="755" t="s">
        <v>3627</v>
      </c>
      <c r="I270" s="755" t="s">
        <v>2433</v>
      </c>
      <c r="J270" s="755" t="s">
        <v>3625</v>
      </c>
      <c r="K270" s="755"/>
      <c r="L270" s="761" t="s">
        <v>3628</v>
      </c>
      <c r="M270" s="761" t="s">
        <v>3629</v>
      </c>
      <c r="N270" s="599" t="str">
        <f t="shared" si="3"/>
        <v>genga_mag_event_story_00002_02_start</v>
      </c>
      <c r="O270" s="599" t="str">
        <f t="shared" si="4"/>
        <v>manga_animation_genga_mag_event_story_00002_02_start</v>
      </c>
      <c r="P270" s="753"/>
      <c r="Q270" s="753"/>
      <c r="R270" s="753" t="s">
        <v>3632</v>
      </c>
      <c r="S270" s="754"/>
      <c r="T270" s="754"/>
    </row>
    <row r="271">
      <c r="A271" s="762" t="s">
        <v>3624</v>
      </c>
      <c r="B271" s="755" t="s">
        <v>2458</v>
      </c>
      <c r="C271" s="756" t="s">
        <v>98</v>
      </c>
      <c r="D271" s="750" t="str">
        <f t="array" ref="D271">iferror(INDEX('作品'!D:D,MATCH(C271,'作品'!A:A,0),0),"")</f>
        <v>株式会社マジルミエ</v>
      </c>
      <c r="E271" s="423" t="s">
        <v>2459</v>
      </c>
      <c r="F271" s="755" t="s">
        <v>2457</v>
      </c>
      <c r="G271" s="755" t="s">
        <v>3627</v>
      </c>
      <c r="H271" s="755" t="s">
        <v>3627</v>
      </c>
      <c r="I271" s="755" t="s">
        <v>2433</v>
      </c>
      <c r="J271" s="755" t="s">
        <v>3633</v>
      </c>
      <c r="K271" s="755"/>
      <c r="L271" s="761" t="s">
        <v>3628</v>
      </c>
      <c r="M271" s="761" t="s">
        <v>3634</v>
      </c>
      <c r="N271" s="599" t="str">
        <f t="shared" si="3"/>
        <v>genga_mag_event_story_00002_02_victory</v>
      </c>
      <c r="O271" s="599" t="str">
        <f t="shared" si="4"/>
        <v>manga_animation_genga_mag_event_story_00002_02_victory</v>
      </c>
      <c r="P271" s="753"/>
      <c r="Q271" s="753"/>
      <c r="R271" s="753" t="s">
        <v>3632</v>
      </c>
      <c r="S271" s="754"/>
      <c r="T271" s="754"/>
    </row>
    <row r="272">
      <c r="A272" s="762" t="s">
        <v>3624</v>
      </c>
      <c r="B272" s="755" t="s">
        <v>2458</v>
      </c>
      <c r="C272" s="756" t="s">
        <v>98</v>
      </c>
      <c r="D272" s="750" t="str">
        <f t="array" ref="D272">iferror(INDEX('作品'!D:D,MATCH(C272,'作品'!A:A,0),0),"")</f>
        <v>株式会社マジルミエ</v>
      </c>
      <c r="E272" s="423" t="s">
        <v>2459</v>
      </c>
      <c r="F272" s="755" t="s">
        <v>2457</v>
      </c>
      <c r="G272" s="755" t="s">
        <v>3627</v>
      </c>
      <c r="H272" s="755" t="s">
        <v>1588</v>
      </c>
      <c r="I272" s="755" t="s">
        <v>2433</v>
      </c>
      <c r="J272" s="755" t="s">
        <v>3625</v>
      </c>
      <c r="K272" s="755"/>
      <c r="L272" s="761" t="s">
        <v>3628</v>
      </c>
      <c r="M272" s="761" t="s">
        <v>3629</v>
      </c>
      <c r="N272" s="599" t="str">
        <f t="shared" si="3"/>
        <v>genga_mag_event_story_00002_03_start</v>
      </c>
      <c r="O272" s="599" t="str">
        <f t="shared" si="4"/>
        <v>manga_animation_genga_mag_event_story_00002_03_start</v>
      </c>
      <c r="P272" s="753"/>
      <c r="Q272" s="753"/>
      <c r="R272" s="753" t="s">
        <v>3632</v>
      </c>
      <c r="S272" s="754"/>
      <c r="T272" s="754"/>
    </row>
    <row r="273">
      <c r="A273" s="762" t="s">
        <v>3624</v>
      </c>
      <c r="B273" s="755" t="s">
        <v>2458</v>
      </c>
      <c r="C273" s="756" t="s">
        <v>98</v>
      </c>
      <c r="D273" s="750" t="str">
        <f t="array" ref="D273">iferror(INDEX('作品'!D:D,MATCH(C273,'作品'!A:A,0),0),"")</f>
        <v>株式会社マジルミエ</v>
      </c>
      <c r="E273" s="423" t="s">
        <v>2459</v>
      </c>
      <c r="F273" s="755" t="s">
        <v>2457</v>
      </c>
      <c r="G273" s="755" t="s">
        <v>3627</v>
      </c>
      <c r="H273" s="755" t="s">
        <v>1588</v>
      </c>
      <c r="I273" s="755" t="s">
        <v>2433</v>
      </c>
      <c r="J273" s="755" t="s">
        <v>3633</v>
      </c>
      <c r="K273" s="755"/>
      <c r="L273" s="761" t="s">
        <v>3628</v>
      </c>
      <c r="M273" s="761" t="s">
        <v>3634</v>
      </c>
      <c r="N273" s="599" t="str">
        <f t="shared" si="3"/>
        <v>genga_mag_event_story_00002_03_victory</v>
      </c>
      <c r="O273" s="599" t="str">
        <f t="shared" si="4"/>
        <v>manga_animation_genga_mag_event_story_00002_03_victory</v>
      </c>
      <c r="P273" s="753"/>
      <c r="Q273" s="753"/>
      <c r="R273" s="753" t="s">
        <v>3632</v>
      </c>
      <c r="S273" s="754"/>
      <c r="T273" s="754"/>
    </row>
    <row r="274">
      <c r="A274" s="762" t="s">
        <v>3624</v>
      </c>
      <c r="B274" s="755" t="s">
        <v>2458</v>
      </c>
      <c r="C274" s="756" t="s">
        <v>98</v>
      </c>
      <c r="D274" s="750" t="str">
        <f t="array" ref="D274">iferror(INDEX('作品'!D:D,MATCH(C274,'作品'!A:A,0),0),"")</f>
        <v>株式会社マジルミエ</v>
      </c>
      <c r="E274" s="423" t="s">
        <v>2459</v>
      </c>
      <c r="F274" s="755" t="s">
        <v>2457</v>
      </c>
      <c r="G274" s="755" t="s">
        <v>3627</v>
      </c>
      <c r="H274" s="755" t="s">
        <v>3645</v>
      </c>
      <c r="I274" s="755" t="s">
        <v>2433</v>
      </c>
      <c r="J274" s="755" t="s">
        <v>3625</v>
      </c>
      <c r="K274" s="755"/>
      <c r="L274" s="761" t="s">
        <v>3628</v>
      </c>
      <c r="M274" s="761" t="s">
        <v>3629</v>
      </c>
      <c r="N274" s="599" t="str">
        <f t="shared" si="3"/>
        <v>genga_mag_event_story_00002_04_start</v>
      </c>
      <c r="O274" s="599" t="str">
        <f t="shared" si="4"/>
        <v>manga_animation_genga_mag_event_story_00002_04_start</v>
      </c>
      <c r="P274" s="753"/>
      <c r="Q274" s="753"/>
      <c r="R274" s="753" t="s">
        <v>3632</v>
      </c>
      <c r="S274" s="754"/>
      <c r="T274" s="754"/>
    </row>
    <row r="275">
      <c r="A275" s="762" t="s">
        <v>3624</v>
      </c>
      <c r="B275" s="755" t="s">
        <v>2458</v>
      </c>
      <c r="C275" s="756" t="s">
        <v>98</v>
      </c>
      <c r="D275" s="750" t="str">
        <f t="array" ref="D275">iferror(INDEX('作品'!D:D,MATCH(C275,'作品'!A:A,0),0),"")</f>
        <v>株式会社マジルミエ</v>
      </c>
      <c r="E275" s="423" t="s">
        <v>2459</v>
      </c>
      <c r="F275" s="755" t="s">
        <v>2457</v>
      </c>
      <c r="G275" s="755" t="s">
        <v>3627</v>
      </c>
      <c r="H275" s="755" t="s">
        <v>3650</v>
      </c>
      <c r="I275" s="755" t="s">
        <v>2433</v>
      </c>
      <c r="J275" s="755" t="s">
        <v>3633</v>
      </c>
      <c r="K275" s="755"/>
      <c r="L275" s="761" t="s">
        <v>3628</v>
      </c>
      <c r="M275" s="761" t="s">
        <v>3634</v>
      </c>
      <c r="N275" s="599" t="str">
        <f t="shared" si="3"/>
        <v>genga_mag_event_story_00002_05_victory</v>
      </c>
      <c r="O275" s="599" t="str">
        <f t="shared" si="4"/>
        <v>manga_animation_genga_mag_event_story_00002_05_victory</v>
      </c>
      <c r="P275" s="753"/>
      <c r="Q275" s="753"/>
      <c r="R275" s="753" t="s">
        <v>3632</v>
      </c>
      <c r="S275" s="754"/>
      <c r="T275" s="754"/>
    </row>
    <row r="276">
      <c r="A276" s="762" t="s">
        <v>3624</v>
      </c>
      <c r="B276" s="755" t="s">
        <v>2458</v>
      </c>
      <c r="C276" s="756" t="s">
        <v>98</v>
      </c>
      <c r="D276" s="750" t="str">
        <f t="array" ref="D276">iferror(INDEX('作品'!D:D,MATCH(C276,'作品'!A:A,0),0),"")</f>
        <v>株式会社マジルミエ</v>
      </c>
      <c r="E276" s="423" t="s">
        <v>2459</v>
      </c>
      <c r="F276" s="755" t="s">
        <v>2457</v>
      </c>
      <c r="G276" s="755" t="s">
        <v>3627</v>
      </c>
      <c r="H276" s="755" t="s">
        <v>3655</v>
      </c>
      <c r="I276" s="755" t="s">
        <v>2433</v>
      </c>
      <c r="J276" s="755" t="s">
        <v>3625</v>
      </c>
      <c r="K276" s="755"/>
      <c r="L276" s="761" t="s">
        <v>3628</v>
      </c>
      <c r="M276" s="761" t="s">
        <v>3629</v>
      </c>
      <c r="N276" s="599" t="str">
        <f t="shared" si="3"/>
        <v>genga_mag_event_story_00002_06_start</v>
      </c>
      <c r="O276" s="599" t="str">
        <f t="shared" si="4"/>
        <v>manga_animation_genga_mag_event_story_00002_06_start</v>
      </c>
      <c r="P276" s="753"/>
      <c r="Q276" s="753"/>
      <c r="R276" s="753" t="s">
        <v>3632</v>
      </c>
      <c r="S276" s="754"/>
      <c r="T276" s="754"/>
    </row>
    <row r="277">
      <c r="A277" s="762" t="s">
        <v>3624</v>
      </c>
      <c r="B277" s="755" t="s">
        <v>2458</v>
      </c>
      <c r="C277" s="756" t="s">
        <v>98</v>
      </c>
      <c r="D277" s="750" t="str">
        <f t="array" ref="D277">iferror(INDEX('作品'!D:D,MATCH(C277,'作品'!A:A,0),0),"")</f>
        <v>株式会社マジルミエ</v>
      </c>
      <c r="E277" s="423" t="s">
        <v>2459</v>
      </c>
      <c r="F277" s="755" t="s">
        <v>2457</v>
      </c>
      <c r="G277" s="755" t="s">
        <v>3627</v>
      </c>
      <c r="H277" s="755" t="s">
        <v>3655</v>
      </c>
      <c r="I277" s="755" t="s">
        <v>2433</v>
      </c>
      <c r="J277" s="755" t="s">
        <v>3633</v>
      </c>
      <c r="K277" s="755"/>
      <c r="L277" s="761" t="s">
        <v>3628</v>
      </c>
      <c r="M277" s="761" t="s">
        <v>3634</v>
      </c>
      <c r="N277" s="599" t="str">
        <f t="shared" si="3"/>
        <v>genga_mag_event_story_00002_06_victory</v>
      </c>
      <c r="O277" s="599" t="str">
        <f t="shared" si="4"/>
        <v>manga_animation_genga_mag_event_story_00002_06_victory</v>
      </c>
      <c r="P277" s="753"/>
      <c r="Q277" s="753"/>
      <c r="R277" s="753" t="s">
        <v>3632</v>
      </c>
      <c r="S277" s="754"/>
      <c r="T277" s="754"/>
    </row>
    <row r="278">
      <c r="A278" s="762" t="s">
        <v>3624</v>
      </c>
      <c r="B278" s="755" t="s">
        <v>2458</v>
      </c>
      <c r="C278" s="756" t="s">
        <v>98</v>
      </c>
      <c r="D278" s="750" t="str">
        <f t="array" ref="D278">iferror(INDEX('作品'!D:D,MATCH(C278,'作品'!A:A,0),0),"")</f>
        <v>株式会社マジルミエ</v>
      </c>
      <c r="E278" s="423" t="s">
        <v>2459</v>
      </c>
      <c r="F278" s="755" t="s">
        <v>2457</v>
      </c>
      <c r="G278" s="755" t="s">
        <v>3627</v>
      </c>
      <c r="H278" s="755" t="s">
        <v>3734</v>
      </c>
      <c r="I278" s="755" t="s">
        <v>2433</v>
      </c>
      <c r="J278" s="755" t="s">
        <v>3625</v>
      </c>
      <c r="K278" s="755"/>
      <c r="L278" s="761" t="s">
        <v>3628</v>
      </c>
      <c r="M278" s="761" t="s">
        <v>3629</v>
      </c>
      <c r="N278" s="599" t="str">
        <f t="shared" si="3"/>
        <v>genga_mag_event_story_00002_07_start</v>
      </c>
      <c r="O278" s="599" t="str">
        <f t="shared" si="4"/>
        <v>manga_animation_genga_mag_event_story_00002_07_start</v>
      </c>
      <c r="P278" s="753"/>
      <c r="Q278" s="753"/>
      <c r="R278" s="753" t="s">
        <v>3632</v>
      </c>
      <c r="S278" s="754"/>
      <c r="T278" s="754"/>
    </row>
    <row r="279">
      <c r="A279" s="762" t="s">
        <v>3624</v>
      </c>
      <c r="B279" s="755" t="s">
        <v>2458</v>
      </c>
      <c r="C279" s="756" t="s">
        <v>98</v>
      </c>
      <c r="D279" s="750" t="str">
        <f t="array" ref="D279">iferror(INDEX('作品'!D:D,MATCH(C279,'作品'!A:A,0),0),"")</f>
        <v>株式会社マジルミエ</v>
      </c>
      <c r="E279" s="423" t="s">
        <v>2459</v>
      </c>
      <c r="F279" s="755" t="s">
        <v>2457</v>
      </c>
      <c r="G279" s="755" t="s">
        <v>3627</v>
      </c>
      <c r="H279" s="755" t="s">
        <v>3734</v>
      </c>
      <c r="I279" s="755" t="s">
        <v>2433</v>
      </c>
      <c r="J279" s="755" t="s">
        <v>3633</v>
      </c>
      <c r="K279" s="755"/>
      <c r="L279" s="761" t="s">
        <v>3628</v>
      </c>
      <c r="M279" s="761" t="s">
        <v>3634</v>
      </c>
      <c r="N279" s="599" t="str">
        <f t="shared" si="3"/>
        <v>genga_mag_event_story_00002_07_victory</v>
      </c>
      <c r="O279" s="599" t="str">
        <f t="shared" si="4"/>
        <v>manga_animation_genga_mag_event_story_00002_07_victory</v>
      </c>
      <c r="P279" s="753"/>
      <c r="Q279" s="753"/>
      <c r="R279" s="753" t="s">
        <v>3632</v>
      </c>
      <c r="S279" s="754"/>
      <c r="T279" s="754"/>
    </row>
    <row r="280">
      <c r="A280" s="762" t="s">
        <v>3624</v>
      </c>
      <c r="B280" s="755" t="s">
        <v>2458</v>
      </c>
      <c r="C280" s="756" t="s">
        <v>98</v>
      </c>
      <c r="D280" s="750" t="str">
        <f t="array" ref="D280">iferror(INDEX('作品'!D:D,MATCH(C280,'作品'!A:A,0),0),"")</f>
        <v>株式会社マジルミエ</v>
      </c>
      <c r="E280" s="423" t="s">
        <v>2459</v>
      </c>
      <c r="F280" s="755" t="s">
        <v>2457</v>
      </c>
      <c r="G280" s="755" t="s">
        <v>3627</v>
      </c>
      <c r="H280" s="755" t="s">
        <v>3757</v>
      </c>
      <c r="I280" s="755" t="s">
        <v>2433</v>
      </c>
      <c r="J280" s="755" t="s">
        <v>3625</v>
      </c>
      <c r="K280" s="755"/>
      <c r="L280" s="761" t="s">
        <v>3628</v>
      </c>
      <c r="M280" s="761" t="s">
        <v>3629</v>
      </c>
      <c r="N280" s="599" t="str">
        <f t="shared" si="3"/>
        <v>genga_mag_event_story_00002_08_start</v>
      </c>
      <c r="O280" s="599" t="str">
        <f t="shared" si="4"/>
        <v>manga_animation_genga_mag_event_story_00002_08_start</v>
      </c>
      <c r="P280" s="753"/>
      <c r="Q280" s="753"/>
      <c r="R280" s="753" t="s">
        <v>3632</v>
      </c>
      <c r="S280" s="754"/>
      <c r="T280" s="754"/>
    </row>
    <row r="281">
      <c r="A281" s="762" t="s">
        <v>3624</v>
      </c>
      <c r="B281" s="755" t="s">
        <v>2458</v>
      </c>
      <c r="C281" s="756" t="s">
        <v>98</v>
      </c>
      <c r="D281" s="750" t="str">
        <f t="array" ref="D281">iferror(INDEX('作品'!D:D,MATCH(C281,'作品'!A:A,0),0),"")</f>
        <v>株式会社マジルミエ</v>
      </c>
      <c r="E281" s="423" t="s">
        <v>2459</v>
      </c>
      <c r="F281" s="755" t="s">
        <v>2457</v>
      </c>
      <c r="G281" s="755" t="s">
        <v>3627</v>
      </c>
      <c r="H281" s="755" t="s">
        <v>3757</v>
      </c>
      <c r="I281" s="755" t="s">
        <v>2433</v>
      </c>
      <c r="J281" s="755" t="s">
        <v>3633</v>
      </c>
      <c r="K281" s="755"/>
      <c r="L281" s="761" t="s">
        <v>3628</v>
      </c>
      <c r="M281" s="761" t="s">
        <v>3634</v>
      </c>
      <c r="N281" s="599" t="str">
        <f t="shared" si="3"/>
        <v>genga_mag_event_story_00002_08_victory</v>
      </c>
      <c r="O281" s="599" t="str">
        <f t="shared" si="4"/>
        <v>manga_animation_genga_mag_event_story_00002_08_victory</v>
      </c>
      <c r="P281" s="753"/>
      <c r="Q281" s="753"/>
      <c r="R281" s="753" t="s">
        <v>3632</v>
      </c>
      <c r="S281" s="754"/>
      <c r="T281" s="754"/>
    </row>
    <row r="282">
      <c r="A282" s="762" t="s">
        <v>3624</v>
      </c>
      <c r="B282" s="755" t="s">
        <v>2458</v>
      </c>
      <c r="C282" s="756" t="s">
        <v>121</v>
      </c>
      <c r="D282" s="750" t="str">
        <f t="array" ref="D282">iferror(INDEX('作品'!D:D,MATCH(C282,'作品'!A:A,0),0),"")</f>
        <v>2.5次元の誘惑</v>
      </c>
      <c r="E282" s="423" t="s">
        <v>2459</v>
      </c>
      <c r="F282" s="755" t="s">
        <v>2449</v>
      </c>
      <c r="G282" s="755" t="s">
        <v>1762</v>
      </c>
      <c r="H282" s="755" t="s">
        <v>1762</v>
      </c>
      <c r="I282" s="755" t="s">
        <v>2433</v>
      </c>
      <c r="J282" s="755" t="s">
        <v>3625</v>
      </c>
      <c r="K282" s="755"/>
      <c r="L282" s="761" t="s">
        <v>3628</v>
      </c>
      <c r="M282" s="761" t="s">
        <v>3629</v>
      </c>
      <c r="N282" s="599" t="str">
        <f t="shared" si="3"/>
        <v>genga_yuw_event_1day_00001_01_start</v>
      </c>
      <c r="O282" s="599" t="str">
        <f t="shared" si="4"/>
        <v>manga_animation_genga_yuw_event_1day_00001_01_start</v>
      </c>
      <c r="P282" s="753"/>
      <c r="Q282" s="753"/>
      <c r="R282" s="753" t="s">
        <v>3632</v>
      </c>
      <c r="S282" s="754"/>
      <c r="T282" s="754"/>
    </row>
    <row r="283">
      <c r="A283" s="762" t="s">
        <v>3624</v>
      </c>
      <c r="B283" s="755" t="s">
        <v>2458</v>
      </c>
      <c r="C283" s="756" t="s">
        <v>121</v>
      </c>
      <c r="D283" s="750" t="str">
        <f t="array" ref="D283">iferror(INDEX('作品'!D:D,MATCH(C283,'作品'!A:A,0),0),"")</f>
        <v>2.5次元の誘惑</v>
      </c>
      <c r="E283" s="423" t="s">
        <v>2459</v>
      </c>
      <c r="F283" s="755" t="s">
        <v>2449</v>
      </c>
      <c r="G283" s="755" t="s">
        <v>1762</v>
      </c>
      <c r="H283" s="755" t="s">
        <v>1762</v>
      </c>
      <c r="I283" s="755" t="s">
        <v>2433</v>
      </c>
      <c r="J283" s="755" t="s">
        <v>3633</v>
      </c>
      <c r="K283" s="755"/>
      <c r="L283" s="761" t="s">
        <v>3628</v>
      </c>
      <c r="M283" s="761" t="s">
        <v>3634</v>
      </c>
      <c r="N283" s="599" t="str">
        <f t="shared" si="3"/>
        <v>genga_yuw_event_1day_00001_01_victory</v>
      </c>
      <c r="O283" s="599" t="str">
        <f t="shared" si="4"/>
        <v>manga_animation_genga_yuw_event_1day_00001_01_victory</v>
      </c>
      <c r="P283" s="753"/>
      <c r="Q283" s="753"/>
      <c r="R283" s="753" t="s">
        <v>3632</v>
      </c>
      <c r="S283" s="754"/>
      <c r="T283" s="754"/>
    </row>
    <row r="284">
      <c r="A284" s="762" t="s">
        <v>3624</v>
      </c>
      <c r="B284" s="755" t="s">
        <v>2458</v>
      </c>
      <c r="C284" s="756" t="s">
        <v>121</v>
      </c>
      <c r="D284" s="750" t="str">
        <f t="array" ref="D284">iferror(INDEX('作品'!D:D,MATCH(C284,'作品'!A:A,0),0),"")</f>
        <v>2.5次元の誘惑</v>
      </c>
      <c r="E284" s="423" t="s">
        <v>2459</v>
      </c>
      <c r="F284" s="755" t="s">
        <v>2457</v>
      </c>
      <c r="G284" s="755" t="s">
        <v>1762</v>
      </c>
      <c r="H284" s="755" t="s">
        <v>1762</v>
      </c>
      <c r="I284" s="755" t="s">
        <v>2433</v>
      </c>
      <c r="J284" s="755" t="s">
        <v>3625</v>
      </c>
      <c r="K284" s="755"/>
      <c r="L284" s="761" t="s">
        <v>3628</v>
      </c>
      <c r="M284" s="761" t="s">
        <v>3629</v>
      </c>
      <c r="N284" s="599" t="str">
        <f t="shared" si="3"/>
        <v>genga_yuw_event_story_00001_01_start</v>
      </c>
      <c r="O284" s="599" t="str">
        <f t="shared" si="4"/>
        <v>manga_animation_genga_yuw_event_story_00001_01_start</v>
      </c>
      <c r="P284" s="753"/>
      <c r="Q284" s="753"/>
      <c r="R284" s="753" t="s">
        <v>3632</v>
      </c>
      <c r="S284" s="754"/>
      <c r="T284" s="754"/>
    </row>
    <row r="285">
      <c r="A285" s="762" t="s">
        <v>3624</v>
      </c>
      <c r="B285" s="755" t="s">
        <v>2458</v>
      </c>
      <c r="C285" s="756" t="s">
        <v>121</v>
      </c>
      <c r="D285" s="750" t="str">
        <f t="array" ref="D285">iferror(INDEX('作品'!D:D,MATCH(C285,'作品'!A:A,0),0),"")</f>
        <v>2.5次元の誘惑</v>
      </c>
      <c r="E285" s="423" t="s">
        <v>2459</v>
      </c>
      <c r="F285" s="755" t="s">
        <v>2457</v>
      </c>
      <c r="G285" s="755" t="s">
        <v>1762</v>
      </c>
      <c r="H285" s="755" t="s">
        <v>1762</v>
      </c>
      <c r="I285" s="755" t="s">
        <v>2433</v>
      </c>
      <c r="J285" s="755" t="s">
        <v>3633</v>
      </c>
      <c r="K285" s="755"/>
      <c r="L285" s="761" t="s">
        <v>3628</v>
      </c>
      <c r="M285" s="761" t="s">
        <v>3634</v>
      </c>
      <c r="N285" s="599" t="str">
        <f t="shared" si="3"/>
        <v>genga_yuw_event_story_00001_01_victory</v>
      </c>
      <c r="O285" s="599" t="str">
        <f t="shared" si="4"/>
        <v>manga_animation_genga_yuw_event_story_00001_01_victory</v>
      </c>
      <c r="P285" s="753"/>
      <c r="Q285" s="753"/>
      <c r="R285" s="753" t="s">
        <v>3632</v>
      </c>
      <c r="S285" s="754"/>
      <c r="T285" s="754"/>
    </row>
    <row r="286">
      <c r="A286" s="762" t="s">
        <v>3624</v>
      </c>
      <c r="B286" s="755" t="s">
        <v>2458</v>
      </c>
      <c r="C286" s="756" t="s">
        <v>121</v>
      </c>
      <c r="D286" s="750" t="str">
        <f t="array" ref="D286">iferror(INDEX('作品'!D:D,MATCH(C286,'作品'!A:A,0),0),"")</f>
        <v>2.5次元の誘惑</v>
      </c>
      <c r="E286" s="423" t="s">
        <v>2459</v>
      </c>
      <c r="F286" s="755" t="s">
        <v>2457</v>
      </c>
      <c r="G286" s="755" t="s">
        <v>1762</v>
      </c>
      <c r="H286" s="755" t="s">
        <v>3627</v>
      </c>
      <c r="I286" s="755" t="s">
        <v>2433</v>
      </c>
      <c r="J286" s="755" t="s">
        <v>3625</v>
      </c>
      <c r="K286" s="755"/>
      <c r="L286" s="761" t="s">
        <v>3628</v>
      </c>
      <c r="M286" s="761" t="s">
        <v>3629</v>
      </c>
      <c r="N286" s="599" t="str">
        <f t="shared" si="3"/>
        <v>genga_yuw_event_story_00001_02_start</v>
      </c>
      <c r="O286" s="599" t="str">
        <f t="shared" si="4"/>
        <v>manga_animation_genga_yuw_event_story_00001_02_start</v>
      </c>
      <c r="P286" s="753"/>
      <c r="Q286" s="753"/>
      <c r="R286" s="753" t="s">
        <v>3632</v>
      </c>
      <c r="S286" s="754"/>
      <c r="T286" s="754"/>
    </row>
    <row r="287">
      <c r="A287" s="762" t="s">
        <v>3624</v>
      </c>
      <c r="B287" s="755" t="s">
        <v>2458</v>
      </c>
      <c r="C287" s="756" t="s">
        <v>121</v>
      </c>
      <c r="D287" s="750" t="str">
        <f t="array" ref="D287">iferror(INDEX('作品'!D:D,MATCH(C287,'作品'!A:A,0),0),"")</f>
        <v>2.5次元の誘惑</v>
      </c>
      <c r="E287" s="423" t="s">
        <v>2459</v>
      </c>
      <c r="F287" s="755" t="s">
        <v>2457</v>
      </c>
      <c r="G287" s="755" t="s">
        <v>1762</v>
      </c>
      <c r="H287" s="755" t="s">
        <v>3627</v>
      </c>
      <c r="I287" s="755" t="s">
        <v>2433</v>
      </c>
      <c r="J287" s="755" t="s">
        <v>3633</v>
      </c>
      <c r="K287" s="755"/>
      <c r="L287" s="761" t="s">
        <v>3628</v>
      </c>
      <c r="M287" s="761" t="s">
        <v>3634</v>
      </c>
      <c r="N287" s="599" t="str">
        <f t="shared" si="3"/>
        <v>genga_yuw_event_story_00001_02_victory</v>
      </c>
      <c r="O287" s="599" t="str">
        <f t="shared" si="4"/>
        <v>manga_animation_genga_yuw_event_story_00001_02_victory</v>
      </c>
      <c r="P287" s="753"/>
      <c r="Q287" s="753"/>
      <c r="R287" s="753" t="s">
        <v>3632</v>
      </c>
      <c r="S287" s="754"/>
      <c r="T287" s="754"/>
    </row>
    <row r="288">
      <c r="A288" s="762" t="s">
        <v>3624</v>
      </c>
      <c r="B288" s="755" t="s">
        <v>2458</v>
      </c>
      <c r="C288" s="756" t="s">
        <v>121</v>
      </c>
      <c r="D288" s="750" t="str">
        <f t="array" ref="D288">iferror(INDEX('作品'!D:D,MATCH(C288,'作品'!A:A,0),0),"")</f>
        <v>2.5次元の誘惑</v>
      </c>
      <c r="E288" s="423" t="s">
        <v>2459</v>
      </c>
      <c r="F288" s="755" t="s">
        <v>2457</v>
      </c>
      <c r="G288" s="755" t="s">
        <v>1762</v>
      </c>
      <c r="H288" s="755" t="s">
        <v>1588</v>
      </c>
      <c r="I288" s="755" t="s">
        <v>2433</v>
      </c>
      <c r="J288" s="755" t="s">
        <v>3625</v>
      </c>
      <c r="K288" s="755"/>
      <c r="L288" s="761" t="s">
        <v>3628</v>
      </c>
      <c r="M288" s="761" t="s">
        <v>3629</v>
      </c>
      <c r="N288" s="599" t="str">
        <f t="shared" si="3"/>
        <v>genga_yuw_event_story_00001_03_start</v>
      </c>
      <c r="O288" s="599" t="str">
        <f t="shared" si="4"/>
        <v>manga_animation_genga_yuw_event_story_00001_03_start</v>
      </c>
      <c r="P288" s="753"/>
      <c r="Q288" s="753"/>
      <c r="R288" s="753" t="s">
        <v>3632</v>
      </c>
      <c r="S288" s="754"/>
      <c r="T288" s="754"/>
    </row>
    <row r="289">
      <c r="A289" s="762" t="s">
        <v>3624</v>
      </c>
      <c r="B289" s="755" t="s">
        <v>2458</v>
      </c>
      <c r="C289" s="756" t="s">
        <v>121</v>
      </c>
      <c r="D289" s="750" t="str">
        <f t="array" ref="D289">iferror(INDEX('作品'!D:D,MATCH(C289,'作品'!A:A,0),0),"")</f>
        <v>2.5次元の誘惑</v>
      </c>
      <c r="E289" s="423" t="s">
        <v>2459</v>
      </c>
      <c r="F289" s="755" t="s">
        <v>2457</v>
      </c>
      <c r="G289" s="755" t="s">
        <v>1762</v>
      </c>
      <c r="H289" s="755" t="s">
        <v>1588</v>
      </c>
      <c r="I289" s="755" t="s">
        <v>2433</v>
      </c>
      <c r="J289" s="755" t="s">
        <v>3633</v>
      </c>
      <c r="K289" s="755"/>
      <c r="L289" s="761" t="s">
        <v>3628</v>
      </c>
      <c r="M289" s="761" t="s">
        <v>3634</v>
      </c>
      <c r="N289" s="599" t="str">
        <f t="shared" si="3"/>
        <v>genga_yuw_event_story_00001_03_victory</v>
      </c>
      <c r="O289" s="599" t="str">
        <f t="shared" si="4"/>
        <v>manga_animation_genga_yuw_event_story_00001_03_victory</v>
      </c>
      <c r="P289" s="753"/>
      <c r="Q289" s="753"/>
      <c r="R289" s="753" t="s">
        <v>3632</v>
      </c>
      <c r="S289" s="754"/>
      <c r="T289" s="754"/>
    </row>
    <row r="290">
      <c r="A290" s="762" t="s">
        <v>3624</v>
      </c>
      <c r="B290" s="755" t="s">
        <v>2458</v>
      </c>
      <c r="C290" s="756" t="s">
        <v>121</v>
      </c>
      <c r="D290" s="750" t="str">
        <f t="array" ref="D290">iferror(INDEX('作品'!D:D,MATCH(C290,'作品'!A:A,0),0),"")</f>
        <v>2.5次元の誘惑</v>
      </c>
      <c r="E290" s="423" t="s">
        <v>2459</v>
      </c>
      <c r="F290" s="755" t="s">
        <v>2457</v>
      </c>
      <c r="G290" s="755" t="s">
        <v>1762</v>
      </c>
      <c r="H290" s="755" t="s">
        <v>3645</v>
      </c>
      <c r="I290" s="755" t="s">
        <v>2433</v>
      </c>
      <c r="J290" s="755" t="s">
        <v>3625</v>
      </c>
      <c r="K290" s="755"/>
      <c r="L290" s="761" t="s">
        <v>3628</v>
      </c>
      <c r="M290" s="761" t="s">
        <v>3629</v>
      </c>
      <c r="N290" s="599" t="str">
        <f t="shared" si="3"/>
        <v>genga_yuw_event_story_00001_04_start</v>
      </c>
      <c r="O290" s="599" t="str">
        <f t="shared" si="4"/>
        <v>manga_animation_genga_yuw_event_story_00001_04_start</v>
      </c>
      <c r="P290" s="753"/>
      <c r="Q290" s="753"/>
      <c r="R290" s="753" t="s">
        <v>3632</v>
      </c>
      <c r="S290" s="754"/>
      <c r="T290" s="754"/>
    </row>
    <row r="291">
      <c r="A291" s="762" t="s">
        <v>3624</v>
      </c>
      <c r="B291" s="755" t="s">
        <v>2458</v>
      </c>
      <c r="C291" s="756" t="s">
        <v>121</v>
      </c>
      <c r="D291" s="750" t="str">
        <f t="array" ref="D291">iferror(INDEX('作品'!D:D,MATCH(C291,'作品'!A:A,0),0),"")</f>
        <v>2.5次元の誘惑</v>
      </c>
      <c r="E291" s="423" t="s">
        <v>2459</v>
      </c>
      <c r="F291" s="755" t="s">
        <v>2457</v>
      </c>
      <c r="G291" s="755" t="s">
        <v>1762</v>
      </c>
      <c r="H291" s="755" t="s">
        <v>3650</v>
      </c>
      <c r="I291" s="755" t="s">
        <v>2433</v>
      </c>
      <c r="J291" s="755" t="s">
        <v>3625</v>
      </c>
      <c r="K291" s="755"/>
      <c r="L291" s="761" t="s">
        <v>3628</v>
      </c>
      <c r="M291" s="761" t="s">
        <v>3629</v>
      </c>
      <c r="N291" s="599" t="str">
        <f t="shared" si="3"/>
        <v>genga_yuw_event_story_00001_05_start</v>
      </c>
      <c r="O291" s="599" t="str">
        <f t="shared" si="4"/>
        <v>manga_animation_genga_yuw_event_story_00001_05_start</v>
      </c>
      <c r="P291" s="753"/>
      <c r="Q291" s="753"/>
      <c r="R291" s="753" t="s">
        <v>3632</v>
      </c>
      <c r="S291" s="754"/>
      <c r="T291" s="754"/>
    </row>
    <row r="292">
      <c r="A292" s="762" t="s">
        <v>3624</v>
      </c>
      <c r="B292" s="755" t="s">
        <v>2458</v>
      </c>
      <c r="C292" s="756" t="s">
        <v>121</v>
      </c>
      <c r="D292" s="750" t="str">
        <f t="array" ref="D292">iferror(INDEX('作品'!D:D,MATCH(C292,'作品'!A:A,0),0),"")</f>
        <v>2.5次元の誘惑</v>
      </c>
      <c r="E292" s="423" t="s">
        <v>2459</v>
      </c>
      <c r="F292" s="755" t="s">
        <v>2457</v>
      </c>
      <c r="G292" s="755" t="s">
        <v>1762</v>
      </c>
      <c r="H292" s="755" t="s">
        <v>3650</v>
      </c>
      <c r="I292" s="755" t="s">
        <v>2433</v>
      </c>
      <c r="J292" s="755" t="s">
        <v>3633</v>
      </c>
      <c r="K292" s="755"/>
      <c r="L292" s="761" t="s">
        <v>3628</v>
      </c>
      <c r="M292" s="761" t="s">
        <v>3634</v>
      </c>
      <c r="N292" s="599" t="str">
        <f t="shared" si="3"/>
        <v>genga_yuw_event_story_00001_05_victory</v>
      </c>
      <c r="O292" s="599" t="str">
        <f t="shared" si="4"/>
        <v>manga_animation_genga_yuw_event_story_00001_05_victory</v>
      </c>
      <c r="P292" s="753"/>
      <c r="Q292" s="753"/>
      <c r="R292" s="753" t="s">
        <v>3632</v>
      </c>
      <c r="S292" s="754"/>
      <c r="T292" s="754"/>
    </row>
    <row r="293">
      <c r="A293" s="762" t="s">
        <v>3624</v>
      </c>
      <c r="B293" s="755" t="s">
        <v>2458</v>
      </c>
      <c r="C293" s="756" t="s">
        <v>121</v>
      </c>
      <c r="D293" s="750" t="str">
        <f t="array" ref="D293">iferror(INDEX('作品'!D:D,MATCH(C293,'作品'!A:A,0),0),"")</f>
        <v>2.5次元の誘惑</v>
      </c>
      <c r="E293" s="423" t="s">
        <v>2459</v>
      </c>
      <c r="F293" s="755" t="s">
        <v>2457</v>
      </c>
      <c r="G293" s="755" t="s">
        <v>1762</v>
      </c>
      <c r="H293" s="755" t="s">
        <v>3655</v>
      </c>
      <c r="I293" s="755" t="s">
        <v>2433</v>
      </c>
      <c r="J293" s="755" t="s">
        <v>3625</v>
      </c>
      <c r="K293" s="755"/>
      <c r="L293" s="761" t="s">
        <v>3628</v>
      </c>
      <c r="M293" s="761" t="s">
        <v>3629</v>
      </c>
      <c r="N293" s="599" t="str">
        <f t="shared" si="3"/>
        <v>genga_yuw_event_story_00001_06_start</v>
      </c>
      <c r="O293" s="599" t="str">
        <f t="shared" si="4"/>
        <v>manga_animation_genga_yuw_event_story_00001_06_start</v>
      </c>
      <c r="P293" s="753"/>
      <c r="Q293" s="753"/>
      <c r="R293" s="753" t="s">
        <v>3632</v>
      </c>
      <c r="S293" s="754"/>
      <c r="T293" s="754"/>
    </row>
    <row r="294">
      <c r="A294" s="762" t="s">
        <v>3624</v>
      </c>
      <c r="B294" s="755" t="s">
        <v>2458</v>
      </c>
      <c r="C294" s="756" t="s">
        <v>121</v>
      </c>
      <c r="D294" s="750" t="str">
        <f t="array" ref="D294">iferror(INDEX('作品'!D:D,MATCH(C294,'作品'!A:A,0),0),"")</f>
        <v>2.5次元の誘惑</v>
      </c>
      <c r="E294" s="423" t="s">
        <v>2459</v>
      </c>
      <c r="F294" s="755" t="s">
        <v>2457</v>
      </c>
      <c r="G294" s="755" t="s">
        <v>1762</v>
      </c>
      <c r="H294" s="755" t="s">
        <v>3655</v>
      </c>
      <c r="I294" s="755" t="s">
        <v>2433</v>
      </c>
      <c r="J294" s="755" t="s">
        <v>3633</v>
      </c>
      <c r="K294" s="755"/>
      <c r="L294" s="761" t="s">
        <v>3628</v>
      </c>
      <c r="M294" s="761" t="s">
        <v>3634</v>
      </c>
      <c r="N294" s="599" t="str">
        <f t="shared" si="3"/>
        <v>genga_yuw_event_story_00001_06_victory</v>
      </c>
      <c r="O294" s="599" t="str">
        <f t="shared" si="4"/>
        <v>manga_animation_genga_yuw_event_story_00001_06_victory</v>
      </c>
      <c r="P294" s="753"/>
      <c r="Q294" s="753"/>
      <c r="R294" s="753" t="s">
        <v>3632</v>
      </c>
      <c r="S294" s="754"/>
      <c r="T294" s="754"/>
    </row>
    <row r="295">
      <c r="A295" s="762" t="s">
        <v>3624</v>
      </c>
      <c r="B295" s="755" t="s">
        <v>2458</v>
      </c>
      <c r="C295" s="756" t="s">
        <v>121</v>
      </c>
      <c r="D295" s="750" t="str">
        <f t="array" ref="D295">iferror(INDEX('作品'!D:D,MATCH(C295,'作品'!A:A,0),0),"")</f>
        <v>2.5次元の誘惑</v>
      </c>
      <c r="E295" s="423" t="s">
        <v>2459</v>
      </c>
      <c r="F295" s="755" t="s">
        <v>2457</v>
      </c>
      <c r="G295" s="755" t="s">
        <v>1762</v>
      </c>
      <c r="H295" s="755" t="s">
        <v>3734</v>
      </c>
      <c r="I295" s="755" t="s">
        <v>2433</v>
      </c>
      <c r="J295" s="755" t="s">
        <v>3625</v>
      </c>
      <c r="K295" s="755"/>
      <c r="L295" s="761" t="s">
        <v>3628</v>
      </c>
      <c r="M295" s="761" t="s">
        <v>3629</v>
      </c>
      <c r="N295" s="599" t="str">
        <f t="shared" si="3"/>
        <v>genga_yuw_event_story_00001_07_start</v>
      </c>
      <c r="O295" s="599" t="str">
        <f t="shared" si="4"/>
        <v>manga_animation_genga_yuw_event_story_00001_07_start</v>
      </c>
      <c r="P295" s="753"/>
      <c r="Q295" s="753"/>
      <c r="R295" s="753" t="s">
        <v>3632</v>
      </c>
      <c r="S295" s="754"/>
      <c r="T295" s="754"/>
    </row>
    <row r="296">
      <c r="A296" s="762" t="s">
        <v>3624</v>
      </c>
      <c r="B296" s="755" t="s">
        <v>2458</v>
      </c>
      <c r="C296" s="756" t="s">
        <v>121</v>
      </c>
      <c r="D296" s="750" t="str">
        <f t="array" ref="D296">iferror(INDEX('作品'!D:D,MATCH(C296,'作品'!A:A,0),0),"")</f>
        <v>2.5次元の誘惑</v>
      </c>
      <c r="E296" s="423" t="s">
        <v>2459</v>
      </c>
      <c r="F296" s="755" t="s">
        <v>2457</v>
      </c>
      <c r="G296" s="755" t="s">
        <v>1762</v>
      </c>
      <c r="H296" s="755" t="s">
        <v>3734</v>
      </c>
      <c r="I296" s="755" t="s">
        <v>2433</v>
      </c>
      <c r="J296" s="755" t="s">
        <v>3633</v>
      </c>
      <c r="K296" s="755"/>
      <c r="L296" s="761" t="s">
        <v>3628</v>
      </c>
      <c r="M296" s="761" t="s">
        <v>3634</v>
      </c>
      <c r="N296" s="599" t="str">
        <f t="shared" si="3"/>
        <v>genga_yuw_event_story_00001_07_victory</v>
      </c>
      <c r="O296" s="599" t="str">
        <f t="shared" si="4"/>
        <v>manga_animation_genga_yuw_event_story_00001_07_victory</v>
      </c>
      <c r="P296" s="753"/>
      <c r="Q296" s="753"/>
      <c r="R296" s="753" t="s">
        <v>3632</v>
      </c>
      <c r="S296" s="754"/>
      <c r="T296" s="754"/>
    </row>
    <row r="297">
      <c r="A297" s="762" t="s">
        <v>3624</v>
      </c>
      <c r="B297" s="755" t="s">
        <v>2458</v>
      </c>
      <c r="C297" s="756" t="s">
        <v>121</v>
      </c>
      <c r="D297" s="750" t="str">
        <f t="array" ref="D297">iferror(INDEX('作品'!D:D,MATCH(C297,'作品'!A:A,0),0),"")</f>
        <v>2.5次元の誘惑</v>
      </c>
      <c r="E297" s="423" t="s">
        <v>2459</v>
      </c>
      <c r="F297" s="755" t="s">
        <v>2457</v>
      </c>
      <c r="G297" s="755" t="s">
        <v>1762</v>
      </c>
      <c r="H297" s="755" t="s">
        <v>3757</v>
      </c>
      <c r="I297" s="755" t="s">
        <v>2433</v>
      </c>
      <c r="J297" s="755" t="s">
        <v>3625</v>
      </c>
      <c r="K297" s="755"/>
      <c r="L297" s="761" t="s">
        <v>3628</v>
      </c>
      <c r="M297" s="761" t="s">
        <v>3629</v>
      </c>
      <c r="N297" s="599" t="str">
        <f t="shared" si="3"/>
        <v>genga_yuw_event_story_00001_08_start</v>
      </c>
      <c r="O297" s="599" t="str">
        <f t="shared" si="4"/>
        <v>manga_animation_genga_yuw_event_story_00001_08_start</v>
      </c>
      <c r="P297" s="753"/>
      <c r="Q297" s="753"/>
      <c r="R297" s="753" t="s">
        <v>3632</v>
      </c>
      <c r="S297" s="754"/>
      <c r="T297" s="754"/>
    </row>
    <row r="298">
      <c r="A298" s="762" t="s">
        <v>3624</v>
      </c>
      <c r="B298" s="755" t="s">
        <v>2458</v>
      </c>
      <c r="C298" s="756" t="s">
        <v>121</v>
      </c>
      <c r="D298" s="750" t="str">
        <f t="array" ref="D298">iferror(INDEX('作品'!D:D,MATCH(C298,'作品'!A:A,0),0),"")</f>
        <v>2.5次元の誘惑</v>
      </c>
      <c r="E298" s="423" t="s">
        <v>2459</v>
      </c>
      <c r="F298" s="755" t="s">
        <v>2457</v>
      </c>
      <c r="G298" s="755" t="s">
        <v>1762</v>
      </c>
      <c r="H298" s="755" t="s">
        <v>3757</v>
      </c>
      <c r="I298" s="755" t="s">
        <v>2433</v>
      </c>
      <c r="J298" s="755" t="s">
        <v>3633</v>
      </c>
      <c r="K298" s="755"/>
      <c r="L298" s="761" t="s">
        <v>3628</v>
      </c>
      <c r="M298" s="761" t="s">
        <v>3634</v>
      </c>
      <c r="N298" s="599" t="str">
        <f t="shared" si="3"/>
        <v>genga_yuw_event_story_00001_08_victory</v>
      </c>
      <c r="O298" s="599" t="str">
        <f t="shared" si="4"/>
        <v>manga_animation_genga_yuw_event_story_00001_08_victory</v>
      </c>
      <c r="P298" s="753"/>
      <c r="Q298" s="753"/>
      <c r="R298" s="753" t="s">
        <v>3632</v>
      </c>
      <c r="S298" s="754"/>
      <c r="T298" s="754"/>
    </row>
    <row r="299">
      <c r="A299" s="762" t="s">
        <v>3624</v>
      </c>
      <c r="B299" s="755" t="s">
        <v>2458</v>
      </c>
      <c r="C299" s="756" t="s">
        <v>121</v>
      </c>
      <c r="D299" s="750" t="str">
        <f t="array" ref="D299">iferror(INDEX('作品'!D:D,MATCH(C299,'作品'!A:A,0),0),"")</f>
        <v>2.5次元の誘惑</v>
      </c>
      <c r="E299" s="423" t="s">
        <v>2459</v>
      </c>
      <c r="F299" s="755" t="s">
        <v>2457</v>
      </c>
      <c r="G299" s="755" t="s">
        <v>3627</v>
      </c>
      <c r="H299" s="755" t="s">
        <v>1762</v>
      </c>
      <c r="I299" s="755" t="s">
        <v>2433</v>
      </c>
      <c r="J299" s="755" t="s">
        <v>3625</v>
      </c>
      <c r="K299" s="755"/>
      <c r="L299" s="761" t="s">
        <v>3628</v>
      </c>
      <c r="M299" s="761" t="s">
        <v>3629</v>
      </c>
      <c r="N299" s="599" t="str">
        <f t="shared" si="3"/>
        <v>genga_yuw_event_story_00002_01_start</v>
      </c>
      <c r="O299" s="599" t="str">
        <f t="shared" si="4"/>
        <v>manga_animation_genga_yuw_event_story_00002_01_start</v>
      </c>
      <c r="P299" s="753"/>
      <c r="Q299" s="753"/>
      <c r="R299" s="753" t="s">
        <v>3632</v>
      </c>
      <c r="S299" s="754"/>
      <c r="T299" s="754"/>
    </row>
    <row r="300">
      <c r="A300" s="762" t="s">
        <v>3624</v>
      </c>
      <c r="B300" s="755" t="s">
        <v>2458</v>
      </c>
      <c r="C300" s="756" t="s">
        <v>121</v>
      </c>
      <c r="D300" s="750" t="str">
        <f t="array" ref="D300">iferror(INDEX('作品'!D:D,MATCH(C300,'作品'!A:A,0),0),"")</f>
        <v>2.5次元の誘惑</v>
      </c>
      <c r="E300" s="423" t="s">
        <v>2459</v>
      </c>
      <c r="F300" s="755" t="s">
        <v>2457</v>
      </c>
      <c r="G300" s="755" t="s">
        <v>3627</v>
      </c>
      <c r="H300" s="755" t="s">
        <v>1762</v>
      </c>
      <c r="I300" s="755" t="s">
        <v>2433</v>
      </c>
      <c r="J300" s="755" t="s">
        <v>3633</v>
      </c>
      <c r="K300" s="755"/>
      <c r="L300" s="761" t="s">
        <v>3628</v>
      </c>
      <c r="M300" s="761" t="s">
        <v>3634</v>
      </c>
      <c r="N300" s="599" t="str">
        <f t="shared" si="3"/>
        <v>genga_yuw_event_story_00002_01_victory</v>
      </c>
      <c r="O300" s="599" t="str">
        <f t="shared" si="4"/>
        <v>manga_animation_genga_yuw_event_story_00002_01_victory</v>
      </c>
      <c r="P300" s="753"/>
      <c r="Q300" s="753"/>
      <c r="R300" s="753" t="s">
        <v>3632</v>
      </c>
      <c r="S300" s="754"/>
      <c r="T300" s="754"/>
    </row>
    <row r="301">
      <c r="A301" s="762" t="s">
        <v>3624</v>
      </c>
      <c r="B301" s="755" t="s">
        <v>2458</v>
      </c>
      <c r="C301" s="756" t="s">
        <v>121</v>
      </c>
      <c r="D301" s="750" t="str">
        <f t="array" ref="D301">iferror(INDEX('作品'!D:D,MATCH(C301,'作品'!A:A,0),0),"")</f>
        <v>2.5次元の誘惑</v>
      </c>
      <c r="E301" s="423" t="s">
        <v>2459</v>
      </c>
      <c r="F301" s="755" t="s">
        <v>2457</v>
      </c>
      <c r="G301" s="755" t="s">
        <v>3627</v>
      </c>
      <c r="H301" s="755" t="s">
        <v>3627</v>
      </c>
      <c r="I301" s="755" t="s">
        <v>2433</v>
      </c>
      <c r="J301" s="755" t="s">
        <v>3625</v>
      </c>
      <c r="K301" s="755"/>
      <c r="L301" s="761" t="s">
        <v>3628</v>
      </c>
      <c r="M301" s="761" t="s">
        <v>3629</v>
      </c>
      <c r="N301" s="599" t="str">
        <f t="shared" si="3"/>
        <v>genga_yuw_event_story_00002_02_start</v>
      </c>
      <c r="O301" s="599" t="str">
        <f t="shared" si="4"/>
        <v>manga_animation_genga_yuw_event_story_00002_02_start</v>
      </c>
      <c r="P301" s="753"/>
      <c r="Q301" s="753"/>
      <c r="R301" s="753" t="s">
        <v>3632</v>
      </c>
      <c r="S301" s="754"/>
      <c r="T301" s="754"/>
    </row>
    <row r="302">
      <c r="A302" s="762" t="s">
        <v>3624</v>
      </c>
      <c r="B302" s="755" t="s">
        <v>2458</v>
      </c>
      <c r="C302" s="756" t="s">
        <v>121</v>
      </c>
      <c r="D302" s="750" t="str">
        <f t="array" ref="D302">iferror(INDEX('作品'!D:D,MATCH(C302,'作品'!A:A,0),0),"")</f>
        <v>2.5次元の誘惑</v>
      </c>
      <c r="E302" s="423" t="s">
        <v>2459</v>
      </c>
      <c r="F302" s="755" t="s">
        <v>2457</v>
      </c>
      <c r="G302" s="755" t="s">
        <v>3627</v>
      </c>
      <c r="H302" s="755" t="s">
        <v>3627</v>
      </c>
      <c r="I302" s="755" t="s">
        <v>2433</v>
      </c>
      <c r="J302" s="755" t="s">
        <v>3633</v>
      </c>
      <c r="K302" s="755"/>
      <c r="L302" s="761" t="s">
        <v>3628</v>
      </c>
      <c r="M302" s="761" t="s">
        <v>3634</v>
      </c>
      <c r="N302" s="599" t="str">
        <f t="shared" si="3"/>
        <v>genga_yuw_event_story_00002_02_victory</v>
      </c>
      <c r="O302" s="599" t="str">
        <f t="shared" si="4"/>
        <v>manga_animation_genga_yuw_event_story_00002_02_victory</v>
      </c>
      <c r="P302" s="753"/>
      <c r="Q302" s="753"/>
      <c r="R302" s="753" t="s">
        <v>3632</v>
      </c>
      <c r="S302" s="754"/>
      <c r="T302" s="754"/>
    </row>
    <row r="303">
      <c r="A303" s="762" t="s">
        <v>3624</v>
      </c>
      <c r="B303" s="755" t="s">
        <v>2458</v>
      </c>
      <c r="C303" s="756" t="s">
        <v>121</v>
      </c>
      <c r="D303" s="750" t="str">
        <f t="array" ref="D303">iferror(INDEX('作品'!D:D,MATCH(C303,'作品'!A:A,0),0),"")</f>
        <v>2.5次元の誘惑</v>
      </c>
      <c r="E303" s="423" t="s">
        <v>2459</v>
      </c>
      <c r="F303" s="755" t="s">
        <v>2457</v>
      </c>
      <c r="G303" s="755" t="s">
        <v>3627</v>
      </c>
      <c r="H303" s="755" t="s">
        <v>1588</v>
      </c>
      <c r="I303" s="755" t="s">
        <v>2433</v>
      </c>
      <c r="J303" s="755" t="s">
        <v>3625</v>
      </c>
      <c r="K303" s="755"/>
      <c r="L303" s="761" t="s">
        <v>3628</v>
      </c>
      <c r="M303" s="761" t="s">
        <v>3629</v>
      </c>
      <c r="N303" s="599" t="str">
        <f t="shared" si="3"/>
        <v>genga_yuw_event_story_00002_03_start</v>
      </c>
      <c r="O303" s="599" t="str">
        <f t="shared" si="4"/>
        <v>manga_animation_genga_yuw_event_story_00002_03_start</v>
      </c>
      <c r="P303" s="753"/>
      <c r="Q303" s="753"/>
      <c r="R303" s="753" t="s">
        <v>3632</v>
      </c>
      <c r="S303" s="754"/>
      <c r="T303" s="754"/>
    </row>
    <row r="304">
      <c r="A304" s="762" t="s">
        <v>3624</v>
      </c>
      <c r="B304" s="755" t="s">
        <v>2458</v>
      </c>
      <c r="C304" s="756" t="s">
        <v>121</v>
      </c>
      <c r="D304" s="750" t="str">
        <f t="array" ref="D304">iferror(INDEX('作品'!D:D,MATCH(C304,'作品'!A:A,0),0),"")</f>
        <v>2.5次元の誘惑</v>
      </c>
      <c r="E304" s="423" t="s">
        <v>2459</v>
      </c>
      <c r="F304" s="755" t="s">
        <v>2457</v>
      </c>
      <c r="G304" s="755" t="s">
        <v>3627</v>
      </c>
      <c r="H304" s="755" t="s">
        <v>1588</v>
      </c>
      <c r="I304" s="755" t="s">
        <v>2433</v>
      </c>
      <c r="J304" s="755" t="s">
        <v>3633</v>
      </c>
      <c r="K304" s="755"/>
      <c r="L304" s="761" t="s">
        <v>3628</v>
      </c>
      <c r="M304" s="761" t="s">
        <v>3634</v>
      </c>
      <c r="N304" s="599" t="str">
        <f t="shared" si="3"/>
        <v>genga_yuw_event_story_00002_03_victory</v>
      </c>
      <c r="O304" s="599" t="str">
        <f t="shared" si="4"/>
        <v>manga_animation_genga_yuw_event_story_00002_03_victory</v>
      </c>
      <c r="P304" s="753"/>
      <c r="Q304" s="753"/>
      <c r="R304" s="753" t="s">
        <v>3632</v>
      </c>
      <c r="S304" s="754"/>
      <c r="T304" s="754"/>
    </row>
    <row r="305">
      <c r="A305" s="762" t="s">
        <v>3624</v>
      </c>
      <c r="B305" s="755" t="s">
        <v>2458</v>
      </c>
      <c r="C305" s="756" t="s">
        <v>121</v>
      </c>
      <c r="D305" s="750" t="str">
        <f t="array" ref="D305">iferror(INDEX('作品'!D:D,MATCH(C305,'作品'!A:A,0),0),"")</f>
        <v>2.5次元の誘惑</v>
      </c>
      <c r="E305" s="423" t="s">
        <v>2459</v>
      </c>
      <c r="F305" s="755" t="s">
        <v>2457</v>
      </c>
      <c r="G305" s="755" t="s">
        <v>3627</v>
      </c>
      <c r="H305" s="755" t="s">
        <v>3645</v>
      </c>
      <c r="I305" s="755" t="s">
        <v>2433</v>
      </c>
      <c r="J305" s="755" t="s">
        <v>3625</v>
      </c>
      <c r="K305" s="755"/>
      <c r="L305" s="761" t="s">
        <v>3628</v>
      </c>
      <c r="M305" s="761" t="s">
        <v>3629</v>
      </c>
      <c r="N305" s="599" t="str">
        <f t="shared" si="3"/>
        <v>genga_yuw_event_story_00002_04_start</v>
      </c>
      <c r="O305" s="599" t="str">
        <f t="shared" si="4"/>
        <v>manga_animation_genga_yuw_event_story_00002_04_start</v>
      </c>
      <c r="P305" s="753"/>
      <c r="Q305" s="753"/>
      <c r="R305" s="753" t="s">
        <v>3632</v>
      </c>
      <c r="S305" s="754"/>
      <c r="T305" s="754"/>
    </row>
    <row r="306">
      <c r="A306" s="762" t="s">
        <v>3624</v>
      </c>
      <c r="B306" s="755" t="s">
        <v>2458</v>
      </c>
      <c r="C306" s="756" t="s">
        <v>121</v>
      </c>
      <c r="D306" s="750" t="str">
        <f t="array" ref="D306">iferror(INDEX('作品'!D:D,MATCH(C306,'作品'!A:A,0),0),"")</f>
        <v>2.5次元の誘惑</v>
      </c>
      <c r="E306" s="423" t="s">
        <v>2459</v>
      </c>
      <c r="F306" s="755" t="s">
        <v>2457</v>
      </c>
      <c r="G306" s="755" t="s">
        <v>3627</v>
      </c>
      <c r="H306" s="755" t="s">
        <v>3650</v>
      </c>
      <c r="I306" s="755" t="s">
        <v>2433</v>
      </c>
      <c r="J306" s="755" t="s">
        <v>3625</v>
      </c>
      <c r="K306" s="755"/>
      <c r="L306" s="761" t="s">
        <v>3628</v>
      </c>
      <c r="M306" s="761" t="s">
        <v>3629</v>
      </c>
      <c r="N306" s="599" t="str">
        <f t="shared" si="3"/>
        <v>genga_yuw_event_story_00002_05_start</v>
      </c>
      <c r="O306" s="599" t="str">
        <f t="shared" si="4"/>
        <v>manga_animation_genga_yuw_event_story_00002_05_start</v>
      </c>
      <c r="P306" s="753"/>
      <c r="Q306" s="753"/>
      <c r="R306" s="753" t="s">
        <v>3632</v>
      </c>
      <c r="S306" s="754"/>
      <c r="T306" s="754"/>
    </row>
    <row r="307">
      <c r="A307" s="762" t="s">
        <v>3624</v>
      </c>
      <c r="B307" s="755" t="s">
        <v>2458</v>
      </c>
      <c r="C307" s="756" t="s">
        <v>121</v>
      </c>
      <c r="D307" s="750" t="str">
        <f t="array" ref="D307">iferror(INDEX('作品'!D:D,MATCH(C307,'作品'!A:A,0),0),"")</f>
        <v>2.5次元の誘惑</v>
      </c>
      <c r="E307" s="423" t="s">
        <v>2459</v>
      </c>
      <c r="F307" s="755" t="s">
        <v>2457</v>
      </c>
      <c r="G307" s="755" t="s">
        <v>3627</v>
      </c>
      <c r="H307" s="755" t="s">
        <v>3650</v>
      </c>
      <c r="I307" s="755" t="s">
        <v>2433</v>
      </c>
      <c r="J307" s="755" t="s">
        <v>3633</v>
      </c>
      <c r="K307" s="755"/>
      <c r="L307" s="761" t="s">
        <v>3628</v>
      </c>
      <c r="M307" s="761" t="s">
        <v>3634</v>
      </c>
      <c r="N307" s="599" t="str">
        <f t="shared" si="3"/>
        <v>genga_yuw_event_story_00002_05_victory</v>
      </c>
      <c r="O307" s="599" t="str">
        <f t="shared" si="4"/>
        <v>manga_animation_genga_yuw_event_story_00002_05_victory</v>
      </c>
      <c r="P307" s="753"/>
      <c r="Q307" s="753"/>
      <c r="R307" s="753" t="s">
        <v>3632</v>
      </c>
      <c r="S307" s="754"/>
      <c r="T307" s="754"/>
    </row>
    <row r="308">
      <c r="A308" s="762" t="s">
        <v>3624</v>
      </c>
      <c r="B308" s="755" t="s">
        <v>2458</v>
      </c>
      <c r="C308" s="756" t="s">
        <v>121</v>
      </c>
      <c r="D308" s="750" t="str">
        <f t="array" ref="D308">iferror(INDEX('作品'!D:D,MATCH(C308,'作品'!A:A,0),0),"")</f>
        <v>2.5次元の誘惑</v>
      </c>
      <c r="E308" s="423" t="s">
        <v>2459</v>
      </c>
      <c r="F308" s="755" t="s">
        <v>2457</v>
      </c>
      <c r="G308" s="755" t="s">
        <v>3627</v>
      </c>
      <c r="H308" s="755" t="s">
        <v>3655</v>
      </c>
      <c r="I308" s="755" t="s">
        <v>2433</v>
      </c>
      <c r="J308" s="755" t="s">
        <v>3625</v>
      </c>
      <c r="K308" s="755"/>
      <c r="L308" s="761" t="s">
        <v>3628</v>
      </c>
      <c r="M308" s="761" t="s">
        <v>3629</v>
      </c>
      <c r="N308" s="599" t="str">
        <f t="shared" si="3"/>
        <v>genga_yuw_event_story_00002_06_start</v>
      </c>
      <c r="O308" s="599" t="str">
        <f t="shared" si="4"/>
        <v>manga_animation_genga_yuw_event_story_00002_06_start</v>
      </c>
      <c r="P308" s="753"/>
      <c r="Q308" s="753"/>
      <c r="R308" s="753" t="s">
        <v>3632</v>
      </c>
      <c r="S308" s="754"/>
      <c r="T308" s="754"/>
    </row>
    <row r="309">
      <c r="A309" s="762" t="s">
        <v>3624</v>
      </c>
      <c r="B309" s="755" t="s">
        <v>2458</v>
      </c>
      <c r="C309" s="756" t="s">
        <v>121</v>
      </c>
      <c r="D309" s="750" t="str">
        <f t="array" ref="D309">iferror(INDEX('作品'!D:D,MATCH(C309,'作品'!A:A,0),0),"")</f>
        <v>2.5次元の誘惑</v>
      </c>
      <c r="E309" s="423" t="s">
        <v>2459</v>
      </c>
      <c r="F309" s="755" t="s">
        <v>2457</v>
      </c>
      <c r="G309" s="755" t="s">
        <v>3627</v>
      </c>
      <c r="H309" s="755" t="s">
        <v>3655</v>
      </c>
      <c r="I309" s="755" t="s">
        <v>2433</v>
      </c>
      <c r="J309" s="755" t="s">
        <v>3633</v>
      </c>
      <c r="K309" s="755"/>
      <c r="L309" s="761" t="s">
        <v>3628</v>
      </c>
      <c r="M309" s="761" t="s">
        <v>3634</v>
      </c>
      <c r="N309" s="599" t="str">
        <f t="shared" si="3"/>
        <v>genga_yuw_event_story_00002_06_victory</v>
      </c>
      <c r="O309" s="599" t="str">
        <f t="shared" si="4"/>
        <v>manga_animation_genga_yuw_event_story_00002_06_victory</v>
      </c>
      <c r="P309" s="753"/>
      <c r="Q309" s="753"/>
      <c r="R309" s="753" t="s">
        <v>3632</v>
      </c>
      <c r="S309" s="754"/>
      <c r="T309" s="754"/>
    </row>
    <row r="310">
      <c r="A310" s="762" t="s">
        <v>3624</v>
      </c>
      <c r="B310" s="755" t="s">
        <v>2458</v>
      </c>
      <c r="C310" s="756" t="s">
        <v>121</v>
      </c>
      <c r="D310" s="750" t="str">
        <f t="array" ref="D310">iferror(INDEX('作品'!D:D,MATCH(C310,'作品'!A:A,0),0),"")</f>
        <v>2.5次元の誘惑</v>
      </c>
      <c r="E310" s="423" t="s">
        <v>2459</v>
      </c>
      <c r="F310" s="755" t="s">
        <v>2457</v>
      </c>
      <c r="G310" s="755" t="s">
        <v>3627</v>
      </c>
      <c r="H310" s="755" t="s">
        <v>3734</v>
      </c>
      <c r="I310" s="755" t="s">
        <v>2433</v>
      </c>
      <c r="J310" s="755" t="s">
        <v>3625</v>
      </c>
      <c r="K310" s="755"/>
      <c r="L310" s="761" t="s">
        <v>3628</v>
      </c>
      <c r="M310" s="761" t="s">
        <v>3629</v>
      </c>
      <c r="N310" s="599" t="str">
        <f t="shared" si="3"/>
        <v>genga_yuw_event_story_00002_07_start</v>
      </c>
      <c r="O310" s="599" t="str">
        <f t="shared" si="4"/>
        <v>manga_animation_genga_yuw_event_story_00002_07_start</v>
      </c>
      <c r="P310" s="753"/>
      <c r="Q310" s="753"/>
      <c r="R310" s="753" t="s">
        <v>3632</v>
      </c>
      <c r="S310" s="754"/>
      <c r="T310" s="754"/>
    </row>
    <row r="311">
      <c r="A311" s="762" t="s">
        <v>3624</v>
      </c>
      <c r="B311" s="755" t="s">
        <v>2458</v>
      </c>
      <c r="C311" s="756" t="s">
        <v>121</v>
      </c>
      <c r="D311" s="750" t="str">
        <f t="array" ref="D311">iferror(INDEX('作品'!D:D,MATCH(C311,'作品'!A:A,0),0),"")</f>
        <v>2.5次元の誘惑</v>
      </c>
      <c r="E311" s="423" t="s">
        <v>2459</v>
      </c>
      <c r="F311" s="755" t="s">
        <v>2457</v>
      </c>
      <c r="G311" s="755" t="s">
        <v>3627</v>
      </c>
      <c r="H311" s="755" t="s">
        <v>3734</v>
      </c>
      <c r="I311" s="755" t="s">
        <v>2433</v>
      </c>
      <c r="J311" s="755" t="s">
        <v>3633</v>
      </c>
      <c r="K311" s="755"/>
      <c r="L311" s="761" t="s">
        <v>3628</v>
      </c>
      <c r="M311" s="761" t="s">
        <v>3634</v>
      </c>
      <c r="N311" s="599" t="str">
        <f t="shared" si="3"/>
        <v>genga_yuw_event_story_00002_07_victory</v>
      </c>
      <c r="O311" s="599" t="str">
        <f t="shared" si="4"/>
        <v>manga_animation_genga_yuw_event_story_00002_07_victory</v>
      </c>
      <c r="P311" s="753"/>
      <c r="Q311" s="753"/>
      <c r="R311" s="753" t="s">
        <v>3632</v>
      </c>
      <c r="S311" s="754"/>
      <c r="T311" s="754"/>
    </row>
    <row r="312">
      <c r="A312" s="762" t="s">
        <v>3624</v>
      </c>
      <c r="B312" s="755" t="s">
        <v>2458</v>
      </c>
      <c r="C312" s="756" t="s">
        <v>121</v>
      </c>
      <c r="D312" s="750" t="str">
        <f t="array" ref="D312">iferror(INDEX('作品'!D:D,MATCH(C312,'作品'!A:A,0),0),"")</f>
        <v>2.5次元の誘惑</v>
      </c>
      <c r="E312" s="423" t="s">
        <v>2459</v>
      </c>
      <c r="F312" s="755" t="s">
        <v>2457</v>
      </c>
      <c r="G312" s="755" t="s">
        <v>3627</v>
      </c>
      <c r="H312" s="755" t="s">
        <v>3757</v>
      </c>
      <c r="I312" s="755" t="s">
        <v>2433</v>
      </c>
      <c r="J312" s="755" t="s">
        <v>3625</v>
      </c>
      <c r="K312" s="755"/>
      <c r="L312" s="761" t="s">
        <v>3628</v>
      </c>
      <c r="M312" s="761" t="s">
        <v>3629</v>
      </c>
      <c r="N312" s="599" t="str">
        <f t="shared" si="3"/>
        <v>genga_yuw_event_story_00002_08_start</v>
      </c>
      <c r="O312" s="599" t="str">
        <f t="shared" si="4"/>
        <v>manga_animation_genga_yuw_event_story_00002_08_start</v>
      </c>
      <c r="P312" s="753"/>
      <c r="Q312" s="753"/>
      <c r="R312" s="753" t="s">
        <v>3632</v>
      </c>
      <c r="S312" s="754"/>
      <c r="T312" s="754"/>
    </row>
    <row r="313">
      <c r="A313" s="762" t="s">
        <v>3624</v>
      </c>
      <c r="B313" s="755" t="s">
        <v>2458</v>
      </c>
      <c r="C313" s="756" t="s">
        <v>121</v>
      </c>
      <c r="D313" s="750" t="str">
        <f t="array" ref="D313">iferror(INDEX('作品'!D:D,MATCH(C313,'作品'!A:A,0),0),"")</f>
        <v>2.5次元の誘惑</v>
      </c>
      <c r="E313" s="423" t="s">
        <v>2459</v>
      </c>
      <c r="F313" s="755" t="s">
        <v>2457</v>
      </c>
      <c r="G313" s="755" t="s">
        <v>3627</v>
      </c>
      <c r="H313" s="755" t="s">
        <v>3757</v>
      </c>
      <c r="I313" s="755" t="s">
        <v>2433</v>
      </c>
      <c r="J313" s="755" t="s">
        <v>3633</v>
      </c>
      <c r="K313" s="755"/>
      <c r="L313" s="761" t="s">
        <v>3628</v>
      </c>
      <c r="M313" s="761" t="s">
        <v>3634</v>
      </c>
      <c r="N313" s="599" t="str">
        <f t="shared" si="3"/>
        <v>genga_yuw_event_story_00002_08_victory</v>
      </c>
      <c r="O313" s="599" t="str">
        <f t="shared" si="4"/>
        <v>manga_animation_genga_yuw_event_story_00002_08_victory</v>
      </c>
      <c r="P313" s="753"/>
      <c r="Q313" s="753"/>
      <c r="R313" s="753" t="s">
        <v>3632</v>
      </c>
      <c r="S313" s="754"/>
      <c r="T313" s="754"/>
    </row>
    <row r="314">
      <c r="A314" s="762" t="s">
        <v>3624</v>
      </c>
      <c r="B314" s="755" t="s">
        <v>2458</v>
      </c>
      <c r="C314" s="756" t="s">
        <v>121</v>
      </c>
      <c r="D314" s="750" t="str">
        <f t="array" ref="D314">iferror(INDEX('作品'!D:D,MATCH(C314,'作品'!A:A,0),0),"")</f>
        <v>2.5次元の誘惑</v>
      </c>
      <c r="E314" s="423" t="s">
        <v>2459</v>
      </c>
      <c r="F314" s="755" t="s">
        <v>2462</v>
      </c>
      <c r="G314" s="755" t="s">
        <v>1762</v>
      </c>
      <c r="H314" s="755" t="s">
        <v>1762</v>
      </c>
      <c r="I314" s="755" t="s">
        <v>2433</v>
      </c>
      <c r="J314" s="755" t="s">
        <v>3656</v>
      </c>
      <c r="K314" s="755"/>
      <c r="L314" s="761" t="s">
        <v>3628</v>
      </c>
      <c r="M314" s="761" t="s">
        <v>3658</v>
      </c>
      <c r="N314" s="599" t="str">
        <f t="shared" si="3"/>
        <v>genga_yuw_event_challenge_00001_01_appear</v>
      </c>
      <c r="O314" s="599" t="str">
        <f t="shared" si="4"/>
        <v>manga_animation_genga_yuw_event_challenge_00001_01_appear</v>
      </c>
      <c r="P314" s="753"/>
      <c r="Q314" s="753"/>
      <c r="R314" s="753" t="s">
        <v>3632</v>
      </c>
      <c r="S314" s="754"/>
      <c r="T314" s="754"/>
    </row>
    <row r="315">
      <c r="A315" s="762" t="s">
        <v>3624</v>
      </c>
      <c r="B315" s="755" t="s">
        <v>2458</v>
      </c>
      <c r="C315" s="756" t="s">
        <v>121</v>
      </c>
      <c r="D315" s="750" t="str">
        <f t="array" ref="D315">iferror(INDEX('作品'!D:D,MATCH(C315,'作品'!A:A,0),0),"")</f>
        <v>2.5次元の誘惑</v>
      </c>
      <c r="E315" s="423" t="s">
        <v>2459</v>
      </c>
      <c r="F315" s="755" t="s">
        <v>2462</v>
      </c>
      <c r="G315" s="755" t="s">
        <v>3627</v>
      </c>
      <c r="H315" s="755" t="s">
        <v>3627</v>
      </c>
      <c r="I315" s="755" t="s">
        <v>2433</v>
      </c>
      <c r="J315" s="755" t="s">
        <v>3656</v>
      </c>
      <c r="K315" s="755"/>
      <c r="L315" s="761" t="s">
        <v>3628</v>
      </c>
      <c r="M315" s="761" t="s">
        <v>3658</v>
      </c>
      <c r="N315" s="599" t="str">
        <f t="shared" si="3"/>
        <v>genga_yuw_event_challenge_00002_02_appear</v>
      </c>
      <c r="O315" s="599" t="str">
        <f t="shared" si="4"/>
        <v>manga_animation_genga_yuw_event_challenge_00002_02_appear</v>
      </c>
      <c r="P315" s="753"/>
      <c r="Q315" s="753"/>
      <c r="R315" s="753" t="s">
        <v>3632</v>
      </c>
      <c r="S315" s="754"/>
      <c r="T315" s="754"/>
    </row>
    <row r="316">
      <c r="A316" s="762" t="s">
        <v>3624</v>
      </c>
      <c r="B316" s="755" t="s">
        <v>2458</v>
      </c>
      <c r="C316" s="756" t="s">
        <v>121</v>
      </c>
      <c r="D316" s="750" t="str">
        <f t="array" ref="D316">iferror(INDEX('作品'!D:D,MATCH(C316,'作品'!A:A,0),0),"")</f>
        <v>2.5次元の誘惑</v>
      </c>
      <c r="E316" s="423" t="s">
        <v>2459</v>
      </c>
      <c r="F316" s="755" t="s">
        <v>2462</v>
      </c>
      <c r="G316" s="755" t="s">
        <v>1588</v>
      </c>
      <c r="H316" s="755" t="s">
        <v>1588</v>
      </c>
      <c r="I316" s="755" t="s">
        <v>2433</v>
      </c>
      <c r="J316" s="755" t="s">
        <v>3656</v>
      </c>
      <c r="K316" s="755"/>
      <c r="L316" s="761" t="s">
        <v>3628</v>
      </c>
      <c r="M316" s="761" t="s">
        <v>3658</v>
      </c>
      <c r="N316" s="599" t="str">
        <f t="shared" si="3"/>
        <v>genga_yuw_event_challenge_00003_03_appear</v>
      </c>
      <c r="O316" s="599" t="str">
        <f t="shared" si="4"/>
        <v>manga_animation_genga_yuw_event_challenge_00003_03_appear</v>
      </c>
      <c r="P316" s="753"/>
      <c r="Q316" s="753"/>
      <c r="R316" s="753" t="s">
        <v>3632</v>
      </c>
      <c r="S316" s="754"/>
      <c r="T316" s="754"/>
    </row>
    <row r="317">
      <c r="A317" s="762" t="s">
        <v>3624</v>
      </c>
      <c r="B317" s="755" t="s">
        <v>2458</v>
      </c>
      <c r="C317" s="756" t="s">
        <v>121</v>
      </c>
      <c r="D317" s="750" t="str">
        <f t="array" ref="D317">iferror(INDEX('作品'!D:D,MATCH(C317,'作品'!A:A,0),0),"")</f>
        <v>2.5次元の誘惑</v>
      </c>
      <c r="E317" s="423" t="s">
        <v>2459</v>
      </c>
      <c r="F317" s="755" t="s">
        <v>2462</v>
      </c>
      <c r="G317" s="755" t="s">
        <v>3645</v>
      </c>
      <c r="H317" s="755" t="s">
        <v>3645</v>
      </c>
      <c r="I317" s="755" t="s">
        <v>2433</v>
      </c>
      <c r="J317" s="755" t="s">
        <v>3656</v>
      </c>
      <c r="K317" s="755"/>
      <c r="L317" s="761" t="s">
        <v>3628</v>
      </c>
      <c r="M317" s="761" t="s">
        <v>3658</v>
      </c>
      <c r="N317" s="599" t="str">
        <f t="shared" si="3"/>
        <v>genga_yuw_event_challenge_00004_04_appear</v>
      </c>
      <c r="O317" s="599" t="str">
        <f t="shared" si="4"/>
        <v>manga_animation_genga_yuw_event_challenge_00004_04_appear</v>
      </c>
      <c r="P317" s="753"/>
      <c r="Q317" s="753"/>
      <c r="R317" s="753" t="s">
        <v>3632</v>
      </c>
      <c r="S317" s="754"/>
      <c r="T317" s="754"/>
    </row>
    <row r="318">
      <c r="A318" s="762" t="s">
        <v>3624</v>
      </c>
      <c r="B318" s="755" t="s">
        <v>2458</v>
      </c>
      <c r="C318" s="756" t="s">
        <v>121</v>
      </c>
      <c r="D318" s="750" t="str">
        <f t="array" ref="D318">iferror(INDEX('作品'!D:D,MATCH(C318,'作品'!A:A,0),0),"")</f>
        <v>2.5次元の誘惑</v>
      </c>
      <c r="E318" s="423" t="s">
        <v>2459</v>
      </c>
      <c r="F318" s="755" t="s">
        <v>2462</v>
      </c>
      <c r="G318" s="755" t="s">
        <v>3645</v>
      </c>
      <c r="H318" s="755" t="s">
        <v>3650</v>
      </c>
      <c r="I318" s="755" t="s">
        <v>2433</v>
      </c>
      <c r="J318" s="755" t="s">
        <v>3656</v>
      </c>
      <c r="K318" s="755" t="s">
        <v>3765</v>
      </c>
      <c r="L318" s="761" t="s">
        <v>3628</v>
      </c>
      <c r="M318" s="761" t="s">
        <v>3658</v>
      </c>
      <c r="N318" s="599" t="str">
        <f t="shared" si="3"/>
        <v>genga_yuw_event_challenge_00004_05_appear</v>
      </c>
      <c r="O318" s="599" t="str">
        <f t="shared" si="4"/>
        <v>manga_animation_genga_yuw_event_challenge_00004_05_appear</v>
      </c>
      <c r="P318" s="753"/>
      <c r="Q318" s="753"/>
      <c r="R318" s="753" t="s">
        <v>3632</v>
      </c>
      <c r="S318" s="754"/>
      <c r="T318" s="754"/>
    </row>
    <row r="319">
      <c r="A319" s="762" t="s">
        <v>3624</v>
      </c>
      <c r="B319" s="755" t="s">
        <v>2458</v>
      </c>
      <c r="C319" s="756" t="s">
        <v>121</v>
      </c>
      <c r="D319" s="750" t="str">
        <f t="array" ref="D319">iferror(INDEX('作品'!D:D,MATCH(C319,'作品'!A:A,0),0),"")</f>
        <v>2.5次元の誘惑</v>
      </c>
      <c r="E319" s="423" t="s">
        <v>2459</v>
      </c>
      <c r="F319" s="755" t="s">
        <v>2464</v>
      </c>
      <c r="G319" s="755" t="s">
        <v>1762</v>
      </c>
      <c r="H319" s="755" t="s">
        <v>1762</v>
      </c>
      <c r="I319" s="755" t="s">
        <v>2433</v>
      </c>
      <c r="J319" s="755" t="s">
        <v>3656</v>
      </c>
      <c r="K319" s="755"/>
      <c r="L319" s="761" t="s">
        <v>3628</v>
      </c>
      <c r="M319" s="761" t="s">
        <v>3658</v>
      </c>
      <c r="N319" s="599" t="str">
        <f t="shared" si="3"/>
        <v>genga_yuw_event_savage_00001_01_appear</v>
      </c>
      <c r="O319" s="599" t="str">
        <f t="shared" si="4"/>
        <v>manga_animation_genga_yuw_event_savage_00001_01_appear</v>
      </c>
      <c r="P319" s="753"/>
      <c r="Q319" s="753"/>
      <c r="R319" s="753" t="s">
        <v>3632</v>
      </c>
      <c r="S319" s="754"/>
      <c r="T319" s="754"/>
    </row>
    <row r="320">
      <c r="A320" s="762" t="s">
        <v>3624</v>
      </c>
      <c r="B320" s="755" t="s">
        <v>2458</v>
      </c>
      <c r="C320" s="756" t="s">
        <v>121</v>
      </c>
      <c r="D320" s="750" t="str">
        <f t="array" ref="D320">iferror(INDEX('作品'!D:D,MATCH(C320,'作品'!A:A,0),0),"")</f>
        <v>2.5次元の誘惑</v>
      </c>
      <c r="E320" s="423" t="s">
        <v>2459</v>
      </c>
      <c r="F320" s="755" t="s">
        <v>2464</v>
      </c>
      <c r="G320" s="755" t="s">
        <v>3627</v>
      </c>
      <c r="H320" s="755" t="s">
        <v>3627</v>
      </c>
      <c r="I320" s="755" t="s">
        <v>2433</v>
      </c>
      <c r="J320" s="755" t="s">
        <v>3656</v>
      </c>
      <c r="K320" s="755"/>
      <c r="L320" s="761" t="s">
        <v>3628</v>
      </c>
      <c r="M320" s="761" t="s">
        <v>3658</v>
      </c>
      <c r="N320" s="599" t="str">
        <f t="shared" si="3"/>
        <v>genga_yuw_event_savage_00002_02_appear</v>
      </c>
      <c r="O320" s="599" t="str">
        <f t="shared" si="4"/>
        <v>manga_animation_genga_yuw_event_savage_00002_02_appear</v>
      </c>
      <c r="P320" s="753"/>
      <c r="Q320" s="753"/>
      <c r="R320" s="753" t="s">
        <v>3632</v>
      </c>
      <c r="S320" s="754"/>
      <c r="T320" s="754"/>
    </row>
    <row r="321">
      <c r="A321" s="762" t="s">
        <v>3624</v>
      </c>
      <c r="B321" s="763" t="s">
        <v>2458</v>
      </c>
      <c r="C321" s="756" t="s">
        <v>127</v>
      </c>
      <c r="D321" s="750" t="str">
        <f t="array" ref="D321">iferror(INDEX('作品'!D:D,MATCH(C321,'作品'!A:A,0),0),"")</f>
        <v>魔都精兵のスレイブ</v>
      </c>
      <c r="E321" s="423" t="s">
        <v>2459</v>
      </c>
      <c r="F321" s="755" t="s">
        <v>2457</v>
      </c>
      <c r="G321" s="755" t="s">
        <v>1762</v>
      </c>
      <c r="H321" s="755" t="s">
        <v>1762</v>
      </c>
      <c r="I321" s="755" t="s">
        <v>2433</v>
      </c>
      <c r="J321" s="755" t="s">
        <v>3625</v>
      </c>
      <c r="K321" s="755"/>
      <c r="L321" s="761" t="s">
        <v>3628</v>
      </c>
      <c r="M321" s="761" t="s">
        <v>3629</v>
      </c>
      <c r="N321" s="599" t="str">
        <f t="shared" si="3"/>
        <v>genga_sur_event_story_00001_01_start</v>
      </c>
      <c r="O321" s="599" t="str">
        <f t="shared" si="4"/>
        <v>manga_animation_genga_sur_event_story_00001_01_start</v>
      </c>
      <c r="P321" s="753"/>
      <c r="Q321" s="753"/>
      <c r="R321" s="753" t="s">
        <v>3632</v>
      </c>
      <c r="S321" s="754"/>
      <c r="T321" s="754"/>
    </row>
    <row r="322">
      <c r="A322" s="762" t="s">
        <v>3624</v>
      </c>
      <c r="B322" s="764" t="s">
        <v>2458</v>
      </c>
      <c r="C322" s="756" t="s">
        <v>127</v>
      </c>
      <c r="D322" s="750" t="str">
        <f t="array" ref="D322">iferror(INDEX('作品'!D:D,MATCH(C322,'作品'!A:A,0),0),"")</f>
        <v>魔都精兵のスレイブ</v>
      </c>
      <c r="E322" s="423" t="s">
        <v>2459</v>
      </c>
      <c r="F322" s="755" t="s">
        <v>2457</v>
      </c>
      <c r="G322" s="755" t="s">
        <v>1762</v>
      </c>
      <c r="H322" s="755" t="s">
        <v>3627</v>
      </c>
      <c r="I322" s="755" t="s">
        <v>2433</v>
      </c>
      <c r="J322" s="755" t="s">
        <v>3625</v>
      </c>
      <c r="K322" s="755"/>
      <c r="L322" s="761" t="s">
        <v>3628</v>
      </c>
      <c r="M322" s="761" t="s">
        <v>3629</v>
      </c>
      <c r="N322" s="599" t="str">
        <f t="shared" si="3"/>
        <v>genga_sur_event_story_00001_02_start</v>
      </c>
      <c r="O322" s="599" t="str">
        <f t="shared" si="4"/>
        <v>manga_animation_genga_sur_event_story_00001_02_start</v>
      </c>
      <c r="P322" s="753"/>
      <c r="Q322" s="753"/>
      <c r="R322" s="753" t="s">
        <v>3632</v>
      </c>
      <c r="S322" s="754"/>
      <c r="T322" s="754"/>
    </row>
    <row r="323">
      <c r="A323" s="762" t="s">
        <v>3624</v>
      </c>
      <c r="B323" s="763" t="s">
        <v>2458</v>
      </c>
      <c r="C323" s="756" t="s">
        <v>127</v>
      </c>
      <c r="D323" s="750" t="str">
        <f t="array" ref="D323">iferror(INDEX('作品'!D:D,MATCH(C323,'作品'!A:A,0),0),"")</f>
        <v>魔都精兵のスレイブ</v>
      </c>
      <c r="E323" s="423" t="s">
        <v>2459</v>
      </c>
      <c r="F323" s="755" t="s">
        <v>2457</v>
      </c>
      <c r="G323" s="755" t="s">
        <v>1762</v>
      </c>
      <c r="H323" s="755" t="s">
        <v>3627</v>
      </c>
      <c r="I323" s="755" t="s">
        <v>2433</v>
      </c>
      <c r="J323" s="755" t="s">
        <v>3633</v>
      </c>
      <c r="K323" s="755"/>
      <c r="L323" s="761" t="s">
        <v>3628</v>
      </c>
      <c r="M323" s="761" t="s">
        <v>3634</v>
      </c>
      <c r="N323" s="599" t="str">
        <f t="shared" si="3"/>
        <v>genga_sur_event_story_00001_02_victory</v>
      </c>
      <c r="O323" s="599" t="str">
        <f t="shared" si="4"/>
        <v>manga_animation_genga_sur_event_story_00001_02_victory</v>
      </c>
      <c r="P323" s="753"/>
      <c r="Q323" s="753"/>
      <c r="R323" s="753" t="s">
        <v>3632</v>
      </c>
      <c r="S323" s="754"/>
      <c r="T323" s="754"/>
    </row>
    <row r="324">
      <c r="A324" s="762" t="s">
        <v>3624</v>
      </c>
      <c r="B324" s="764" t="s">
        <v>2458</v>
      </c>
      <c r="C324" s="756" t="s">
        <v>127</v>
      </c>
      <c r="D324" s="750" t="str">
        <f t="array" ref="D324">iferror(INDEX('作品'!D:D,MATCH(C324,'作品'!A:A,0),0),"")</f>
        <v>魔都精兵のスレイブ</v>
      </c>
      <c r="E324" s="423" t="s">
        <v>2459</v>
      </c>
      <c r="F324" s="755" t="s">
        <v>2457</v>
      </c>
      <c r="G324" s="755" t="s">
        <v>1762</v>
      </c>
      <c r="H324" s="755" t="s">
        <v>1588</v>
      </c>
      <c r="I324" s="755" t="s">
        <v>2433</v>
      </c>
      <c r="J324" s="755" t="s">
        <v>3625</v>
      </c>
      <c r="K324" s="755"/>
      <c r="L324" s="761" t="s">
        <v>3628</v>
      </c>
      <c r="M324" s="761" t="s">
        <v>3629</v>
      </c>
      <c r="N324" s="599" t="str">
        <f t="shared" si="3"/>
        <v>genga_sur_event_story_00001_03_start</v>
      </c>
      <c r="O324" s="599" t="str">
        <f t="shared" si="4"/>
        <v>manga_animation_genga_sur_event_story_00001_03_start</v>
      </c>
      <c r="P324" s="753"/>
      <c r="Q324" s="753"/>
      <c r="R324" s="753" t="s">
        <v>3632</v>
      </c>
      <c r="S324" s="754"/>
      <c r="T324" s="754"/>
    </row>
    <row r="325">
      <c r="A325" s="762" t="s">
        <v>3624</v>
      </c>
      <c r="B325" s="763" t="s">
        <v>2458</v>
      </c>
      <c r="C325" s="756" t="s">
        <v>127</v>
      </c>
      <c r="D325" s="750" t="str">
        <f t="array" ref="D325">iferror(INDEX('作品'!D:D,MATCH(C325,'作品'!A:A,0),0),"")</f>
        <v>魔都精兵のスレイブ</v>
      </c>
      <c r="E325" s="423" t="s">
        <v>2459</v>
      </c>
      <c r="F325" s="755" t="s">
        <v>2457</v>
      </c>
      <c r="G325" s="755" t="s">
        <v>1762</v>
      </c>
      <c r="H325" s="755" t="s">
        <v>1588</v>
      </c>
      <c r="I325" s="755" t="s">
        <v>2433</v>
      </c>
      <c r="J325" s="755" t="s">
        <v>3633</v>
      </c>
      <c r="K325" s="755"/>
      <c r="L325" s="761" t="s">
        <v>3628</v>
      </c>
      <c r="M325" s="761" t="s">
        <v>3634</v>
      </c>
      <c r="N325" s="599" t="str">
        <f t="shared" si="3"/>
        <v>genga_sur_event_story_00001_03_victory</v>
      </c>
      <c r="O325" s="599" t="str">
        <f t="shared" si="4"/>
        <v>manga_animation_genga_sur_event_story_00001_03_victory</v>
      </c>
      <c r="P325" s="753"/>
      <c r="Q325" s="753"/>
      <c r="R325" s="753" t="s">
        <v>3632</v>
      </c>
      <c r="S325" s="754"/>
      <c r="T325" s="754"/>
    </row>
    <row r="326">
      <c r="A326" s="762" t="s">
        <v>3624</v>
      </c>
      <c r="B326" s="764" t="s">
        <v>2458</v>
      </c>
      <c r="C326" s="756" t="s">
        <v>127</v>
      </c>
      <c r="D326" s="750" t="str">
        <f t="array" ref="D326">iferror(INDEX('作品'!D:D,MATCH(C326,'作品'!A:A,0),0),"")</f>
        <v>魔都精兵のスレイブ</v>
      </c>
      <c r="E326" s="423" t="s">
        <v>2459</v>
      </c>
      <c r="F326" s="755" t="s">
        <v>2457</v>
      </c>
      <c r="G326" s="755" t="s">
        <v>1762</v>
      </c>
      <c r="H326" s="755" t="s">
        <v>3645</v>
      </c>
      <c r="I326" s="755" t="s">
        <v>2433</v>
      </c>
      <c r="J326" s="755" t="s">
        <v>3625</v>
      </c>
      <c r="K326" s="755"/>
      <c r="L326" s="761" t="s">
        <v>3628</v>
      </c>
      <c r="M326" s="761" t="s">
        <v>3629</v>
      </c>
      <c r="N326" s="599" t="str">
        <f t="shared" si="3"/>
        <v>genga_sur_event_story_00001_04_start</v>
      </c>
      <c r="O326" s="599" t="str">
        <f t="shared" si="4"/>
        <v>manga_animation_genga_sur_event_story_00001_04_start</v>
      </c>
      <c r="P326" s="753"/>
      <c r="Q326" s="753"/>
      <c r="R326" s="753" t="s">
        <v>3632</v>
      </c>
      <c r="S326" s="754"/>
      <c r="T326" s="754"/>
    </row>
    <row r="327">
      <c r="A327" s="762" t="s">
        <v>3624</v>
      </c>
      <c r="B327" s="763" t="s">
        <v>2458</v>
      </c>
      <c r="C327" s="756" t="s">
        <v>127</v>
      </c>
      <c r="D327" s="750" t="str">
        <f t="array" ref="D327">iferror(INDEX('作品'!D:D,MATCH(C327,'作品'!A:A,0),0),"")</f>
        <v>魔都精兵のスレイブ</v>
      </c>
      <c r="E327" s="423" t="s">
        <v>2459</v>
      </c>
      <c r="F327" s="755" t="s">
        <v>2457</v>
      </c>
      <c r="G327" s="755" t="s">
        <v>1762</v>
      </c>
      <c r="H327" s="755" t="s">
        <v>3645</v>
      </c>
      <c r="I327" s="755" t="s">
        <v>2433</v>
      </c>
      <c r="J327" s="755" t="s">
        <v>3633</v>
      </c>
      <c r="K327" s="755"/>
      <c r="L327" s="761" t="s">
        <v>3628</v>
      </c>
      <c r="M327" s="761" t="s">
        <v>3634</v>
      </c>
      <c r="N327" s="599" t="str">
        <f t="shared" si="3"/>
        <v>genga_sur_event_story_00001_04_victory</v>
      </c>
      <c r="O327" s="599" t="str">
        <f t="shared" si="4"/>
        <v>manga_animation_genga_sur_event_story_00001_04_victory</v>
      </c>
      <c r="P327" s="753"/>
      <c r="Q327" s="753"/>
      <c r="R327" s="753" t="s">
        <v>3632</v>
      </c>
      <c r="S327" s="754"/>
      <c r="T327" s="754"/>
    </row>
    <row r="328">
      <c r="A328" s="762" t="s">
        <v>3624</v>
      </c>
      <c r="B328" s="764" t="s">
        <v>2458</v>
      </c>
      <c r="C328" s="756" t="s">
        <v>127</v>
      </c>
      <c r="D328" s="750" t="str">
        <f t="array" ref="D328">iferror(INDEX('作品'!D:D,MATCH(C328,'作品'!A:A,0),0),"")</f>
        <v>魔都精兵のスレイブ</v>
      </c>
      <c r="E328" s="423" t="s">
        <v>2459</v>
      </c>
      <c r="F328" s="755" t="s">
        <v>2457</v>
      </c>
      <c r="G328" s="755" t="s">
        <v>1762</v>
      </c>
      <c r="H328" s="755" t="s">
        <v>3650</v>
      </c>
      <c r="I328" s="755" t="s">
        <v>2433</v>
      </c>
      <c r="J328" s="755" t="s">
        <v>3625</v>
      </c>
      <c r="K328" s="755"/>
      <c r="L328" s="761" t="s">
        <v>3628</v>
      </c>
      <c r="M328" s="761" t="s">
        <v>3629</v>
      </c>
      <c r="N328" s="599" t="str">
        <f t="shared" si="3"/>
        <v>genga_sur_event_story_00001_05_start</v>
      </c>
      <c r="O328" s="599" t="str">
        <f t="shared" si="4"/>
        <v>manga_animation_genga_sur_event_story_00001_05_start</v>
      </c>
      <c r="P328" s="753"/>
      <c r="Q328" s="753"/>
      <c r="R328" s="753" t="s">
        <v>3632</v>
      </c>
      <c r="S328" s="754"/>
      <c r="T328" s="754"/>
    </row>
    <row r="329">
      <c r="A329" s="762" t="s">
        <v>3624</v>
      </c>
      <c r="B329" s="763" t="s">
        <v>2458</v>
      </c>
      <c r="C329" s="756" t="s">
        <v>127</v>
      </c>
      <c r="D329" s="750" t="str">
        <f t="array" ref="D329">iferror(INDEX('作品'!D:D,MATCH(C329,'作品'!A:A,0),0),"")</f>
        <v>魔都精兵のスレイブ</v>
      </c>
      <c r="E329" s="423" t="s">
        <v>2459</v>
      </c>
      <c r="F329" s="755" t="s">
        <v>2457</v>
      </c>
      <c r="G329" s="755" t="s">
        <v>1762</v>
      </c>
      <c r="H329" s="755" t="s">
        <v>3650</v>
      </c>
      <c r="I329" s="755" t="s">
        <v>2433</v>
      </c>
      <c r="J329" s="755" t="s">
        <v>3633</v>
      </c>
      <c r="K329" s="755"/>
      <c r="L329" s="761" t="s">
        <v>3628</v>
      </c>
      <c r="M329" s="761" t="s">
        <v>3634</v>
      </c>
      <c r="N329" s="599" t="str">
        <f t="shared" si="3"/>
        <v>genga_sur_event_story_00001_05_victory</v>
      </c>
      <c r="O329" s="599" t="str">
        <f t="shared" si="4"/>
        <v>manga_animation_genga_sur_event_story_00001_05_victory</v>
      </c>
      <c r="P329" s="753"/>
      <c r="Q329" s="753"/>
      <c r="R329" s="753" t="s">
        <v>3632</v>
      </c>
      <c r="S329" s="754"/>
      <c r="T329" s="754"/>
    </row>
    <row r="330">
      <c r="A330" s="762" t="s">
        <v>3624</v>
      </c>
      <c r="B330" s="764" t="s">
        <v>2458</v>
      </c>
      <c r="C330" s="756" t="s">
        <v>127</v>
      </c>
      <c r="D330" s="750" t="str">
        <f t="array" ref="D330">iferror(INDEX('作品'!D:D,MATCH(C330,'作品'!A:A,0),0),"")</f>
        <v>魔都精兵のスレイブ</v>
      </c>
      <c r="E330" s="423" t="s">
        <v>2459</v>
      </c>
      <c r="F330" s="755" t="s">
        <v>2457</v>
      </c>
      <c r="G330" s="755" t="s">
        <v>1762</v>
      </c>
      <c r="H330" s="755" t="s">
        <v>3655</v>
      </c>
      <c r="I330" s="755" t="s">
        <v>2433</v>
      </c>
      <c r="J330" s="755" t="s">
        <v>3625</v>
      </c>
      <c r="K330" s="755"/>
      <c r="L330" s="761" t="s">
        <v>3628</v>
      </c>
      <c r="M330" s="761" t="s">
        <v>3629</v>
      </c>
      <c r="N330" s="599" t="str">
        <f t="shared" si="3"/>
        <v>genga_sur_event_story_00001_06_start</v>
      </c>
      <c r="O330" s="599" t="str">
        <f t="shared" si="4"/>
        <v>manga_animation_genga_sur_event_story_00001_06_start</v>
      </c>
      <c r="P330" s="753"/>
      <c r="Q330" s="753"/>
      <c r="R330" s="753" t="s">
        <v>3632</v>
      </c>
      <c r="S330" s="754"/>
      <c r="T330" s="754"/>
    </row>
    <row r="331">
      <c r="A331" s="762" t="s">
        <v>3624</v>
      </c>
      <c r="B331" s="763" t="s">
        <v>2458</v>
      </c>
      <c r="C331" s="756" t="s">
        <v>127</v>
      </c>
      <c r="D331" s="750" t="str">
        <f t="array" ref="D331">iferror(INDEX('作品'!D:D,MATCH(C331,'作品'!A:A,0),0),"")</f>
        <v>魔都精兵のスレイブ</v>
      </c>
      <c r="E331" s="423" t="s">
        <v>2459</v>
      </c>
      <c r="F331" s="755" t="s">
        <v>2457</v>
      </c>
      <c r="G331" s="755" t="s">
        <v>1762</v>
      </c>
      <c r="H331" s="755" t="s">
        <v>3655</v>
      </c>
      <c r="I331" s="755" t="s">
        <v>2433</v>
      </c>
      <c r="J331" s="755" t="s">
        <v>3633</v>
      </c>
      <c r="K331" s="755"/>
      <c r="L331" s="761" t="s">
        <v>3628</v>
      </c>
      <c r="M331" s="761" t="s">
        <v>3634</v>
      </c>
      <c r="N331" s="599" t="str">
        <f t="shared" si="3"/>
        <v>genga_sur_event_story_00001_06_victory</v>
      </c>
      <c r="O331" s="599" t="str">
        <f t="shared" si="4"/>
        <v>manga_animation_genga_sur_event_story_00001_06_victory</v>
      </c>
      <c r="P331" s="753"/>
      <c r="Q331" s="753"/>
      <c r="R331" s="753" t="s">
        <v>3632</v>
      </c>
      <c r="S331" s="754"/>
      <c r="T331" s="754"/>
    </row>
    <row r="332">
      <c r="A332" s="762" t="s">
        <v>3624</v>
      </c>
      <c r="B332" s="764" t="s">
        <v>2458</v>
      </c>
      <c r="C332" s="756" t="s">
        <v>127</v>
      </c>
      <c r="D332" s="750" t="str">
        <f t="array" ref="D332">iferror(INDEX('作品'!D:D,MATCH(C332,'作品'!A:A,0),0),"")</f>
        <v>魔都精兵のスレイブ</v>
      </c>
      <c r="E332" s="423" t="s">
        <v>2459</v>
      </c>
      <c r="F332" s="755" t="s">
        <v>2457</v>
      </c>
      <c r="G332" s="755" t="s">
        <v>1762</v>
      </c>
      <c r="H332" s="755" t="s">
        <v>3734</v>
      </c>
      <c r="I332" s="755" t="s">
        <v>2433</v>
      </c>
      <c r="J332" s="755" t="s">
        <v>3625</v>
      </c>
      <c r="K332" s="755"/>
      <c r="L332" s="761" t="s">
        <v>3628</v>
      </c>
      <c r="M332" s="761" t="s">
        <v>3629</v>
      </c>
      <c r="N332" s="599" t="str">
        <f t="shared" si="3"/>
        <v>genga_sur_event_story_00001_07_start</v>
      </c>
      <c r="O332" s="599" t="str">
        <f t="shared" si="4"/>
        <v>manga_animation_genga_sur_event_story_00001_07_start</v>
      </c>
      <c r="P332" s="753"/>
      <c r="Q332" s="753"/>
      <c r="R332" s="753" t="s">
        <v>3632</v>
      </c>
      <c r="S332" s="754"/>
      <c r="T332" s="754"/>
    </row>
    <row r="333">
      <c r="A333" s="762" t="s">
        <v>3624</v>
      </c>
      <c r="B333" s="763" t="s">
        <v>2458</v>
      </c>
      <c r="C333" s="756" t="s">
        <v>127</v>
      </c>
      <c r="D333" s="750" t="str">
        <f t="array" ref="D333">iferror(INDEX('作品'!D:D,MATCH(C333,'作品'!A:A,0),0),"")</f>
        <v>魔都精兵のスレイブ</v>
      </c>
      <c r="E333" s="423" t="s">
        <v>2459</v>
      </c>
      <c r="F333" s="755" t="s">
        <v>2457</v>
      </c>
      <c r="G333" s="755" t="s">
        <v>1762</v>
      </c>
      <c r="H333" s="755" t="s">
        <v>3757</v>
      </c>
      <c r="I333" s="755" t="s">
        <v>2433</v>
      </c>
      <c r="J333" s="755" t="s">
        <v>3625</v>
      </c>
      <c r="K333" s="755"/>
      <c r="L333" s="761" t="s">
        <v>3628</v>
      </c>
      <c r="M333" s="761" t="s">
        <v>3629</v>
      </c>
      <c r="N333" s="599" t="str">
        <f t="shared" si="3"/>
        <v>genga_sur_event_story_00001_08_start</v>
      </c>
      <c r="O333" s="599" t="str">
        <f t="shared" si="4"/>
        <v>manga_animation_genga_sur_event_story_00001_08_start</v>
      </c>
      <c r="P333" s="753"/>
      <c r="Q333" s="753"/>
      <c r="R333" s="753" t="s">
        <v>3632</v>
      </c>
      <c r="S333" s="754"/>
      <c r="T333" s="754"/>
    </row>
    <row r="334">
      <c r="A334" s="762" t="s">
        <v>3624</v>
      </c>
      <c r="B334" s="764" t="s">
        <v>2458</v>
      </c>
      <c r="C334" s="756" t="s">
        <v>127</v>
      </c>
      <c r="D334" s="750" t="str">
        <f t="array" ref="D334">iferror(INDEX('作品'!D:D,MATCH(C334,'作品'!A:A,0),0),"")</f>
        <v>魔都精兵のスレイブ</v>
      </c>
      <c r="E334" s="423" t="s">
        <v>2459</v>
      </c>
      <c r="F334" s="755" t="s">
        <v>2457</v>
      </c>
      <c r="G334" s="755" t="s">
        <v>1762</v>
      </c>
      <c r="H334" s="755" t="s">
        <v>3757</v>
      </c>
      <c r="I334" s="755" t="s">
        <v>2433</v>
      </c>
      <c r="J334" s="755" t="s">
        <v>3633</v>
      </c>
      <c r="K334" s="755"/>
      <c r="L334" s="761" t="s">
        <v>3628</v>
      </c>
      <c r="M334" s="761" t="s">
        <v>3634</v>
      </c>
      <c r="N334" s="599" t="str">
        <f t="shared" si="3"/>
        <v>genga_sur_event_story_00001_08_victory</v>
      </c>
      <c r="O334" s="599" t="str">
        <f t="shared" si="4"/>
        <v>manga_animation_genga_sur_event_story_00001_08_victory</v>
      </c>
      <c r="P334" s="753"/>
      <c r="Q334" s="753"/>
      <c r="R334" s="753" t="s">
        <v>3632</v>
      </c>
      <c r="S334" s="754"/>
      <c r="T334" s="754"/>
    </row>
    <row r="335">
      <c r="A335" s="762" t="s">
        <v>3624</v>
      </c>
      <c r="B335" s="763" t="s">
        <v>2458</v>
      </c>
      <c r="C335" s="756" t="s">
        <v>127</v>
      </c>
      <c r="D335" s="750" t="str">
        <f t="array" ref="D335">iferror(INDEX('作品'!D:D,MATCH(C335,'作品'!A:A,0),0),"")</f>
        <v>魔都精兵のスレイブ</v>
      </c>
      <c r="E335" s="423" t="s">
        <v>2459</v>
      </c>
      <c r="F335" s="755" t="s">
        <v>2457</v>
      </c>
      <c r="G335" s="755" t="s">
        <v>3627</v>
      </c>
      <c r="H335" s="755" t="s">
        <v>1762</v>
      </c>
      <c r="I335" s="755" t="s">
        <v>2433</v>
      </c>
      <c r="J335" s="755" t="s">
        <v>3625</v>
      </c>
      <c r="K335" s="755"/>
      <c r="L335" s="761" t="s">
        <v>3628</v>
      </c>
      <c r="M335" s="761" t="s">
        <v>3629</v>
      </c>
      <c r="N335" s="599" t="str">
        <f t="shared" si="3"/>
        <v>genga_sur_event_story_00002_01_start</v>
      </c>
      <c r="O335" s="599" t="str">
        <f t="shared" si="4"/>
        <v>manga_animation_genga_sur_event_story_00002_01_start</v>
      </c>
      <c r="P335" s="753"/>
      <c r="Q335" s="753"/>
      <c r="R335" s="753" t="s">
        <v>3632</v>
      </c>
      <c r="S335" s="754"/>
      <c r="T335" s="754"/>
    </row>
    <row r="336">
      <c r="A336" s="762" t="s">
        <v>3624</v>
      </c>
      <c r="B336" s="764" t="s">
        <v>2458</v>
      </c>
      <c r="C336" s="756" t="s">
        <v>127</v>
      </c>
      <c r="D336" s="750" t="str">
        <f t="array" ref="D336">iferror(INDEX('作品'!D:D,MATCH(C336,'作品'!A:A,0),0),"")</f>
        <v>魔都精兵のスレイブ</v>
      </c>
      <c r="E336" s="423" t="s">
        <v>2459</v>
      </c>
      <c r="F336" s="755" t="s">
        <v>2457</v>
      </c>
      <c r="G336" s="755" t="s">
        <v>3627</v>
      </c>
      <c r="H336" s="755" t="s">
        <v>3627</v>
      </c>
      <c r="I336" s="755" t="s">
        <v>2433</v>
      </c>
      <c r="J336" s="755" t="s">
        <v>3625</v>
      </c>
      <c r="K336" s="755"/>
      <c r="L336" s="761" t="s">
        <v>3628</v>
      </c>
      <c r="M336" s="761" t="s">
        <v>3629</v>
      </c>
      <c r="N336" s="599" t="str">
        <f t="shared" si="3"/>
        <v>genga_sur_event_story_00002_02_start</v>
      </c>
      <c r="O336" s="599" t="str">
        <f t="shared" si="4"/>
        <v>manga_animation_genga_sur_event_story_00002_02_start</v>
      </c>
      <c r="P336" s="753"/>
      <c r="Q336" s="753"/>
      <c r="R336" s="753" t="s">
        <v>3632</v>
      </c>
      <c r="S336" s="754"/>
      <c r="T336" s="754"/>
    </row>
    <row r="337">
      <c r="A337" s="762" t="s">
        <v>3624</v>
      </c>
      <c r="B337" s="763" t="s">
        <v>2458</v>
      </c>
      <c r="C337" s="756" t="s">
        <v>127</v>
      </c>
      <c r="D337" s="750" t="str">
        <f t="array" ref="D337">iferror(INDEX('作品'!D:D,MATCH(C337,'作品'!A:A,0),0),"")</f>
        <v>魔都精兵のスレイブ</v>
      </c>
      <c r="E337" s="423" t="s">
        <v>2459</v>
      </c>
      <c r="F337" s="755" t="s">
        <v>2457</v>
      </c>
      <c r="G337" s="755" t="s">
        <v>3627</v>
      </c>
      <c r="H337" s="755" t="s">
        <v>3627</v>
      </c>
      <c r="I337" s="755" t="s">
        <v>2433</v>
      </c>
      <c r="J337" s="755" t="s">
        <v>3633</v>
      </c>
      <c r="K337" s="755"/>
      <c r="L337" s="761" t="s">
        <v>3628</v>
      </c>
      <c r="M337" s="761" t="s">
        <v>3634</v>
      </c>
      <c r="N337" s="599" t="str">
        <f t="shared" si="3"/>
        <v>genga_sur_event_story_00002_02_victory</v>
      </c>
      <c r="O337" s="599" t="str">
        <f t="shared" si="4"/>
        <v>manga_animation_genga_sur_event_story_00002_02_victory</v>
      </c>
      <c r="P337" s="753"/>
      <c r="Q337" s="753"/>
      <c r="R337" s="753" t="s">
        <v>3632</v>
      </c>
      <c r="S337" s="754"/>
      <c r="T337" s="754"/>
    </row>
    <row r="338">
      <c r="A338" s="762" t="s">
        <v>3624</v>
      </c>
      <c r="B338" s="764" t="s">
        <v>2458</v>
      </c>
      <c r="C338" s="756" t="s">
        <v>127</v>
      </c>
      <c r="D338" s="750" t="str">
        <f t="array" ref="D338">iferror(INDEX('作品'!D:D,MATCH(C338,'作品'!A:A,0),0),"")</f>
        <v>魔都精兵のスレイブ</v>
      </c>
      <c r="E338" s="423" t="s">
        <v>2459</v>
      </c>
      <c r="F338" s="755" t="s">
        <v>2457</v>
      </c>
      <c r="G338" s="755" t="s">
        <v>3627</v>
      </c>
      <c r="H338" s="755" t="s">
        <v>1588</v>
      </c>
      <c r="I338" s="755" t="s">
        <v>2433</v>
      </c>
      <c r="J338" s="755" t="s">
        <v>3625</v>
      </c>
      <c r="K338" s="755"/>
      <c r="L338" s="761" t="s">
        <v>3628</v>
      </c>
      <c r="M338" s="761" t="s">
        <v>3629</v>
      </c>
      <c r="N338" s="599" t="str">
        <f t="shared" si="3"/>
        <v>genga_sur_event_story_00002_03_start</v>
      </c>
      <c r="O338" s="599" t="str">
        <f t="shared" si="4"/>
        <v>manga_animation_genga_sur_event_story_00002_03_start</v>
      </c>
      <c r="P338" s="753"/>
      <c r="Q338" s="753"/>
      <c r="R338" s="753" t="s">
        <v>3632</v>
      </c>
      <c r="S338" s="754"/>
      <c r="T338" s="754"/>
    </row>
    <row r="339">
      <c r="A339" s="762" t="s">
        <v>3624</v>
      </c>
      <c r="B339" s="763" t="s">
        <v>2458</v>
      </c>
      <c r="C339" s="756" t="s">
        <v>127</v>
      </c>
      <c r="D339" s="750" t="str">
        <f t="array" ref="D339">iferror(INDEX('作品'!D:D,MATCH(C339,'作品'!A:A,0),0),"")</f>
        <v>魔都精兵のスレイブ</v>
      </c>
      <c r="E339" s="423" t="s">
        <v>2459</v>
      </c>
      <c r="F339" s="755" t="s">
        <v>2457</v>
      </c>
      <c r="G339" s="755" t="s">
        <v>3627</v>
      </c>
      <c r="H339" s="755" t="s">
        <v>1588</v>
      </c>
      <c r="I339" s="755" t="s">
        <v>2433</v>
      </c>
      <c r="J339" s="755" t="s">
        <v>3633</v>
      </c>
      <c r="K339" s="755"/>
      <c r="L339" s="761" t="s">
        <v>3628</v>
      </c>
      <c r="M339" s="761" t="s">
        <v>3634</v>
      </c>
      <c r="N339" s="599" t="str">
        <f t="shared" si="3"/>
        <v>genga_sur_event_story_00002_03_victory</v>
      </c>
      <c r="O339" s="599" t="str">
        <f t="shared" si="4"/>
        <v>manga_animation_genga_sur_event_story_00002_03_victory</v>
      </c>
      <c r="P339" s="753"/>
      <c r="Q339" s="753"/>
      <c r="R339" s="753" t="s">
        <v>3632</v>
      </c>
      <c r="S339" s="754"/>
      <c r="T339" s="754"/>
    </row>
    <row r="340">
      <c r="A340" s="762" t="s">
        <v>3624</v>
      </c>
      <c r="B340" s="764" t="s">
        <v>2458</v>
      </c>
      <c r="C340" s="756" t="s">
        <v>127</v>
      </c>
      <c r="D340" s="750" t="str">
        <f t="array" ref="D340">iferror(INDEX('作品'!D:D,MATCH(C340,'作品'!A:A,0),0),"")</f>
        <v>魔都精兵のスレイブ</v>
      </c>
      <c r="E340" s="423" t="s">
        <v>2459</v>
      </c>
      <c r="F340" s="755" t="s">
        <v>2457</v>
      </c>
      <c r="G340" s="755" t="s">
        <v>3627</v>
      </c>
      <c r="H340" s="755" t="s">
        <v>3645</v>
      </c>
      <c r="I340" s="755" t="s">
        <v>2433</v>
      </c>
      <c r="J340" s="755" t="s">
        <v>3625</v>
      </c>
      <c r="K340" s="755"/>
      <c r="L340" s="761" t="s">
        <v>3628</v>
      </c>
      <c r="M340" s="761" t="s">
        <v>3629</v>
      </c>
      <c r="N340" s="599" t="str">
        <f t="shared" si="3"/>
        <v>genga_sur_event_story_00002_04_start</v>
      </c>
      <c r="O340" s="599" t="str">
        <f t="shared" si="4"/>
        <v>manga_animation_genga_sur_event_story_00002_04_start</v>
      </c>
      <c r="P340" s="753"/>
      <c r="Q340" s="753"/>
      <c r="R340" s="753" t="s">
        <v>3632</v>
      </c>
      <c r="S340" s="754"/>
      <c r="T340" s="754"/>
    </row>
    <row r="341">
      <c r="A341" s="762" t="s">
        <v>3624</v>
      </c>
      <c r="B341" s="763" t="s">
        <v>2458</v>
      </c>
      <c r="C341" s="756" t="s">
        <v>127</v>
      </c>
      <c r="D341" s="750" t="str">
        <f t="array" ref="D341">iferror(INDEX('作品'!D:D,MATCH(C341,'作品'!A:A,0),0),"")</f>
        <v>魔都精兵のスレイブ</v>
      </c>
      <c r="E341" s="423" t="s">
        <v>2459</v>
      </c>
      <c r="F341" s="755" t="s">
        <v>2457</v>
      </c>
      <c r="G341" s="755" t="s">
        <v>3627</v>
      </c>
      <c r="H341" s="755" t="s">
        <v>3645</v>
      </c>
      <c r="I341" s="755" t="s">
        <v>2433</v>
      </c>
      <c r="J341" s="755" t="s">
        <v>3633</v>
      </c>
      <c r="K341" s="755"/>
      <c r="L341" s="761" t="s">
        <v>3628</v>
      </c>
      <c r="M341" s="761" t="s">
        <v>3634</v>
      </c>
      <c r="N341" s="599" t="str">
        <f t="shared" si="3"/>
        <v>genga_sur_event_story_00002_04_victory</v>
      </c>
      <c r="O341" s="599" t="str">
        <f t="shared" si="4"/>
        <v>manga_animation_genga_sur_event_story_00002_04_victory</v>
      </c>
      <c r="P341" s="753"/>
      <c r="Q341" s="753"/>
      <c r="R341" s="753" t="s">
        <v>3632</v>
      </c>
      <c r="S341" s="754"/>
      <c r="T341" s="754"/>
    </row>
    <row r="342">
      <c r="A342" s="762" t="s">
        <v>3624</v>
      </c>
      <c r="B342" s="764" t="s">
        <v>2458</v>
      </c>
      <c r="C342" s="756" t="s">
        <v>127</v>
      </c>
      <c r="D342" s="750" t="str">
        <f t="array" ref="D342">iferror(INDEX('作品'!D:D,MATCH(C342,'作品'!A:A,0),0),"")</f>
        <v>魔都精兵のスレイブ</v>
      </c>
      <c r="E342" s="423" t="s">
        <v>2459</v>
      </c>
      <c r="F342" s="755" t="s">
        <v>2457</v>
      </c>
      <c r="G342" s="755" t="s">
        <v>3627</v>
      </c>
      <c r="H342" s="755" t="s">
        <v>3650</v>
      </c>
      <c r="I342" s="755" t="s">
        <v>2433</v>
      </c>
      <c r="J342" s="755" t="s">
        <v>3625</v>
      </c>
      <c r="K342" s="755"/>
      <c r="L342" s="761" t="s">
        <v>3628</v>
      </c>
      <c r="M342" s="761" t="s">
        <v>3629</v>
      </c>
      <c r="N342" s="599" t="str">
        <f t="shared" si="3"/>
        <v>genga_sur_event_story_00002_05_start</v>
      </c>
      <c r="O342" s="599" t="str">
        <f t="shared" si="4"/>
        <v>manga_animation_genga_sur_event_story_00002_05_start</v>
      </c>
      <c r="P342" s="753"/>
      <c r="Q342" s="753"/>
      <c r="R342" s="753" t="s">
        <v>3632</v>
      </c>
      <c r="S342" s="754"/>
      <c r="T342" s="754"/>
    </row>
    <row r="343">
      <c r="A343" s="762" t="s">
        <v>3624</v>
      </c>
      <c r="B343" s="763" t="s">
        <v>2458</v>
      </c>
      <c r="C343" s="756" t="s">
        <v>127</v>
      </c>
      <c r="D343" s="750" t="str">
        <f t="array" ref="D343">iferror(INDEX('作品'!D:D,MATCH(C343,'作品'!A:A,0),0),"")</f>
        <v>魔都精兵のスレイブ</v>
      </c>
      <c r="E343" s="423" t="s">
        <v>2459</v>
      </c>
      <c r="F343" s="755" t="s">
        <v>2457</v>
      </c>
      <c r="G343" s="755" t="s">
        <v>3627</v>
      </c>
      <c r="H343" s="755" t="s">
        <v>3655</v>
      </c>
      <c r="I343" s="755" t="s">
        <v>2433</v>
      </c>
      <c r="J343" s="755" t="s">
        <v>3625</v>
      </c>
      <c r="K343" s="755"/>
      <c r="L343" s="761" t="s">
        <v>3628</v>
      </c>
      <c r="M343" s="761" t="s">
        <v>3629</v>
      </c>
      <c r="N343" s="599" t="str">
        <f t="shared" si="3"/>
        <v>genga_sur_event_story_00002_06_start</v>
      </c>
      <c r="O343" s="599" t="str">
        <f t="shared" si="4"/>
        <v>manga_animation_genga_sur_event_story_00002_06_start</v>
      </c>
      <c r="P343" s="753"/>
      <c r="Q343" s="753"/>
      <c r="R343" s="753" t="s">
        <v>3632</v>
      </c>
      <c r="S343" s="754"/>
      <c r="T343" s="754"/>
    </row>
    <row r="344">
      <c r="A344" s="762" t="s">
        <v>3624</v>
      </c>
      <c r="B344" s="764" t="s">
        <v>2458</v>
      </c>
      <c r="C344" s="756" t="s">
        <v>127</v>
      </c>
      <c r="D344" s="750" t="str">
        <f t="array" ref="D344">iferror(INDEX('作品'!D:D,MATCH(C344,'作品'!A:A,0),0),"")</f>
        <v>魔都精兵のスレイブ</v>
      </c>
      <c r="E344" s="423" t="s">
        <v>2459</v>
      </c>
      <c r="F344" s="755" t="s">
        <v>2457</v>
      </c>
      <c r="G344" s="755" t="s">
        <v>3627</v>
      </c>
      <c r="H344" s="755" t="s">
        <v>3734</v>
      </c>
      <c r="I344" s="755" t="s">
        <v>2433</v>
      </c>
      <c r="J344" s="755" t="s">
        <v>3625</v>
      </c>
      <c r="K344" s="755"/>
      <c r="L344" s="761" t="s">
        <v>3628</v>
      </c>
      <c r="M344" s="761" t="s">
        <v>3629</v>
      </c>
      <c r="N344" s="599" t="str">
        <f t="shared" si="3"/>
        <v>genga_sur_event_story_00002_07_start</v>
      </c>
      <c r="O344" s="599" t="str">
        <f t="shared" si="4"/>
        <v>manga_animation_genga_sur_event_story_00002_07_start</v>
      </c>
      <c r="P344" s="753"/>
      <c r="Q344" s="753"/>
      <c r="R344" s="753" t="s">
        <v>3632</v>
      </c>
      <c r="S344" s="754"/>
      <c r="T344" s="754"/>
    </row>
    <row r="345">
      <c r="A345" s="762" t="s">
        <v>3624</v>
      </c>
      <c r="B345" s="764" t="s">
        <v>2458</v>
      </c>
      <c r="C345" s="756" t="s">
        <v>127</v>
      </c>
      <c r="D345" s="750" t="str">
        <f t="array" ref="D345">iferror(INDEX('作品'!D:D,MATCH(C345,'作品'!A:A,0),0),"")</f>
        <v>魔都精兵のスレイブ</v>
      </c>
      <c r="E345" s="423" t="s">
        <v>2459</v>
      </c>
      <c r="F345" s="755" t="s">
        <v>2457</v>
      </c>
      <c r="G345" s="755" t="s">
        <v>3627</v>
      </c>
      <c r="H345" s="755" t="s">
        <v>3757</v>
      </c>
      <c r="I345" s="755" t="s">
        <v>2433</v>
      </c>
      <c r="J345" s="755" t="s">
        <v>3625</v>
      </c>
      <c r="K345" s="755"/>
      <c r="L345" s="761" t="s">
        <v>3628</v>
      </c>
      <c r="M345" s="761" t="s">
        <v>3629</v>
      </c>
      <c r="N345" s="599" t="str">
        <f t="shared" si="3"/>
        <v>genga_sur_event_story_00002_08_start</v>
      </c>
      <c r="O345" s="599" t="str">
        <f t="shared" si="4"/>
        <v>manga_animation_genga_sur_event_story_00002_08_start</v>
      </c>
      <c r="P345" s="753"/>
      <c r="Q345" s="753"/>
      <c r="R345" s="753" t="s">
        <v>3632</v>
      </c>
      <c r="S345" s="754"/>
      <c r="T345" s="754"/>
    </row>
    <row r="346">
      <c r="A346" s="762" t="s">
        <v>3624</v>
      </c>
      <c r="B346" s="764" t="s">
        <v>2458</v>
      </c>
      <c r="C346" s="756" t="s">
        <v>127</v>
      </c>
      <c r="D346" s="750" t="str">
        <f t="array" ref="D346">iferror(INDEX('作品'!D:D,MATCH(C346,'作品'!A:A,0),0),"")</f>
        <v>魔都精兵のスレイブ</v>
      </c>
      <c r="E346" s="423" t="s">
        <v>2459</v>
      </c>
      <c r="F346" s="755" t="s">
        <v>2457</v>
      </c>
      <c r="G346" s="755" t="s">
        <v>3627</v>
      </c>
      <c r="H346" s="755" t="s">
        <v>3757</v>
      </c>
      <c r="I346" s="755" t="s">
        <v>2433</v>
      </c>
      <c r="J346" s="755" t="s">
        <v>3633</v>
      </c>
      <c r="K346" s="755"/>
      <c r="L346" s="761" t="s">
        <v>3628</v>
      </c>
      <c r="M346" s="761" t="s">
        <v>3634</v>
      </c>
      <c r="N346" s="599" t="str">
        <f t="shared" si="3"/>
        <v>genga_sur_event_story_00002_08_victory</v>
      </c>
      <c r="O346" s="599" t="str">
        <f t="shared" si="4"/>
        <v>manga_animation_genga_sur_event_story_00002_08_victory</v>
      </c>
      <c r="P346" s="753"/>
      <c r="Q346" s="753"/>
      <c r="R346" s="753" t="s">
        <v>3632</v>
      </c>
      <c r="S346" s="754"/>
      <c r="T346" s="754"/>
    </row>
    <row r="347">
      <c r="A347" s="762" t="s">
        <v>3624</v>
      </c>
      <c r="B347" s="764" t="s">
        <v>2458</v>
      </c>
      <c r="C347" s="756" t="s">
        <v>127</v>
      </c>
      <c r="D347" s="750" t="str">
        <f t="array" ref="D347">iferror(INDEX('作品'!D:D,MATCH(C347,'作品'!A:A,0),0),"")</f>
        <v>魔都精兵のスレイブ</v>
      </c>
      <c r="E347" s="423" t="s">
        <v>2459</v>
      </c>
      <c r="F347" s="755" t="s">
        <v>2462</v>
      </c>
      <c r="G347" s="755" t="s">
        <v>1762</v>
      </c>
      <c r="H347" s="755" t="s">
        <v>1762</v>
      </c>
      <c r="I347" s="755" t="s">
        <v>2433</v>
      </c>
      <c r="J347" s="755" t="s">
        <v>3656</v>
      </c>
      <c r="K347" s="755"/>
      <c r="L347" s="761" t="s">
        <v>3628</v>
      </c>
      <c r="M347" s="761" t="s">
        <v>3658</v>
      </c>
      <c r="N347" s="599" t="str">
        <f t="shared" si="3"/>
        <v>genga_sur_event_challenge_00001_01_appear</v>
      </c>
      <c r="O347" s="599" t="str">
        <f t="shared" si="4"/>
        <v>manga_animation_genga_sur_event_challenge_00001_01_appear</v>
      </c>
      <c r="P347" s="753"/>
      <c r="Q347" s="753"/>
      <c r="R347" s="753" t="s">
        <v>3632</v>
      </c>
      <c r="S347" s="754"/>
      <c r="T347" s="754"/>
    </row>
    <row r="348">
      <c r="A348" s="762" t="s">
        <v>3624</v>
      </c>
      <c r="B348" s="764" t="s">
        <v>2458</v>
      </c>
      <c r="C348" s="756" t="s">
        <v>127</v>
      </c>
      <c r="D348" s="750" t="str">
        <f t="array" ref="D348">iferror(INDEX('作品'!D:D,MATCH(C348,'作品'!A:A,0),0),"")</f>
        <v>魔都精兵のスレイブ</v>
      </c>
      <c r="E348" s="423" t="s">
        <v>2459</v>
      </c>
      <c r="F348" s="755" t="s">
        <v>2462</v>
      </c>
      <c r="G348" s="755" t="s">
        <v>3627</v>
      </c>
      <c r="H348" s="755" t="s">
        <v>3627</v>
      </c>
      <c r="I348" s="755" t="s">
        <v>2433</v>
      </c>
      <c r="J348" s="755" t="s">
        <v>3656</v>
      </c>
      <c r="K348" s="755"/>
      <c r="L348" s="761" t="s">
        <v>3628</v>
      </c>
      <c r="M348" s="761" t="s">
        <v>3658</v>
      </c>
      <c r="N348" s="599" t="str">
        <f t="shared" si="3"/>
        <v>genga_sur_event_challenge_00002_02_appear</v>
      </c>
      <c r="O348" s="599" t="str">
        <f t="shared" si="4"/>
        <v>manga_animation_genga_sur_event_challenge_00002_02_appear</v>
      </c>
      <c r="P348" s="753"/>
      <c r="Q348" s="753"/>
      <c r="R348" s="753" t="s">
        <v>3632</v>
      </c>
      <c r="S348" s="754"/>
      <c r="T348" s="754"/>
    </row>
    <row r="349">
      <c r="A349" s="762" t="s">
        <v>3624</v>
      </c>
      <c r="B349" s="764" t="s">
        <v>2458</v>
      </c>
      <c r="C349" s="756" t="s">
        <v>127</v>
      </c>
      <c r="D349" s="750" t="str">
        <f t="array" ref="D349">iferror(INDEX('作品'!D:D,MATCH(C349,'作品'!A:A,0),0),"")</f>
        <v>魔都精兵のスレイブ</v>
      </c>
      <c r="E349" s="423" t="s">
        <v>2459</v>
      </c>
      <c r="F349" s="755" t="s">
        <v>2462</v>
      </c>
      <c r="G349" s="755" t="s">
        <v>1588</v>
      </c>
      <c r="H349" s="755" t="s">
        <v>1588</v>
      </c>
      <c r="I349" s="755" t="s">
        <v>2433</v>
      </c>
      <c r="J349" s="755" t="s">
        <v>3656</v>
      </c>
      <c r="K349" s="755"/>
      <c r="L349" s="761" t="s">
        <v>3628</v>
      </c>
      <c r="M349" s="761" t="s">
        <v>3658</v>
      </c>
      <c r="N349" s="599" t="str">
        <f t="shared" si="3"/>
        <v>genga_sur_event_challenge_00003_03_appear</v>
      </c>
      <c r="O349" s="599" t="str">
        <f t="shared" si="4"/>
        <v>manga_animation_genga_sur_event_challenge_00003_03_appear</v>
      </c>
      <c r="P349" s="753"/>
      <c r="Q349" s="753"/>
      <c r="R349" s="753" t="s">
        <v>3632</v>
      </c>
      <c r="S349" s="754"/>
      <c r="T349" s="754"/>
    </row>
    <row r="350">
      <c r="A350" s="762" t="s">
        <v>3624</v>
      </c>
      <c r="B350" s="764" t="s">
        <v>2458</v>
      </c>
      <c r="C350" s="756" t="s">
        <v>127</v>
      </c>
      <c r="D350" s="750" t="str">
        <f t="array" ref="D350">iferror(INDEX('作品'!D:D,MATCH(C350,'作品'!A:A,0),0),"")</f>
        <v>魔都精兵のスレイブ</v>
      </c>
      <c r="E350" s="423" t="s">
        <v>2459</v>
      </c>
      <c r="F350" s="755" t="s">
        <v>2462</v>
      </c>
      <c r="G350" s="755" t="s">
        <v>3645</v>
      </c>
      <c r="H350" s="755" t="s">
        <v>3645</v>
      </c>
      <c r="I350" s="755" t="s">
        <v>2433</v>
      </c>
      <c r="J350" s="755" t="s">
        <v>3656</v>
      </c>
      <c r="K350" s="755"/>
      <c r="L350" s="761" t="s">
        <v>3628</v>
      </c>
      <c r="M350" s="761" t="s">
        <v>3658</v>
      </c>
      <c r="N350" s="599" t="str">
        <f t="shared" si="3"/>
        <v>genga_sur_event_challenge_00004_04_appear</v>
      </c>
      <c r="O350" s="599" t="str">
        <f t="shared" si="4"/>
        <v>manga_animation_genga_sur_event_challenge_00004_04_appear</v>
      </c>
      <c r="P350" s="753"/>
      <c r="Q350" s="753"/>
      <c r="R350" s="753" t="s">
        <v>3632</v>
      </c>
      <c r="S350" s="754"/>
      <c r="T350" s="754"/>
    </row>
    <row r="351">
      <c r="A351" s="762" t="s">
        <v>3624</v>
      </c>
      <c r="B351" s="764" t="s">
        <v>2458</v>
      </c>
      <c r="C351" s="756" t="s">
        <v>127</v>
      </c>
      <c r="D351" s="750" t="str">
        <f t="array" ref="D351">iferror(INDEX('作品'!D:D,MATCH(C351,'作品'!A:A,0),0),"")</f>
        <v>魔都精兵のスレイブ</v>
      </c>
      <c r="E351" s="423" t="s">
        <v>2459</v>
      </c>
      <c r="F351" s="755" t="s">
        <v>2464</v>
      </c>
      <c r="G351" s="755" t="s">
        <v>1762</v>
      </c>
      <c r="H351" s="755" t="s">
        <v>1762</v>
      </c>
      <c r="I351" s="755" t="s">
        <v>2433</v>
      </c>
      <c r="J351" s="755" t="s">
        <v>3656</v>
      </c>
      <c r="K351" s="755"/>
      <c r="L351" s="761" t="s">
        <v>3628</v>
      </c>
      <c r="M351" s="761" t="s">
        <v>3658</v>
      </c>
      <c r="N351" s="599" t="str">
        <f t="shared" si="3"/>
        <v>genga_sur_event_savage_00001_01_appear</v>
      </c>
      <c r="O351" s="599" t="str">
        <f t="shared" si="4"/>
        <v>manga_animation_genga_sur_event_savage_00001_01_appear</v>
      </c>
      <c r="P351" s="753"/>
      <c r="Q351" s="753"/>
      <c r="R351" s="753" t="s">
        <v>3632</v>
      </c>
      <c r="S351" s="754"/>
      <c r="T351" s="754"/>
    </row>
    <row r="352">
      <c r="A352" s="762" t="s">
        <v>3624</v>
      </c>
      <c r="B352" s="764" t="s">
        <v>2458</v>
      </c>
      <c r="C352" s="756" t="s">
        <v>127</v>
      </c>
      <c r="D352" s="750" t="str">
        <f t="array" ref="D352">iferror(INDEX('作品'!D:D,MATCH(C352,'作品'!A:A,0),0),"")</f>
        <v>魔都精兵のスレイブ</v>
      </c>
      <c r="E352" s="423" t="s">
        <v>2459</v>
      </c>
      <c r="F352" s="755" t="s">
        <v>2464</v>
      </c>
      <c r="G352" s="755" t="s">
        <v>3627</v>
      </c>
      <c r="H352" s="755" t="s">
        <v>3627</v>
      </c>
      <c r="I352" s="755" t="s">
        <v>2433</v>
      </c>
      <c r="J352" s="755" t="s">
        <v>3656</v>
      </c>
      <c r="K352" s="755"/>
      <c r="L352" s="761" t="s">
        <v>3628</v>
      </c>
      <c r="M352" s="761" t="s">
        <v>3658</v>
      </c>
      <c r="N352" s="599" t="str">
        <f t="shared" si="3"/>
        <v>genga_sur_event_savage_00002_02_appear</v>
      </c>
      <c r="O352" s="599" t="str">
        <f t="shared" si="4"/>
        <v>manga_animation_genga_sur_event_savage_00002_02_appear</v>
      </c>
      <c r="P352" s="753"/>
      <c r="Q352" s="753"/>
      <c r="R352" s="753" t="s">
        <v>3632</v>
      </c>
      <c r="S352" s="754"/>
      <c r="T352" s="754"/>
    </row>
    <row r="353">
      <c r="A353" s="762" t="s">
        <v>3624</v>
      </c>
      <c r="B353" s="764" t="s">
        <v>2458</v>
      </c>
      <c r="C353" s="756" t="s">
        <v>127</v>
      </c>
      <c r="D353" s="750" t="str">
        <f t="array" ref="D353">iferror(INDEX('作品'!D:D,MATCH(C353,'作品'!A:A,0),0),"")</f>
        <v>魔都精兵のスレイブ</v>
      </c>
      <c r="E353" s="423" t="s">
        <v>2459</v>
      </c>
      <c r="F353" s="755" t="s">
        <v>2449</v>
      </c>
      <c r="G353" s="755" t="s">
        <v>1762</v>
      </c>
      <c r="H353" s="755" t="s">
        <v>1762</v>
      </c>
      <c r="I353" s="755" t="s">
        <v>2433</v>
      </c>
      <c r="J353" s="755" t="s">
        <v>3625</v>
      </c>
      <c r="K353" s="755"/>
      <c r="L353" s="761" t="s">
        <v>3628</v>
      </c>
      <c r="M353" s="761" t="s">
        <v>3629</v>
      </c>
      <c r="N353" s="599" t="str">
        <f t="shared" si="3"/>
        <v>genga_sur_event_1day_00001_01_start</v>
      </c>
      <c r="O353" s="599" t="str">
        <f t="shared" si="4"/>
        <v>manga_animation_genga_sur_event_1day_00001_01_start</v>
      </c>
      <c r="P353" s="753"/>
      <c r="Q353" s="753"/>
      <c r="R353" s="753" t="s">
        <v>3632</v>
      </c>
      <c r="S353" s="754"/>
      <c r="T353" s="754"/>
    </row>
    <row r="354">
      <c r="A354" s="762" t="s">
        <v>3624</v>
      </c>
      <c r="B354" s="755" t="s">
        <v>2458</v>
      </c>
      <c r="C354" s="756" t="s">
        <v>158</v>
      </c>
      <c r="D354" s="750" t="str">
        <f t="array" ref="D354">iferror(INDEX('作品'!D:D,MATCH(C354,'作品'!A:A,0),0),"")</f>
        <v>【推しの子】</v>
      </c>
      <c r="E354" s="423" t="s">
        <v>2459</v>
      </c>
      <c r="F354" s="755" t="s">
        <v>2449</v>
      </c>
      <c r="G354" s="755" t="s">
        <v>1762</v>
      </c>
      <c r="H354" s="755" t="s">
        <v>1762</v>
      </c>
      <c r="I354" s="755" t="s">
        <v>2433</v>
      </c>
      <c r="J354" s="755" t="s">
        <v>3625</v>
      </c>
      <c r="K354" s="755"/>
      <c r="L354" s="761" t="s">
        <v>3628</v>
      </c>
      <c r="M354" s="761" t="s">
        <v>3629</v>
      </c>
      <c r="N354" s="599" t="str">
        <f t="shared" si="3"/>
        <v>genga_osh_event_1day_00001_01_start</v>
      </c>
      <c r="O354" s="599" t="str">
        <f t="shared" si="4"/>
        <v>manga_animation_genga_osh_event_1day_00001_01_start</v>
      </c>
      <c r="P354" s="753"/>
      <c r="Q354" s="753"/>
      <c r="R354" s="753" t="s">
        <v>3632</v>
      </c>
      <c r="S354" s="754"/>
      <c r="T354" s="754"/>
    </row>
    <row r="355">
      <c r="A355" s="762" t="s">
        <v>3624</v>
      </c>
      <c r="B355" s="755" t="s">
        <v>2458</v>
      </c>
      <c r="C355" s="756" t="s">
        <v>158</v>
      </c>
      <c r="D355" s="750" t="str">
        <f t="array" ref="D355">iferror(INDEX('作品'!D:D,MATCH(C355,'作品'!A:A,0),0),"")</f>
        <v>【推しの子】</v>
      </c>
      <c r="E355" s="423" t="s">
        <v>2459</v>
      </c>
      <c r="F355" s="755" t="s">
        <v>2462</v>
      </c>
      <c r="G355" s="755" t="s">
        <v>1762</v>
      </c>
      <c r="H355" s="755" t="s">
        <v>1762</v>
      </c>
      <c r="I355" s="755" t="s">
        <v>2433</v>
      </c>
      <c r="J355" s="755" t="s">
        <v>3656</v>
      </c>
      <c r="K355" s="755"/>
      <c r="L355" s="761" t="s">
        <v>3628</v>
      </c>
      <c r="M355" s="761" t="s">
        <v>3658</v>
      </c>
      <c r="N355" s="599" t="str">
        <f t="shared" si="3"/>
        <v>genga_osh_event_challenge_00001_01_appear</v>
      </c>
      <c r="O355" s="599" t="str">
        <f t="shared" si="4"/>
        <v>manga_animation_genga_osh_event_challenge_00001_01_appear</v>
      </c>
      <c r="P355" s="753"/>
      <c r="Q355" s="753"/>
      <c r="R355" s="753" t="s">
        <v>3632</v>
      </c>
      <c r="S355" s="754"/>
      <c r="T355" s="754"/>
    </row>
    <row r="356">
      <c r="A356" s="762" t="s">
        <v>3624</v>
      </c>
      <c r="B356" s="755" t="s">
        <v>2458</v>
      </c>
      <c r="C356" s="756" t="s">
        <v>158</v>
      </c>
      <c r="D356" s="750" t="str">
        <f t="array" ref="D356">iferror(INDEX('作品'!D:D,MATCH(C356,'作品'!A:A,0),0),"")</f>
        <v>【推しの子】</v>
      </c>
      <c r="E356" s="423" t="s">
        <v>2459</v>
      </c>
      <c r="F356" s="755" t="s">
        <v>2462</v>
      </c>
      <c r="G356" s="755" t="s">
        <v>3627</v>
      </c>
      <c r="H356" s="755" t="s">
        <v>3627</v>
      </c>
      <c r="I356" s="755" t="s">
        <v>2433</v>
      </c>
      <c r="J356" s="755" t="s">
        <v>3656</v>
      </c>
      <c r="K356" s="755"/>
      <c r="L356" s="761" t="s">
        <v>3628</v>
      </c>
      <c r="M356" s="761" t="s">
        <v>3658</v>
      </c>
      <c r="N356" s="599" t="str">
        <f t="shared" si="3"/>
        <v>genga_osh_event_challenge_00002_02_appear</v>
      </c>
      <c r="O356" s="599" t="str">
        <f t="shared" si="4"/>
        <v>manga_animation_genga_osh_event_challenge_00002_02_appear</v>
      </c>
      <c r="P356" s="753"/>
      <c r="Q356" s="753"/>
      <c r="R356" s="753" t="s">
        <v>3632</v>
      </c>
      <c r="S356" s="754"/>
      <c r="T356" s="754"/>
    </row>
    <row r="357">
      <c r="A357" s="762" t="s">
        <v>3624</v>
      </c>
      <c r="B357" s="755" t="s">
        <v>2458</v>
      </c>
      <c r="C357" s="756" t="s">
        <v>158</v>
      </c>
      <c r="D357" s="750" t="str">
        <f t="array" ref="D357">iferror(INDEX('作品'!D:D,MATCH(C357,'作品'!A:A,0),0),"")</f>
        <v>【推しの子】</v>
      </c>
      <c r="E357" s="423" t="s">
        <v>2459</v>
      </c>
      <c r="F357" s="755" t="s">
        <v>2462</v>
      </c>
      <c r="G357" s="755" t="s">
        <v>1588</v>
      </c>
      <c r="H357" s="755" t="s">
        <v>1588</v>
      </c>
      <c r="I357" s="755" t="s">
        <v>2433</v>
      </c>
      <c r="J357" s="755" t="s">
        <v>3656</v>
      </c>
      <c r="K357" s="755"/>
      <c r="L357" s="761" t="s">
        <v>3628</v>
      </c>
      <c r="M357" s="761" t="s">
        <v>3658</v>
      </c>
      <c r="N357" s="599" t="str">
        <f t="shared" si="3"/>
        <v>genga_osh_event_challenge_00003_03_appear</v>
      </c>
      <c r="O357" s="599" t="str">
        <f t="shared" si="4"/>
        <v>manga_animation_genga_osh_event_challenge_00003_03_appear</v>
      </c>
      <c r="P357" s="753"/>
      <c r="Q357" s="753"/>
      <c r="R357" s="753" t="s">
        <v>3632</v>
      </c>
      <c r="S357" s="754"/>
      <c r="T357" s="754"/>
    </row>
    <row r="358">
      <c r="A358" s="762" t="s">
        <v>3624</v>
      </c>
      <c r="B358" s="755" t="s">
        <v>2458</v>
      </c>
      <c r="C358" s="756" t="s">
        <v>158</v>
      </c>
      <c r="D358" s="750" t="str">
        <f t="array" ref="D358">iferror(INDEX('作品'!D:D,MATCH(C358,'作品'!A:A,0),0),"")</f>
        <v>【推しの子】</v>
      </c>
      <c r="E358" s="423" t="s">
        <v>2459</v>
      </c>
      <c r="F358" s="755" t="s">
        <v>2462</v>
      </c>
      <c r="G358" s="755" t="s">
        <v>3645</v>
      </c>
      <c r="H358" s="755" t="s">
        <v>3645</v>
      </c>
      <c r="I358" s="755" t="s">
        <v>2433</v>
      </c>
      <c r="J358" s="755" t="s">
        <v>3656</v>
      </c>
      <c r="K358" s="755"/>
      <c r="L358" s="761" t="s">
        <v>3628</v>
      </c>
      <c r="M358" s="761" t="s">
        <v>3658</v>
      </c>
      <c r="N358" s="599" t="str">
        <f t="shared" si="3"/>
        <v>genga_osh_event_challenge_00004_04_appear</v>
      </c>
      <c r="O358" s="599" t="str">
        <f t="shared" si="4"/>
        <v>manga_animation_genga_osh_event_challenge_00004_04_appear</v>
      </c>
      <c r="P358" s="753"/>
      <c r="Q358" s="753"/>
      <c r="R358" s="753" t="s">
        <v>3632</v>
      </c>
      <c r="S358" s="754"/>
      <c r="T358" s="754"/>
    </row>
    <row r="359">
      <c r="A359" s="762" t="s">
        <v>3624</v>
      </c>
      <c r="B359" s="755" t="s">
        <v>2458</v>
      </c>
      <c r="C359" s="756" t="s">
        <v>158</v>
      </c>
      <c r="D359" s="750" t="str">
        <f t="array" ref="D359">iferror(INDEX('作品'!D:D,MATCH(C359,'作品'!A:A,0),0),"")</f>
        <v>【推しの子】</v>
      </c>
      <c r="E359" s="423" t="s">
        <v>2459</v>
      </c>
      <c r="F359" s="755" t="s">
        <v>2457</v>
      </c>
      <c r="G359" s="755" t="s">
        <v>1762</v>
      </c>
      <c r="H359" s="755" t="s">
        <v>1762</v>
      </c>
      <c r="I359" s="755" t="s">
        <v>2433</v>
      </c>
      <c r="J359" s="755" t="s">
        <v>3625</v>
      </c>
      <c r="K359" s="755"/>
      <c r="L359" s="761" t="s">
        <v>3628</v>
      </c>
      <c r="M359" s="761" t="s">
        <v>3629</v>
      </c>
      <c r="N359" s="599" t="str">
        <f t="shared" si="3"/>
        <v>genga_osh_event_story_00001_01_start</v>
      </c>
      <c r="O359" s="599" t="str">
        <f t="shared" si="4"/>
        <v>manga_animation_genga_osh_event_story_00001_01_start</v>
      </c>
      <c r="P359" s="753"/>
      <c r="Q359" s="753"/>
      <c r="R359" s="753" t="s">
        <v>3632</v>
      </c>
      <c r="S359" s="754"/>
      <c r="T359" s="754"/>
    </row>
    <row r="360">
      <c r="A360" s="762" t="s">
        <v>3624</v>
      </c>
      <c r="B360" s="755" t="s">
        <v>2458</v>
      </c>
      <c r="C360" s="756" t="s">
        <v>158</v>
      </c>
      <c r="D360" s="750" t="str">
        <f t="array" ref="D360">iferror(INDEX('作品'!D:D,MATCH(C360,'作品'!A:A,0),0),"")</f>
        <v>【推しの子】</v>
      </c>
      <c r="E360" s="423" t="s">
        <v>2459</v>
      </c>
      <c r="F360" s="755" t="s">
        <v>2457</v>
      </c>
      <c r="G360" s="755" t="s">
        <v>1762</v>
      </c>
      <c r="H360" s="755" t="s">
        <v>1762</v>
      </c>
      <c r="I360" s="755" t="s">
        <v>2433</v>
      </c>
      <c r="J360" s="755" t="s">
        <v>3633</v>
      </c>
      <c r="K360" s="755"/>
      <c r="L360" s="761" t="s">
        <v>3628</v>
      </c>
      <c r="M360" s="761" t="s">
        <v>3634</v>
      </c>
      <c r="N360" s="599" t="str">
        <f t="shared" si="3"/>
        <v>genga_osh_event_story_00001_01_victory</v>
      </c>
      <c r="O360" s="599" t="str">
        <f t="shared" si="4"/>
        <v>manga_animation_genga_osh_event_story_00001_01_victory</v>
      </c>
      <c r="P360" s="753"/>
      <c r="Q360" s="753"/>
      <c r="R360" s="753" t="s">
        <v>3632</v>
      </c>
      <c r="S360" s="754"/>
      <c r="T360" s="754"/>
    </row>
    <row r="361">
      <c r="A361" s="762" t="s">
        <v>3624</v>
      </c>
      <c r="B361" s="755" t="s">
        <v>2458</v>
      </c>
      <c r="C361" s="756" t="s">
        <v>158</v>
      </c>
      <c r="D361" s="750" t="str">
        <f t="array" ref="D361">iferror(INDEX('作品'!D:D,MATCH(C361,'作品'!A:A,0),0),"")</f>
        <v>【推しの子】</v>
      </c>
      <c r="E361" s="423" t="s">
        <v>2459</v>
      </c>
      <c r="F361" s="755" t="s">
        <v>2457</v>
      </c>
      <c r="G361" s="755" t="s">
        <v>1762</v>
      </c>
      <c r="H361" s="755" t="s">
        <v>3627</v>
      </c>
      <c r="I361" s="755" t="s">
        <v>2433</v>
      </c>
      <c r="J361" s="755" t="s">
        <v>3625</v>
      </c>
      <c r="K361" s="755"/>
      <c r="L361" s="761" t="s">
        <v>3628</v>
      </c>
      <c r="M361" s="761" t="s">
        <v>3629</v>
      </c>
      <c r="N361" s="599" t="str">
        <f t="shared" si="3"/>
        <v>genga_osh_event_story_00001_02_start</v>
      </c>
      <c r="O361" s="599" t="str">
        <f t="shared" si="4"/>
        <v>manga_animation_genga_osh_event_story_00001_02_start</v>
      </c>
      <c r="P361" s="753"/>
      <c r="Q361" s="753"/>
      <c r="R361" s="753" t="s">
        <v>3632</v>
      </c>
      <c r="S361" s="754"/>
      <c r="T361" s="754"/>
    </row>
    <row r="362">
      <c r="A362" s="762" t="s">
        <v>3624</v>
      </c>
      <c r="B362" s="755" t="s">
        <v>2458</v>
      </c>
      <c r="C362" s="756" t="s">
        <v>158</v>
      </c>
      <c r="D362" s="750" t="str">
        <f t="array" ref="D362">iferror(INDEX('作品'!D:D,MATCH(C362,'作品'!A:A,0),0),"")</f>
        <v>【推しの子】</v>
      </c>
      <c r="E362" s="423" t="s">
        <v>2459</v>
      </c>
      <c r="F362" s="755" t="s">
        <v>2457</v>
      </c>
      <c r="G362" s="755" t="s">
        <v>1762</v>
      </c>
      <c r="H362" s="755" t="s">
        <v>3627</v>
      </c>
      <c r="I362" s="755" t="s">
        <v>2433</v>
      </c>
      <c r="J362" s="755" t="s">
        <v>3633</v>
      </c>
      <c r="K362" s="755"/>
      <c r="L362" s="761" t="s">
        <v>3628</v>
      </c>
      <c r="M362" s="761" t="s">
        <v>3634</v>
      </c>
      <c r="N362" s="599" t="str">
        <f t="shared" si="3"/>
        <v>genga_osh_event_story_00001_02_victory</v>
      </c>
      <c r="O362" s="599" t="str">
        <f t="shared" si="4"/>
        <v>manga_animation_genga_osh_event_story_00001_02_victory</v>
      </c>
      <c r="P362" s="753"/>
      <c r="Q362" s="753"/>
      <c r="R362" s="753" t="s">
        <v>3632</v>
      </c>
      <c r="S362" s="754"/>
      <c r="T362" s="754"/>
    </row>
    <row r="363">
      <c r="A363" s="762" t="s">
        <v>3624</v>
      </c>
      <c r="B363" s="755" t="s">
        <v>2458</v>
      </c>
      <c r="C363" s="756" t="s">
        <v>158</v>
      </c>
      <c r="D363" s="750" t="str">
        <f t="array" ref="D363">iferror(INDEX('作品'!D:D,MATCH(C363,'作品'!A:A,0),0),"")</f>
        <v>【推しの子】</v>
      </c>
      <c r="E363" s="423" t="s">
        <v>2459</v>
      </c>
      <c r="F363" s="764" t="s">
        <v>2457</v>
      </c>
      <c r="G363" s="755" t="s">
        <v>1762</v>
      </c>
      <c r="H363" s="755" t="s">
        <v>1588</v>
      </c>
      <c r="I363" s="755" t="s">
        <v>2433</v>
      </c>
      <c r="J363" s="755" t="s">
        <v>3625</v>
      </c>
      <c r="K363" s="755"/>
      <c r="L363" s="761" t="s">
        <v>3628</v>
      </c>
      <c r="M363" s="761" t="s">
        <v>3629</v>
      </c>
      <c r="N363" s="599" t="str">
        <f t="shared" si="3"/>
        <v>genga_osh_event_story_00001_03_start</v>
      </c>
      <c r="O363" s="599" t="str">
        <f t="shared" si="4"/>
        <v>manga_animation_genga_osh_event_story_00001_03_start</v>
      </c>
      <c r="P363" s="753"/>
      <c r="Q363" s="753"/>
      <c r="R363" s="753" t="s">
        <v>3632</v>
      </c>
      <c r="S363" s="754"/>
      <c r="T363" s="754"/>
    </row>
    <row r="364">
      <c r="A364" s="762" t="s">
        <v>3624</v>
      </c>
      <c r="B364" s="755" t="s">
        <v>2458</v>
      </c>
      <c r="C364" s="756" t="s">
        <v>158</v>
      </c>
      <c r="D364" s="750" t="str">
        <f t="array" ref="D364">iferror(INDEX('作品'!D:D,MATCH(C364,'作品'!A:A,0),0),"")</f>
        <v>【推しの子】</v>
      </c>
      <c r="E364" s="423" t="s">
        <v>2459</v>
      </c>
      <c r="F364" s="763" t="s">
        <v>2457</v>
      </c>
      <c r="G364" s="755" t="s">
        <v>1762</v>
      </c>
      <c r="H364" s="755" t="s">
        <v>1588</v>
      </c>
      <c r="I364" s="755" t="s">
        <v>2433</v>
      </c>
      <c r="J364" s="755" t="s">
        <v>3633</v>
      </c>
      <c r="K364" s="755"/>
      <c r="L364" s="761" t="s">
        <v>3628</v>
      </c>
      <c r="M364" s="761" t="s">
        <v>3634</v>
      </c>
      <c r="N364" s="599" t="str">
        <f t="shared" si="3"/>
        <v>genga_osh_event_story_00001_03_victory</v>
      </c>
      <c r="O364" s="599" t="str">
        <f t="shared" si="4"/>
        <v>manga_animation_genga_osh_event_story_00001_03_victory</v>
      </c>
      <c r="P364" s="753"/>
      <c r="Q364" s="753"/>
      <c r="R364" s="753" t="s">
        <v>3632</v>
      </c>
      <c r="S364" s="754"/>
      <c r="T364" s="754"/>
    </row>
    <row r="365">
      <c r="A365" s="762" t="s">
        <v>3624</v>
      </c>
      <c r="B365" s="755" t="s">
        <v>2458</v>
      </c>
      <c r="C365" s="756" t="s">
        <v>158</v>
      </c>
      <c r="D365" s="750" t="str">
        <f t="array" ref="D365">iferror(INDEX('作品'!D:D,MATCH(C365,'作品'!A:A,0),0),"")</f>
        <v>【推しの子】</v>
      </c>
      <c r="E365" s="423" t="s">
        <v>2459</v>
      </c>
      <c r="F365" s="755" t="s">
        <v>2457</v>
      </c>
      <c r="G365" s="755" t="s">
        <v>3627</v>
      </c>
      <c r="H365" s="755" t="s">
        <v>1762</v>
      </c>
      <c r="I365" s="755" t="s">
        <v>2433</v>
      </c>
      <c r="J365" s="755" t="s">
        <v>3625</v>
      </c>
      <c r="K365" s="755"/>
      <c r="L365" s="761" t="s">
        <v>3628</v>
      </c>
      <c r="M365" s="761" t="s">
        <v>3629</v>
      </c>
      <c r="N365" s="599" t="str">
        <f t="shared" si="3"/>
        <v>genga_osh_event_story_00002_01_start</v>
      </c>
      <c r="O365" s="599" t="str">
        <f t="shared" si="4"/>
        <v>manga_animation_genga_osh_event_story_00002_01_start</v>
      </c>
      <c r="P365" s="753"/>
      <c r="Q365" s="753"/>
      <c r="R365" s="753" t="s">
        <v>3632</v>
      </c>
      <c r="S365" s="754"/>
      <c r="T365" s="754"/>
    </row>
    <row r="366">
      <c r="A366" s="762" t="s">
        <v>3624</v>
      </c>
      <c r="B366" s="755" t="s">
        <v>2458</v>
      </c>
      <c r="C366" s="756" t="s">
        <v>158</v>
      </c>
      <c r="D366" s="750" t="str">
        <f t="array" ref="D366">iferror(INDEX('作品'!D:D,MATCH(C366,'作品'!A:A,0),0),"")</f>
        <v>【推しの子】</v>
      </c>
      <c r="E366" s="423" t="s">
        <v>2459</v>
      </c>
      <c r="F366" s="755" t="s">
        <v>2457</v>
      </c>
      <c r="G366" s="755" t="s">
        <v>3627</v>
      </c>
      <c r="H366" s="755" t="s">
        <v>3627</v>
      </c>
      <c r="I366" s="755" t="s">
        <v>2433</v>
      </c>
      <c r="J366" s="755" t="s">
        <v>3625</v>
      </c>
      <c r="K366" s="755"/>
      <c r="L366" s="761" t="s">
        <v>3628</v>
      </c>
      <c r="M366" s="761" t="s">
        <v>3629</v>
      </c>
      <c r="N366" s="599" t="str">
        <f t="shared" si="3"/>
        <v>genga_osh_event_story_00002_02_start</v>
      </c>
      <c r="O366" s="599" t="str">
        <f t="shared" si="4"/>
        <v>manga_animation_genga_osh_event_story_00002_02_start</v>
      </c>
      <c r="P366" s="753"/>
      <c r="Q366" s="753"/>
      <c r="R366" s="753" t="s">
        <v>3632</v>
      </c>
      <c r="S366" s="754"/>
      <c r="T366" s="754"/>
    </row>
    <row r="367">
      <c r="A367" s="762" t="s">
        <v>3624</v>
      </c>
      <c r="B367" s="755" t="s">
        <v>2458</v>
      </c>
      <c r="C367" s="756" t="s">
        <v>158</v>
      </c>
      <c r="D367" s="750" t="str">
        <f t="array" ref="D367">iferror(INDEX('作品'!D:D,MATCH(C367,'作品'!A:A,0),0),"")</f>
        <v>【推しの子】</v>
      </c>
      <c r="E367" s="423" t="s">
        <v>2459</v>
      </c>
      <c r="F367" s="755" t="s">
        <v>2457</v>
      </c>
      <c r="G367" s="755" t="s">
        <v>3627</v>
      </c>
      <c r="H367" s="755" t="s">
        <v>1588</v>
      </c>
      <c r="I367" s="755" t="s">
        <v>2433</v>
      </c>
      <c r="J367" s="755" t="s">
        <v>3625</v>
      </c>
      <c r="K367" s="755"/>
      <c r="L367" s="761" t="s">
        <v>3628</v>
      </c>
      <c r="M367" s="761" t="s">
        <v>3629</v>
      </c>
      <c r="N367" s="599" t="str">
        <f t="shared" si="3"/>
        <v>genga_osh_event_story_00002_03_start</v>
      </c>
      <c r="O367" s="599" t="str">
        <f t="shared" si="4"/>
        <v>manga_animation_genga_osh_event_story_00002_03_start</v>
      </c>
      <c r="P367" s="753"/>
      <c r="Q367" s="753"/>
      <c r="R367" s="753" t="s">
        <v>3632</v>
      </c>
      <c r="S367" s="754"/>
      <c r="T367" s="754"/>
    </row>
    <row r="368">
      <c r="A368" s="747" t="s">
        <v>3624</v>
      </c>
      <c r="B368" s="748" t="s">
        <v>2458</v>
      </c>
      <c r="C368" s="749" t="s">
        <v>148</v>
      </c>
      <c r="D368" s="750" t="str">
        <f t="array" ref="D368">iferror(INDEX('作品'!D:D,MATCH(C368,'作品'!A:A,0),0),"")</f>
        <v>地獄楽</v>
      </c>
      <c r="E368" s="751" t="s">
        <v>2459</v>
      </c>
      <c r="F368" s="748" t="s">
        <v>2449</v>
      </c>
      <c r="G368" s="748" t="s">
        <v>1762</v>
      </c>
      <c r="H368" s="748" t="s">
        <v>1762</v>
      </c>
      <c r="I368" s="748" t="s">
        <v>2433</v>
      </c>
      <c r="J368" s="748" t="s">
        <v>3625</v>
      </c>
      <c r="K368" s="748"/>
      <c r="L368" s="599" t="s">
        <v>3628</v>
      </c>
      <c r="M368" s="761" t="s">
        <v>3629</v>
      </c>
      <c r="N368" s="599" t="str">
        <f t="shared" si="3"/>
        <v>genga_jig_event_1day_00001_01_start</v>
      </c>
      <c r="O368" s="599" t="str">
        <f t="shared" si="4"/>
        <v>manga_animation_genga_jig_event_1day_00001_01_start</v>
      </c>
      <c r="P368" s="752"/>
      <c r="Q368" s="752"/>
      <c r="R368" s="753" t="s">
        <v>3632</v>
      </c>
      <c r="S368" s="754"/>
      <c r="T368" s="754"/>
    </row>
    <row r="369">
      <c r="A369" s="747" t="s">
        <v>3624</v>
      </c>
      <c r="B369" s="748" t="s">
        <v>2458</v>
      </c>
      <c r="C369" s="749" t="s">
        <v>148</v>
      </c>
      <c r="D369" s="750" t="str">
        <f t="array" ref="D369">iferror(INDEX('作品'!D:D,MATCH(C369,'作品'!A:A,0),0),"")</f>
        <v>地獄楽</v>
      </c>
      <c r="E369" s="751" t="s">
        <v>2459</v>
      </c>
      <c r="F369" s="748" t="s">
        <v>2457</v>
      </c>
      <c r="G369" s="748" t="s">
        <v>1762</v>
      </c>
      <c r="H369" s="748" t="s">
        <v>1762</v>
      </c>
      <c r="I369" s="748" t="s">
        <v>2433</v>
      </c>
      <c r="J369" s="748" t="s">
        <v>3625</v>
      </c>
      <c r="K369" s="748"/>
      <c r="L369" s="599" t="s">
        <v>3628</v>
      </c>
      <c r="M369" s="761" t="s">
        <v>3629</v>
      </c>
      <c r="N369" s="599" t="str">
        <f t="shared" si="3"/>
        <v>genga_jig_event_story_00001_01_start</v>
      </c>
      <c r="O369" s="599" t="str">
        <f t="shared" si="4"/>
        <v>manga_animation_genga_jig_event_story_00001_01_start</v>
      </c>
      <c r="P369" s="752"/>
      <c r="Q369" s="752"/>
      <c r="R369" s="753" t="s">
        <v>3632</v>
      </c>
      <c r="S369" s="754"/>
      <c r="T369" s="754"/>
    </row>
    <row r="370">
      <c r="A370" s="747" t="s">
        <v>3624</v>
      </c>
      <c r="B370" s="748" t="s">
        <v>2458</v>
      </c>
      <c r="C370" s="749" t="s">
        <v>148</v>
      </c>
      <c r="D370" s="750" t="str">
        <f t="array" ref="D370">iferror(INDEX('作品'!D:D,MATCH(C370,'作品'!A:A,0),0),"")</f>
        <v>地獄楽</v>
      </c>
      <c r="E370" s="751" t="s">
        <v>2459</v>
      </c>
      <c r="F370" s="748" t="s">
        <v>2457</v>
      </c>
      <c r="G370" s="748" t="s">
        <v>1762</v>
      </c>
      <c r="H370" s="748" t="s">
        <v>3627</v>
      </c>
      <c r="I370" s="748" t="s">
        <v>2433</v>
      </c>
      <c r="J370" s="748" t="s">
        <v>3625</v>
      </c>
      <c r="K370" s="748"/>
      <c r="L370" s="599" t="s">
        <v>3628</v>
      </c>
      <c r="M370" s="761" t="s">
        <v>3629</v>
      </c>
      <c r="N370" s="599" t="str">
        <f t="shared" si="3"/>
        <v>genga_jig_event_story_00001_02_start</v>
      </c>
      <c r="O370" s="599" t="str">
        <f t="shared" si="4"/>
        <v>manga_animation_genga_jig_event_story_00001_02_start</v>
      </c>
      <c r="P370" s="752"/>
      <c r="Q370" s="752"/>
      <c r="R370" s="753" t="s">
        <v>3632</v>
      </c>
      <c r="S370" s="754"/>
      <c r="T370" s="754"/>
    </row>
    <row r="371">
      <c r="A371" s="747" t="s">
        <v>3624</v>
      </c>
      <c r="B371" s="748" t="s">
        <v>2458</v>
      </c>
      <c r="C371" s="749" t="s">
        <v>148</v>
      </c>
      <c r="D371" s="750" t="str">
        <f t="array" ref="D371">iferror(INDEX('作品'!D:D,MATCH(C371,'作品'!A:A,0),0),"")</f>
        <v>地獄楽</v>
      </c>
      <c r="E371" s="751" t="s">
        <v>2459</v>
      </c>
      <c r="F371" s="748" t="s">
        <v>2457</v>
      </c>
      <c r="G371" s="748" t="s">
        <v>1762</v>
      </c>
      <c r="H371" s="748" t="s">
        <v>1588</v>
      </c>
      <c r="I371" s="748" t="s">
        <v>2433</v>
      </c>
      <c r="J371" s="748" t="s">
        <v>3625</v>
      </c>
      <c r="K371" s="748"/>
      <c r="L371" s="599" t="s">
        <v>3628</v>
      </c>
      <c r="M371" s="761" t="s">
        <v>3629</v>
      </c>
      <c r="N371" s="599" t="str">
        <f t="shared" si="3"/>
        <v>genga_jig_event_story_00001_03_start</v>
      </c>
      <c r="O371" s="599" t="str">
        <f t="shared" si="4"/>
        <v>manga_animation_genga_jig_event_story_00001_03_start</v>
      </c>
      <c r="P371" s="752"/>
      <c r="Q371" s="752"/>
      <c r="R371" s="753" t="s">
        <v>3632</v>
      </c>
      <c r="S371" s="754"/>
      <c r="T371" s="754"/>
    </row>
    <row r="372">
      <c r="A372" s="747" t="s">
        <v>3624</v>
      </c>
      <c r="B372" s="748" t="s">
        <v>2458</v>
      </c>
      <c r="C372" s="749" t="s">
        <v>148</v>
      </c>
      <c r="D372" s="750" t="str">
        <f t="array" ref="D372">iferror(INDEX('作品'!D:D,MATCH(C372,'作品'!A:A,0),0),"")</f>
        <v>地獄楽</v>
      </c>
      <c r="E372" s="751" t="s">
        <v>2459</v>
      </c>
      <c r="F372" s="748" t="s">
        <v>2457</v>
      </c>
      <c r="G372" s="748" t="s">
        <v>1762</v>
      </c>
      <c r="H372" s="748" t="s">
        <v>1588</v>
      </c>
      <c r="I372" s="748" t="s">
        <v>2433</v>
      </c>
      <c r="J372" s="748" t="s">
        <v>3633</v>
      </c>
      <c r="K372" s="748"/>
      <c r="L372" s="599" t="s">
        <v>3628</v>
      </c>
      <c r="M372" s="761" t="s">
        <v>3634</v>
      </c>
      <c r="N372" s="599" t="str">
        <f t="shared" si="3"/>
        <v>genga_jig_event_story_00001_03_victory</v>
      </c>
      <c r="O372" s="599" t="str">
        <f t="shared" si="4"/>
        <v>manga_animation_genga_jig_event_story_00001_03_victory</v>
      </c>
      <c r="P372" s="752"/>
      <c r="Q372" s="752"/>
      <c r="R372" s="753" t="s">
        <v>3632</v>
      </c>
      <c r="S372" s="754"/>
      <c r="T372" s="754"/>
    </row>
    <row r="373">
      <c r="A373" s="747" t="s">
        <v>3624</v>
      </c>
      <c r="B373" s="748" t="s">
        <v>2458</v>
      </c>
      <c r="C373" s="749" t="s">
        <v>148</v>
      </c>
      <c r="D373" s="750" t="str">
        <f t="array" ref="D373">iferror(INDEX('作品'!D:D,MATCH(C373,'作品'!A:A,0),0),"")</f>
        <v>地獄楽</v>
      </c>
      <c r="E373" s="751" t="s">
        <v>2459</v>
      </c>
      <c r="F373" s="748" t="s">
        <v>2457</v>
      </c>
      <c r="G373" s="748" t="s">
        <v>1762</v>
      </c>
      <c r="H373" s="748" t="s">
        <v>1588</v>
      </c>
      <c r="I373" s="748" t="s">
        <v>2433</v>
      </c>
      <c r="J373" s="748" t="s">
        <v>3633</v>
      </c>
      <c r="K373" s="748"/>
      <c r="L373" s="599" t="s">
        <v>3628</v>
      </c>
      <c r="M373" s="761" t="s">
        <v>3634</v>
      </c>
      <c r="N373" s="599" t="str">
        <f t="shared" si="3"/>
        <v>genga_jig_event_story_00001_03_victory</v>
      </c>
      <c r="O373" s="599" t="str">
        <f t="shared" si="4"/>
        <v>manga_animation_genga_jig_event_story_00001_03_victory</v>
      </c>
      <c r="P373" s="752"/>
      <c r="Q373" s="752"/>
      <c r="R373" s="753" t="s">
        <v>3632</v>
      </c>
      <c r="S373" s="754"/>
      <c r="T373" s="754"/>
    </row>
    <row r="374">
      <c r="A374" s="747" t="s">
        <v>3624</v>
      </c>
      <c r="B374" s="748" t="s">
        <v>2458</v>
      </c>
      <c r="C374" s="749" t="s">
        <v>148</v>
      </c>
      <c r="D374" s="750" t="str">
        <f t="array" ref="D374">iferror(INDEX('作品'!D:D,MATCH(C374,'作品'!A:A,0),0),"")</f>
        <v>地獄楽</v>
      </c>
      <c r="E374" s="751" t="s">
        <v>2459</v>
      </c>
      <c r="F374" s="748" t="s">
        <v>2457</v>
      </c>
      <c r="G374" s="748" t="s">
        <v>1762</v>
      </c>
      <c r="H374" s="748" t="s">
        <v>3645</v>
      </c>
      <c r="I374" s="748" t="s">
        <v>2433</v>
      </c>
      <c r="J374" s="748" t="s">
        <v>3625</v>
      </c>
      <c r="K374" s="748"/>
      <c r="L374" s="599" t="s">
        <v>3628</v>
      </c>
      <c r="M374" s="599" t="s">
        <v>3629</v>
      </c>
      <c r="N374" s="599" t="str">
        <f t="shared" si="3"/>
        <v>genga_jig_event_story_00001_04_start</v>
      </c>
      <c r="O374" s="599" t="str">
        <f t="shared" si="4"/>
        <v>manga_animation_genga_jig_event_story_00001_04_start</v>
      </c>
      <c r="P374" s="752"/>
      <c r="Q374" s="752"/>
      <c r="R374" s="753" t="s">
        <v>3632</v>
      </c>
      <c r="S374" s="754"/>
      <c r="T374" s="754"/>
    </row>
    <row r="375">
      <c r="A375" s="747" t="s">
        <v>3624</v>
      </c>
      <c r="B375" s="748" t="s">
        <v>2458</v>
      </c>
      <c r="C375" s="749" t="s">
        <v>148</v>
      </c>
      <c r="D375" s="750" t="str">
        <f t="array" ref="D375">iferror(INDEX('作品'!D:D,MATCH(C375,'作品'!A:A,0),0),"")</f>
        <v>地獄楽</v>
      </c>
      <c r="E375" s="751" t="s">
        <v>2459</v>
      </c>
      <c r="F375" s="748" t="s">
        <v>2457</v>
      </c>
      <c r="G375" s="748" t="s">
        <v>1762</v>
      </c>
      <c r="H375" s="748" t="s">
        <v>3645</v>
      </c>
      <c r="I375" s="748" t="s">
        <v>2433</v>
      </c>
      <c r="J375" s="748" t="s">
        <v>3625</v>
      </c>
      <c r="K375" s="748"/>
      <c r="L375" s="599" t="s">
        <v>3628</v>
      </c>
      <c r="M375" s="599" t="s">
        <v>3629</v>
      </c>
      <c r="N375" s="599" t="str">
        <f t="shared" si="3"/>
        <v>genga_jig_event_story_00001_04_start</v>
      </c>
      <c r="O375" s="599" t="str">
        <f t="shared" si="4"/>
        <v>manga_animation_genga_jig_event_story_00001_04_start</v>
      </c>
      <c r="P375" s="752"/>
      <c r="Q375" s="752"/>
      <c r="R375" s="753" t="s">
        <v>3632</v>
      </c>
      <c r="S375" s="754"/>
      <c r="T375" s="754"/>
    </row>
    <row r="376">
      <c r="A376" s="747" t="s">
        <v>3624</v>
      </c>
      <c r="B376" s="748" t="s">
        <v>2458</v>
      </c>
      <c r="C376" s="749" t="s">
        <v>148</v>
      </c>
      <c r="D376" s="750" t="str">
        <f t="array" ref="D376">iferror(INDEX('作品'!D:D,MATCH(C376,'作品'!A:A,0),0),"")</f>
        <v>地獄楽</v>
      </c>
      <c r="E376" s="423" t="s">
        <v>2459</v>
      </c>
      <c r="F376" s="748" t="s">
        <v>2457</v>
      </c>
      <c r="G376" s="748" t="s">
        <v>1762</v>
      </c>
      <c r="H376" s="748" t="s">
        <v>3650</v>
      </c>
      <c r="I376" s="748" t="s">
        <v>2433</v>
      </c>
      <c r="J376" s="748" t="s">
        <v>3625</v>
      </c>
      <c r="K376" s="748"/>
      <c r="L376" s="599" t="s">
        <v>3628</v>
      </c>
      <c r="M376" s="599" t="s">
        <v>3629</v>
      </c>
      <c r="N376" s="599" t="str">
        <f t="shared" si="3"/>
        <v>genga_jig_event_story_00001_05_start</v>
      </c>
      <c r="O376" s="599" t="str">
        <f t="shared" si="4"/>
        <v>manga_animation_genga_jig_event_story_00001_05_start</v>
      </c>
      <c r="P376" s="752"/>
      <c r="Q376" s="752"/>
      <c r="R376" s="753" t="s">
        <v>3632</v>
      </c>
      <c r="S376" s="754"/>
      <c r="T376" s="754"/>
    </row>
    <row r="377">
      <c r="A377" s="747" t="s">
        <v>3624</v>
      </c>
      <c r="B377" s="748" t="s">
        <v>2458</v>
      </c>
      <c r="C377" s="749" t="s">
        <v>148</v>
      </c>
      <c r="D377" s="750" t="str">
        <f t="array" ref="D377">iferror(INDEX('作品'!D:D,MATCH(C377,'作品'!A:A,0),0),"")</f>
        <v>地獄楽</v>
      </c>
      <c r="E377" s="423" t="s">
        <v>2459</v>
      </c>
      <c r="F377" s="748" t="s">
        <v>2457</v>
      </c>
      <c r="G377" s="748" t="s">
        <v>1762</v>
      </c>
      <c r="H377" s="748" t="s">
        <v>3650</v>
      </c>
      <c r="I377" s="748" t="s">
        <v>2433</v>
      </c>
      <c r="J377" s="748" t="s">
        <v>3633</v>
      </c>
      <c r="K377" s="748"/>
      <c r="L377" s="599" t="s">
        <v>3628</v>
      </c>
      <c r="M377" s="599" t="s">
        <v>3634</v>
      </c>
      <c r="N377" s="599" t="str">
        <f t="shared" si="3"/>
        <v>genga_jig_event_story_00001_05_victory</v>
      </c>
      <c r="O377" s="599" t="str">
        <f t="shared" si="4"/>
        <v>manga_animation_genga_jig_event_story_00001_05_victory</v>
      </c>
      <c r="P377" s="752"/>
      <c r="Q377" s="765"/>
      <c r="R377" s="753" t="s">
        <v>3632</v>
      </c>
      <c r="S377" s="754"/>
      <c r="T377" s="754"/>
    </row>
    <row r="378">
      <c r="A378" s="747" t="s">
        <v>3624</v>
      </c>
      <c r="B378" s="755" t="s">
        <v>2458</v>
      </c>
      <c r="C378" s="756" t="s">
        <v>148</v>
      </c>
      <c r="D378" s="750" t="str">
        <f t="array" ref="D378">iferror(INDEX('作品'!D:D,MATCH(C378,'作品'!A:A,0),0),"")</f>
        <v>地獄楽</v>
      </c>
      <c r="E378" s="423" t="s">
        <v>2459</v>
      </c>
      <c r="F378" s="748" t="s">
        <v>2457</v>
      </c>
      <c r="G378" s="755" t="s">
        <v>1762</v>
      </c>
      <c r="H378" s="755" t="s">
        <v>3655</v>
      </c>
      <c r="I378" s="755" t="s">
        <v>2433</v>
      </c>
      <c r="J378" s="748" t="s">
        <v>3625</v>
      </c>
      <c r="K378" s="755"/>
      <c r="L378" s="599" t="s">
        <v>3628</v>
      </c>
      <c r="M378" s="599" t="s">
        <v>3629</v>
      </c>
      <c r="N378" s="599" t="str">
        <f t="shared" si="3"/>
        <v>genga_jig_event_story_00001_06_start</v>
      </c>
      <c r="O378" s="599" t="str">
        <f t="shared" si="4"/>
        <v>manga_animation_genga_jig_event_story_00001_06_start</v>
      </c>
      <c r="P378" s="753"/>
      <c r="Q378" s="766"/>
      <c r="R378" s="753" t="s">
        <v>3632</v>
      </c>
      <c r="S378" s="754"/>
      <c r="T378" s="754"/>
    </row>
    <row r="379">
      <c r="A379" s="747" t="s">
        <v>3624</v>
      </c>
      <c r="B379" s="755" t="s">
        <v>2458</v>
      </c>
      <c r="C379" s="756" t="s">
        <v>148</v>
      </c>
      <c r="D379" s="750" t="str">
        <f t="array" ref="D379">iferror(INDEX('作品'!D:D,MATCH(C379,'作品'!A:A,0),0),"")</f>
        <v>地獄楽</v>
      </c>
      <c r="E379" s="423" t="s">
        <v>2459</v>
      </c>
      <c r="F379" s="748" t="s">
        <v>2457</v>
      </c>
      <c r="G379" s="755" t="s">
        <v>1762</v>
      </c>
      <c r="H379" s="755" t="s">
        <v>3655</v>
      </c>
      <c r="I379" s="755" t="s">
        <v>2433</v>
      </c>
      <c r="J379" s="748" t="s">
        <v>3633</v>
      </c>
      <c r="K379" s="755"/>
      <c r="L379" s="761" t="s">
        <v>3628</v>
      </c>
      <c r="M379" s="761" t="s">
        <v>3634</v>
      </c>
      <c r="N379" s="599" t="str">
        <f t="shared" si="3"/>
        <v>genga_jig_event_story_00001_06_victory</v>
      </c>
      <c r="O379" s="599" t="str">
        <f t="shared" si="4"/>
        <v>manga_animation_genga_jig_event_story_00001_06_victory</v>
      </c>
      <c r="P379" s="753"/>
      <c r="Q379" s="753"/>
      <c r="R379" s="753" t="s">
        <v>3632</v>
      </c>
      <c r="S379" s="754"/>
      <c r="T379" s="754"/>
    </row>
    <row r="380">
      <c r="A380" s="747" t="s">
        <v>3624</v>
      </c>
      <c r="B380" s="755" t="s">
        <v>2458</v>
      </c>
      <c r="C380" s="756" t="s">
        <v>148</v>
      </c>
      <c r="D380" s="750" t="str">
        <f t="array" ref="D380">iferror(INDEX('作品'!D:D,MATCH(C380,'作品'!A:A,0),0),"")</f>
        <v>地獄楽</v>
      </c>
      <c r="E380" s="423" t="s">
        <v>2459</v>
      </c>
      <c r="F380" s="748" t="s">
        <v>2457</v>
      </c>
      <c r="G380" s="755" t="s">
        <v>3627</v>
      </c>
      <c r="H380" s="755" t="s">
        <v>1762</v>
      </c>
      <c r="I380" s="755" t="s">
        <v>2433</v>
      </c>
      <c r="J380" s="755" t="s">
        <v>3625</v>
      </c>
      <c r="K380" s="755"/>
      <c r="L380" s="761" t="s">
        <v>3628</v>
      </c>
      <c r="M380" s="761" t="s">
        <v>3629</v>
      </c>
      <c r="N380" s="599" t="str">
        <f t="shared" si="3"/>
        <v>genga_jig_event_story_00002_01_start</v>
      </c>
      <c r="O380" s="599" t="str">
        <f t="shared" si="4"/>
        <v>manga_animation_genga_jig_event_story_00002_01_start</v>
      </c>
      <c r="P380" s="753"/>
      <c r="Q380" s="753"/>
      <c r="R380" s="753" t="s">
        <v>3632</v>
      </c>
      <c r="S380" s="754"/>
      <c r="T380" s="754"/>
    </row>
    <row r="381">
      <c r="A381" s="747" t="s">
        <v>3624</v>
      </c>
      <c r="B381" s="755" t="s">
        <v>2458</v>
      </c>
      <c r="C381" s="756" t="s">
        <v>148</v>
      </c>
      <c r="D381" s="750" t="str">
        <f t="array" ref="D381">iferror(INDEX('作品'!D:D,MATCH(C381,'作品'!A:A,0),0),"")</f>
        <v>地獄楽</v>
      </c>
      <c r="E381" s="423" t="s">
        <v>2459</v>
      </c>
      <c r="F381" s="748" t="s">
        <v>2457</v>
      </c>
      <c r="G381" s="755" t="s">
        <v>3627</v>
      </c>
      <c r="H381" s="755" t="s">
        <v>3627</v>
      </c>
      <c r="I381" s="755" t="s">
        <v>2433</v>
      </c>
      <c r="J381" s="755" t="s">
        <v>3625</v>
      </c>
      <c r="K381" s="755"/>
      <c r="L381" s="761" t="s">
        <v>3628</v>
      </c>
      <c r="M381" s="761" t="s">
        <v>3629</v>
      </c>
      <c r="N381" s="599" t="str">
        <f t="shared" si="3"/>
        <v>genga_jig_event_story_00002_02_start</v>
      </c>
      <c r="O381" s="599" t="str">
        <f t="shared" si="4"/>
        <v>manga_animation_genga_jig_event_story_00002_02_start</v>
      </c>
      <c r="P381" s="753"/>
      <c r="Q381" s="753"/>
      <c r="R381" s="753" t="s">
        <v>3632</v>
      </c>
      <c r="S381" s="754"/>
      <c r="T381" s="754"/>
    </row>
    <row r="382">
      <c r="A382" s="747" t="s">
        <v>3624</v>
      </c>
      <c r="B382" s="755" t="s">
        <v>2458</v>
      </c>
      <c r="C382" s="756" t="s">
        <v>148</v>
      </c>
      <c r="D382" s="750" t="str">
        <f t="array" ref="D382">iferror(INDEX('作品'!D:D,MATCH(C382,'作品'!A:A,0),0),"")</f>
        <v>地獄楽</v>
      </c>
      <c r="E382" s="423" t="s">
        <v>2459</v>
      </c>
      <c r="F382" s="748" t="s">
        <v>2457</v>
      </c>
      <c r="G382" s="755" t="s">
        <v>3627</v>
      </c>
      <c r="H382" s="755" t="s">
        <v>1588</v>
      </c>
      <c r="I382" s="755" t="s">
        <v>2433</v>
      </c>
      <c r="J382" s="755" t="s">
        <v>3625</v>
      </c>
      <c r="K382" s="755"/>
      <c r="L382" s="761" t="s">
        <v>3628</v>
      </c>
      <c r="M382" s="761" t="s">
        <v>3629</v>
      </c>
      <c r="N382" s="599" t="str">
        <f t="shared" si="3"/>
        <v>genga_jig_event_story_00002_03_start</v>
      </c>
      <c r="O382" s="599" t="str">
        <f t="shared" si="4"/>
        <v>manga_animation_genga_jig_event_story_00002_03_start</v>
      </c>
      <c r="P382" s="753"/>
      <c r="Q382" s="753"/>
      <c r="R382" s="753" t="s">
        <v>3632</v>
      </c>
      <c r="S382" s="754"/>
      <c r="T382" s="754"/>
    </row>
    <row r="383">
      <c r="A383" s="747" t="s">
        <v>3624</v>
      </c>
      <c r="B383" s="755" t="s">
        <v>2458</v>
      </c>
      <c r="C383" s="756" t="s">
        <v>148</v>
      </c>
      <c r="D383" s="750" t="str">
        <f t="array" ref="D383">iferror(INDEX('作品'!D:D,MATCH(C383,'作品'!A:A,0),0),"")</f>
        <v>地獄楽</v>
      </c>
      <c r="E383" s="423" t="s">
        <v>2459</v>
      </c>
      <c r="F383" s="748" t="s">
        <v>2457</v>
      </c>
      <c r="G383" s="755" t="s">
        <v>3627</v>
      </c>
      <c r="H383" s="755" t="s">
        <v>3645</v>
      </c>
      <c r="I383" s="755" t="s">
        <v>2433</v>
      </c>
      <c r="J383" s="755" t="s">
        <v>3625</v>
      </c>
      <c r="K383" s="755"/>
      <c r="L383" s="761" t="s">
        <v>3628</v>
      </c>
      <c r="M383" s="761" t="s">
        <v>3629</v>
      </c>
      <c r="N383" s="599" t="str">
        <f t="shared" si="3"/>
        <v>genga_jig_event_story_00002_04_start</v>
      </c>
      <c r="O383" s="599" t="str">
        <f t="shared" si="4"/>
        <v>manga_animation_genga_jig_event_story_00002_04_start</v>
      </c>
      <c r="P383" s="753"/>
      <c r="Q383" s="753"/>
      <c r="R383" s="753" t="s">
        <v>3632</v>
      </c>
      <c r="S383" s="754"/>
      <c r="T383" s="754"/>
    </row>
    <row r="384">
      <c r="A384" s="747" t="s">
        <v>3624</v>
      </c>
      <c r="B384" s="755" t="s">
        <v>2458</v>
      </c>
      <c r="C384" s="756" t="s">
        <v>148</v>
      </c>
      <c r="D384" s="750" t="str">
        <f t="array" ref="D384">iferror(INDEX('作品'!D:D,MATCH(C384,'作品'!A:A,0),0),"")</f>
        <v>地獄楽</v>
      </c>
      <c r="E384" s="423" t="s">
        <v>2459</v>
      </c>
      <c r="F384" s="748" t="s">
        <v>2457</v>
      </c>
      <c r="G384" s="755" t="s">
        <v>3627</v>
      </c>
      <c r="H384" s="755" t="s">
        <v>3650</v>
      </c>
      <c r="I384" s="755" t="s">
        <v>2433</v>
      </c>
      <c r="J384" s="755" t="s">
        <v>3625</v>
      </c>
      <c r="K384" s="755"/>
      <c r="L384" s="761" t="s">
        <v>3628</v>
      </c>
      <c r="M384" s="761" t="s">
        <v>3629</v>
      </c>
      <c r="N384" s="599" t="str">
        <f t="shared" si="3"/>
        <v>genga_jig_event_story_00002_05_start</v>
      </c>
      <c r="O384" s="599" t="str">
        <f t="shared" si="4"/>
        <v>manga_animation_genga_jig_event_story_00002_05_start</v>
      </c>
      <c r="P384" s="753"/>
      <c r="Q384" s="753"/>
      <c r="R384" s="753" t="s">
        <v>3632</v>
      </c>
      <c r="S384" s="754"/>
      <c r="T384" s="754"/>
    </row>
    <row r="385">
      <c r="A385" s="747" t="s">
        <v>3624</v>
      </c>
      <c r="B385" s="755" t="s">
        <v>2458</v>
      </c>
      <c r="C385" s="756" t="s">
        <v>148</v>
      </c>
      <c r="D385" s="750" t="str">
        <f t="array" ref="D385">iferror(INDEX('作品'!D:D,MATCH(C385,'作品'!A:A,0),0),"")</f>
        <v>地獄楽</v>
      </c>
      <c r="E385" s="423" t="s">
        <v>2459</v>
      </c>
      <c r="F385" s="748" t="s">
        <v>2457</v>
      </c>
      <c r="G385" s="755" t="s">
        <v>3627</v>
      </c>
      <c r="H385" s="755" t="s">
        <v>3655</v>
      </c>
      <c r="I385" s="755" t="s">
        <v>2433</v>
      </c>
      <c r="J385" s="755" t="s">
        <v>3625</v>
      </c>
      <c r="K385" s="755"/>
      <c r="L385" s="761" t="s">
        <v>3628</v>
      </c>
      <c r="M385" s="761" t="s">
        <v>3629</v>
      </c>
      <c r="N385" s="599" t="str">
        <f t="shared" si="3"/>
        <v>genga_jig_event_story_00002_06_start</v>
      </c>
      <c r="O385" s="599" t="str">
        <f t="shared" si="4"/>
        <v>manga_animation_genga_jig_event_story_00002_06_start</v>
      </c>
      <c r="P385" s="753"/>
      <c r="Q385" s="753"/>
      <c r="R385" s="753" t="s">
        <v>3632</v>
      </c>
      <c r="S385" s="754"/>
      <c r="T385" s="754"/>
    </row>
    <row r="386">
      <c r="A386" s="747" t="s">
        <v>3624</v>
      </c>
      <c r="B386" s="755" t="s">
        <v>2458</v>
      </c>
      <c r="C386" s="756" t="s">
        <v>148</v>
      </c>
      <c r="D386" s="750" t="str">
        <f t="array" ref="D386">iferror(INDEX('作品'!D:D,MATCH(C386,'作品'!A:A,0),0),"")</f>
        <v>地獄楽</v>
      </c>
      <c r="E386" s="423" t="s">
        <v>2459</v>
      </c>
      <c r="F386" s="755" t="s">
        <v>2462</v>
      </c>
      <c r="G386" s="755" t="s">
        <v>1762</v>
      </c>
      <c r="H386" s="755" t="s">
        <v>1762</v>
      </c>
      <c r="I386" s="755" t="s">
        <v>2433</v>
      </c>
      <c r="J386" s="755" t="s">
        <v>3656</v>
      </c>
      <c r="K386" s="755"/>
      <c r="L386" s="761" t="s">
        <v>3628</v>
      </c>
      <c r="M386" s="761" t="s">
        <v>3658</v>
      </c>
      <c r="N386" s="599" t="str">
        <f t="shared" si="3"/>
        <v>genga_jig_event_challenge_00001_01_appear</v>
      </c>
      <c r="O386" s="599" t="str">
        <f t="shared" si="4"/>
        <v>manga_animation_genga_jig_event_challenge_00001_01_appear</v>
      </c>
      <c r="P386" s="753"/>
      <c r="Q386" s="753"/>
      <c r="R386" s="753"/>
      <c r="S386" s="754"/>
      <c r="T386" s="754"/>
    </row>
    <row r="387">
      <c r="A387" s="747" t="s">
        <v>3624</v>
      </c>
      <c r="B387" s="755" t="s">
        <v>2458</v>
      </c>
      <c r="C387" s="756" t="s">
        <v>148</v>
      </c>
      <c r="D387" s="750" t="str">
        <f t="array" ref="D387">iferror(INDEX('作品'!D:D,MATCH(C387,'作品'!A:A,0),0),"")</f>
        <v>地獄楽</v>
      </c>
      <c r="E387" s="423" t="s">
        <v>2459</v>
      </c>
      <c r="F387" s="755" t="s">
        <v>2462</v>
      </c>
      <c r="G387" s="755" t="s">
        <v>3627</v>
      </c>
      <c r="H387" s="755" t="s">
        <v>3627</v>
      </c>
      <c r="I387" s="755" t="s">
        <v>2433</v>
      </c>
      <c r="J387" s="755" t="s">
        <v>3656</v>
      </c>
      <c r="K387" s="755"/>
      <c r="L387" s="761" t="s">
        <v>3628</v>
      </c>
      <c r="M387" s="761" t="s">
        <v>3658</v>
      </c>
      <c r="N387" s="599" t="str">
        <f t="shared" si="3"/>
        <v>genga_jig_event_challenge_00002_02_appear</v>
      </c>
      <c r="O387" s="599" t="str">
        <f t="shared" si="4"/>
        <v>manga_animation_genga_jig_event_challenge_00002_02_appear</v>
      </c>
      <c r="P387" s="753"/>
      <c r="Q387" s="753"/>
      <c r="R387" s="753"/>
      <c r="S387" s="754"/>
      <c r="T387" s="754"/>
    </row>
    <row r="388">
      <c r="A388" s="747" t="s">
        <v>3624</v>
      </c>
      <c r="B388" s="755" t="s">
        <v>2458</v>
      </c>
      <c r="C388" s="756" t="s">
        <v>148</v>
      </c>
      <c r="D388" s="750" t="str">
        <f t="array" ref="D388">iferror(INDEX('作品'!D:D,MATCH(C388,'作品'!A:A,0),0),"")</f>
        <v>地獄楽</v>
      </c>
      <c r="E388" s="423" t="s">
        <v>2459</v>
      </c>
      <c r="F388" s="755" t="s">
        <v>2462</v>
      </c>
      <c r="G388" s="755" t="s">
        <v>1588</v>
      </c>
      <c r="H388" s="755" t="s">
        <v>1588</v>
      </c>
      <c r="I388" s="755" t="s">
        <v>2433</v>
      </c>
      <c r="J388" s="755" t="s">
        <v>3656</v>
      </c>
      <c r="K388" s="755"/>
      <c r="L388" s="761" t="s">
        <v>3628</v>
      </c>
      <c r="M388" s="761" t="s">
        <v>3658</v>
      </c>
      <c r="N388" s="599" t="str">
        <f t="shared" si="3"/>
        <v>genga_jig_event_challenge_00003_03_appear</v>
      </c>
      <c r="O388" s="599" t="str">
        <f t="shared" si="4"/>
        <v>manga_animation_genga_jig_event_challenge_00003_03_appear</v>
      </c>
      <c r="P388" s="753"/>
      <c r="Q388" s="753"/>
      <c r="R388" s="753"/>
      <c r="S388" s="754"/>
      <c r="T388" s="754"/>
    </row>
    <row r="389">
      <c r="A389" s="747" t="s">
        <v>3624</v>
      </c>
      <c r="B389" s="755" t="s">
        <v>2458</v>
      </c>
      <c r="C389" s="756" t="s">
        <v>148</v>
      </c>
      <c r="D389" s="750" t="str">
        <f t="array" ref="D389">iferror(INDEX('作品'!D:D,MATCH(C389,'作品'!A:A,0),0),"")</f>
        <v>地獄楽</v>
      </c>
      <c r="E389" s="423" t="s">
        <v>2459</v>
      </c>
      <c r="F389" s="755" t="s">
        <v>2462</v>
      </c>
      <c r="G389" s="755" t="s">
        <v>3645</v>
      </c>
      <c r="H389" s="755" t="s">
        <v>3645</v>
      </c>
      <c r="I389" s="755" t="s">
        <v>2433</v>
      </c>
      <c r="J389" s="755" t="s">
        <v>3656</v>
      </c>
      <c r="K389" s="755"/>
      <c r="L389" s="761" t="s">
        <v>3628</v>
      </c>
      <c r="M389" s="761" t="s">
        <v>3658</v>
      </c>
      <c r="N389" s="599" t="str">
        <f t="shared" si="3"/>
        <v>genga_jig_event_challenge_00004_04_appear</v>
      </c>
      <c r="O389" s="599" t="str">
        <f t="shared" si="4"/>
        <v>manga_animation_genga_jig_event_challenge_00004_04_appear</v>
      </c>
      <c r="P389" s="753"/>
      <c r="Q389" s="753"/>
      <c r="R389" s="753"/>
      <c r="S389" s="754"/>
      <c r="T389" s="754"/>
    </row>
    <row r="390">
      <c r="A390" s="747" t="s">
        <v>3624</v>
      </c>
      <c r="B390" s="755" t="s">
        <v>2458</v>
      </c>
      <c r="C390" s="756" t="s">
        <v>148</v>
      </c>
      <c r="D390" s="750" t="str">
        <f t="array" ref="D390">iferror(INDEX('作品'!D:D,MATCH(C390,'作品'!A:A,0),0),"")</f>
        <v>地獄楽</v>
      </c>
      <c r="E390" s="423" t="s">
        <v>2459</v>
      </c>
      <c r="F390" s="755" t="s">
        <v>2464</v>
      </c>
      <c r="G390" s="755" t="s">
        <v>1762</v>
      </c>
      <c r="H390" s="755" t="s">
        <v>1762</v>
      </c>
      <c r="I390" s="755" t="s">
        <v>2433</v>
      </c>
      <c r="J390" s="755" t="s">
        <v>3656</v>
      </c>
      <c r="K390" s="755"/>
      <c r="L390" s="761" t="s">
        <v>3628</v>
      </c>
      <c r="M390" s="761" t="s">
        <v>3658</v>
      </c>
      <c r="N390" s="599" t="str">
        <f t="shared" si="3"/>
        <v>genga_jig_event_savage_00001_01_appear</v>
      </c>
      <c r="O390" s="599" t="str">
        <f t="shared" si="4"/>
        <v>manga_animation_genga_jig_event_savage_00001_01_appear</v>
      </c>
      <c r="P390" s="753"/>
      <c r="Q390" s="753"/>
      <c r="R390" s="753"/>
      <c r="S390" s="754"/>
      <c r="T390" s="754"/>
    </row>
    <row r="391">
      <c r="A391" s="747" t="s">
        <v>3624</v>
      </c>
      <c r="B391" s="755" t="s">
        <v>2458</v>
      </c>
      <c r="C391" s="756" t="s">
        <v>148</v>
      </c>
      <c r="D391" s="750" t="str">
        <f t="array" ref="D391">iferror(INDEX('作品'!D:D,MATCH(C391,'作品'!A:A,0),0),"")</f>
        <v>地獄楽</v>
      </c>
      <c r="E391" s="423" t="s">
        <v>2459</v>
      </c>
      <c r="F391" s="755" t="s">
        <v>2464</v>
      </c>
      <c r="G391" s="755" t="s">
        <v>3627</v>
      </c>
      <c r="H391" s="755" t="s">
        <v>3627</v>
      </c>
      <c r="I391" s="755" t="s">
        <v>2433</v>
      </c>
      <c r="J391" s="755" t="s">
        <v>3656</v>
      </c>
      <c r="K391" s="755"/>
      <c r="L391" s="761" t="s">
        <v>3628</v>
      </c>
      <c r="M391" s="761" t="s">
        <v>3658</v>
      </c>
      <c r="N391" s="599" t="str">
        <f t="shared" si="3"/>
        <v>genga_jig_event_savage_00002_02_appear</v>
      </c>
      <c r="O391" s="599" t="str">
        <f t="shared" si="4"/>
        <v>manga_animation_genga_jig_event_savage_00002_02_appear</v>
      </c>
      <c r="P391" s="753"/>
      <c r="Q391" s="753"/>
      <c r="R391" s="753"/>
      <c r="S391" s="754"/>
      <c r="T391" s="754"/>
    </row>
    <row r="392">
      <c r="A392" s="747" t="s">
        <v>3624</v>
      </c>
      <c r="B392" s="755" t="s">
        <v>2458</v>
      </c>
      <c r="C392" s="756" t="s">
        <v>148</v>
      </c>
      <c r="D392" s="750" t="str">
        <f t="array" ref="D392">iferror(INDEX('作品'!D:D,MATCH(C392,'作品'!A:A,0),0),"")</f>
        <v>地獄楽</v>
      </c>
      <c r="E392" s="423" t="s">
        <v>2459</v>
      </c>
      <c r="F392" s="755" t="s">
        <v>2464</v>
      </c>
      <c r="G392" s="755" t="s">
        <v>1588</v>
      </c>
      <c r="H392" s="755" t="s">
        <v>1588</v>
      </c>
      <c r="I392" s="755" t="s">
        <v>2433</v>
      </c>
      <c r="J392" s="755" t="s">
        <v>3656</v>
      </c>
      <c r="K392" s="755"/>
      <c r="L392" s="761" t="s">
        <v>3628</v>
      </c>
      <c r="M392" s="761" t="s">
        <v>3658</v>
      </c>
      <c r="N392" s="599" t="str">
        <f t="shared" si="3"/>
        <v>genga_jig_event_savage_00003_03_appear</v>
      </c>
      <c r="O392" s="599" t="str">
        <f t="shared" si="4"/>
        <v>manga_animation_genga_jig_event_savage_00003_03_appear</v>
      </c>
      <c r="P392" s="753"/>
      <c r="Q392" s="753"/>
      <c r="R392" s="753"/>
      <c r="S392" s="754"/>
      <c r="T392" s="754"/>
    </row>
    <row r="393">
      <c r="A393" s="762"/>
      <c r="B393" s="755" t="s">
        <v>2458</v>
      </c>
      <c r="C393" s="756" t="s">
        <v>162</v>
      </c>
      <c r="D393" s="750" t="str">
        <f t="array" ref="D393">iferror(INDEX('作品'!D:D,MATCH(C393,'作品'!A:A,0),0),"")</f>
        <v>幼稚園WARS</v>
      </c>
      <c r="E393" s="423" t="s">
        <v>2459</v>
      </c>
      <c r="F393" s="755" t="s">
        <v>2449</v>
      </c>
      <c r="G393" s="755" t="s">
        <v>1762</v>
      </c>
      <c r="H393" s="755" t="s">
        <v>1762</v>
      </c>
      <c r="I393" s="755" t="s">
        <v>2433</v>
      </c>
      <c r="J393" s="755" t="s">
        <v>3625</v>
      </c>
      <c r="K393" s="755"/>
      <c r="L393" s="761" t="s">
        <v>3628</v>
      </c>
      <c r="M393" s="761" t="s">
        <v>3629</v>
      </c>
      <c r="N393" s="599" t="str">
        <f t="shared" si="3"/>
        <v>genga_you_event_1day_00001_01_start</v>
      </c>
      <c r="O393" s="599" t="str">
        <f t="shared" si="4"/>
        <v>manga_animation_genga_you_event_1day_00001_01_start</v>
      </c>
      <c r="P393" s="753"/>
      <c r="Q393" s="753"/>
      <c r="R393" s="753"/>
      <c r="S393" s="754"/>
      <c r="T393" s="754"/>
    </row>
    <row r="394">
      <c r="A394" s="762"/>
      <c r="B394" s="755" t="s">
        <v>2458</v>
      </c>
      <c r="C394" s="756" t="s">
        <v>162</v>
      </c>
      <c r="D394" s="750" t="str">
        <f t="array" ref="D394">iferror(INDEX('作品'!D:D,MATCH(C394,'作品'!A:A,0),0),"")</f>
        <v>幼稚園WARS</v>
      </c>
      <c r="E394" s="423" t="s">
        <v>2459</v>
      </c>
      <c r="F394" s="755" t="s">
        <v>2462</v>
      </c>
      <c r="G394" s="755" t="s">
        <v>1762</v>
      </c>
      <c r="H394" s="755" t="s">
        <v>1762</v>
      </c>
      <c r="I394" s="755" t="s">
        <v>2433</v>
      </c>
      <c r="J394" s="755" t="s">
        <v>3656</v>
      </c>
      <c r="K394" s="755"/>
      <c r="L394" s="761" t="s">
        <v>3628</v>
      </c>
      <c r="M394" s="761" t="s">
        <v>3658</v>
      </c>
      <c r="N394" s="599" t="str">
        <f t="shared" si="3"/>
        <v>genga_you_event_challenge_00001_01_appear</v>
      </c>
      <c r="O394" s="599" t="str">
        <f t="shared" si="4"/>
        <v>manga_animation_genga_you_event_challenge_00001_01_appear</v>
      </c>
      <c r="P394" s="753"/>
      <c r="Q394" s="753"/>
      <c r="R394" s="753"/>
      <c r="S394" s="754"/>
      <c r="T394" s="754"/>
    </row>
    <row r="395">
      <c r="A395" s="762"/>
      <c r="B395" s="755" t="s">
        <v>2458</v>
      </c>
      <c r="C395" s="756" t="s">
        <v>162</v>
      </c>
      <c r="D395" s="750" t="str">
        <f t="array" ref="D395">iferror(INDEX('作品'!D:D,MATCH(C395,'作品'!A:A,0),0),"")</f>
        <v>幼稚園WARS</v>
      </c>
      <c r="E395" s="423" t="s">
        <v>2459</v>
      </c>
      <c r="F395" s="755" t="s">
        <v>2462</v>
      </c>
      <c r="G395" s="755" t="s">
        <v>3627</v>
      </c>
      <c r="H395" s="755" t="s">
        <v>3627</v>
      </c>
      <c r="I395" s="755" t="s">
        <v>2433</v>
      </c>
      <c r="J395" s="755" t="s">
        <v>3656</v>
      </c>
      <c r="K395" s="755"/>
      <c r="L395" s="761" t="s">
        <v>3628</v>
      </c>
      <c r="M395" s="761" t="s">
        <v>3658</v>
      </c>
      <c r="N395" s="599" t="str">
        <f t="shared" si="3"/>
        <v>genga_you_event_challenge_00002_02_appear</v>
      </c>
      <c r="O395" s="599" t="str">
        <f t="shared" si="4"/>
        <v>manga_animation_genga_you_event_challenge_00002_02_appear</v>
      </c>
      <c r="P395" s="753"/>
      <c r="Q395" s="753"/>
      <c r="R395" s="753"/>
      <c r="S395" s="754"/>
      <c r="T395" s="754"/>
    </row>
    <row r="396">
      <c r="A396" s="762"/>
      <c r="B396" s="755" t="s">
        <v>2458</v>
      </c>
      <c r="C396" s="756" t="s">
        <v>162</v>
      </c>
      <c r="D396" s="750" t="str">
        <f t="array" ref="D396">iferror(INDEX('作品'!D:D,MATCH(C396,'作品'!A:A,0),0),"")</f>
        <v>幼稚園WARS</v>
      </c>
      <c r="E396" s="423" t="s">
        <v>2459</v>
      </c>
      <c r="F396" s="755" t="s">
        <v>2462</v>
      </c>
      <c r="G396" s="755" t="s">
        <v>1588</v>
      </c>
      <c r="H396" s="755" t="s">
        <v>1588</v>
      </c>
      <c r="I396" s="755" t="s">
        <v>2433</v>
      </c>
      <c r="J396" s="755" t="s">
        <v>3656</v>
      </c>
      <c r="K396" s="755"/>
      <c r="L396" s="761" t="s">
        <v>3628</v>
      </c>
      <c r="M396" s="761" t="s">
        <v>3658</v>
      </c>
      <c r="N396" s="599" t="str">
        <f t="shared" si="3"/>
        <v>genga_you_event_challenge_00003_03_appear</v>
      </c>
      <c r="O396" s="599" t="str">
        <f t="shared" si="4"/>
        <v>manga_animation_genga_you_event_challenge_00003_03_appear</v>
      </c>
      <c r="P396" s="753"/>
      <c r="Q396" s="753"/>
      <c r="R396" s="753"/>
      <c r="S396" s="754"/>
      <c r="T396" s="754"/>
    </row>
    <row r="397">
      <c r="A397" s="762"/>
      <c r="B397" s="755" t="s">
        <v>2458</v>
      </c>
      <c r="C397" s="756" t="s">
        <v>162</v>
      </c>
      <c r="D397" s="750" t="str">
        <f t="array" ref="D397">iferror(INDEX('作品'!D:D,MATCH(C397,'作品'!A:A,0),0),"")</f>
        <v>幼稚園WARS</v>
      </c>
      <c r="E397" s="423" t="s">
        <v>2459</v>
      </c>
      <c r="F397" s="755" t="s">
        <v>2462</v>
      </c>
      <c r="G397" s="755" t="s">
        <v>3645</v>
      </c>
      <c r="H397" s="755" t="s">
        <v>3645</v>
      </c>
      <c r="I397" s="755" t="s">
        <v>2433</v>
      </c>
      <c r="J397" s="755" t="s">
        <v>3656</v>
      </c>
      <c r="K397" s="755"/>
      <c r="L397" s="761" t="s">
        <v>3628</v>
      </c>
      <c r="M397" s="761" t="s">
        <v>3658</v>
      </c>
      <c r="N397" s="599" t="str">
        <f t="shared" si="3"/>
        <v>genga_you_event_challenge_00004_04_appear</v>
      </c>
      <c r="O397" s="599" t="str">
        <f t="shared" si="4"/>
        <v>manga_animation_genga_you_event_challenge_00004_04_appear</v>
      </c>
      <c r="P397" s="753"/>
      <c r="Q397" s="753"/>
      <c r="R397" s="753"/>
      <c r="S397" s="754"/>
      <c r="T397" s="754"/>
    </row>
    <row r="398">
      <c r="A398" s="762"/>
      <c r="B398" s="755" t="s">
        <v>2458</v>
      </c>
      <c r="C398" s="756" t="s">
        <v>162</v>
      </c>
      <c r="D398" s="750" t="str">
        <f t="array" ref="D398">iferror(INDEX('作品'!D:D,MATCH(C398,'作品'!A:A,0),0),"")</f>
        <v>幼稚園WARS</v>
      </c>
      <c r="E398" s="423" t="s">
        <v>2459</v>
      </c>
      <c r="F398" s="755" t="s">
        <v>2464</v>
      </c>
      <c r="G398" s="755" t="s">
        <v>1762</v>
      </c>
      <c r="H398" s="755" t="s">
        <v>1762</v>
      </c>
      <c r="I398" s="755" t="s">
        <v>2433</v>
      </c>
      <c r="J398" s="755" t="s">
        <v>3656</v>
      </c>
      <c r="K398" s="755" t="s">
        <v>3766</v>
      </c>
      <c r="L398" s="761" t="s">
        <v>3628</v>
      </c>
      <c r="M398" s="761" t="s">
        <v>3658</v>
      </c>
      <c r="N398" s="599" t="str">
        <f t="shared" ref="N398:N402" si="5">CONCATENATE(L398,C398,"_",E398,"_",F398,"_",text(G398,"00000"),"_",text(H398,"00"),M398,K398)</f>
        <v>genga_you_event_savage_00001_01_appear_dag</v>
      </c>
      <c r="O398" s="599" t="str">
        <f t="shared" si="4"/>
        <v>manga_animation_genga_you_event_savage_00001_01_appear_dag</v>
      </c>
      <c r="P398" s="753"/>
      <c r="Q398" s="753"/>
      <c r="R398" s="753"/>
      <c r="S398" s="754"/>
      <c r="T398" s="754"/>
    </row>
    <row r="399">
      <c r="A399" s="762"/>
      <c r="B399" s="755" t="s">
        <v>2458</v>
      </c>
      <c r="C399" s="756" t="s">
        <v>162</v>
      </c>
      <c r="D399" s="750" t="str">
        <f t="array" ref="D399">iferror(INDEX('作品'!D:D,MATCH(C399,'作品'!A:A,0),0),"")</f>
        <v>幼稚園WARS</v>
      </c>
      <c r="E399" s="423" t="s">
        <v>2459</v>
      </c>
      <c r="F399" s="755" t="s">
        <v>2464</v>
      </c>
      <c r="G399" s="755" t="s">
        <v>1762</v>
      </c>
      <c r="H399" s="755" t="s">
        <v>1762</v>
      </c>
      <c r="I399" s="755" t="s">
        <v>2433</v>
      </c>
      <c r="J399" s="755" t="s">
        <v>3656</v>
      </c>
      <c r="K399" s="755" t="s">
        <v>3767</v>
      </c>
      <c r="L399" s="761" t="s">
        <v>3628</v>
      </c>
      <c r="M399" s="761" t="s">
        <v>3658</v>
      </c>
      <c r="N399" s="599" t="str">
        <f t="shared" si="5"/>
        <v>genga_you_event_savage_00001_01_appear_hana</v>
      </c>
      <c r="O399" s="599" t="str">
        <f t="shared" si="4"/>
        <v>manga_animation_genga_you_event_savage_00001_01_appear_hana</v>
      </c>
      <c r="P399" s="753"/>
      <c r="Q399" s="753"/>
      <c r="R399" s="753"/>
      <c r="S399" s="754"/>
      <c r="T399" s="754"/>
    </row>
    <row r="400">
      <c r="A400" s="762"/>
      <c r="B400" s="755" t="s">
        <v>2458</v>
      </c>
      <c r="C400" s="756" t="s">
        <v>162</v>
      </c>
      <c r="D400" s="750" t="str">
        <f t="array" ref="D400">iferror(INDEX('作品'!D:D,MATCH(C400,'作品'!A:A,0),0),"")</f>
        <v>幼稚園WARS</v>
      </c>
      <c r="E400" s="423" t="s">
        <v>2459</v>
      </c>
      <c r="F400" s="755" t="s">
        <v>2464</v>
      </c>
      <c r="G400" s="755" t="s">
        <v>3627</v>
      </c>
      <c r="H400" s="755" t="s">
        <v>3627</v>
      </c>
      <c r="I400" s="755" t="s">
        <v>2433</v>
      </c>
      <c r="J400" s="755" t="s">
        <v>3656</v>
      </c>
      <c r="K400" s="755" t="s">
        <v>3768</v>
      </c>
      <c r="L400" s="761" t="s">
        <v>3628</v>
      </c>
      <c r="M400" s="761" t="s">
        <v>3658</v>
      </c>
      <c r="N400" s="599" t="str">
        <f t="shared" si="5"/>
        <v>genga_you_event_savage_00002_02_appear_lita</v>
      </c>
      <c r="O400" s="599" t="str">
        <f t="shared" si="4"/>
        <v>manga_animation_genga_you_event_savage_00002_02_appear_lita</v>
      </c>
      <c r="P400" s="753"/>
      <c r="Q400" s="753"/>
      <c r="R400" s="753"/>
      <c r="S400" s="754"/>
      <c r="T400" s="754"/>
    </row>
    <row r="401">
      <c r="A401" s="762"/>
      <c r="B401" s="755" t="s">
        <v>2458</v>
      </c>
      <c r="C401" s="756" t="s">
        <v>162</v>
      </c>
      <c r="D401" s="750" t="str">
        <f t="array" ref="D401">iferror(INDEX('作品'!D:D,MATCH(C401,'作品'!A:A,0),0),"")</f>
        <v>幼稚園WARS</v>
      </c>
      <c r="E401" s="423" t="s">
        <v>2459</v>
      </c>
      <c r="F401" s="755" t="s">
        <v>2464</v>
      </c>
      <c r="G401" s="755" t="s">
        <v>3627</v>
      </c>
      <c r="H401" s="755" t="s">
        <v>3627</v>
      </c>
      <c r="I401" s="755" t="s">
        <v>2433</v>
      </c>
      <c r="J401" s="755" t="s">
        <v>3656</v>
      </c>
      <c r="K401" s="755" t="s">
        <v>3769</v>
      </c>
      <c r="L401" s="761" t="s">
        <v>3628</v>
      </c>
      <c r="M401" s="761" t="s">
        <v>3658</v>
      </c>
      <c r="N401" s="599" t="str">
        <f t="shared" si="5"/>
        <v>genga_you_event_savage_00002_02_appear_luke</v>
      </c>
      <c r="O401" s="599" t="str">
        <f t="shared" si="4"/>
        <v>manga_animation_genga_you_event_savage_00002_02_appear_luke</v>
      </c>
      <c r="P401" s="753"/>
      <c r="Q401" s="753"/>
      <c r="R401" s="753"/>
      <c r="S401" s="754"/>
      <c r="T401" s="754"/>
    </row>
    <row r="402">
      <c r="A402" s="762"/>
      <c r="B402" s="755" t="s">
        <v>2458</v>
      </c>
      <c r="C402" s="756" t="s">
        <v>162</v>
      </c>
      <c r="D402" s="750" t="str">
        <f t="array" ref="D402">iferror(INDEX('作品'!D:D,MATCH(C402,'作品'!A:A,0),0),"")</f>
        <v>幼稚園WARS</v>
      </c>
      <c r="E402" s="423" t="s">
        <v>2459</v>
      </c>
      <c r="F402" s="755" t="s">
        <v>2464</v>
      </c>
      <c r="G402" s="755" t="s">
        <v>1588</v>
      </c>
      <c r="H402" s="755" t="s">
        <v>1588</v>
      </c>
      <c r="I402" s="755" t="s">
        <v>2433</v>
      </c>
      <c r="J402" s="755" t="s">
        <v>3656</v>
      </c>
      <c r="K402" s="755"/>
      <c r="L402" s="761" t="s">
        <v>3628</v>
      </c>
      <c r="M402" s="761" t="s">
        <v>3658</v>
      </c>
      <c r="N402" s="599" t="str">
        <f t="shared" si="5"/>
        <v>genga_you_event_savage_00003_03_appear</v>
      </c>
      <c r="O402" s="599" t="str">
        <f t="shared" si="4"/>
        <v>manga_animation_genga_you_event_savage_00003_03_appear</v>
      </c>
      <c r="P402" s="753"/>
      <c r="Q402" s="753"/>
      <c r="R402" s="753"/>
      <c r="S402" s="754"/>
      <c r="T402" s="754"/>
    </row>
    <row r="403">
      <c r="A403" s="762"/>
      <c r="B403" s="755" t="s">
        <v>2458</v>
      </c>
      <c r="C403" s="756" t="s">
        <v>162</v>
      </c>
      <c r="D403" s="750" t="str">
        <f t="array" ref="D403">iferror(INDEX('作品'!D:D,MATCH(C403,'作品'!A:A,0),0),"")</f>
        <v>幼稚園WARS</v>
      </c>
      <c r="E403" s="423" t="s">
        <v>2459</v>
      </c>
      <c r="F403" s="755" t="s">
        <v>2457</v>
      </c>
      <c r="G403" s="755" t="s">
        <v>1762</v>
      </c>
      <c r="H403" s="755" t="s">
        <v>1762</v>
      </c>
      <c r="I403" s="755" t="s">
        <v>2433</v>
      </c>
      <c r="J403" s="755" t="s">
        <v>3625</v>
      </c>
      <c r="K403" s="755"/>
      <c r="L403" s="761" t="s">
        <v>3628</v>
      </c>
      <c r="M403" s="761" t="s">
        <v>3629</v>
      </c>
      <c r="N403" s="599" t="str">
        <f t="shared" ref="N403:N424" si="6">CONCATENATE(L403,C403,"_",E403,"_",F403,"_",text(G403,"00000"),"_",text(H403,"00"),M403)</f>
        <v>genga_you_event_story_00001_01_start</v>
      </c>
      <c r="O403" s="599" t="str">
        <f t="shared" si="4"/>
        <v>manga_animation_genga_you_event_story_00001_01_start</v>
      </c>
      <c r="P403" s="753"/>
      <c r="Q403" s="753"/>
      <c r="R403" s="753"/>
      <c r="S403" s="754"/>
      <c r="T403" s="754"/>
    </row>
    <row r="404">
      <c r="A404" s="762"/>
      <c r="B404" s="755" t="s">
        <v>2458</v>
      </c>
      <c r="C404" s="756" t="s">
        <v>162</v>
      </c>
      <c r="D404" s="750" t="str">
        <f t="array" ref="D404">iferror(INDEX('作品'!D:D,MATCH(C404,'作品'!A:A,0),0),"")</f>
        <v>幼稚園WARS</v>
      </c>
      <c r="E404" s="423" t="s">
        <v>2459</v>
      </c>
      <c r="F404" s="755" t="s">
        <v>2457</v>
      </c>
      <c r="G404" s="755" t="s">
        <v>1762</v>
      </c>
      <c r="H404" s="755" t="s">
        <v>3627</v>
      </c>
      <c r="I404" s="755" t="s">
        <v>2433</v>
      </c>
      <c r="J404" s="755" t="s">
        <v>3625</v>
      </c>
      <c r="K404" s="755"/>
      <c r="L404" s="761" t="s">
        <v>3628</v>
      </c>
      <c r="M404" s="761" t="s">
        <v>3629</v>
      </c>
      <c r="N404" s="599" t="str">
        <f t="shared" si="6"/>
        <v>genga_you_event_story_00001_02_start</v>
      </c>
      <c r="O404" s="599" t="str">
        <f t="shared" si="4"/>
        <v>manga_animation_genga_you_event_story_00001_02_start</v>
      </c>
      <c r="P404" s="753"/>
      <c r="Q404" s="753"/>
      <c r="R404" s="753"/>
      <c r="S404" s="754"/>
      <c r="T404" s="754"/>
    </row>
    <row r="405">
      <c r="A405" s="762"/>
      <c r="B405" s="755" t="s">
        <v>2458</v>
      </c>
      <c r="C405" s="756" t="s">
        <v>162</v>
      </c>
      <c r="D405" s="750" t="str">
        <f t="array" ref="D405">iferror(INDEX('作品'!D:D,MATCH(C405,'作品'!A:A,0),0),"")</f>
        <v>幼稚園WARS</v>
      </c>
      <c r="E405" s="423" t="s">
        <v>2459</v>
      </c>
      <c r="F405" s="755" t="s">
        <v>2457</v>
      </c>
      <c r="G405" s="755" t="s">
        <v>1762</v>
      </c>
      <c r="H405" s="755" t="s">
        <v>3627</v>
      </c>
      <c r="I405" s="755" t="s">
        <v>2433</v>
      </c>
      <c r="J405" s="755" t="s">
        <v>3633</v>
      </c>
      <c r="K405" s="755"/>
      <c r="L405" s="761" t="s">
        <v>3628</v>
      </c>
      <c r="M405" s="761" t="s">
        <v>3634</v>
      </c>
      <c r="N405" s="599" t="str">
        <f t="shared" si="6"/>
        <v>genga_you_event_story_00001_02_victory</v>
      </c>
      <c r="O405" s="599" t="str">
        <f t="shared" si="4"/>
        <v>manga_animation_genga_you_event_story_00001_02_victory</v>
      </c>
      <c r="P405" s="753"/>
      <c r="Q405" s="753"/>
      <c r="R405" s="753"/>
      <c r="S405" s="754"/>
      <c r="T405" s="754"/>
    </row>
    <row r="406">
      <c r="A406" s="762"/>
      <c r="B406" s="755" t="s">
        <v>2458</v>
      </c>
      <c r="C406" s="756" t="s">
        <v>162</v>
      </c>
      <c r="D406" s="750" t="str">
        <f t="array" ref="D406">iferror(INDEX('作品'!D:D,MATCH(C406,'作品'!A:A,0),0),"")</f>
        <v>幼稚園WARS</v>
      </c>
      <c r="E406" s="423" t="s">
        <v>2459</v>
      </c>
      <c r="F406" s="755" t="s">
        <v>2457</v>
      </c>
      <c r="G406" s="755" t="s">
        <v>1762</v>
      </c>
      <c r="H406" s="755" t="s">
        <v>1588</v>
      </c>
      <c r="I406" s="755" t="s">
        <v>2433</v>
      </c>
      <c r="J406" s="755" t="s">
        <v>3625</v>
      </c>
      <c r="K406" s="755"/>
      <c r="L406" s="761" t="s">
        <v>3628</v>
      </c>
      <c r="M406" s="761" t="s">
        <v>3629</v>
      </c>
      <c r="N406" s="599" t="str">
        <f t="shared" si="6"/>
        <v>genga_you_event_story_00001_03_start</v>
      </c>
      <c r="O406" s="599" t="str">
        <f t="shared" si="4"/>
        <v>manga_animation_genga_you_event_story_00001_03_start</v>
      </c>
      <c r="P406" s="753"/>
      <c r="Q406" s="753"/>
      <c r="R406" s="753"/>
      <c r="S406" s="754"/>
      <c r="T406" s="754"/>
    </row>
    <row r="407">
      <c r="A407" s="762"/>
      <c r="B407" s="755" t="s">
        <v>2458</v>
      </c>
      <c r="C407" s="756" t="s">
        <v>162</v>
      </c>
      <c r="D407" s="750" t="str">
        <f t="array" ref="D407">iferror(INDEX('作品'!D:D,MATCH(C407,'作品'!A:A,0),0),"")</f>
        <v>幼稚園WARS</v>
      </c>
      <c r="E407" s="423" t="s">
        <v>2459</v>
      </c>
      <c r="F407" s="755" t="s">
        <v>2457</v>
      </c>
      <c r="G407" s="755" t="s">
        <v>1762</v>
      </c>
      <c r="H407" s="755" t="s">
        <v>1588</v>
      </c>
      <c r="I407" s="755" t="s">
        <v>2433</v>
      </c>
      <c r="J407" s="755" t="s">
        <v>3633</v>
      </c>
      <c r="K407" s="755"/>
      <c r="L407" s="761" t="s">
        <v>3628</v>
      </c>
      <c r="M407" s="761" t="s">
        <v>3634</v>
      </c>
      <c r="N407" s="599" t="str">
        <f t="shared" si="6"/>
        <v>genga_you_event_story_00001_03_victory</v>
      </c>
      <c r="O407" s="599" t="str">
        <f t="shared" si="4"/>
        <v>manga_animation_genga_you_event_story_00001_03_victory</v>
      </c>
      <c r="P407" s="753"/>
      <c r="Q407" s="753"/>
      <c r="R407" s="753"/>
      <c r="S407" s="754"/>
      <c r="T407" s="754"/>
    </row>
    <row r="408">
      <c r="A408" s="762"/>
      <c r="B408" s="755" t="s">
        <v>2458</v>
      </c>
      <c r="C408" s="756" t="s">
        <v>162</v>
      </c>
      <c r="D408" s="750" t="str">
        <f t="array" ref="D408">iferror(INDEX('作品'!D:D,MATCH(C408,'作品'!A:A,0),0),"")</f>
        <v>幼稚園WARS</v>
      </c>
      <c r="E408" s="423" t="s">
        <v>2459</v>
      </c>
      <c r="F408" s="755" t="s">
        <v>2457</v>
      </c>
      <c r="G408" s="755" t="s">
        <v>1762</v>
      </c>
      <c r="H408" s="755" t="s">
        <v>3645</v>
      </c>
      <c r="I408" s="755" t="s">
        <v>2433</v>
      </c>
      <c r="J408" s="755" t="s">
        <v>3625</v>
      </c>
      <c r="K408" s="755"/>
      <c r="L408" s="761" t="s">
        <v>3628</v>
      </c>
      <c r="M408" s="761" t="s">
        <v>3629</v>
      </c>
      <c r="N408" s="599" t="str">
        <f t="shared" si="6"/>
        <v>genga_you_event_story_00001_04_start</v>
      </c>
      <c r="O408" s="599" t="str">
        <f t="shared" si="4"/>
        <v>manga_animation_genga_you_event_story_00001_04_start</v>
      </c>
      <c r="P408" s="753"/>
      <c r="Q408" s="753"/>
      <c r="R408" s="753"/>
      <c r="S408" s="754"/>
      <c r="T408" s="754"/>
    </row>
    <row r="409">
      <c r="A409" s="762"/>
      <c r="B409" s="755" t="s">
        <v>2458</v>
      </c>
      <c r="C409" s="756" t="s">
        <v>162</v>
      </c>
      <c r="D409" s="750" t="str">
        <f t="array" ref="D409">iferror(INDEX('作品'!D:D,MATCH(C409,'作品'!A:A,0),0),"")</f>
        <v>幼稚園WARS</v>
      </c>
      <c r="E409" s="423" t="s">
        <v>2459</v>
      </c>
      <c r="F409" s="755" t="s">
        <v>2457</v>
      </c>
      <c r="G409" s="755" t="s">
        <v>1762</v>
      </c>
      <c r="H409" s="755" t="s">
        <v>3645</v>
      </c>
      <c r="I409" s="755" t="s">
        <v>2433</v>
      </c>
      <c r="J409" s="755" t="s">
        <v>3633</v>
      </c>
      <c r="K409" s="755"/>
      <c r="L409" s="761" t="s">
        <v>3628</v>
      </c>
      <c r="M409" s="761" t="s">
        <v>3634</v>
      </c>
      <c r="N409" s="599" t="str">
        <f t="shared" si="6"/>
        <v>genga_you_event_story_00001_04_victory</v>
      </c>
      <c r="O409" s="599" t="str">
        <f t="shared" si="4"/>
        <v>manga_animation_genga_you_event_story_00001_04_victory</v>
      </c>
      <c r="P409" s="753"/>
      <c r="Q409" s="753"/>
      <c r="R409" s="753"/>
      <c r="S409" s="754"/>
      <c r="T409" s="754"/>
    </row>
    <row r="410">
      <c r="A410" s="762"/>
      <c r="B410" s="755" t="s">
        <v>2458</v>
      </c>
      <c r="C410" s="756" t="s">
        <v>162</v>
      </c>
      <c r="D410" s="750" t="str">
        <f t="array" ref="D410">iferror(INDEX('作品'!D:D,MATCH(C410,'作品'!A:A,0),0),"")</f>
        <v>幼稚園WARS</v>
      </c>
      <c r="E410" s="423" t="s">
        <v>2459</v>
      </c>
      <c r="F410" s="755" t="s">
        <v>2457</v>
      </c>
      <c r="G410" s="755" t="s">
        <v>1762</v>
      </c>
      <c r="H410" s="755" t="s">
        <v>3650</v>
      </c>
      <c r="I410" s="755" t="s">
        <v>2433</v>
      </c>
      <c r="J410" s="755" t="s">
        <v>3625</v>
      </c>
      <c r="K410" s="755"/>
      <c r="L410" s="761" t="s">
        <v>3628</v>
      </c>
      <c r="M410" s="761" t="s">
        <v>3629</v>
      </c>
      <c r="N410" s="599" t="str">
        <f t="shared" si="6"/>
        <v>genga_you_event_story_00001_05_start</v>
      </c>
      <c r="O410" s="599" t="str">
        <f t="shared" si="4"/>
        <v>manga_animation_genga_you_event_story_00001_05_start</v>
      </c>
      <c r="P410" s="753"/>
      <c r="Q410" s="753"/>
      <c r="R410" s="753"/>
      <c r="S410" s="754"/>
      <c r="T410" s="754"/>
    </row>
    <row r="411">
      <c r="A411" s="762"/>
      <c r="B411" s="755" t="s">
        <v>2458</v>
      </c>
      <c r="C411" s="756" t="s">
        <v>162</v>
      </c>
      <c r="D411" s="750" t="str">
        <f t="array" ref="D411">iferror(INDEX('作品'!D:D,MATCH(C411,'作品'!A:A,0),0),"")</f>
        <v>幼稚園WARS</v>
      </c>
      <c r="E411" s="423" t="s">
        <v>2459</v>
      </c>
      <c r="F411" s="755" t="s">
        <v>2457</v>
      </c>
      <c r="G411" s="755" t="s">
        <v>1762</v>
      </c>
      <c r="H411" s="755" t="s">
        <v>3650</v>
      </c>
      <c r="I411" s="755" t="s">
        <v>2433</v>
      </c>
      <c r="J411" s="755" t="s">
        <v>3633</v>
      </c>
      <c r="K411" s="755"/>
      <c r="L411" s="761" t="s">
        <v>3628</v>
      </c>
      <c r="M411" s="761" t="s">
        <v>3634</v>
      </c>
      <c r="N411" s="599" t="str">
        <f t="shared" si="6"/>
        <v>genga_you_event_story_00001_05_victory</v>
      </c>
      <c r="O411" s="599" t="str">
        <f t="shared" si="4"/>
        <v>manga_animation_genga_you_event_story_00001_05_victory</v>
      </c>
      <c r="P411" s="753"/>
      <c r="Q411" s="753"/>
      <c r="R411" s="753"/>
      <c r="S411" s="754"/>
      <c r="T411" s="754"/>
    </row>
    <row r="412">
      <c r="A412" s="762"/>
      <c r="B412" s="755" t="s">
        <v>2458</v>
      </c>
      <c r="C412" s="756" t="s">
        <v>162</v>
      </c>
      <c r="D412" s="750" t="str">
        <f t="array" ref="D412">iferror(INDEX('作品'!D:D,MATCH(C412,'作品'!A:A,0),0),"")</f>
        <v>幼稚園WARS</v>
      </c>
      <c r="E412" s="423" t="s">
        <v>2459</v>
      </c>
      <c r="F412" s="755" t="s">
        <v>2457</v>
      </c>
      <c r="G412" s="755" t="s">
        <v>1762</v>
      </c>
      <c r="H412" s="755" t="s">
        <v>3655</v>
      </c>
      <c r="I412" s="755" t="s">
        <v>2433</v>
      </c>
      <c r="J412" s="755" t="s">
        <v>3625</v>
      </c>
      <c r="K412" s="755"/>
      <c r="L412" s="761" t="s">
        <v>3628</v>
      </c>
      <c r="M412" s="761" t="s">
        <v>3629</v>
      </c>
      <c r="N412" s="599" t="str">
        <f t="shared" si="6"/>
        <v>genga_you_event_story_00001_06_start</v>
      </c>
      <c r="O412" s="599" t="str">
        <f t="shared" si="4"/>
        <v>manga_animation_genga_you_event_story_00001_06_start</v>
      </c>
      <c r="P412" s="753"/>
      <c r="Q412" s="753"/>
      <c r="R412" s="753"/>
      <c r="S412" s="754"/>
      <c r="T412" s="754"/>
    </row>
    <row r="413">
      <c r="A413" s="762"/>
      <c r="B413" s="755" t="s">
        <v>2458</v>
      </c>
      <c r="C413" s="756" t="s">
        <v>162</v>
      </c>
      <c r="D413" s="750" t="str">
        <f t="array" ref="D413">iferror(INDEX('作品'!D:D,MATCH(C413,'作品'!A:A,0),0),"")</f>
        <v>幼稚園WARS</v>
      </c>
      <c r="E413" s="423" t="s">
        <v>2459</v>
      </c>
      <c r="F413" s="755" t="s">
        <v>2457</v>
      </c>
      <c r="G413" s="755" t="s">
        <v>1762</v>
      </c>
      <c r="H413" s="755" t="s">
        <v>3655</v>
      </c>
      <c r="I413" s="755" t="s">
        <v>2433</v>
      </c>
      <c r="J413" s="755" t="s">
        <v>3633</v>
      </c>
      <c r="K413" s="755"/>
      <c r="L413" s="761" t="s">
        <v>3628</v>
      </c>
      <c r="M413" s="761" t="s">
        <v>3634</v>
      </c>
      <c r="N413" s="599" t="str">
        <f t="shared" si="6"/>
        <v>genga_you_event_story_00001_06_victory</v>
      </c>
      <c r="O413" s="599" t="str">
        <f t="shared" si="4"/>
        <v>manga_animation_genga_you_event_story_00001_06_victory</v>
      </c>
      <c r="P413" s="753"/>
      <c r="Q413" s="753"/>
      <c r="R413" s="753"/>
      <c r="S413" s="754"/>
      <c r="T413" s="754"/>
    </row>
    <row r="414">
      <c r="A414" s="762"/>
      <c r="B414" s="755" t="s">
        <v>2458</v>
      </c>
      <c r="C414" s="756" t="s">
        <v>162</v>
      </c>
      <c r="D414" s="750" t="str">
        <f t="array" ref="D414">iferror(INDEX('作品'!D:D,MATCH(C414,'作品'!A:A,0),0),"")</f>
        <v>幼稚園WARS</v>
      </c>
      <c r="E414" s="423" t="s">
        <v>2459</v>
      </c>
      <c r="F414" s="755" t="s">
        <v>2457</v>
      </c>
      <c r="G414" s="755" t="s">
        <v>3627</v>
      </c>
      <c r="H414" s="755" t="s">
        <v>1762</v>
      </c>
      <c r="I414" s="755" t="s">
        <v>2433</v>
      </c>
      <c r="J414" s="755" t="s">
        <v>3625</v>
      </c>
      <c r="K414" s="755"/>
      <c r="L414" s="761" t="s">
        <v>3628</v>
      </c>
      <c r="M414" s="761" t="s">
        <v>3629</v>
      </c>
      <c r="N414" s="599" t="str">
        <f t="shared" si="6"/>
        <v>genga_you_event_story_00002_01_start</v>
      </c>
      <c r="O414" s="599" t="str">
        <f t="shared" si="4"/>
        <v>manga_animation_genga_you_event_story_00002_01_start</v>
      </c>
      <c r="P414" s="753"/>
      <c r="Q414" s="753"/>
      <c r="R414" s="753"/>
      <c r="S414" s="754"/>
      <c r="T414" s="754"/>
    </row>
    <row r="415">
      <c r="A415" s="762"/>
      <c r="B415" s="755" t="s">
        <v>2458</v>
      </c>
      <c r="C415" s="756" t="s">
        <v>162</v>
      </c>
      <c r="D415" s="750" t="str">
        <f t="array" ref="D415">iferror(INDEX('作品'!D:D,MATCH(C415,'作品'!A:A,0),0),"")</f>
        <v>幼稚園WARS</v>
      </c>
      <c r="E415" s="423" t="s">
        <v>2459</v>
      </c>
      <c r="F415" s="755" t="s">
        <v>2457</v>
      </c>
      <c r="G415" s="755" t="s">
        <v>3627</v>
      </c>
      <c r="H415" s="755" t="s">
        <v>3627</v>
      </c>
      <c r="I415" s="755" t="s">
        <v>2433</v>
      </c>
      <c r="J415" s="755" t="s">
        <v>3625</v>
      </c>
      <c r="K415" s="755"/>
      <c r="L415" s="761" t="s">
        <v>3628</v>
      </c>
      <c r="M415" s="761" t="s">
        <v>3629</v>
      </c>
      <c r="N415" s="599" t="str">
        <f t="shared" si="6"/>
        <v>genga_you_event_story_00002_02_start</v>
      </c>
      <c r="O415" s="599" t="str">
        <f t="shared" si="4"/>
        <v>manga_animation_genga_you_event_story_00002_02_start</v>
      </c>
      <c r="P415" s="753"/>
      <c r="Q415" s="753"/>
      <c r="R415" s="753"/>
      <c r="S415" s="754"/>
      <c r="T415" s="754"/>
    </row>
    <row r="416">
      <c r="A416" s="762"/>
      <c r="B416" s="755" t="s">
        <v>2458</v>
      </c>
      <c r="C416" s="756" t="s">
        <v>162</v>
      </c>
      <c r="D416" s="750" t="str">
        <f t="array" ref="D416">iferror(INDEX('作品'!D:D,MATCH(C416,'作品'!A:A,0),0),"")</f>
        <v>幼稚園WARS</v>
      </c>
      <c r="E416" s="423" t="s">
        <v>2459</v>
      </c>
      <c r="F416" s="755" t="s">
        <v>2457</v>
      </c>
      <c r="G416" s="755" t="s">
        <v>3627</v>
      </c>
      <c r="H416" s="755" t="s">
        <v>3627</v>
      </c>
      <c r="I416" s="755" t="s">
        <v>2433</v>
      </c>
      <c r="J416" s="755" t="s">
        <v>3633</v>
      </c>
      <c r="K416" s="755"/>
      <c r="L416" s="761" t="s">
        <v>3628</v>
      </c>
      <c r="M416" s="761" t="s">
        <v>3634</v>
      </c>
      <c r="N416" s="599" t="str">
        <f t="shared" si="6"/>
        <v>genga_you_event_story_00002_02_victory</v>
      </c>
      <c r="O416" s="599" t="str">
        <f t="shared" si="4"/>
        <v>manga_animation_genga_you_event_story_00002_02_victory</v>
      </c>
      <c r="P416" s="753"/>
      <c r="Q416" s="753"/>
      <c r="R416" s="753"/>
      <c r="S416" s="754"/>
      <c r="T416" s="754"/>
    </row>
    <row r="417">
      <c r="A417" s="762"/>
      <c r="B417" s="755" t="s">
        <v>2458</v>
      </c>
      <c r="C417" s="756" t="s">
        <v>162</v>
      </c>
      <c r="D417" s="750" t="str">
        <f t="array" ref="D417">iferror(INDEX('作品'!D:D,MATCH(C417,'作品'!A:A,0),0),"")</f>
        <v>幼稚園WARS</v>
      </c>
      <c r="E417" s="423" t="s">
        <v>2459</v>
      </c>
      <c r="F417" s="755" t="s">
        <v>2457</v>
      </c>
      <c r="G417" s="755" t="s">
        <v>3627</v>
      </c>
      <c r="H417" s="755" t="s">
        <v>1588</v>
      </c>
      <c r="I417" s="755" t="s">
        <v>2433</v>
      </c>
      <c r="J417" s="755" t="s">
        <v>3625</v>
      </c>
      <c r="K417" s="755"/>
      <c r="L417" s="761" t="s">
        <v>3628</v>
      </c>
      <c r="M417" s="761" t="s">
        <v>3629</v>
      </c>
      <c r="N417" s="599" t="str">
        <f t="shared" si="6"/>
        <v>genga_you_event_story_00002_03_start</v>
      </c>
      <c r="O417" s="599" t="str">
        <f t="shared" si="4"/>
        <v>manga_animation_genga_you_event_story_00002_03_start</v>
      </c>
      <c r="P417" s="753"/>
      <c r="Q417" s="753"/>
      <c r="R417" s="753"/>
      <c r="S417" s="754"/>
      <c r="T417" s="754"/>
    </row>
    <row r="418">
      <c r="A418" s="762"/>
      <c r="B418" s="755" t="s">
        <v>2458</v>
      </c>
      <c r="C418" s="756" t="s">
        <v>162</v>
      </c>
      <c r="D418" s="750" t="str">
        <f t="array" ref="D418">iferror(INDEX('作品'!D:D,MATCH(C418,'作品'!A:A,0),0),"")</f>
        <v>幼稚園WARS</v>
      </c>
      <c r="E418" s="423" t="s">
        <v>2459</v>
      </c>
      <c r="F418" s="755" t="s">
        <v>2457</v>
      </c>
      <c r="G418" s="755" t="s">
        <v>3627</v>
      </c>
      <c r="H418" s="755" t="s">
        <v>1588</v>
      </c>
      <c r="I418" s="755" t="s">
        <v>2433</v>
      </c>
      <c r="J418" s="755" t="s">
        <v>3633</v>
      </c>
      <c r="K418" s="755"/>
      <c r="L418" s="761" t="s">
        <v>3628</v>
      </c>
      <c r="M418" s="761" t="s">
        <v>3634</v>
      </c>
      <c r="N418" s="599" t="str">
        <f t="shared" si="6"/>
        <v>genga_you_event_story_00002_03_victory</v>
      </c>
      <c r="O418" s="599" t="str">
        <f t="shared" si="4"/>
        <v>manga_animation_genga_you_event_story_00002_03_victory</v>
      </c>
      <c r="P418" s="753"/>
      <c r="Q418" s="753"/>
      <c r="R418" s="753"/>
      <c r="S418" s="754"/>
      <c r="T418" s="754"/>
    </row>
    <row r="419">
      <c r="A419" s="762"/>
      <c r="B419" s="755" t="s">
        <v>2458</v>
      </c>
      <c r="C419" s="756" t="s">
        <v>162</v>
      </c>
      <c r="D419" s="750" t="str">
        <f t="array" ref="D419">iferror(INDEX('作品'!D:D,MATCH(C419,'作品'!A:A,0),0),"")</f>
        <v>幼稚園WARS</v>
      </c>
      <c r="E419" s="423" t="s">
        <v>2459</v>
      </c>
      <c r="F419" s="755" t="s">
        <v>2457</v>
      </c>
      <c r="G419" s="755" t="s">
        <v>3627</v>
      </c>
      <c r="H419" s="755" t="s">
        <v>3645</v>
      </c>
      <c r="I419" s="755" t="s">
        <v>2433</v>
      </c>
      <c r="J419" s="755" t="s">
        <v>3625</v>
      </c>
      <c r="K419" s="755"/>
      <c r="L419" s="761" t="s">
        <v>3628</v>
      </c>
      <c r="M419" s="761" t="s">
        <v>3629</v>
      </c>
      <c r="N419" s="599" t="str">
        <f t="shared" si="6"/>
        <v>genga_you_event_story_00002_04_start</v>
      </c>
      <c r="O419" s="599" t="str">
        <f t="shared" si="4"/>
        <v>manga_animation_genga_you_event_story_00002_04_start</v>
      </c>
      <c r="P419" s="753"/>
      <c r="Q419" s="753"/>
      <c r="R419" s="753"/>
      <c r="S419" s="754"/>
      <c r="T419" s="754"/>
    </row>
    <row r="420">
      <c r="A420" s="762"/>
      <c r="B420" s="755" t="s">
        <v>2458</v>
      </c>
      <c r="C420" s="756" t="s">
        <v>162</v>
      </c>
      <c r="D420" s="750" t="str">
        <f t="array" ref="D420">iferror(INDEX('作品'!D:D,MATCH(C420,'作品'!A:A,0),0),"")</f>
        <v>幼稚園WARS</v>
      </c>
      <c r="E420" s="423" t="s">
        <v>2459</v>
      </c>
      <c r="F420" s="755" t="s">
        <v>2457</v>
      </c>
      <c r="G420" s="755" t="s">
        <v>3627</v>
      </c>
      <c r="H420" s="755" t="s">
        <v>3645</v>
      </c>
      <c r="I420" s="755" t="s">
        <v>2433</v>
      </c>
      <c r="J420" s="755" t="s">
        <v>3633</v>
      </c>
      <c r="K420" s="755"/>
      <c r="L420" s="761" t="s">
        <v>3628</v>
      </c>
      <c r="M420" s="761" t="s">
        <v>3634</v>
      </c>
      <c r="N420" s="599" t="str">
        <f t="shared" si="6"/>
        <v>genga_you_event_story_00002_04_victory</v>
      </c>
      <c r="O420" s="599" t="str">
        <f t="shared" si="4"/>
        <v>manga_animation_genga_you_event_story_00002_04_victory</v>
      </c>
      <c r="P420" s="753"/>
      <c r="Q420" s="753"/>
      <c r="R420" s="753"/>
      <c r="S420" s="754"/>
      <c r="T420" s="754"/>
    </row>
    <row r="421">
      <c r="A421" s="762"/>
      <c r="B421" s="755" t="s">
        <v>2458</v>
      </c>
      <c r="C421" s="756" t="s">
        <v>162</v>
      </c>
      <c r="D421" s="750" t="str">
        <f t="array" ref="D421">iferror(INDEX('作品'!D:D,MATCH(C421,'作品'!A:A,0),0),"")</f>
        <v>幼稚園WARS</v>
      </c>
      <c r="E421" s="423" t="s">
        <v>2459</v>
      </c>
      <c r="F421" s="755" t="s">
        <v>2457</v>
      </c>
      <c r="G421" s="755" t="s">
        <v>3627</v>
      </c>
      <c r="H421" s="755" t="s">
        <v>3650</v>
      </c>
      <c r="I421" s="755" t="s">
        <v>2433</v>
      </c>
      <c r="J421" s="755" t="s">
        <v>3625</v>
      </c>
      <c r="K421" s="755"/>
      <c r="L421" s="761" t="s">
        <v>3628</v>
      </c>
      <c r="M421" s="761" t="s">
        <v>3629</v>
      </c>
      <c r="N421" s="599" t="str">
        <f t="shared" si="6"/>
        <v>genga_you_event_story_00002_05_start</v>
      </c>
      <c r="O421" s="599" t="str">
        <f t="shared" si="4"/>
        <v>manga_animation_genga_you_event_story_00002_05_start</v>
      </c>
      <c r="P421" s="753"/>
      <c r="Q421" s="753"/>
      <c r="R421" s="753"/>
      <c r="S421" s="754"/>
      <c r="T421" s="754"/>
    </row>
    <row r="422">
      <c r="A422" s="762"/>
      <c r="B422" s="755" t="s">
        <v>2458</v>
      </c>
      <c r="C422" s="756" t="s">
        <v>162</v>
      </c>
      <c r="D422" s="750" t="str">
        <f t="array" ref="D422">iferror(INDEX('作品'!D:D,MATCH(C422,'作品'!A:A,0),0),"")</f>
        <v>幼稚園WARS</v>
      </c>
      <c r="E422" s="423" t="s">
        <v>2459</v>
      </c>
      <c r="F422" s="755" t="s">
        <v>2457</v>
      </c>
      <c r="G422" s="755" t="s">
        <v>3627</v>
      </c>
      <c r="H422" s="755" t="s">
        <v>3650</v>
      </c>
      <c r="I422" s="755" t="s">
        <v>2433</v>
      </c>
      <c r="J422" s="755" t="s">
        <v>3633</v>
      </c>
      <c r="K422" s="755"/>
      <c r="L422" s="761" t="s">
        <v>3628</v>
      </c>
      <c r="M422" s="761" t="s">
        <v>3634</v>
      </c>
      <c r="N422" s="599" t="str">
        <f t="shared" si="6"/>
        <v>genga_you_event_story_00002_05_victory</v>
      </c>
      <c r="O422" s="599" t="str">
        <f t="shared" si="4"/>
        <v>manga_animation_genga_you_event_story_00002_05_victory</v>
      </c>
      <c r="P422" s="753"/>
      <c r="Q422" s="753"/>
      <c r="R422" s="753"/>
      <c r="S422" s="754"/>
      <c r="T422" s="754"/>
    </row>
    <row r="423">
      <c r="A423" s="762"/>
      <c r="B423" s="755" t="s">
        <v>2458</v>
      </c>
      <c r="C423" s="756" t="s">
        <v>162</v>
      </c>
      <c r="D423" s="750" t="str">
        <f t="array" ref="D423">iferror(INDEX('作品'!D:D,MATCH(C423,'作品'!A:A,0),0),"")</f>
        <v>幼稚園WARS</v>
      </c>
      <c r="E423" s="423" t="s">
        <v>2459</v>
      </c>
      <c r="F423" s="755" t="s">
        <v>2457</v>
      </c>
      <c r="G423" s="755" t="s">
        <v>3627</v>
      </c>
      <c r="H423" s="755" t="s">
        <v>3655</v>
      </c>
      <c r="I423" s="755" t="s">
        <v>2433</v>
      </c>
      <c r="J423" s="755" t="s">
        <v>3625</v>
      </c>
      <c r="K423" s="755"/>
      <c r="L423" s="761" t="s">
        <v>3628</v>
      </c>
      <c r="M423" s="761" t="s">
        <v>3629</v>
      </c>
      <c r="N423" s="599" t="str">
        <f t="shared" si="6"/>
        <v>genga_you_event_story_00002_06_start</v>
      </c>
      <c r="O423" s="599" t="str">
        <f t="shared" si="4"/>
        <v>manga_animation_genga_you_event_story_00002_06_start</v>
      </c>
      <c r="P423" s="753"/>
      <c r="Q423" s="753"/>
      <c r="R423" s="753"/>
      <c r="S423" s="754"/>
      <c r="T423" s="754"/>
    </row>
    <row r="424">
      <c r="A424" s="762"/>
      <c r="B424" s="755" t="s">
        <v>2458</v>
      </c>
      <c r="C424" s="756" t="s">
        <v>162</v>
      </c>
      <c r="D424" s="750" t="str">
        <f t="array" ref="D424">iferror(INDEX('作品'!D:D,MATCH(C424,'作品'!A:A,0),0),"")</f>
        <v>幼稚園WARS</v>
      </c>
      <c r="E424" s="423" t="s">
        <v>2459</v>
      </c>
      <c r="F424" s="755" t="s">
        <v>2457</v>
      </c>
      <c r="G424" s="755" t="s">
        <v>3627</v>
      </c>
      <c r="H424" s="755" t="s">
        <v>3655</v>
      </c>
      <c r="I424" s="755" t="s">
        <v>2433</v>
      </c>
      <c r="J424" s="755" t="s">
        <v>3633</v>
      </c>
      <c r="K424" s="755"/>
      <c r="L424" s="761" t="s">
        <v>3628</v>
      </c>
      <c r="M424" s="761" t="s">
        <v>3634</v>
      </c>
      <c r="N424" s="599" t="str">
        <f t="shared" si="6"/>
        <v>genga_you_event_story_00002_06_victory</v>
      </c>
      <c r="O424" s="599" t="str">
        <f t="shared" si="4"/>
        <v>manga_animation_genga_you_event_story_00002_06_victory</v>
      </c>
      <c r="P424" s="753"/>
      <c r="Q424" s="753"/>
      <c r="R424" s="753"/>
      <c r="S424" s="754"/>
      <c r="T424" s="754"/>
    </row>
    <row r="425">
      <c r="A425" s="762"/>
      <c r="B425" s="755"/>
      <c r="C425" s="756"/>
      <c r="D425" s="750"/>
      <c r="E425" s="423" t="s">
        <v>71</v>
      </c>
      <c r="F425" s="755"/>
      <c r="G425" s="755"/>
      <c r="H425" s="755"/>
      <c r="I425" s="755"/>
      <c r="J425" s="755"/>
      <c r="K425" s="755"/>
      <c r="L425" s="761" t="s">
        <v>71</v>
      </c>
      <c r="M425" s="761" t="s">
        <v>71</v>
      </c>
      <c r="N425" s="599"/>
      <c r="O425" s="599"/>
      <c r="P425" s="753"/>
      <c r="Q425" s="753"/>
      <c r="R425" s="753"/>
      <c r="S425" s="754"/>
      <c r="T425" s="754"/>
    </row>
    <row r="426">
      <c r="A426" s="762"/>
      <c r="B426" s="755"/>
      <c r="C426" s="756"/>
      <c r="D426" s="750"/>
      <c r="E426" s="423" t="s">
        <v>71</v>
      </c>
      <c r="F426" s="755"/>
      <c r="G426" s="755"/>
      <c r="H426" s="755"/>
      <c r="I426" s="755"/>
      <c r="J426" s="755"/>
      <c r="K426" s="755"/>
      <c r="L426" s="761" t="s">
        <v>71</v>
      </c>
      <c r="M426" s="761" t="s">
        <v>71</v>
      </c>
      <c r="N426" s="599"/>
      <c r="O426" s="599"/>
      <c r="P426" s="753"/>
      <c r="Q426" s="753"/>
      <c r="R426" s="753"/>
      <c r="S426" s="754"/>
      <c r="T426" s="754"/>
    </row>
    <row r="427">
      <c r="A427" s="762"/>
      <c r="B427" s="755"/>
      <c r="C427" s="756"/>
      <c r="D427" s="750"/>
      <c r="E427" s="423" t="s">
        <v>71</v>
      </c>
      <c r="F427" s="755"/>
      <c r="G427" s="755"/>
      <c r="H427" s="755"/>
      <c r="I427" s="755"/>
      <c r="J427" s="755"/>
      <c r="K427" s="755"/>
      <c r="L427" s="761" t="s">
        <v>71</v>
      </c>
      <c r="M427" s="761" t="s">
        <v>71</v>
      </c>
      <c r="N427" s="599"/>
      <c r="O427" s="599"/>
      <c r="P427" s="753"/>
      <c r="Q427" s="753"/>
      <c r="R427" s="753"/>
      <c r="S427" s="754"/>
      <c r="T427" s="754"/>
    </row>
    <row r="428">
      <c r="A428" s="762"/>
      <c r="B428" s="755"/>
      <c r="C428" s="756"/>
      <c r="D428" s="750"/>
      <c r="E428" s="423" t="s">
        <v>71</v>
      </c>
      <c r="F428" s="755"/>
      <c r="G428" s="755"/>
      <c r="H428" s="755"/>
      <c r="I428" s="755"/>
      <c r="J428" s="755"/>
      <c r="K428" s="755"/>
      <c r="L428" s="761" t="s">
        <v>71</v>
      </c>
      <c r="M428" s="761" t="s">
        <v>71</v>
      </c>
      <c r="N428" s="599"/>
      <c r="O428" s="599"/>
      <c r="P428" s="753"/>
      <c r="Q428" s="753"/>
      <c r="R428" s="753"/>
      <c r="S428" s="754"/>
      <c r="T428" s="754"/>
    </row>
    <row r="429">
      <c r="A429" s="762"/>
      <c r="B429" s="755"/>
      <c r="C429" s="756"/>
      <c r="D429" s="750"/>
      <c r="E429" s="423" t="s">
        <v>71</v>
      </c>
      <c r="F429" s="755"/>
      <c r="G429" s="755"/>
      <c r="H429" s="755"/>
      <c r="I429" s="755"/>
      <c r="J429" s="755"/>
      <c r="K429" s="755"/>
      <c r="L429" s="761" t="s">
        <v>71</v>
      </c>
      <c r="M429" s="761" t="s">
        <v>71</v>
      </c>
      <c r="N429" s="599"/>
      <c r="O429" s="599"/>
      <c r="P429" s="753"/>
      <c r="Q429" s="753"/>
      <c r="R429" s="753"/>
      <c r="S429" s="754"/>
      <c r="T429" s="754"/>
    </row>
    <row r="430">
      <c r="A430" s="762"/>
      <c r="B430" s="755"/>
      <c r="C430" s="756"/>
      <c r="D430" s="750"/>
      <c r="E430" s="423" t="s">
        <v>71</v>
      </c>
      <c r="F430" s="755"/>
      <c r="G430" s="755"/>
      <c r="H430" s="755"/>
      <c r="I430" s="755"/>
      <c r="J430" s="755"/>
      <c r="K430" s="755"/>
      <c r="L430" s="761" t="s">
        <v>71</v>
      </c>
      <c r="M430" s="761" t="s">
        <v>71</v>
      </c>
      <c r="N430" s="599"/>
      <c r="O430" s="599"/>
      <c r="P430" s="753"/>
      <c r="Q430" s="753"/>
      <c r="R430" s="753"/>
      <c r="S430" s="754"/>
      <c r="T430" s="754"/>
    </row>
    <row r="431">
      <c r="A431" s="762"/>
      <c r="B431" s="755"/>
      <c r="C431" s="756"/>
      <c r="D431" s="750"/>
      <c r="E431" s="423" t="s">
        <v>71</v>
      </c>
      <c r="F431" s="755"/>
      <c r="G431" s="755"/>
      <c r="H431" s="755"/>
      <c r="I431" s="755"/>
      <c r="J431" s="755"/>
      <c r="K431" s="755"/>
      <c r="L431" s="761" t="s">
        <v>71</v>
      </c>
      <c r="M431" s="761" t="s">
        <v>71</v>
      </c>
      <c r="N431" s="599"/>
      <c r="O431" s="599"/>
      <c r="P431" s="753"/>
      <c r="Q431" s="753"/>
      <c r="R431" s="753"/>
      <c r="S431" s="754"/>
      <c r="T431" s="754"/>
    </row>
    <row r="432">
      <c r="A432" s="762"/>
      <c r="B432" s="755"/>
      <c r="C432" s="756"/>
      <c r="D432" s="750"/>
      <c r="E432" s="423" t="s">
        <v>71</v>
      </c>
      <c r="F432" s="755"/>
      <c r="G432" s="755"/>
      <c r="H432" s="755"/>
      <c r="I432" s="755"/>
      <c r="J432" s="755"/>
      <c r="K432" s="755"/>
      <c r="L432" s="761" t="s">
        <v>71</v>
      </c>
      <c r="M432" s="761" t="s">
        <v>71</v>
      </c>
      <c r="N432" s="599"/>
      <c r="O432" s="599"/>
      <c r="P432" s="753"/>
      <c r="Q432" s="753"/>
      <c r="R432" s="753"/>
      <c r="S432" s="754"/>
      <c r="T432" s="754"/>
    </row>
    <row r="433">
      <c r="A433" s="762"/>
      <c r="B433" s="755"/>
      <c r="C433" s="756"/>
      <c r="D433" s="750"/>
      <c r="E433" s="423" t="s">
        <v>71</v>
      </c>
      <c r="F433" s="755"/>
      <c r="G433" s="755"/>
      <c r="H433" s="755"/>
      <c r="I433" s="755"/>
      <c r="J433" s="755"/>
      <c r="K433" s="755"/>
      <c r="L433" s="761" t="s">
        <v>71</v>
      </c>
      <c r="M433" s="761" t="s">
        <v>71</v>
      </c>
      <c r="N433" s="599"/>
      <c r="O433" s="599"/>
      <c r="P433" s="753"/>
      <c r="Q433" s="753"/>
      <c r="R433" s="753"/>
      <c r="S433" s="754"/>
      <c r="T433" s="754"/>
    </row>
    <row r="434">
      <c r="A434" s="762"/>
      <c r="B434" s="755"/>
      <c r="C434" s="756"/>
      <c r="D434" s="750"/>
      <c r="E434" s="423" t="s">
        <v>71</v>
      </c>
      <c r="F434" s="755"/>
      <c r="G434" s="755"/>
      <c r="H434" s="755"/>
      <c r="I434" s="755"/>
      <c r="J434" s="755"/>
      <c r="K434" s="755"/>
      <c r="L434" s="761" t="s">
        <v>71</v>
      </c>
      <c r="M434" s="761" t="s">
        <v>71</v>
      </c>
      <c r="N434" s="599"/>
      <c r="O434" s="599"/>
      <c r="P434" s="753"/>
      <c r="Q434" s="753"/>
      <c r="R434" s="753"/>
      <c r="S434" s="754"/>
      <c r="T434" s="754"/>
    </row>
    <row r="435">
      <c r="A435" s="762"/>
      <c r="B435" s="755"/>
      <c r="C435" s="756"/>
      <c r="D435" s="750"/>
      <c r="E435" s="423" t="s">
        <v>71</v>
      </c>
      <c r="F435" s="755"/>
      <c r="G435" s="755"/>
      <c r="H435" s="755"/>
      <c r="I435" s="755"/>
      <c r="J435" s="755"/>
      <c r="K435" s="755"/>
      <c r="L435" s="761" t="s">
        <v>71</v>
      </c>
      <c r="M435" s="761" t="s">
        <v>71</v>
      </c>
      <c r="N435" s="599"/>
      <c r="O435" s="599"/>
      <c r="P435" s="753"/>
      <c r="Q435" s="753"/>
      <c r="R435" s="753"/>
      <c r="S435" s="754"/>
      <c r="T435" s="754"/>
    </row>
    <row r="436">
      <c r="A436" s="762"/>
      <c r="B436" s="755"/>
      <c r="C436" s="756"/>
      <c r="D436" s="750"/>
      <c r="E436" s="423" t="s">
        <v>71</v>
      </c>
      <c r="F436" s="755"/>
      <c r="G436" s="755"/>
      <c r="H436" s="755"/>
      <c r="I436" s="755"/>
      <c r="J436" s="755"/>
      <c r="K436" s="755"/>
      <c r="L436" s="761" t="s">
        <v>71</v>
      </c>
      <c r="M436" s="761" t="s">
        <v>71</v>
      </c>
      <c r="N436" s="599"/>
      <c r="O436" s="599"/>
      <c r="P436" s="753"/>
      <c r="Q436" s="753"/>
      <c r="R436" s="753"/>
      <c r="S436" s="754"/>
      <c r="T436" s="754"/>
    </row>
    <row r="437">
      <c r="A437" s="762"/>
      <c r="B437" s="755"/>
      <c r="C437" s="756"/>
      <c r="D437" s="750"/>
      <c r="E437" s="423" t="s">
        <v>71</v>
      </c>
      <c r="F437" s="755"/>
      <c r="G437" s="755"/>
      <c r="H437" s="755"/>
      <c r="I437" s="755"/>
      <c r="J437" s="755"/>
      <c r="K437" s="755"/>
      <c r="L437" s="761" t="s">
        <v>71</v>
      </c>
      <c r="M437" s="761" t="s">
        <v>71</v>
      </c>
      <c r="N437" s="599"/>
      <c r="O437" s="599"/>
      <c r="P437" s="753"/>
      <c r="Q437" s="753"/>
      <c r="R437" s="753"/>
      <c r="S437" s="754"/>
      <c r="T437" s="754"/>
    </row>
    <row r="438">
      <c r="A438" s="762"/>
      <c r="B438" s="755"/>
      <c r="C438" s="756"/>
      <c r="D438" s="750"/>
      <c r="E438" s="423" t="s">
        <v>71</v>
      </c>
      <c r="F438" s="755"/>
      <c r="G438" s="755"/>
      <c r="H438" s="755"/>
      <c r="I438" s="755"/>
      <c r="J438" s="755"/>
      <c r="K438" s="755"/>
      <c r="L438" s="761" t="s">
        <v>71</v>
      </c>
      <c r="M438" s="761" t="s">
        <v>71</v>
      </c>
      <c r="N438" s="599"/>
      <c r="O438" s="599"/>
      <c r="P438" s="753"/>
      <c r="Q438" s="753"/>
      <c r="R438" s="753"/>
      <c r="S438" s="754"/>
      <c r="T438" s="754"/>
    </row>
    <row r="439">
      <c r="A439" s="762"/>
      <c r="B439" s="755"/>
      <c r="C439" s="756"/>
      <c r="D439" s="750"/>
      <c r="E439" s="423" t="s">
        <v>71</v>
      </c>
      <c r="F439" s="755"/>
      <c r="G439" s="755"/>
      <c r="H439" s="755"/>
      <c r="I439" s="755"/>
      <c r="J439" s="755"/>
      <c r="K439" s="755"/>
      <c r="L439" s="761" t="s">
        <v>71</v>
      </c>
      <c r="M439" s="761" t="s">
        <v>71</v>
      </c>
      <c r="N439" s="599"/>
      <c r="O439" s="599"/>
      <c r="P439" s="753"/>
      <c r="Q439" s="753"/>
      <c r="R439" s="753"/>
      <c r="S439" s="754"/>
      <c r="T439" s="754"/>
    </row>
    <row r="440">
      <c r="A440" s="762"/>
      <c r="B440" s="755"/>
      <c r="C440" s="756"/>
      <c r="D440" s="750"/>
      <c r="E440" s="423" t="s">
        <v>71</v>
      </c>
      <c r="F440" s="755"/>
      <c r="G440" s="755"/>
      <c r="H440" s="755"/>
      <c r="I440" s="755"/>
      <c r="J440" s="755"/>
      <c r="K440" s="755"/>
      <c r="L440" s="761" t="s">
        <v>71</v>
      </c>
      <c r="M440" s="761" t="s">
        <v>71</v>
      </c>
      <c r="N440" s="599"/>
      <c r="O440" s="599"/>
      <c r="P440" s="753"/>
      <c r="Q440" s="753"/>
      <c r="R440" s="753"/>
      <c r="S440" s="754"/>
      <c r="T440" s="754"/>
    </row>
    <row r="441">
      <c r="A441" s="762"/>
      <c r="B441" s="755"/>
      <c r="C441" s="756"/>
      <c r="D441" s="750"/>
      <c r="E441" s="423" t="s">
        <v>71</v>
      </c>
      <c r="F441" s="755"/>
      <c r="G441" s="755"/>
      <c r="H441" s="755"/>
      <c r="I441" s="755"/>
      <c r="J441" s="755"/>
      <c r="K441" s="755"/>
      <c r="L441" s="761" t="s">
        <v>71</v>
      </c>
      <c r="M441" s="761" t="s">
        <v>71</v>
      </c>
      <c r="N441" s="599"/>
      <c r="O441" s="599"/>
      <c r="P441" s="753"/>
      <c r="Q441" s="753"/>
      <c r="R441" s="753"/>
      <c r="S441" s="754"/>
      <c r="T441" s="754"/>
    </row>
    <row r="442">
      <c r="A442" s="762"/>
      <c r="B442" s="755"/>
      <c r="C442" s="756"/>
      <c r="D442" s="750"/>
      <c r="E442" s="423" t="s">
        <v>71</v>
      </c>
      <c r="F442" s="755"/>
      <c r="G442" s="755"/>
      <c r="H442" s="755"/>
      <c r="I442" s="755"/>
      <c r="J442" s="755"/>
      <c r="K442" s="755"/>
      <c r="L442" s="761" t="s">
        <v>71</v>
      </c>
      <c r="M442" s="761" t="s">
        <v>71</v>
      </c>
      <c r="N442" s="599"/>
      <c r="O442" s="599"/>
      <c r="P442" s="753"/>
      <c r="Q442" s="753"/>
      <c r="R442" s="753"/>
      <c r="S442" s="754"/>
      <c r="T442" s="754"/>
    </row>
    <row r="443">
      <c r="A443" s="762"/>
      <c r="B443" s="755"/>
      <c r="C443" s="756"/>
      <c r="D443" s="750"/>
      <c r="E443" s="423" t="s">
        <v>71</v>
      </c>
      <c r="F443" s="755"/>
      <c r="G443" s="755"/>
      <c r="H443" s="755"/>
      <c r="I443" s="755"/>
      <c r="J443" s="755"/>
      <c r="K443" s="755"/>
      <c r="L443" s="761" t="s">
        <v>71</v>
      </c>
      <c r="M443" s="761" t="s">
        <v>71</v>
      </c>
      <c r="N443" s="599"/>
      <c r="O443" s="599"/>
      <c r="P443" s="753"/>
      <c r="Q443" s="753"/>
      <c r="R443" s="753"/>
      <c r="S443" s="754"/>
      <c r="T443" s="754"/>
    </row>
    <row r="444">
      <c r="A444" s="762"/>
      <c r="B444" s="755"/>
      <c r="C444" s="756"/>
      <c r="D444" s="750"/>
      <c r="E444" s="423" t="s">
        <v>71</v>
      </c>
      <c r="F444" s="755"/>
      <c r="G444" s="755"/>
      <c r="H444" s="755"/>
      <c r="I444" s="755"/>
      <c r="J444" s="755"/>
      <c r="K444" s="755"/>
      <c r="L444" s="761" t="s">
        <v>71</v>
      </c>
      <c r="M444" s="761" t="s">
        <v>71</v>
      </c>
      <c r="N444" s="599"/>
      <c r="O444" s="599"/>
      <c r="P444" s="753"/>
      <c r="Q444" s="753"/>
      <c r="R444" s="753"/>
      <c r="S444" s="754"/>
      <c r="T444" s="754"/>
    </row>
    <row r="445">
      <c r="A445" s="762"/>
      <c r="B445" s="755"/>
      <c r="C445" s="756"/>
      <c r="D445" s="750"/>
      <c r="E445" s="423" t="s">
        <v>71</v>
      </c>
      <c r="F445" s="755"/>
      <c r="G445" s="755"/>
      <c r="H445" s="755"/>
      <c r="I445" s="755"/>
      <c r="J445" s="755"/>
      <c r="K445" s="755"/>
      <c r="L445" s="761" t="s">
        <v>71</v>
      </c>
      <c r="M445" s="761" t="s">
        <v>71</v>
      </c>
      <c r="N445" s="599"/>
      <c r="O445" s="599"/>
      <c r="P445" s="753"/>
      <c r="Q445" s="753"/>
      <c r="R445" s="753"/>
      <c r="S445" s="754"/>
      <c r="T445" s="754"/>
    </row>
    <row r="446">
      <c r="A446" s="762"/>
      <c r="B446" s="755"/>
      <c r="C446" s="756"/>
      <c r="D446" s="750"/>
      <c r="E446" s="423" t="s">
        <v>71</v>
      </c>
      <c r="F446" s="755"/>
      <c r="G446" s="755"/>
      <c r="H446" s="755"/>
      <c r="I446" s="755"/>
      <c r="J446" s="755"/>
      <c r="K446" s="755"/>
      <c r="L446" s="761" t="s">
        <v>71</v>
      </c>
      <c r="M446" s="761" t="s">
        <v>71</v>
      </c>
      <c r="N446" s="599"/>
      <c r="O446" s="599"/>
      <c r="P446" s="753"/>
      <c r="Q446" s="753"/>
      <c r="R446" s="753"/>
      <c r="S446" s="754"/>
      <c r="T446" s="754"/>
    </row>
    <row r="447">
      <c r="A447" s="762"/>
      <c r="B447" s="755"/>
      <c r="C447" s="756"/>
      <c r="D447" s="750"/>
      <c r="E447" s="423" t="s">
        <v>71</v>
      </c>
      <c r="F447" s="755"/>
      <c r="G447" s="755"/>
      <c r="H447" s="755"/>
      <c r="I447" s="755"/>
      <c r="J447" s="755"/>
      <c r="K447" s="755"/>
      <c r="L447" s="761" t="s">
        <v>71</v>
      </c>
      <c r="M447" s="761" t="s">
        <v>71</v>
      </c>
      <c r="N447" s="599"/>
      <c r="O447" s="599"/>
      <c r="P447" s="753"/>
      <c r="Q447" s="753"/>
      <c r="R447" s="753"/>
      <c r="S447" s="754"/>
      <c r="T447" s="754"/>
    </row>
    <row r="448">
      <c r="A448" s="762"/>
      <c r="B448" s="755"/>
      <c r="C448" s="756"/>
      <c r="D448" s="750"/>
      <c r="E448" s="423" t="s">
        <v>71</v>
      </c>
      <c r="F448" s="755"/>
      <c r="G448" s="755"/>
      <c r="H448" s="755"/>
      <c r="I448" s="755"/>
      <c r="J448" s="755"/>
      <c r="K448" s="755"/>
      <c r="L448" s="761" t="s">
        <v>71</v>
      </c>
      <c r="M448" s="761" t="s">
        <v>71</v>
      </c>
      <c r="N448" s="599"/>
      <c r="O448" s="599"/>
      <c r="P448" s="753"/>
      <c r="Q448" s="753"/>
      <c r="R448" s="753"/>
      <c r="S448" s="754"/>
      <c r="T448" s="754"/>
    </row>
    <row r="449">
      <c r="A449" s="762"/>
      <c r="B449" s="755"/>
      <c r="C449" s="756"/>
      <c r="D449" s="750"/>
      <c r="E449" s="423" t="s">
        <v>71</v>
      </c>
      <c r="F449" s="755"/>
      <c r="G449" s="755"/>
      <c r="H449" s="755"/>
      <c r="I449" s="755"/>
      <c r="J449" s="755"/>
      <c r="K449" s="755"/>
      <c r="L449" s="761" t="s">
        <v>71</v>
      </c>
      <c r="M449" s="761" t="s">
        <v>71</v>
      </c>
      <c r="N449" s="599"/>
      <c r="O449" s="599"/>
      <c r="P449" s="753"/>
      <c r="Q449" s="753"/>
      <c r="R449" s="753"/>
      <c r="S449" s="754"/>
      <c r="T449" s="754"/>
    </row>
    <row r="450">
      <c r="A450" s="762"/>
      <c r="B450" s="755"/>
      <c r="C450" s="756"/>
      <c r="D450" s="750"/>
      <c r="E450" s="423" t="s">
        <v>71</v>
      </c>
      <c r="F450" s="755"/>
      <c r="G450" s="755"/>
      <c r="H450" s="755"/>
      <c r="I450" s="755"/>
      <c r="J450" s="755"/>
      <c r="K450" s="755"/>
      <c r="L450" s="761" t="s">
        <v>71</v>
      </c>
      <c r="M450" s="761" t="s">
        <v>71</v>
      </c>
      <c r="N450" s="599"/>
      <c r="O450" s="599"/>
      <c r="P450" s="753"/>
      <c r="Q450" s="753"/>
      <c r="R450" s="753"/>
      <c r="S450" s="754"/>
      <c r="T450" s="754"/>
    </row>
    <row r="451">
      <c r="A451" s="762"/>
      <c r="B451" s="755"/>
      <c r="C451" s="756"/>
      <c r="D451" s="750"/>
      <c r="E451" s="423" t="s">
        <v>71</v>
      </c>
      <c r="F451" s="755"/>
      <c r="G451" s="755"/>
      <c r="H451" s="755"/>
      <c r="I451" s="755"/>
      <c r="J451" s="755"/>
      <c r="K451" s="755"/>
      <c r="L451" s="761" t="s">
        <v>71</v>
      </c>
      <c r="M451" s="761" t="s">
        <v>71</v>
      </c>
      <c r="N451" s="599"/>
      <c r="O451" s="599"/>
      <c r="P451" s="753"/>
      <c r="Q451" s="753"/>
      <c r="R451" s="753"/>
      <c r="S451" s="754"/>
      <c r="T451" s="754"/>
    </row>
    <row r="452">
      <c r="A452" s="762"/>
      <c r="B452" s="755"/>
      <c r="C452" s="756"/>
      <c r="D452" s="750"/>
      <c r="E452" s="423" t="s">
        <v>71</v>
      </c>
      <c r="F452" s="755"/>
      <c r="G452" s="755"/>
      <c r="H452" s="755"/>
      <c r="I452" s="755"/>
      <c r="J452" s="755"/>
      <c r="K452" s="755"/>
      <c r="L452" s="761" t="s">
        <v>71</v>
      </c>
      <c r="M452" s="761" t="s">
        <v>71</v>
      </c>
      <c r="N452" s="599"/>
      <c r="O452" s="599"/>
      <c r="P452" s="753"/>
      <c r="Q452" s="753"/>
      <c r="R452" s="753"/>
      <c r="S452" s="754"/>
      <c r="T452" s="754"/>
    </row>
    <row r="453">
      <c r="A453" s="762"/>
      <c r="B453" s="755"/>
      <c r="C453" s="756"/>
      <c r="D453" s="750"/>
      <c r="E453" s="423" t="s">
        <v>71</v>
      </c>
      <c r="F453" s="755"/>
      <c r="G453" s="755"/>
      <c r="H453" s="755"/>
      <c r="I453" s="755"/>
      <c r="J453" s="755"/>
      <c r="K453" s="755"/>
      <c r="L453" s="761" t="s">
        <v>71</v>
      </c>
      <c r="M453" s="761" t="s">
        <v>71</v>
      </c>
      <c r="N453" s="599"/>
      <c r="O453" s="599"/>
      <c r="P453" s="753"/>
      <c r="Q453" s="753"/>
      <c r="R453" s="753"/>
      <c r="S453" s="754"/>
      <c r="T453" s="754"/>
    </row>
    <row r="454">
      <c r="A454" s="762"/>
      <c r="B454" s="755"/>
      <c r="C454" s="756"/>
      <c r="D454" s="750"/>
      <c r="E454" s="423" t="s">
        <v>71</v>
      </c>
      <c r="F454" s="755"/>
      <c r="G454" s="755"/>
      <c r="H454" s="755"/>
      <c r="I454" s="755"/>
      <c r="J454" s="755"/>
      <c r="K454" s="755"/>
      <c r="L454" s="761" t="s">
        <v>71</v>
      </c>
      <c r="M454" s="761" t="s">
        <v>71</v>
      </c>
      <c r="N454" s="599"/>
      <c r="O454" s="599"/>
      <c r="P454" s="753"/>
      <c r="Q454" s="753"/>
      <c r="R454" s="753"/>
      <c r="S454" s="754"/>
      <c r="T454" s="754"/>
    </row>
    <row r="455">
      <c r="A455" s="762"/>
      <c r="B455" s="755"/>
      <c r="C455" s="756"/>
      <c r="D455" s="750"/>
      <c r="E455" s="423" t="s">
        <v>71</v>
      </c>
      <c r="F455" s="755"/>
      <c r="G455" s="755"/>
      <c r="H455" s="755"/>
      <c r="I455" s="755"/>
      <c r="J455" s="755"/>
      <c r="K455" s="755"/>
      <c r="L455" s="761" t="s">
        <v>71</v>
      </c>
      <c r="M455" s="761" t="s">
        <v>71</v>
      </c>
      <c r="N455" s="599"/>
      <c r="O455" s="599"/>
      <c r="P455" s="753"/>
      <c r="Q455" s="753"/>
      <c r="R455" s="753"/>
      <c r="S455" s="754"/>
      <c r="T455" s="754"/>
    </row>
    <row r="456">
      <c r="A456" s="762"/>
      <c r="B456" s="755"/>
      <c r="C456" s="756"/>
      <c r="D456" s="750"/>
      <c r="E456" s="423" t="s">
        <v>71</v>
      </c>
      <c r="F456" s="755"/>
      <c r="G456" s="755"/>
      <c r="H456" s="755"/>
      <c r="I456" s="755"/>
      <c r="J456" s="755"/>
      <c r="K456" s="755"/>
      <c r="L456" s="761" t="s">
        <v>71</v>
      </c>
      <c r="M456" s="761" t="s">
        <v>71</v>
      </c>
      <c r="N456" s="599"/>
      <c r="O456" s="599"/>
      <c r="P456" s="753"/>
      <c r="Q456" s="753"/>
      <c r="R456" s="753"/>
      <c r="S456" s="754"/>
      <c r="T456" s="754"/>
    </row>
    <row r="457">
      <c r="A457" s="762"/>
      <c r="B457" s="755"/>
      <c r="C457" s="756"/>
      <c r="D457" s="750"/>
      <c r="E457" s="423" t="s">
        <v>71</v>
      </c>
      <c r="F457" s="755"/>
      <c r="G457" s="755"/>
      <c r="H457" s="755"/>
      <c r="I457" s="755"/>
      <c r="J457" s="755"/>
      <c r="K457" s="755"/>
      <c r="L457" s="761" t="s">
        <v>71</v>
      </c>
      <c r="M457" s="761" t="s">
        <v>71</v>
      </c>
      <c r="N457" s="599"/>
      <c r="O457" s="599"/>
      <c r="P457" s="753"/>
      <c r="Q457" s="753"/>
      <c r="R457" s="753"/>
      <c r="S457" s="754"/>
      <c r="T457" s="754"/>
    </row>
    <row r="458">
      <c r="A458" s="762"/>
      <c r="B458" s="755"/>
      <c r="C458" s="756"/>
      <c r="D458" s="750"/>
      <c r="E458" s="423" t="s">
        <v>71</v>
      </c>
      <c r="F458" s="755"/>
      <c r="G458" s="755"/>
      <c r="H458" s="755"/>
      <c r="I458" s="755"/>
      <c r="J458" s="755"/>
      <c r="K458" s="755"/>
      <c r="L458" s="761" t="s">
        <v>71</v>
      </c>
      <c r="M458" s="761" t="s">
        <v>71</v>
      </c>
      <c r="N458" s="599"/>
      <c r="O458" s="599"/>
      <c r="P458" s="753"/>
      <c r="Q458" s="753"/>
      <c r="R458" s="753"/>
      <c r="S458" s="754"/>
      <c r="T458" s="754"/>
    </row>
    <row r="459">
      <c r="A459" s="762"/>
      <c r="B459" s="755"/>
      <c r="C459" s="756"/>
      <c r="D459" s="750"/>
      <c r="E459" s="423" t="s">
        <v>71</v>
      </c>
      <c r="F459" s="755"/>
      <c r="G459" s="755"/>
      <c r="H459" s="755"/>
      <c r="I459" s="755"/>
      <c r="J459" s="755"/>
      <c r="K459" s="755"/>
      <c r="L459" s="761" t="s">
        <v>71</v>
      </c>
      <c r="M459" s="761" t="s">
        <v>71</v>
      </c>
      <c r="N459" s="599"/>
      <c r="O459" s="599"/>
      <c r="P459" s="753"/>
      <c r="Q459" s="753"/>
      <c r="R459" s="753"/>
      <c r="S459" s="754"/>
      <c r="T459" s="754"/>
    </row>
    <row r="460">
      <c r="A460" s="762"/>
      <c r="B460" s="755"/>
      <c r="C460" s="756"/>
      <c r="D460" s="750"/>
      <c r="E460" s="423" t="s">
        <v>71</v>
      </c>
      <c r="F460" s="755"/>
      <c r="G460" s="755"/>
      <c r="H460" s="755"/>
      <c r="I460" s="755"/>
      <c r="J460" s="755"/>
      <c r="K460" s="755"/>
      <c r="L460" s="761" t="s">
        <v>71</v>
      </c>
      <c r="M460" s="761" t="s">
        <v>71</v>
      </c>
      <c r="N460" s="599"/>
      <c r="O460" s="599"/>
      <c r="P460" s="753"/>
      <c r="Q460" s="753"/>
      <c r="R460" s="753"/>
      <c r="S460" s="754"/>
      <c r="T460" s="754"/>
    </row>
    <row r="461">
      <c r="A461" s="762"/>
      <c r="B461" s="755"/>
      <c r="C461" s="756"/>
      <c r="D461" s="750"/>
      <c r="E461" s="423" t="s">
        <v>71</v>
      </c>
      <c r="F461" s="755"/>
      <c r="G461" s="755"/>
      <c r="H461" s="755"/>
      <c r="I461" s="755"/>
      <c r="J461" s="755"/>
      <c r="K461" s="755"/>
      <c r="L461" s="761" t="s">
        <v>71</v>
      </c>
      <c r="M461" s="761" t="s">
        <v>71</v>
      </c>
      <c r="N461" s="599"/>
      <c r="O461" s="599"/>
      <c r="P461" s="753"/>
      <c r="Q461" s="753"/>
      <c r="R461" s="753"/>
      <c r="S461" s="754"/>
      <c r="T461" s="754"/>
    </row>
    <row r="462">
      <c r="A462" s="762"/>
      <c r="B462" s="755"/>
      <c r="C462" s="756"/>
      <c r="D462" s="750"/>
      <c r="E462" s="423" t="s">
        <v>71</v>
      </c>
      <c r="F462" s="755"/>
      <c r="G462" s="755"/>
      <c r="H462" s="755"/>
      <c r="I462" s="755"/>
      <c r="J462" s="755"/>
      <c r="K462" s="755"/>
      <c r="L462" s="761" t="s">
        <v>71</v>
      </c>
      <c r="M462" s="761" t="s">
        <v>71</v>
      </c>
      <c r="N462" s="599"/>
      <c r="O462" s="599"/>
      <c r="P462" s="753"/>
      <c r="Q462" s="753"/>
      <c r="R462" s="753"/>
      <c r="S462" s="754"/>
      <c r="T462" s="754"/>
    </row>
    <row r="463">
      <c r="A463" s="762"/>
      <c r="B463" s="755"/>
      <c r="C463" s="756"/>
      <c r="D463" s="750"/>
      <c r="E463" s="423" t="s">
        <v>71</v>
      </c>
      <c r="F463" s="755"/>
      <c r="G463" s="755"/>
      <c r="H463" s="755"/>
      <c r="I463" s="755"/>
      <c r="J463" s="755"/>
      <c r="K463" s="755"/>
      <c r="L463" s="761" t="s">
        <v>71</v>
      </c>
      <c r="M463" s="761" t="s">
        <v>71</v>
      </c>
      <c r="N463" s="599"/>
      <c r="O463" s="599"/>
      <c r="P463" s="753"/>
      <c r="Q463" s="753"/>
      <c r="R463" s="753"/>
      <c r="S463" s="754"/>
      <c r="T463" s="754"/>
    </row>
    <row r="464">
      <c r="A464" s="762"/>
      <c r="B464" s="755"/>
      <c r="C464" s="756"/>
      <c r="D464" s="750"/>
      <c r="E464" s="423" t="s">
        <v>71</v>
      </c>
      <c r="F464" s="755"/>
      <c r="G464" s="755"/>
      <c r="H464" s="755"/>
      <c r="I464" s="755"/>
      <c r="J464" s="755"/>
      <c r="K464" s="755"/>
      <c r="L464" s="761" t="s">
        <v>71</v>
      </c>
      <c r="M464" s="761" t="s">
        <v>71</v>
      </c>
      <c r="N464" s="599"/>
      <c r="O464" s="599"/>
      <c r="P464" s="753"/>
      <c r="Q464" s="753"/>
      <c r="R464" s="753"/>
      <c r="S464" s="754"/>
      <c r="T464" s="754"/>
    </row>
    <row r="465">
      <c r="A465" s="762"/>
      <c r="B465" s="755"/>
      <c r="C465" s="756"/>
      <c r="D465" s="750"/>
      <c r="E465" s="423" t="s">
        <v>71</v>
      </c>
      <c r="F465" s="755"/>
      <c r="G465" s="755"/>
      <c r="H465" s="755"/>
      <c r="I465" s="755"/>
      <c r="J465" s="755"/>
      <c r="K465" s="755"/>
      <c r="L465" s="761" t="s">
        <v>71</v>
      </c>
      <c r="M465" s="761" t="s">
        <v>71</v>
      </c>
      <c r="N465" s="599"/>
      <c r="O465" s="599"/>
      <c r="P465" s="753"/>
      <c r="Q465" s="753"/>
      <c r="R465" s="753"/>
      <c r="S465" s="754"/>
      <c r="T465" s="754"/>
    </row>
    <row r="466">
      <c r="A466" s="762"/>
      <c r="B466" s="755"/>
      <c r="C466" s="756"/>
      <c r="D466" s="750"/>
      <c r="E466" s="423" t="s">
        <v>71</v>
      </c>
      <c r="F466" s="755"/>
      <c r="G466" s="755"/>
      <c r="H466" s="755"/>
      <c r="I466" s="755"/>
      <c r="J466" s="755"/>
      <c r="K466" s="755"/>
      <c r="L466" s="761" t="s">
        <v>71</v>
      </c>
      <c r="M466" s="761" t="s">
        <v>71</v>
      </c>
      <c r="N466" s="599"/>
      <c r="O466" s="599"/>
      <c r="P466" s="753"/>
      <c r="Q466" s="753"/>
      <c r="R466" s="753"/>
      <c r="S466" s="754"/>
      <c r="T466" s="754"/>
    </row>
    <row r="467">
      <c r="A467" s="762"/>
      <c r="B467" s="755"/>
      <c r="C467" s="756"/>
      <c r="D467" s="750"/>
      <c r="E467" s="423" t="s">
        <v>71</v>
      </c>
      <c r="F467" s="755"/>
      <c r="G467" s="755"/>
      <c r="H467" s="755"/>
      <c r="I467" s="755"/>
      <c r="J467" s="755"/>
      <c r="K467" s="755"/>
      <c r="L467" s="761" t="s">
        <v>71</v>
      </c>
      <c r="M467" s="761" t="s">
        <v>71</v>
      </c>
      <c r="N467" s="599"/>
      <c r="O467" s="599"/>
      <c r="P467" s="753"/>
      <c r="Q467" s="753"/>
      <c r="R467" s="753"/>
      <c r="S467" s="754"/>
      <c r="T467" s="754"/>
    </row>
    <row r="468">
      <c r="A468" s="762"/>
      <c r="B468" s="755"/>
      <c r="C468" s="756"/>
      <c r="D468" s="750"/>
      <c r="E468" s="423" t="s">
        <v>71</v>
      </c>
      <c r="F468" s="755"/>
      <c r="G468" s="755"/>
      <c r="H468" s="755"/>
      <c r="I468" s="755"/>
      <c r="J468" s="755"/>
      <c r="K468" s="755"/>
      <c r="L468" s="761" t="s">
        <v>71</v>
      </c>
      <c r="M468" s="761" t="s">
        <v>71</v>
      </c>
      <c r="N468" s="599"/>
      <c r="O468" s="599"/>
      <c r="P468" s="753"/>
      <c r="Q468" s="753"/>
      <c r="R468" s="753"/>
      <c r="S468" s="754"/>
      <c r="T468" s="754"/>
    </row>
    <row r="469">
      <c r="A469" s="762"/>
      <c r="B469" s="755"/>
      <c r="C469" s="756"/>
      <c r="D469" s="750"/>
      <c r="E469" s="423" t="s">
        <v>71</v>
      </c>
      <c r="F469" s="755"/>
      <c r="G469" s="755"/>
      <c r="H469" s="755"/>
      <c r="I469" s="755"/>
      <c r="J469" s="755"/>
      <c r="K469" s="755"/>
      <c r="L469" s="761" t="s">
        <v>71</v>
      </c>
      <c r="M469" s="761" t="s">
        <v>71</v>
      </c>
      <c r="N469" s="599"/>
      <c r="O469" s="599"/>
      <c r="P469" s="753"/>
      <c r="Q469" s="753"/>
      <c r="R469" s="753"/>
      <c r="S469" s="754"/>
      <c r="T469" s="754"/>
    </row>
    <row r="470">
      <c r="A470" s="762"/>
      <c r="B470" s="755"/>
      <c r="C470" s="756"/>
      <c r="D470" s="750"/>
      <c r="E470" s="423" t="s">
        <v>71</v>
      </c>
      <c r="F470" s="755"/>
      <c r="G470" s="755"/>
      <c r="H470" s="755"/>
      <c r="I470" s="755"/>
      <c r="J470" s="755"/>
      <c r="K470" s="755"/>
      <c r="L470" s="761" t="s">
        <v>71</v>
      </c>
      <c r="M470" s="761" t="s">
        <v>71</v>
      </c>
      <c r="N470" s="599"/>
      <c r="O470" s="599"/>
      <c r="P470" s="753"/>
      <c r="Q470" s="753"/>
      <c r="R470" s="753"/>
      <c r="S470" s="754"/>
      <c r="T470" s="754"/>
    </row>
    <row r="471">
      <c r="A471" s="762"/>
      <c r="B471" s="755"/>
      <c r="C471" s="756"/>
      <c r="D471" s="750"/>
      <c r="E471" s="423" t="s">
        <v>71</v>
      </c>
      <c r="F471" s="755"/>
      <c r="G471" s="755"/>
      <c r="H471" s="755"/>
      <c r="I471" s="755"/>
      <c r="J471" s="755"/>
      <c r="K471" s="755"/>
      <c r="L471" s="761" t="s">
        <v>71</v>
      </c>
      <c r="M471" s="761" t="s">
        <v>71</v>
      </c>
      <c r="N471" s="599"/>
      <c r="O471" s="599"/>
      <c r="P471" s="753"/>
      <c r="Q471" s="753"/>
      <c r="R471" s="753"/>
      <c r="S471" s="754"/>
      <c r="T471" s="754"/>
    </row>
    <row r="472">
      <c r="A472" s="762"/>
      <c r="B472" s="755"/>
      <c r="C472" s="756"/>
      <c r="D472" s="750"/>
      <c r="E472" s="423" t="s">
        <v>71</v>
      </c>
      <c r="F472" s="755"/>
      <c r="G472" s="755"/>
      <c r="H472" s="755"/>
      <c r="I472" s="755"/>
      <c r="J472" s="755"/>
      <c r="K472" s="755"/>
      <c r="L472" s="761" t="s">
        <v>71</v>
      </c>
      <c r="M472" s="761" t="s">
        <v>71</v>
      </c>
      <c r="N472" s="599"/>
      <c r="O472" s="599"/>
      <c r="P472" s="753"/>
      <c r="Q472" s="753"/>
      <c r="R472" s="753"/>
      <c r="S472" s="754"/>
      <c r="T472" s="754"/>
    </row>
    <row r="473">
      <c r="A473" s="762"/>
      <c r="B473" s="755"/>
      <c r="C473" s="756"/>
      <c r="D473" s="750"/>
      <c r="E473" s="423" t="s">
        <v>71</v>
      </c>
      <c r="F473" s="755"/>
      <c r="G473" s="755"/>
      <c r="H473" s="755"/>
      <c r="I473" s="755"/>
      <c r="J473" s="755"/>
      <c r="K473" s="755"/>
      <c r="L473" s="761" t="s">
        <v>71</v>
      </c>
      <c r="M473" s="761" t="s">
        <v>71</v>
      </c>
      <c r="N473" s="599"/>
      <c r="O473" s="599"/>
      <c r="P473" s="753"/>
      <c r="Q473" s="753"/>
      <c r="R473" s="753"/>
      <c r="S473" s="754"/>
      <c r="T473" s="754"/>
    </row>
    <row r="474">
      <c r="A474" s="762"/>
      <c r="B474" s="755"/>
      <c r="C474" s="756"/>
      <c r="D474" s="750"/>
      <c r="E474" s="423" t="s">
        <v>71</v>
      </c>
      <c r="F474" s="755"/>
      <c r="G474" s="755"/>
      <c r="H474" s="755"/>
      <c r="I474" s="755"/>
      <c r="J474" s="755"/>
      <c r="K474" s="755"/>
      <c r="L474" s="761" t="s">
        <v>71</v>
      </c>
      <c r="M474" s="761" t="s">
        <v>71</v>
      </c>
      <c r="N474" s="599"/>
      <c r="O474" s="599"/>
      <c r="P474" s="753"/>
      <c r="Q474" s="753"/>
      <c r="R474" s="753"/>
      <c r="S474" s="754"/>
      <c r="T474" s="754"/>
    </row>
    <row r="475">
      <c r="A475" s="762"/>
      <c r="B475" s="755"/>
      <c r="C475" s="756"/>
      <c r="D475" s="750"/>
      <c r="E475" s="423" t="s">
        <v>71</v>
      </c>
      <c r="F475" s="755"/>
      <c r="G475" s="755"/>
      <c r="H475" s="755"/>
      <c r="I475" s="755"/>
      <c r="J475" s="755"/>
      <c r="K475" s="755"/>
      <c r="L475" s="761" t="s">
        <v>71</v>
      </c>
      <c r="M475" s="761" t="s">
        <v>71</v>
      </c>
      <c r="N475" s="599"/>
      <c r="O475" s="599"/>
      <c r="P475" s="753"/>
      <c r="Q475" s="753"/>
      <c r="R475" s="753"/>
      <c r="S475" s="754"/>
      <c r="T475" s="754"/>
    </row>
    <row r="476">
      <c r="A476" s="762"/>
      <c r="B476" s="755"/>
      <c r="C476" s="756"/>
      <c r="D476" s="750"/>
      <c r="E476" s="423" t="s">
        <v>71</v>
      </c>
      <c r="F476" s="755"/>
      <c r="G476" s="755"/>
      <c r="H476" s="755"/>
      <c r="I476" s="755"/>
      <c r="J476" s="755"/>
      <c r="K476" s="755"/>
      <c r="L476" s="761" t="s">
        <v>71</v>
      </c>
      <c r="M476" s="761" t="s">
        <v>71</v>
      </c>
      <c r="N476" s="599"/>
      <c r="O476" s="599"/>
      <c r="P476" s="753"/>
      <c r="Q476" s="753"/>
      <c r="R476" s="753"/>
      <c r="S476" s="754"/>
      <c r="T476" s="754"/>
    </row>
    <row r="477">
      <c r="A477" s="762"/>
      <c r="B477" s="755"/>
      <c r="C477" s="756"/>
      <c r="D477" s="750"/>
      <c r="E477" s="423" t="s">
        <v>71</v>
      </c>
      <c r="F477" s="755"/>
      <c r="G477" s="755"/>
      <c r="H477" s="755"/>
      <c r="I477" s="755"/>
      <c r="J477" s="755"/>
      <c r="K477" s="755"/>
      <c r="L477" s="761" t="s">
        <v>71</v>
      </c>
      <c r="M477" s="761" t="s">
        <v>71</v>
      </c>
      <c r="N477" s="599"/>
      <c r="O477" s="599"/>
      <c r="P477" s="753"/>
      <c r="Q477" s="753"/>
      <c r="R477" s="753"/>
      <c r="S477" s="754"/>
      <c r="T477" s="754"/>
    </row>
    <row r="478">
      <c r="A478" s="762"/>
      <c r="B478" s="755"/>
      <c r="C478" s="756"/>
      <c r="D478" s="750"/>
      <c r="E478" s="423" t="s">
        <v>71</v>
      </c>
      <c r="F478" s="755"/>
      <c r="G478" s="755"/>
      <c r="H478" s="755"/>
      <c r="I478" s="755"/>
      <c r="J478" s="755"/>
      <c r="K478" s="755"/>
      <c r="L478" s="761" t="s">
        <v>71</v>
      </c>
      <c r="M478" s="761" t="s">
        <v>71</v>
      </c>
      <c r="N478" s="599"/>
      <c r="O478" s="599"/>
      <c r="P478" s="753"/>
      <c r="Q478" s="753"/>
      <c r="R478" s="753"/>
      <c r="S478" s="754"/>
      <c r="T478" s="754"/>
    </row>
    <row r="479">
      <c r="A479" s="762"/>
      <c r="B479" s="755"/>
      <c r="C479" s="756"/>
      <c r="D479" s="750"/>
      <c r="E479" s="423" t="s">
        <v>71</v>
      </c>
      <c r="F479" s="755"/>
      <c r="G479" s="755"/>
      <c r="H479" s="755"/>
      <c r="I479" s="755"/>
      <c r="J479" s="755"/>
      <c r="K479" s="755"/>
      <c r="L479" s="761" t="s">
        <v>71</v>
      </c>
      <c r="M479" s="761" t="s">
        <v>71</v>
      </c>
      <c r="N479" s="599"/>
      <c r="O479" s="599"/>
      <c r="P479" s="753"/>
      <c r="Q479" s="753"/>
      <c r="R479" s="753"/>
      <c r="S479" s="754"/>
      <c r="T479" s="754"/>
    </row>
    <row r="480">
      <c r="A480" s="762"/>
      <c r="B480" s="755"/>
      <c r="C480" s="756"/>
      <c r="D480" s="750"/>
      <c r="E480" s="423" t="s">
        <v>71</v>
      </c>
      <c r="F480" s="755"/>
      <c r="G480" s="755"/>
      <c r="H480" s="755"/>
      <c r="I480" s="755"/>
      <c r="J480" s="755"/>
      <c r="K480" s="755"/>
      <c r="L480" s="761" t="s">
        <v>71</v>
      </c>
      <c r="M480" s="761" t="s">
        <v>71</v>
      </c>
      <c r="N480" s="599"/>
      <c r="O480" s="599"/>
      <c r="P480" s="753"/>
      <c r="Q480" s="753"/>
      <c r="R480" s="753"/>
      <c r="S480" s="754"/>
      <c r="T480" s="754"/>
    </row>
    <row r="481">
      <c r="A481" s="762"/>
      <c r="B481" s="755"/>
      <c r="C481" s="756"/>
      <c r="D481" s="750"/>
      <c r="E481" s="423" t="s">
        <v>71</v>
      </c>
      <c r="F481" s="755"/>
      <c r="G481" s="755"/>
      <c r="H481" s="755"/>
      <c r="I481" s="755"/>
      <c r="J481" s="755"/>
      <c r="K481" s="755"/>
      <c r="L481" s="761" t="s">
        <v>71</v>
      </c>
      <c r="M481" s="761" t="s">
        <v>71</v>
      </c>
      <c r="N481" s="599"/>
      <c r="O481" s="599"/>
      <c r="P481" s="753"/>
      <c r="Q481" s="753"/>
      <c r="R481" s="753"/>
      <c r="S481" s="754"/>
      <c r="T481" s="754"/>
    </row>
    <row r="482">
      <c r="A482" s="762"/>
      <c r="B482" s="755"/>
      <c r="C482" s="756"/>
      <c r="D482" s="750"/>
      <c r="E482" s="423" t="s">
        <v>71</v>
      </c>
      <c r="F482" s="755"/>
      <c r="G482" s="755"/>
      <c r="H482" s="755"/>
      <c r="I482" s="755"/>
      <c r="J482" s="755"/>
      <c r="K482" s="755"/>
      <c r="L482" s="761" t="s">
        <v>71</v>
      </c>
      <c r="M482" s="761" t="s">
        <v>71</v>
      </c>
      <c r="N482" s="599"/>
      <c r="O482" s="599"/>
      <c r="P482" s="753"/>
      <c r="Q482" s="753"/>
      <c r="R482" s="753"/>
      <c r="S482" s="754"/>
      <c r="T482" s="754"/>
    </row>
    <row r="483">
      <c r="A483" s="762"/>
      <c r="B483" s="755"/>
      <c r="C483" s="756"/>
      <c r="D483" s="750"/>
      <c r="E483" s="423" t="s">
        <v>71</v>
      </c>
      <c r="F483" s="755"/>
      <c r="G483" s="755"/>
      <c r="H483" s="755"/>
      <c r="I483" s="755"/>
      <c r="J483" s="755"/>
      <c r="K483" s="755"/>
      <c r="L483" s="761" t="s">
        <v>71</v>
      </c>
      <c r="M483" s="761" t="s">
        <v>71</v>
      </c>
      <c r="N483" s="599"/>
      <c r="O483" s="599"/>
      <c r="P483" s="753"/>
      <c r="Q483" s="753"/>
      <c r="R483" s="753"/>
      <c r="S483" s="754"/>
      <c r="T483" s="754"/>
    </row>
    <row r="484">
      <c r="A484" s="762"/>
      <c r="B484" s="755"/>
      <c r="C484" s="756"/>
      <c r="D484" s="750"/>
      <c r="E484" s="423" t="s">
        <v>71</v>
      </c>
      <c r="F484" s="755"/>
      <c r="G484" s="755"/>
      <c r="H484" s="755"/>
      <c r="I484" s="755"/>
      <c r="J484" s="755"/>
      <c r="K484" s="755"/>
      <c r="L484" s="761" t="s">
        <v>71</v>
      </c>
      <c r="M484" s="761" t="s">
        <v>71</v>
      </c>
      <c r="N484" s="599"/>
      <c r="O484" s="599"/>
      <c r="P484" s="753"/>
      <c r="Q484" s="753"/>
      <c r="R484" s="753"/>
      <c r="S484" s="754"/>
      <c r="T484" s="754"/>
    </row>
    <row r="485">
      <c r="A485" s="762"/>
      <c r="B485" s="755"/>
      <c r="C485" s="756"/>
      <c r="D485" s="750"/>
      <c r="E485" s="423" t="s">
        <v>71</v>
      </c>
      <c r="F485" s="755"/>
      <c r="G485" s="755"/>
      <c r="H485" s="755"/>
      <c r="I485" s="755"/>
      <c r="J485" s="755"/>
      <c r="K485" s="755"/>
      <c r="L485" s="761" t="s">
        <v>71</v>
      </c>
      <c r="M485" s="761" t="s">
        <v>71</v>
      </c>
      <c r="N485" s="599"/>
      <c r="O485" s="599"/>
      <c r="P485" s="753"/>
      <c r="Q485" s="753"/>
      <c r="R485" s="753"/>
      <c r="S485" s="754"/>
      <c r="T485" s="754"/>
    </row>
    <row r="486">
      <c r="A486" s="762"/>
      <c r="B486" s="755"/>
      <c r="C486" s="756"/>
      <c r="D486" s="750"/>
      <c r="E486" s="423" t="s">
        <v>71</v>
      </c>
      <c r="F486" s="755"/>
      <c r="G486" s="755"/>
      <c r="H486" s="755"/>
      <c r="I486" s="755"/>
      <c r="J486" s="755"/>
      <c r="K486" s="755"/>
      <c r="L486" s="761" t="s">
        <v>71</v>
      </c>
      <c r="M486" s="761" t="s">
        <v>71</v>
      </c>
      <c r="N486" s="599"/>
      <c r="O486" s="599"/>
      <c r="P486" s="753"/>
      <c r="Q486" s="753"/>
      <c r="R486" s="753"/>
      <c r="S486" s="754"/>
      <c r="T486" s="754"/>
    </row>
    <row r="487">
      <c r="A487" s="762"/>
      <c r="B487" s="755"/>
      <c r="C487" s="756"/>
      <c r="D487" s="750"/>
      <c r="E487" s="423" t="s">
        <v>71</v>
      </c>
      <c r="F487" s="755"/>
      <c r="G487" s="755"/>
      <c r="H487" s="755"/>
      <c r="I487" s="755"/>
      <c r="J487" s="755"/>
      <c r="K487" s="755"/>
      <c r="L487" s="761" t="s">
        <v>71</v>
      </c>
      <c r="M487" s="761" t="s">
        <v>71</v>
      </c>
      <c r="N487" s="599"/>
      <c r="O487" s="599"/>
      <c r="P487" s="753"/>
      <c r="Q487" s="753"/>
      <c r="R487" s="753"/>
      <c r="S487" s="754"/>
      <c r="T487" s="754"/>
    </row>
    <row r="488">
      <c r="A488" s="762" t="s">
        <v>3624</v>
      </c>
      <c r="B488" s="755" t="s">
        <v>2458</v>
      </c>
      <c r="C488" s="756" t="s">
        <v>148</v>
      </c>
      <c r="D488" s="767" t="s">
        <v>150</v>
      </c>
      <c r="E488" s="433" t="s">
        <v>2459</v>
      </c>
      <c r="F488" s="755" t="s">
        <v>3770</v>
      </c>
      <c r="G488" s="755" t="s">
        <v>1762</v>
      </c>
      <c r="H488" s="755" t="s">
        <v>1762</v>
      </c>
      <c r="I488" s="755" t="s">
        <v>2433</v>
      </c>
      <c r="J488" s="755" t="s">
        <v>3625</v>
      </c>
      <c r="K488" s="755"/>
      <c r="L488" s="761" t="s">
        <v>3628</v>
      </c>
      <c r="M488" s="761" t="s">
        <v>3629</v>
      </c>
      <c r="N488" s="599" t="s">
        <v>3771</v>
      </c>
      <c r="O488" s="599" t="str">
        <f t="shared" ref="O488:O490" si="7">"manga_animation_"&amp;N488</f>
        <v>manga_animation_genga_jig_event_challenge_n_00001_01_start</v>
      </c>
      <c r="P488" s="753" t="s">
        <v>3772</v>
      </c>
      <c r="Q488" s="753" t="s">
        <v>3773</v>
      </c>
      <c r="R488" s="753" t="s">
        <v>3669</v>
      </c>
      <c r="S488" s="754"/>
      <c r="T488" s="754"/>
    </row>
    <row r="489">
      <c r="A489" s="762" t="s">
        <v>3624</v>
      </c>
      <c r="B489" s="755" t="s">
        <v>2458</v>
      </c>
      <c r="C489" s="756" t="s">
        <v>148</v>
      </c>
      <c r="D489" s="767" t="s">
        <v>150</v>
      </c>
      <c r="E489" s="433" t="s">
        <v>2459</v>
      </c>
      <c r="F489" s="755" t="s">
        <v>3770</v>
      </c>
      <c r="G489" s="755" t="s">
        <v>1762</v>
      </c>
      <c r="H489" s="755" t="s">
        <v>1762</v>
      </c>
      <c r="I489" s="755" t="s">
        <v>2433</v>
      </c>
      <c r="J489" s="755" t="s">
        <v>3633</v>
      </c>
      <c r="K489" s="755"/>
      <c r="L489" s="761" t="s">
        <v>3628</v>
      </c>
      <c r="M489" s="761" t="s">
        <v>3634</v>
      </c>
      <c r="N489" s="599" t="s">
        <v>3774</v>
      </c>
      <c r="O489" s="599" t="str">
        <f t="shared" si="7"/>
        <v>manga_animation_genga_jig_event_challenge_n_00001_01_victory</v>
      </c>
      <c r="P489" s="753" t="s">
        <v>3775</v>
      </c>
      <c r="Q489" s="753" t="s">
        <v>3776</v>
      </c>
      <c r="R489" s="753" t="s">
        <v>3669</v>
      </c>
      <c r="S489" s="754"/>
      <c r="T489" s="754"/>
    </row>
    <row r="490">
      <c r="A490" s="762" t="s">
        <v>3624</v>
      </c>
      <c r="B490" s="755" t="s">
        <v>2458</v>
      </c>
      <c r="C490" s="756" t="s">
        <v>148</v>
      </c>
      <c r="D490" s="767" t="s">
        <v>150</v>
      </c>
      <c r="E490" s="463" t="s">
        <v>2459</v>
      </c>
      <c r="F490" s="755" t="s">
        <v>2449</v>
      </c>
      <c r="G490" s="755" t="s">
        <v>1762</v>
      </c>
      <c r="H490" s="755" t="s">
        <v>1588</v>
      </c>
      <c r="I490" s="755" t="s">
        <v>2433</v>
      </c>
      <c r="J490" s="755" t="s">
        <v>3625</v>
      </c>
      <c r="K490" s="755"/>
      <c r="L490" s="761" t="s">
        <v>3628</v>
      </c>
      <c r="M490" s="761" t="s">
        <v>3629</v>
      </c>
      <c r="N490" s="599" t="s">
        <v>3777</v>
      </c>
      <c r="O490" s="599" t="str">
        <f t="shared" si="7"/>
        <v>manga_animation_genga_jig_event_1day_00001_03_start</v>
      </c>
      <c r="P490" s="753" t="s">
        <v>3778</v>
      </c>
      <c r="Q490" s="753" t="s">
        <v>3779</v>
      </c>
      <c r="R490" s="753" t="s">
        <v>3669</v>
      </c>
      <c r="S490" s="754"/>
      <c r="T490" s="754"/>
    </row>
    <row r="491" ht="11.25" customHeight="1">
      <c r="A491" s="768"/>
      <c r="B491" s="769"/>
      <c r="C491" s="770"/>
      <c r="D491" s="771" t="s">
        <v>3780</v>
      </c>
      <c r="E491" s="772" t="s">
        <v>71</v>
      </c>
      <c r="F491" s="769"/>
      <c r="G491" s="769"/>
      <c r="H491" s="769"/>
      <c r="I491" s="769"/>
      <c r="J491" s="769"/>
      <c r="K491" s="769"/>
      <c r="L491" s="769" t="s">
        <v>71</v>
      </c>
      <c r="M491" s="769" t="s">
        <v>71</v>
      </c>
      <c r="N491" s="769"/>
      <c r="O491" s="769"/>
      <c r="P491" s="773"/>
      <c r="Q491" s="773"/>
      <c r="R491" s="773"/>
      <c r="S491" s="774"/>
      <c r="T491" s="775"/>
    </row>
    <row r="492">
      <c r="A492" s="747" t="s">
        <v>3624</v>
      </c>
      <c r="B492" s="748" t="s">
        <v>2458</v>
      </c>
      <c r="C492" s="749" t="s">
        <v>283</v>
      </c>
      <c r="D492" s="750" t="str">
        <f t="array" ref="D492">iferror(INDEX('作品'!D:D,MATCH(C492,'作品'!A:A,0),0),"")</f>
        <v>GLOW</v>
      </c>
      <c r="E492" s="751" t="s">
        <v>2459</v>
      </c>
      <c r="F492" s="748" t="s">
        <v>3781</v>
      </c>
      <c r="G492" s="748" t="s">
        <v>1762</v>
      </c>
      <c r="H492" s="748" t="s">
        <v>1762</v>
      </c>
      <c r="I492" s="748" t="s">
        <v>2433</v>
      </c>
      <c r="J492" s="748" t="s">
        <v>3625</v>
      </c>
      <c r="K492" s="748"/>
      <c r="L492" s="599" t="s">
        <v>3628</v>
      </c>
      <c r="M492" s="599" t="s">
        <v>3629</v>
      </c>
      <c r="N492" s="599" t="str">
        <f t="shared" ref="N492:N495" si="8">CONCATENATE(L492,C492,"_",E492,"_",F492,"_",text(G492,"00000"),"_",text(H492,"00"),"_",M492)</f>
        <v>genga_glo_event_extra_00001_01__start</v>
      </c>
      <c r="O492" s="599" t="str">
        <f t="shared" ref="O492:O495" si="9">"manga_animation_"&amp;N492</f>
        <v>manga_animation_genga_glo_event_extra_00001_01__start</v>
      </c>
      <c r="P492" s="752" t="s">
        <v>3782</v>
      </c>
      <c r="Q492" s="765"/>
      <c r="R492" s="753"/>
      <c r="S492" s="754"/>
      <c r="T492" s="754"/>
    </row>
    <row r="493">
      <c r="A493" s="747" t="s">
        <v>3624</v>
      </c>
      <c r="B493" s="748" t="s">
        <v>2454</v>
      </c>
      <c r="C493" s="749" t="s">
        <v>283</v>
      </c>
      <c r="D493" s="750" t="str">
        <f t="array" ref="D493">iferror(INDEX('作品'!D:D,MATCH(C493,'作品'!A:A,0),0),"")</f>
        <v>GLOW</v>
      </c>
      <c r="E493" s="751" t="s">
        <v>2455</v>
      </c>
      <c r="F493" s="748" t="s">
        <v>2731</v>
      </c>
      <c r="G493" s="748" t="s">
        <v>1762</v>
      </c>
      <c r="H493" s="748" t="s">
        <v>1762</v>
      </c>
      <c r="I493" s="748" t="s">
        <v>3680</v>
      </c>
      <c r="J493" s="748" t="s">
        <v>3681</v>
      </c>
      <c r="K493" s="748"/>
      <c r="L493" s="599" t="s">
        <v>3682</v>
      </c>
      <c r="M493" s="599" t="s">
        <v>3683</v>
      </c>
      <c r="N493" s="599" t="str">
        <f t="shared" si="8"/>
        <v>talk_glo_raid_limited_00001_01__action</v>
      </c>
      <c r="O493" s="599" t="str">
        <f t="shared" si="9"/>
        <v>manga_animation_talk_glo_raid_limited_00001_01__action</v>
      </c>
      <c r="P493" s="752" t="s">
        <v>3783</v>
      </c>
      <c r="Q493" s="765"/>
      <c r="R493" s="753"/>
      <c r="S493" s="754"/>
      <c r="T493" s="754"/>
    </row>
    <row r="494">
      <c r="A494" s="747" t="s">
        <v>3758</v>
      </c>
      <c r="B494" s="748" t="s">
        <v>2450</v>
      </c>
      <c r="C494" s="749" t="s">
        <v>283</v>
      </c>
      <c r="D494" s="750" t="str">
        <f t="array" ref="D494">iferror(INDEX('作品'!D:D,MATCH(C494,'作品'!A:A,0),0),"")</f>
        <v>GLOW</v>
      </c>
      <c r="E494" s="751" t="s">
        <v>2451</v>
      </c>
      <c r="F494" s="748" t="s">
        <v>3784</v>
      </c>
      <c r="G494" s="748" t="s">
        <v>1762</v>
      </c>
      <c r="H494" s="748" t="s">
        <v>1762</v>
      </c>
      <c r="I494" s="748" t="s">
        <v>2433</v>
      </c>
      <c r="J494" s="748" t="s">
        <v>3656</v>
      </c>
      <c r="K494" s="748"/>
      <c r="L494" s="599" t="s">
        <v>3628</v>
      </c>
      <c r="M494" s="599" t="s">
        <v>3658</v>
      </c>
      <c r="N494" s="599" t="str">
        <f t="shared" si="8"/>
        <v>genga_glo_training_spead_00001_01__appear</v>
      </c>
      <c r="O494" s="599" t="str">
        <f t="shared" si="9"/>
        <v>manga_animation_genga_glo_training_spead_00001_01__appear</v>
      </c>
      <c r="P494" s="752" t="s">
        <v>3785</v>
      </c>
      <c r="Q494" s="765"/>
      <c r="R494" s="753"/>
      <c r="S494" s="754"/>
      <c r="T494" s="754"/>
    </row>
    <row r="495">
      <c r="A495" s="762"/>
      <c r="B495" s="755" t="s">
        <v>2446</v>
      </c>
      <c r="C495" s="756" t="s">
        <v>283</v>
      </c>
      <c r="D495" s="767" t="str">
        <f t="array" ref="D495">iferror(INDEX('作品'!D:D,MATCH(C495,'作品'!A:A,0),0),"")</f>
        <v>GLOW</v>
      </c>
      <c r="E495" s="776" t="s">
        <v>2447</v>
      </c>
      <c r="F495" s="755" t="s">
        <v>429</v>
      </c>
      <c r="G495" s="755" t="s">
        <v>1762</v>
      </c>
      <c r="H495" s="755" t="s">
        <v>1762</v>
      </c>
      <c r="I495" s="755" t="s">
        <v>3680</v>
      </c>
      <c r="J495" s="755" t="s">
        <v>3681</v>
      </c>
      <c r="K495" s="755"/>
      <c r="L495" s="761" t="s">
        <v>3682</v>
      </c>
      <c r="M495" s="761" t="s">
        <v>3683</v>
      </c>
      <c r="N495" s="761" t="str">
        <f t="shared" si="8"/>
        <v>talk_glo_main_artwork_00001_01__action</v>
      </c>
      <c r="O495" s="761" t="str">
        <f t="shared" si="9"/>
        <v>manga_animation_talk_glo_main_artwork_00001_01__action</v>
      </c>
      <c r="P495" s="753" t="s">
        <v>3786</v>
      </c>
      <c r="Q495" s="766"/>
      <c r="R495" s="753"/>
      <c r="S495" s="754"/>
      <c r="T495" s="754"/>
    </row>
    <row r="496">
      <c r="A496" s="777"/>
      <c r="B496" s="778"/>
      <c r="C496" s="779"/>
      <c r="D496" s="780"/>
      <c r="E496" s="781" t="s">
        <v>71</v>
      </c>
      <c r="F496" s="778"/>
      <c r="G496" s="778"/>
      <c r="H496" s="778"/>
      <c r="I496" s="778"/>
      <c r="J496" s="778"/>
      <c r="K496" s="778"/>
      <c r="L496" s="782" t="s">
        <v>71</v>
      </c>
      <c r="M496" s="782" t="s">
        <v>71</v>
      </c>
      <c r="N496" s="782"/>
      <c r="O496" s="782"/>
      <c r="P496" s="783"/>
      <c r="Q496" s="784"/>
      <c r="R496" s="783"/>
      <c r="S496" s="785"/>
      <c r="T496" s="785"/>
    </row>
    <row r="497">
      <c r="A497" s="777"/>
      <c r="B497" s="778"/>
      <c r="C497" s="779"/>
      <c r="D497" s="780"/>
      <c r="E497" s="781" t="s">
        <v>71</v>
      </c>
      <c r="F497" s="778"/>
      <c r="G497" s="778"/>
      <c r="H497" s="778"/>
      <c r="I497" s="778"/>
      <c r="J497" s="778"/>
      <c r="K497" s="778"/>
      <c r="L497" s="782" t="s">
        <v>71</v>
      </c>
      <c r="M497" s="782" t="s">
        <v>71</v>
      </c>
      <c r="N497" s="782"/>
      <c r="O497" s="782"/>
      <c r="P497" s="783"/>
      <c r="Q497" s="784"/>
      <c r="R497" s="783"/>
      <c r="S497" s="785"/>
      <c r="T497" s="785"/>
    </row>
    <row r="498">
      <c r="A498" s="777"/>
      <c r="B498" s="778"/>
      <c r="C498" s="779"/>
      <c r="D498" s="780"/>
      <c r="E498" s="781" t="s">
        <v>71</v>
      </c>
      <c r="F498" s="778"/>
      <c r="G498" s="778"/>
      <c r="H498" s="778"/>
      <c r="I498" s="778"/>
      <c r="J498" s="778"/>
      <c r="K498" s="778"/>
      <c r="L498" s="782" t="s">
        <v>71</v>
      </c>
      <c r="M498" s="782" t="s">
        <v>71</v>
      </c>
      <c r="N498" s="782"/>
      <c r="O498" s="782"/>
      <c r="P498" s="783"/>
      <c r="Q498" s="784"/>
      <c r="R498" s="783"/>
      <c r="S498" s="785"/>
      <c r="T498" s="785"/>
    </row>
    <row r="499">
      <c r="A499" s="777"/>
      <c r="B499" s="778"/>
      <c r="C499" s="779"/>
      <c r="D499" s="780"/>
      <c r="E499" s="781" t="s">
        <v>71</v>
      </c>
      <c r="F499" s="778"/>
      <c r="G499" s="778"/>
      <c r="H499" s="778"/>
      <c r="I499" s="778"/>
      <c r="J499" s="778"/>
      <c r="K499" s="778"/>
      <c r="L499" s="782" t="s">
        <v>71</v>
      </c>
      <c r="M499" s="782" t="s">
        <v>71</v>
      </c>
      <c r="N499" s="782"/>
      <c r="O499" s="782"/>
      <c r="P499" s="783"/>
      <c r="Q499" s="784"/>
      <c r="R499" s="783"/>
      <c r="S499" s="785"/>
      <c r="T499" s="785"/>
    </row>
    <row r="500">
      <c r="A500" s="777"/>
      <c r="B500" s="778"/>
      <c r="C500" s="779"/>
      <c r="D500" s="780"/>
      <c r="E500" s="781" t="s">
        <v>71</v>
      </c>
      <c r="F500" s="778"/>
      <c r="G500" s="778"/>
      <c r="H500" s="778"/>
      <c r="I500" s="778"/>
      <c r="J500" s="778"/>
      <c r="K500" s="778"/>
      <c r="L500" s="782" t="s">
        <v>71</v>
      </c>
      <c r="M500" s="782" t="s">
        <v>71</v>
      </c>
      <c r="N500" s="782"/>
      <c r="O500" s="782"/>
      <c r="P500" s="783"/>
      <c r="Q500" s="784"/>
      <c r="R500" s="783"/>
      <c r="S500" s="785"/>
      <c r="T500" s="785"/>
    </row>
    <row r="501">
      <c r="A501" s="777"/>
      <c r="B501" s="778"/>
      <c r="C501" s="779"/>
      <c r="D501" s="780"/>
      <c r="E501" s="781" t="s">
        <v>71</v>
      </c>
      <c r="F501" s="778"/>
      <c r="G501" s="778"/>
      <c r="H501" s="778"/>
      <c r="I501" s="778"/>
      <c r="J501" s="778"/>
      <c r="K501" s="778"/>
      <c r="L501" s="782" t="s">
        <v>71</v>
      </c>
      <c r="M501" s="782" t="s">
        <v>71</v>
      </c>
      <c r="N501" s="782"/>
      <c r="O501" s="782"/>
      <c r="P501" s="783"/>
      <c r="Q501" s="784"/>
      <c r="R501" s="783"/>
      <c r="S501" s="785"/>
      <c r="T501" s="785"/>
    </row>
    <row r="502">
      <c r="A502" s="777"/>
      <c r="B502" s="778"/>
      <c r="C502" s="779"/>
      <c r="D502" s="780"/>
      <c r="E502" s="781" t="s">
        <v>71</v>
      </c>
      <c r="F502" s="778"/>
      <c r="G502" s="778"/>
      <c r="H502" s="778"/>
      <c r="I502" s="778"/>
      <c r="J502" s="778"/>
      <c r="K502" s="778"/>
      <c r="L502" s="782" t="s">
        <v>71</v>
      </c>
      <c r="M502" s="782" t="s">
        <v>71</v>
      </c>
      <c r="N502" s="782"/>
      <c r="O502" s="782"/>
      <c r="P502" s="783"/>
      <c r="Q502" s="784"/>
      <c r="R502" s="783"/>
      <c r="S502" s="785"/>
      <c r="T502" s="785"/>
    </row>
    <row r="503">
      <c r="A503" s="777"/>
      <c r="B503" s="778"/>
      <c r="C503" s="779"/>
      <c r="D503" s="780"/>
      <c r="E503" s="781" t="s">
        <v>71</v>
      </c>
      <c r="F503" s="778"/>
      <c r="G503" s="778"/>
      <c r="H503" s="778"/>
      <c r="I503" s="778"/>
      <c r="J503" s="778"/>
      <c r="K503" s="778"/>
      <c r="L503" s="782" t="s">
        <v>71</v>
      </c>
      <c r="M503" s="782" t="s">
        <v>71</v>
      </c>
      <c r="N503" s="782"/>
      <c r="O503" s="782"/>
      <c r="P503" s="783"/>
      <c r="Q503" s="784"/>
      <c r="R503" s="783"/>
      <c r="S503" s="785"/>
      <c r="T503" s="785"/>
    </row>
    <row r="504">
      <c r="A504" s="777"/>
      <c r="B504" s="778"/>
      <c r="C504" s="779"/>
      <c r="D504" s="780"/>
      <c r="E504" s="781" t="s">
        <v>71</v>
      </c>
      <c r="F504" s="778"/>
      <c r="G504" s="778"/>
      <c r="H504" s="778"/>
      <c r="I504" s="778"/>
      <c r="J504" s="778"/>
      <c r="K504" s="778"/>
      <c r="L504" s="782" t="s">
        <v>71</v>
      </c>
      <c r="M504" s="782" t="s">
        <v>71</v>
      </c>
      <c r="N504" s="782"/>
      <c r="O504" s="782"/>
      <c r="P504" s="783"/>
      <c r="Q504" s="784"/>
      <c r="R504" s="783"/>
      <c r="S504" s="785"/>
      <c r="T504" s="785"/>
    </row>
    <row r="505">
      <c r="A505" s="777"/>
      <c r="B505" s="778"/>
      <c r="C505" s="779"/>
      <c r="D505" s="780"/>
      <c r="E505" s="781" t="s">
        <v>71</v>
      </c>
      <c r="F505" s="778"/>
      <c r="G505" s="778"/>
      <c r="H505" s="778"/>
      <c r="I505" s="778"/>
      <c r="J505" s="778"/>
      <c r="K505" s="778"/>
      <c r="L505" s="782" t="s">
        <v>71</v>
      </c>
      <c r="M505" s="782" t="s">
        <v>71</v>
      </c>
      <c r="N505" s="782"/>
      <c r="O505" s="782"/>
      <c r="P505" s="783"/>
      <c r="Q505" s="784"/>
      <c r="R505" s="783"/>
      <c r="S505" s="785"/>
      <c r="T505" s="785"/>
    </row>
    <row r="506">
      <c r="A506" s="777"/>
      <c r="B506" s="778"/>
      <c r="C506" s="779"/>
      <c r="D506" s="780"/>
      <c r="E506" s="781" t="s">
        <v>71</v>
      </c>
      <c r="F506" s="778"/>
      <c r="G506" s="778"/>
      <c r="H506" s="778"/>
      <c r="I506" s="778"/>
      <c r="J506" s="778"/>
      <c r="K506" s="778"/>
      <c r="L506" s="782" t="s">
        <v>71</v>
      </c>
      <c r="M506" s="782" t="s">
        <v>71</v>
      </c>
      <c r="N506" s="782"/>
      <c r="O506" s="782"/>
      <c r="P506" s="783"/>
      <c r="Q506" s="784"/>
      <c r="R506" s="783"/>
      <c r="S506" s="785"/>
      <c r="T506" s="785"/>
    </row>
    <row r="507">
      <c r="A507" s="777"/>
      <c r="B507" s="778"/>
      <c r="C507" s="779"/>
      <c r="D507" s="780"/>
      <c r="E507" s="781" t="s">
        <v>71</v>
      </c>
      <c r="F507" s="778"/>
      <c r="G507" s="778"/>
      <c r="H507" s="778"/>
      <c r="I507" s="778"/>
      <c r="J507" s="778"/>
      <c r="K507" s="778"/>
      <c r="L507" s="782" t="s">
        <v>71</v>
      </c>
      <c r="M507" s="782" t="s">
        <v>71</v>
      </c>
      <c r="N507" s="782"/>
      <c r="O507" s="782"/>
      <c r="P507" s="783"/>
      <c r="Q507" s="784"/>
      <c r="R507" s="783"/>
      <c r="S507" s="785"/>
      <c r="T507" s="785"/>
    </row>
    <row r="508">
      <c r="A508" s="777"/>
      <c r="B508" s="778"/>
      <c r="C508" s="779"/>
      <c r="D508" s="780"/>
      <c r="E508" s="781" t="s">
        <v>71</v>
      </c>
      <c r="F508" s="778"/>
      <c r="G508" s="778"/>
      <c r="H508" s="778"/>
      <c r="I508" s="778"/>
      <c r="J508" s="778"/>
      <c r="K508" s="778"/>
      <c r="L508" s="782" t="s">
        <v>71</v>
      </c>
      <c r="M508" s="782" t="s">
        <v>71</v>
      </c>
      <c r="N508" s="782"/>
      <c r="O508" s="782"/>
      <c r="P508" s="783"/>
      <c r="Q508" s="784"/>
      <c r="R508" s="783"/>
      <c r="S508" s="785"/>
      <c r="T508" s="785"/>
    </row>
    <row r="509">
      <c r="A509" s="777"/>
      <c r="B509" s="778"/>
      <c r="C509" s="779"/>
      <c r="D509" s="780"/>
      <c r="E509" s="781" t="s">
        <v>71</v>
      </c>
      <c r="F509" s="778"/>
      <c r="G509" s="778"/>
      <c r="H509" s="778"/>
      <c r="I509" s="778"/>
      <c r="J509" s="778"/>
      <c r="K509" s="778"/>
      <c r="L509" s="782" t="s">
        <v>71</v>
      </c>
      <c r="M509" s="782" t="s">
        <v>71</v>
      </c>
      <c r="N509" s="782"/>
      <c r="O509" s="782"/>
      <c r="P509" s="783"/>
      <c r="Q509" s="784"/>
      <c r="R509" s="783"/>
      <c r="S509" s="785"/>
      <c r="T509" s="785"/>
    </row>
    <row r="510">
      <c r="A510" s="777"/>
      <c r="B510" s="778"/>
      <c r="C510" s="779"/>
      <c r="D510" s="780"/>
      <c r="E510" s="781" t="s">
        <v>71</v>
      </c>
      <c r="F510" s="778"/>
      <c r="G510" s="778"/>
      <c r="H510" s="778"/>
      <c r="I510" s="778"/>
      <c r="J510" s="778"/>
      <c r="K510" s="778"/>
      <c r="L510" s="782" t="s">
        <v>71</v>
      </c>
      <c r="M510" s="782" t="s">
        <v>71</v>
      </c>
      <c r="N510" s="782"/>
      <c r="O510" s="782"/>
      <c r="P510" s="783"/>
      <c r="Q510" s="784"/>
      <c r="R510" s="783"/>
      <c r="S510" s="785"/>
      <c r="T510" s="785"/>
    </row>
    <row r="511">
      <c r="A511" s="777"/>
      <c r="B511" s="778"/>
      <c r="C511" s="779"/>
      <c r="D511" s="780"/>
      <c r="E511" s="781" t="s">
        <v>71</v>
      </c>
      <c r="F511" s="778"/>
      <c r="G511" s="778"/>
      <c r="H511" s="778"/>
      <c r="I511" s="778"/>
      <c r="J511" s="778"/>
      <c r="K511" s="778"/>
      <c r="L511" s="782" t="s">
        <v>71</v>
      </c>
      <c r="M511" s="782" t="s">
        <v>71</v>
      </c>
      <c r="N511" s="782"/>
      <c r="O511" s="782"/>
      <c r="P511" s="783"/>
      <c r="Q511" s="784"/>
      <c r="R511" s="783"/>
      <c r="S511" s="785"/>
      <c r="T511" s="785"/>
    </row>
    <row r="512">
      <c r="A512" s="777"/>
      <c r="B512" s="778"/>
      <c r="C512" s="779"/>
      <c r="D512" s="780"/>
      <c r="E512" s="781" t="s">
        <v>71</v>
      </c>
      <c r="F512" s="778"/>
      <c r="G512" s="778"/>
      <c r="H512" s="778"/>
      <c r="I512" s="778"/>
      <c r="J512" s="778"/>
      <c r="K512" s="778"/>
      <c r="L512" s="782" t="s">
        <v>71</v>
      </c>
      <c r="M512" s="782" t="s">
        <v>71</v>
      </c>
      <c r="N512" s="782"/>
      <c r="O512" s="782"/>
      <c r="P512" s="783"/>
      <c r="Q512" s="784"/>
      <c r="R512" s="783"/>
      <c r="S512" s="785"/>
      <c r="T512" s="785"/>
    </row>
    <row r="513">
      <c r="A513" s="777"/>
      <c r="B513" s="778"/>
      <c r="C513" s="779"/>
      <c r="D513" s="780"/>
      <c r="E513" s="781" t="s">
        <v>71</v>
      </c>
      <c r="F513" s="778"/>
      <c r="G513" s="778"/>
      <c r="H513" s="778"/>
      <c r="I513" s="778"/>
      <c r="J513" s="778"/>
      <c r="K513" s="778"/>
      <c r="L513" s="782" t="s">
        <v>71</v>
      </c>
      <c r="M513" s="782" t="s">
        <v>71</v>
      </c>
      <c r="N513" s="782"/>
      <c r="O513" s="782"/>
      <c r="P513" s="783"/>
      <c r="Q513" s="784"/>
      <c r="R513" s="783"/>
      <c r="S513" s="785"/>
      <c r="T513" s="785"/>
    </row>
    <row r="514">
      <c r="A514" s="777"/>
      <c r="B514" s="778"/>
      <c r="C514" s="779"/>
      <c r="D514" s="780"/>
      <c r="E514" s="781" t="s">
        <v>71</v>
      </c>
      <c r="F514" s="778"/>
      <c r="G514" s="778"/>
      <c r="H514" s="778"/>
      <c r="I514" s="778"/>
      <c r="J514" s="778"/>
      <c r="K514" s="778"/>
      <c r="L514" s="782" t="s">
        <v>71</v>
      </c>
      <c r="M514" s="782" t="s">
        <v>71</v>
      </c>
      <c r="N514" s="782"/>
      <c r="O514" s="782"/>
      <c r="P514" s="783"/>
      <c r="Q514" s="784"/>
      <c r="R514" s="783"/>
      <c r="S514" s="785"/>
      <c r="T514" s="785"/>
    </row>
    <row r="515">
      <c r="A515" s="777"/>
      <c r="B515" s="778"/>
      <c r="C515" s="779"/>
      <c r="D515" s="780"/>
      <c r="E515" s="781" t="s">
        <v>71</v>
      </c>
      <c r="F515" s="778"/>
      <c r="G515" s="778"/>
      <c r="H515" s="778"/>
      <c r="I515" s="778"/>
      <c r="J515" s="778"/>
      <c r="K515" s="778"/>
      <c r="L515" s="782" t="s">
        <v>71</v>
      </c>
      <c r="M515" s="782" t="s">
        <v>71</v>
      </c>
      <c r="N515" s="782"/>
      <c r="O515" s="782"/>
      <c r="P515" s="783"/>
      <c r="Q515" s="784"/>
      <c r="R515" s="783"/>
      <c r="S515" s="785"/>
      <c r="T515" s="785"/>
    </row>
    <row r="516">
      <c r="A516" s="777"/>
      <c r="B516" s="778"/>
      <c r="C516" s="779"/>
      <c r="D516" s="780"/>
      <c r="E516" s="781" t="s">
        <v>71</v>
      </c>
      <c r="F516" s="778"/>
      <c r="G516" s="778"/>
      <c r="H516" s="778"/>
      <c r="I516" s="778"/>
      <c r="J516" s="778"/>
      <c r="K516" s="778"/>
      <c r="L516" s="782" t="s">
        <v>71</v>
      </c>
      <c r="M516" s="782" t="s">
        <v>71</v>
      </c>
      <c r="N516" s="782"/>
      <c r="O516" s="782"/>
      <c r="P516" s="783"/>
      <c r="Q516" s="784"/>
      <c r="R516" s="783"/>
      <c r="S516" s="785"/>
      <c r="T516" s="785"/>
    </row>
    <row r="517">
      <c r="A517" s="777"/>
      <c r="B517" s="778"/>
      <c r="C517" s="779"/>
      <c r="D517" s="780"/>
      <c r="E517" s="781" t="s">
        <v>71</v>
      </c>
      <c r="F517" s="778"/>
      <c r="G517" s="778"/>
      <c r="H517" s="778"/>
      <c r="I517" s="778"/>
      <c r="J517" s="778"/>
      <c r="K517" s="778"/>
      <c r="L517" s="782" t="s">
        <v>71</v>
      </c>
      <c r="M517" s="782" t="s">
        <v>71</v>
      </c>
      <c r="N517" s="782"/>
      <c r="O517" s="782"/>
      <c r="P517" s="783"/>
      <c r="Q517" s="784"/>
      <c r="R517" s="783"/>
      <c r="S517" s="785"/>
      <c r="T517" s="785"/>
    </row>
    <row r="518">
      <c r="A518" s="777"/>
      <c r="B518" s="778"/>
      <c r="C518" s="779"/>
      <c r="D518" s="780"/>
      <c r="E518" s="781" t="s">
        <v>71</v>
      </c>
      <c r="F518" s="778"/>
      <c r="G518" s="778"/>
      <c r="H518" s="778"/>
      <c r="I518" s="778"/>
      <c r="J518" s="778"/>
      <c r="K518" s="778"/>
      <c r="L518" s="782" t="s">
        <v>71</v>
      </c>
      <c r="M518" s="782" t="s">
        <v>71</v>
      </c>
      <c r="N518" s="782"/>
      <c r="O518" s="782"/>
      <c r="P518" s="783"/>
      <c r="Q518" s="784"/>
      <c r="R518" s="783"/>
      <c r="S518" s="785"/>
      <c r="T518" s="785"/>
    </row>
    <row r="519">
      <c r="A519" s="777"/>
      <c r="B519" s="778"/>
      <c r="C519" s="779"/>
      <c r="D519" s="780"/>
      <c r="E519" s="781" t="s">
        <v>71</v>
      </c>
      <c r="F519" s="778"/>
      <c r="G519" s="778"/>
      <c r="H519" s="778"/>
      <c r="I519" s="778"/>
      <c r="J519" s="778"/>
      <c r="K519" s="778"/>
      <c r="L519" s="782" t="s">
        <v>71</v>
      </c>
      <c r="M519" s="782" t="s">
        <v>71</v>
      </c>
      <c r="N519" s="782"/>
      <c r="O519" s="782"/>
      <c r="P519" s="783"/>
      <c r="Q519" s="784"/>
      <c r="R519" s="783"/>
      <c r="S519" s="785"/>
      <c r="T519" s="785"/>
    </row>
    <row r="520">
      <c r="A520" s="777"/>
      <c r="B520" s="778"/>
      <c r="C520" s="779"/>
      <c r="D520" s="780"/>
      <c r="E520" s="781" t="s">
        <v>71</v>
      </c>
      <c r="F520" s="778"/>
      <c r="G520" s="778"/>
      <c r="H520" s="778"/>
      <c r="I520" s="778"/>
      <c r="J520" s="778"/>
      <c r="K520" s="778"/>
      <c r="L520" s="782" t="s">
        <v>71</v>
      </c>
      <c r="M520" s="782" t="s">
        <v>71</v>
      </c>
      <c r="N520" s="782"/>
      <c r="O520" s="782"/>
      <c r="P520" s="783"/>
      <c r="Q520" s="784"/>
      <c r="R520" s="783"/>
      <c r="S520" s="785"/>
      <c r="T520" s="785"/>
    </row>
    <row r="521">
      <c r="A521" s="777"/>
      <c r="B521" s="778"/>
      <c r="C521" s="779"/>
      <c r="D521" s="780"/>
      <c r="E521" s="781" t="s">
        <v>71</v>
      </c>
      <c r="F521" s="778"/>
      <c r="G521" s="778"/>
      <c r="H521" s="778"/>
      <c r="I521" s="778"/>
      <c r="J521" s="778"/>
      <c r="K521" s="778"/>
      <c r="L521" s="782" t="s">
        <v>71</v>
      </c>
      <c r="M521" s="782" t="s">
        <v>71</v>
      </c>
      <c r="N521" s="782"/>
      <c r="O521" s="782"/>
      <c r="P521" s="783"/>
      <c r="Q521" s="784"/>
      <c r="R521" s="783"/>
      <c r="S521" s="785"/>
      <c r="T521" s="785"/>
    </row>
    <row r="522">
      <c r="A522" s="777"/>
      <c r="B522" s="778"/>
      <c r="C522" s="779"/>
      <c r="D522" s="780"/>
      <c r="E522" s="781" t="s">
        <v>71</v>
      </c>
      <c r="F522" s="778"/>
      <c r="G522" s="778"/>
      <c r="H522" s="778"/>
      <c r="I522" s="778"/>
      <c r="J522" s="778"/>
      <c r="K522" s="778"/>
      <c r="L522" s="782" t="s">
        <v>71</v>
      </c>
      <c r="M522" s="782" t="s">
        <v>71</v>
      </c>
      <c r="N522" s="782"/>
      <c r="O522" s="782"/>
      <c r="P522" s="783"/>
      <c r="Q522" s="784"/>
      <c r="R522" s="783"/>
      <c r="S522" s="785"/>
      <c r="T522" s="785"/>
    </row>
    <row r="523">
      <c r="A523" s="777"/>
      <c r="B523" s="778"/>
      <c r="C523" s="779"/>
      <c r="D523" s="780"/>
      <c r="E523" s="781" t="s">
        <v>71</v>
      </c>
      <c r="F523" s="778"/>
      <c r="G523" s="778"/>
      <c r="H523" s="778"/>
      <c r="I523" s="778"/>
      <c r="J523" s="778"/>
      <c r="K523" s="778"/>
      <c r="L523" s="782" t="s">
        <v>71</v>
      </c>
      <c r="M523" s="782" t="s">
        <v>71</v>
      </c>
      <c r="N523" s="782"/>
      <c r="O523" s="782"/>
      <c r="P523" s="783"/>
      <c r="Q523" s="784"/>
      <c r="R523" s="783"/>
      <c r="S523" s="785"/>
      <c r="T523" s="785"/>
    </row>
    <row r="524">
      <c r="A524" s="777"/>
      <c r="B524" s="778"/>
      <c r="C524" s="779"/>
      <c r="D524" s="780"/>
      <c r="E524" s="781" t="s">
        <v>71</v>
      </c>
      <c r="F524" s="778"/>
      <c r="G524" s="778"/>
      <c r="H524" s="778"/>
      <c r="I524" s="778"/>
      <c r="J524" s="778"/>
      <c r="K524" s="778"/>
      <c r="L524" s="782" t="s">
        <v>71</v>
      </c>
      <c r="M524" s="782" t="s">
        <v>71</v>
      </c>
      <c r="N524" s="782"/>
      <c r="O524" s="782"/>
      <c r="P524" s="783"/>
      <c r="Q524" s="784"/>
      <c r="R524" s="783"/>
      <c r="S524" s="785"/>
      <c r="T524" s="785"/>
    </row>
    <row r="525">
      <c r="A525" s="777"/>
      <c r="B525" s="778"/>
      <c r="C525" s="779"/>
      <c r="D525" s="780"/>
      <c r="E525" s="781" t="s">
        <v>71</v>
      </c>
      <c r="F525" s="778"/>
      <c r="G525" s="778"/>
      <c r="H525" s="778"/>
      <c r="I525" s="778"/>
      <c r="J525" s="778"/>
      <c r="K525" s="778"/>
      <c r="L525" s="782" t="s">
        <v>71</v>
      </c>
      <c r="M525" s="782" t="s">
        <v>71</v>
      </c>
      <c r="N525" s="782"/>
      <c r="O525" s="782"/>
      <c r="P525" s="783"/>
      <c r="Q525" s="784"/>
      <c r="R525" s="783"/>
      <c r="S525" s="785"/>
      <c r="T525" s="785"/>
    </row>
    <row r="526">
      <c r="A526" s="777"/>
      <c r="B526" s="778"/>
      <c r="C526" s="779"/>
      <c r="D526" s="780"/>
      <c r="E526" s="781" t="s">
        <v>71</v>
      </c>
      <c r="F526" s="778"/>
      <c r="G526" s="778"/>
      <c r="H526" s="778"/>
      <c r="I526" s="778"/>
      <c r="J526" s="778"/>
      <c r="K526" s="778"/>
      <c r="L526" s="782" t="s">
        <v>71</v>
      </c>
      <c r="M526" s="782" t="s">
        <v>71</v>
      </c>
      <c r="N526" s="782"/>
      <c r="O526" s="782"/>
      <c r="P526" s="783"/>
      <c r="Q526" s="784"/>
      <c r="R526" s="783"/>
      <c r="S526" s="785"/>
      <c r="T526" s="785"/>
    </row>
    <row r="527">
      <c r="A527" s="777"/>
      <c r="B527" s="778"/>
      <c r="C527" s="779"/>
      <c r="D527" s="780"/>
      <c r="E527" s="781" t="s">
        <v>71</v>
      </c>
      <c r="F527" s="778"/>
      <c r="G527" s="778"/>
      <c r="H527" s="778"/>
      <c r="I527" s="778"/>
      <c r="J527" s="778"/>
      <c r="K527" s="778"/>
      <c r="L527" s="782" t="s">
        <v>71</v>
      </c>
      <c r="M527" s="782" t="s">
        <v>71</v>
      </c>
      <c r="N527" s="782"/>
      <c r="O527" s="782"/>
      <c r="P527" s="783"/>
      <c r="Q527" s="784"/>
      <c r="R527" s="783"/>
      <c r="S527" s="785"/>
      <c r="T527" s="785"/>
    </row>
    <row r="528">
      <c r="A528" s="777"/>
      <c r="B528" s="778"/>
      <c r="C528" s="779"/>
      <c r="D528" s="780"/>
      <c r="E528" s="781" t="s">
        <v>71</v>
      </c>
      <c r="F528" s="778"/>
      <c r="G528" s="778"/>
      <c r="H528" s="778"/>
      <c r="I528" s="778"/>
      <c r="J528" s="778"/>
      <c r="K528" s="778"/>
      <c r="L528" s="782" t="s">
        <v>71</v>
      </c>
      <c r="M528" s="782" t="s">
        <v>71</v>
      </c>
      <c r="N528" s="782"/>
      <c r="O528" s="782"/>
      <c r="P528" s="783"/>
      <c r="Q528" s="784"/>
      <c r="R528" s="783"/>
      <c r="S528" s="785"/>
      <c r="T528" s="785"/>
    </row>
    <row r="529">
      <c r="A529" s="777"/>
      <c r="B529" s="778"/>
      <c r="C529" s="779"/>
      <c r="D529" s="780"/>
      <c r="E529" s="781" t="s">
        <v>71</v>
      </c>
      <c r="F529" s="778"/>
      <c r="G529" s="778"/>
      <c r="H529" s="778"/>
      <c r="I529" s="778"/>
      <c r="J529" s="778"/>
      <c r="K529" s="778"/>
      <c r="L529" s="782" t="s">
        <v>71</v>
      </c>
      <c r="M529" s="782" t="s">
        <v>71</v>
      </c>
      <c r="N529" s="782"/>
      <c r="O529" s="782"/>
      <c r="P529" s="783"/>
      <c r="Q529" s="784"/>
      <c r="R529" s="783"/>
      <c r="S529" s="785"/>
      <c r="T529" s="785"/>
    </row>
    <row r="530">
      <c r="A530" s="777"/>
      <c r="B530" s="778"/>
      <c r="C530" s="779"/>
      <c r="D530" s="780"/>
      <c r="E530" s="781" t="s">
        <v>71</v>
      </c>
      <c r="F530" s="778"/>
      <c r="G530" s="778"/>
      <c r="H530" s="778"/>
      <c r="I530" s="778"/>
      <c r="J530" s="778"/>
      <c r="K530" s="778"/>
      <c r="L530" s="782" t="s">
        <v>71</v>
      </c>
      <c r="M530" s="782" t="s">
        <v>71</v>
      </c>
      <c r="N530" s="782"/>
      <c r="O530" s="782"/>
      <c r="P530" s="783"/>
      <c r="Q530" s="784"/>
      <c r="R530" s="783"/>
      <c r="S530" s="785"/>
      <c r="T530" s="785"/>
    </row>
    <row r="531">
      <c r="A531" s="777"/>
      <c r="B531" s="778"/>
      <c r="C531" s="779"/>
      <c r="D531" s="780"/>
      <c r="E531" s="781" t="s">
        <v>71</v>
      </c>
      <c r="F531" s="778"/>
      <c r="G531" s="778"/>
      <c r="H531" s="778"/>
      <c r="I531" s="778"/>
      <c r="J531" s="778"/>
      <c r="K531" s="778"/>
      <c r="L531" s="782" t="s">
        <v>71</v>
      </c>
      <c r="M531" s="782" t="s">
        <v>71</v>
      </c>
      <c r="N531" s="782"/>
      <c r="O531" s="782"/>
      <c r="P531" s="783"/>
      <c r="Q531" s="784"/>
      <c r="R531" s="783"/>
      <c r="S531" s="785"/>
      <c r="T531" s="785"/>
    </row>
    <row r="532">
      <c r="A532" s="777"/>
      <c r="B532" s="778"/>
      <c r="C532" s="779"/>
      <c r="D532" s="780"/>
      <c r="E532" s="781" t="s">
        <v>71</v>
      </c>
      <c r="F532" s="778"/>
      <c r="G532" s="778"/>
      <c r="H532" s="778"/>
      <c r="I532" s="778"/>
      <c r="J532" s="778"/>
      <c r="K532" s="778"/>
      <c r="L532" s="782" t="s">
        <v>71</v>
      </c>
      <c r="M532" s="782" t="s">
        <v>71</v>
      </c>
      <c r="N532" s="782"/>
      <c r="O532" s="782"/>
      <c r="P532" s="783"/>
      <c r="Q532" s="784"/>
      <c r="R532" s="783"/>
      <c r="S532" s="785"/>
      <c r="T532" s="785"/>
    </row>
    <row r="533">
      <c r="A533" s="777"/>
      <c r="B533" s="778"/>
      <c r="C533" s="779"/>
      <c r="D533" s="780"/>
      <c r="E533" s="781" t="s">
        <v>71</v>
      </c>
      <c r="F533" s="778"/>
      <c r="G533" s="778"/>
      <c r="H533" s="778"/>
      <c r="I533" s="778"/>
      <c r="J533" s="778"/>
      <c r="K533" s="778"/>
      <c r="L533" s="782" t="s">
        <v>71</v>
      </c>
      <c r="M533" s="782" t="s">
        <v>71</v>
      </c>
      <c r="N533" s="782"/>
      <c r="O533" s="782"/>
      <c r="P533" s="783"/>
      <c r="Q533" s="784"/>
      <c r="R533" s="783"/>
      <c r="S533" s="785"/>
      <c r="T533" s="785"/>
    </row>
    <row r="534">
      <c r="A534" s="777"/>
      <c r="B534" s="778"/>
      <c r="C534" s="779"/>
      <c r="D534" s="780"/>
      <c r="E534" s="781" t="s">
        <v>71</v>
      </c>
      <c r="F534" s="778"/>
      <c r="G534" s="778"/>
      <c r="H534" s="778"/>
      <c r="I534" s="778"/>
      <c r="J534" s="778"/>
      <c r="K534" s="778"/>
      <c r="L534" s="782" t="s">
        <v>71</v>
      </c>
      <c r="M534" s="782" t="s">
        <v>71</v>
      </c>
      <c r="N534" s="782"/>
      <c r="O534" s="782"/>
      <c r="P534" s="783"/>
      <c r="Q534" s="784"/>
      <c r="R534" s="783"/>
      <c r="S534" s="785"/>
      <c r="T534" s="785"/>
    </row>
    <row r="535">
      <c r="A535" s="777"/>
      <c r="B535" s="778"/>
      <c r="C535" s="779"/>
      <c r="D535" s="780"/>
      <c r="E535" s="781" t="s">
        <v>71</v>
      </c>
      <c r="F535" s="778"/>
      <c r="G535" s="778"/>
      <c r="H535" s="778"/>
      <c r="I535" s="778"/>
      <c r="J535" s="778"/>
      <c r="K535" s="778"/>
      <c r="L535" s="782" t="s">
        <v>71</v>
      </c>
      <c r="M535" s="782" t="s">
        <v>71</v>
      </c>
      <c r="N535" s="782"/>
      <c r="O535" s="782"/>
      <c r="P535" s="783"/>
      <c r="Q535" s="784"/>
      <c r="R535" s="783"/>
      <c r="S535" s="785"/>
      <c r="T535" s="785"/>
    </row>
    <row r="536">
      <c r="A536" s="777"/>
      <c r="B536" s="778"/>
      <c r="C536" s="779"/>
      <c r="D536" s="780"/>
      <c r="E536" s="781" t="s">
        <v>71</v>
      </c>
      <c r="F536" s="778"/>
      <c r="G536" s="778"/>
      <c r="H536" s="778"/>
      <c r="I536" s="778"/>
      <c r="J536" s="778"/>
      <c r="K536" s="778"/>
      <c r="L536" s="782" t="s">
        <v>71</v>
      </c>
      <c r="M536" s="782" t="s">
        <v>71</v>
      </c>
      <c r="N536" s="782"/>
      <c r="O536" s="782"/>
      <c r="P536" s="783"/>
      <c r="Q536" s="784"/>
      <c r="R536" s="783"/>
      <c r="S536" s="785"/>
      <c r="T536" s="785"/>
    </row>
    <row r="537">
      <c r="A537" s="777"/>
      <c r="B537" s="778"/>
      <c r="C537" s="779"/>
      <c r="D537" s="780"/>
      <c r="E537" s="781" t="s">
        <v>71</v>
      </c>
      <c r="F537" s="778"/>
      <c r="G537" s="778"/>
      <c r="H537" s="778"/>
      <c r="I537" s="778"/>
      <c r="J537" s="778"/>
      <c r="K537" s="778"/>
      <c r="L537" s="782" t="s">
        <v>71</v>
      </c>
      <c r="M537" s="782" t="s">
        <v>71</v>
      </c>
      <c r="N537" s="782"/>
      <c r="O537" s="782"/>
      <c r="P537" s="783"/>
      <c r="Q537" s="784"/>
      <c r="R537" s="783"/>
      <c r="S537" s="785"/>
      <c r="T537" s="785"/>
    </row>
    <row r="538">
      <c r="A538" s="777"/>
      <c r="B538" s="778"/>
      <c r="C538" s="779"/>
      <c r="D538" s="780"/>
      <c r="E538" s="781" t="s">
        <v>71</v>
      </c>
      <c r="F538" s="778"/>
      <c r="G538" s="778"/>
      <c r="H538" s="778"/>
      <c r="I538" s="778"/>
      <c r="J538" s="778"/>
      <c r="K538" s="778"/>
      <c r="L538" s="782" t="s">
        <v>71</v>
      </c>
      <c r="M538" s="782" t="s">
        <v>71</v>
      </c>
      <c r="N538" s="782"/>
      <c r="O538" s="782"/>
      <c r="P538" s="783"/>
      <c r="Q538" s="784"/>
      <c r="R538" s="783"/>
      <c r="S538" s="785"/>
      <c r="T538" s="785"/>
    </row>
    <row r="539">
      <c r="A539" s="777"/>
      <c r="B539" s="778"/>
      <c r="C539" s="779"/>
      <c r="D539" s="780"/>
      <c r="E539" s="781" t="s">
        <v>71</v>
      </c>
      <c r="F539" s="778"/>
      <c r="G539" s="778"/>
      <c r="H539" s="778"/>
      <c r="I539" s="778"/>
      <c r="J539" s="778"/>
      <c r="K539" s="778"/>
      <c r="L539" s="782" t="s">
        <v>71</v>
      </c>
      <c r="M539" s="782" t="s">
        <v>71</v>
      </c>
      <c r="N539" s="782"/>
      <c r="O539" s="782"/>
      <c r="P539" s="783"/>
      <c r="Q539" s="784"/>
      <c r="R539" s="783"/>
      <c r="S539" s="785"/>
      <c r="T539" s="785"/>
    </row>
    <row r="540">
      <c r="A540" s="777"/>
      <c r="B540" s="778"/>
      <c r="C540" s="779"/>
      <c r="D540" s="780"/>
      <c r="E540" s="781" t="s">
        <v>71</v>
      </c>
      <c r="F540" s="778"/>
      <c r="G540" s="778"/>
      <c r="H540" s="778"/>
      <c r="I540" s="778"/>
      <c r="J540" s="778"/>
      <c r="K540" s="778"/>
      <c r="L540" s="782" t="s">
        <v>71</v>
      </c>
      <c r="M540" s="782" t="s">
        <v>71</v>
      </c>
      <c r="N540" s="782"/>
      <c r="O540" s="782"/>
      <c r="P540" s="783"/>
      <c r="Q540" s="784"/>
      <c r="R540" s="783"/>
      <c r="S540" s="785"/>
      <c r="T540" s="785"/>
    </row>
    <row r="541">
      <c r="A541" s="777"/>
      <c r="B541" s="778"/>
      <c r="C541" s="779"/>
      <c r="D541" s="780"/>
      <c r="E541" s="781" t="s">
        <v>71</v>
      </c>
      <c r="F541" s="778"/>
      <c r="G541" s="778"/>
      <c r="H541" s="778"/>
      <c r="I541" s="778"/>
      <c r="J541" s="778"/>
      <c r="K541" s="778"/>
      <c r="L541" s="782" t="s">
        <v>71</v>
      </c>
      <c r="M541" s="782" t="s">
        <v>71</v>
      </c>
      <c r="N541" s="782"/>
      <c r="O541" s="782"/>
      <c r="P541" s="783"/>
      <c r="Q541" s="784"/>
      <c r="R541" s="783"/>
      <c r="S541" s="785"/>
      <c r="T541" s="785"/>
    </row>
    <row r="542">
      <c r="A542" s="777"/>
      <c r="B542" s="778"/>
      <c r="C542" s="779"/>
      <c r="D542" s="780"/>
      <c r="E542" s="781" t="s">
        <v>71</v>
      </c>
      <c r="F542" s="778"/>
      <c r="G542" s="778"/>
      <c r="H542" s="778"/>
      <c r="I542" s="778"/>
      <c r="J542" s="778"/>
      <c r="K542" s="778"/>
      <c r="L542" s="782" t="s">
        <v>71</v>
      </c>
      <c r="M542" s="782" t="s">
        <v>71</v>
      </c>
      <c r="N542" s="782"/>
      <c r="O542" s="782"/>
      <c r="P542" s="783"/>
      <c r="Q542" s="784"/>
      <c r="R542" s="783"/>
      <c r="S542" s="785"/>
      <c r="T542" s="785"/>
    </row>
    <row r="543">
      <c r="A543" s="777"/>
      <c r="B543" s="778"/>
      <c r="C543" s="779"/>
      <c r="D543" s="780"/>
      <c r="E543" s="781" t="s">
        <v>71</v>
      </c>
      <c r="F543" s="778"/>
      <c r="G543" s="778"/>
      <c r="H543" s="778"/>
      <c r="I543" s="778"/>
      <c r="J543" s="778"/>
      <c r="K543" s="778"/>
      <c r="L543" s="782" t="s">
        <v>71</v>
      </c>
      <c r="M543" s="782" t="s">
        <v>71</v>
      </c>
      <c r="N543" s="782"/>
      <c r="O543" s="782"/>
      <c r="P543" s="783"/>
      <c r="Q543" s="784"/>
      <c r="R543" s="783"/>
      <c r="S543" s="785"/>
      <c r="T543" s="785"/>
    </row>
    <row r="544">
      <c r="A544" s="777"/>
      <c r="B544" s="778"/>
      <c r="C544" s="779"/>
      <c r="D544" s="780"/>
      <c r="E544" s="781" t="s">
        <v>71</v>
      </c>
      <c r="F544" s="778"/>
      <c r="G544" s="778"/>
      <c r="H544" s="778"/>
      <c r="I544" s="778"/>
      <c r="J544" s="778"/>
      <c r="K544" s="778"/>
      <c r="L544" s="782" t="s">
        <v>71</v>
      </c>
      <c r="M544" s="782" t="s">
        <v>71</v>
      </c>
      <c r="N544" s="782"/>
      <c r="O544" s="782"/>
      <c r="P544" s="783"/>
      <c r="Q544" s="784"/>
      <c r="R544" s="783"/>
      <c r="S544" s="785"/>
      <c r="T544" s="785"/>
    </row>
    <row r="545">
      <c r="A545" s="777"/>
      <c r="B545" s="778"/>
      <c r="C545" s="779"/>
      <c r="D545" s="780"/>
      <c r="E545" s="781" t="s">
        <v>71</v>
      </c>
      <c r="F545" s="778"/>
      <c r="G545" s="778"/>
      <c r="H545" s="778"/>
      <c r="I545" s="778"/>
      <c r="J545" s="778"/>
      <c r="K545" s="778"/>
      <c r="L545" s="782" t="s">
        <v>71</v>
      </c>
      <c r="M545" s="782" t="s">
        <v>71</v>
      </c>
      <c r="N545" s="782"/>
      <c r="O545" s="782"/>
      <c r="P545" s="783"/>
      <c r="Q545" s="784"/>
      <c r="R545" s="783"/>
      <c r="S545" s="785"/>
      <c r="T545" s="785"/>
    </row>
    <row r="546">
      <c r="A546" s="777"/>
      <c r="B546" s="778"/>
      <c r="C546" s="779"/>
      <c r="D546" s="780"/>
      <c r="E546" s="781" t="s">
        <v>71</v>
      </c>
      <c r="F546" s="778"/>
      <c r="G546" s="778"/>
      <c r="H546" s="778"/>
      <c r="I546" s="778"/>
      <c r="J546" s="778"/>
      <c r="K546" s="778"/>
      <c r="L546" s="782" t="s">
        <v>71</v>
      </c>
      <c r="M546" s="782" t="s">
        <v>71</v>
      </c>
      <c r="N546" s="782"/>
      <c r="O546" s="782"/>
      <c r="P546" s="783"/>
      <c r="Q546" s="784"/>
      <c r="R546" s="783"/>
      <c r="S546" s="785"/>
      <c r="T546" s="785"/>
    </row>
    <row r="547">
      <c r="A547" s="777"/>
      <c r="B547" s="778"/>
      <c r="C547" s="779"/>
      <c r="D547" s="780"/>
      <c r="E547" s="781" t="s">
        <v>71</v>
      </c>
      <c r="F547" s="778"/>
      <c r="G547" s="778"/>
      <c r="H547" s="778"/>
      <c r="I547" s="778"/>
      <c r="J547" s="778"/>
      <c r="K547" s="778"/>
      <c r="L547" s="782" t="s">
        <v>71</v>
      </c>
      <c r="M547" s="782" t="s">
        <v>71</v>
      </c>
      <c r="N547" s="782"/>
      <c r="O547" s="782"/>
      <c r="P547" s="783"/>
      <c r="Q547" s="784"/>
      <c r="R547" s="783"/>
      <c r="S547" s="785"/>
      <c r="T547" s="785"/>
    </row>
    <row r="548">
      <c r="A548" s="777"/>
      <c r="B548" s="778"/>
      <c r="C548" s="779"/>
      <c r="D548" s="780"/>
      <c r="E548" s="781" t="s">
        <v>71</v>
      </c>
      <c r="F548" s="778"/>
      <c r="G548" s="778"/>
      <c r="H548" s="778"/>
      <c r="I548" s="778"/>
      <c r="J548" s="778"/>
      <c r="K548" s="778"/>
      <c r="L548" s="782" t="s">
        <v>71</v>
      </c>
      <c r="M548" s="782" t="s">
        <v>71</v>
      </c>
      <c r="N548" s="782"/>
      <c r="O548" s="782"/>
      <c r="P548" s="783"/>
      <c r="Q548" s="784"/>
      <c r="R548" s="783"/>
      <c r="S548" s="785"/>
      <c r="T548" s="785"/>
    </row>
    <row r="549">
      <c r="A549" s="777"/>
      <c r="B549" s="778"/>
      <c r="C549" s="779"/>
      <c r="D549" s="780"/>
      <c r="E549" s="781" t="s">
        <v>71</v>
      </c>
      <c r="F549" s="778"/>
      <c r="G549" s="778"/>
      <c r="H549" s="778"/>
      <c r="I549" s="778"/>
      <c r="J549" s="778"/>
      <c r="K549" s="778"/>
      <c r="L549" s="782" t="s">
        <v>71</v>
      </c>
      <c r="M549" s="782" t="s">
        <v>71</v>
      </c>
      <c r="N549" s="782"/>
      <c r="O549" s="782"/>
      <c r="P549" s="783"/>
      <c r="Q549" s="784"/>
      <c r="R549" s="783"/>
      <c r="S549" s="785"/>
      <c r="T549" s="785"/>
    </row>
    <row r="550">
      <c r="A550" s="777"/>
      <c r="B550" s="778"/>
      <c r="C550" s="779"/>
      <c r="D550" s="780"/>
      <c r="E550" s="781" t="s">
        <v>71</v>
      </c>
      <c r="F550" s="778"/>
      <c r="G550" s="778"/>
      <c r="H550" s="778"/>
      <c r="I550" s="778"/>
      <c r="J550" s="778"/>
      <c r="K550" s="778"/>
      <c r="L550" s="782" t="s">
        <v>71</v>
      </c>
      <c r="M550" s="782" t="s">
        <v>71</v>
      </c>
      <c r="N550" s="782"/>
      <c r="O550" s="782"/>
      <c r="P550" s="783"/>
      <c r="Q550" s="784"/>
      <c r="R550" s="783"/>
      <c r="S550" s="785"/>
      <c r="T550" s="785"/>
    </row>
    <row r="551">
      <c r="A551" s="777"/>
      <c r="B551" s="778"/>
      <c r="C551" s="779"/>
      <c r="D551" s="780"/>
      <c r="E551" s="781" t="s">
        <v>71</v>
      </c>
      <c r="F551" s="778"/>
      <c r="G551" s="778"/>
      <c r="H551" s="778"/>
      <c r="I551" s="778"/>
      <c r="J551" s="778"/>
      <c r="K551" s="778"/>
      <c r="L551" s="782" t="s">
        <v>71</v>
      </c>
      <c r="M551" s="782" t="s">
        <v>71</v>
      </c>
      <c r="N551" s="782"/>
      <c r="O551" s="782"/>
      <c r="P551" s="783"/>
      <c r="Q551" s="784"/>
      <c r="R551" s="783"/>
      <c r="S551" s="785"/>
      <c r="T551" s="785"/>
    </row>
    <row r="552">
      <c r="A552" s="777"/>
      <c r="B552" s="778"/>
      <c r="C552" s="779"/>
      <c r="D552" s="780"/>
      <c r="E552" s="781" t="s">
        <v>71</v>
      </c>
      <c r="F552" s="778"/>
      <c r="G552" s="778"/>
      <c r="H552" s="778"/>
      <c r="I552" s="778"/>
      <c r="J552" s="778"/>
      <c r="K552" s="778"/>
      <c r="L552" s="782" t="s">
        <v>71</v>
      </c>
      <c r="M552" s="782" t="s">
        <v>71</v>
      </c>
      <c r="N552" s="782"/>
      <c r="O552" s="782"/>
      <c r="P552" s="783"/>
      <c r="Q552" s="784"/>
      <c r="R552" s="783"/>
      <c r="S552" s="785"/>
      <c r="T552" s="785"/>
    </row>
    <row r="553">
      <c r="A553" s="777"/>
      <c r="B553" s="778"/>
      <c r="C553" s="779"/>
      <c r="D553" s="780"/>
      <c r="E553" s="781" t="s">
        <v>71</v>
      </c>
      <c r="F553" s="778"/>
      <c r="G553" s="778"/>
      <c r="H553" s="778"/>
      <c r="I553" s="778"/>
      <c r="J553" s="778"/>
      <c r="K553" s="778"/>
      <c r="L553" s="782" t="s">
        <v>71</v>
      </c>
      <c r="M553" s="782" t="s">
        <v>71</v>
      </c>
      <c r="N553" s="782"/>
      <c r="O553" s="782"/>
      <c r="P553" s="783"/>
      <c r="Q553" s="784"/>
      <c r="R553" s="783"/>
      <c r="S553" s="785"/>
      <c r="T553" s="785"/>
    </row>
    <row r="554">
      <c r="A554" s="777"/>
      <c r="B554" s="778"/>
      <c r="C554" s="779"/>
      <c r="D554" s="780"/>
      <c r="E554" s="781" t="s">
        <v>71</v>
      </c>
      <c r="F554" s="778"/>
      <c r="G554" s="778"/>
      <c r="H554" s="778"/>
      <c r="I554" s="778"/>
      <c r="J554" s="778"/>
      <c r="K554" s="778"/>
      <c r="L554" s="782" t="s">
        <v>71</v>
      </c>
      <c r="M554" s="782" t="s">
        <v>71</v>
      </c>
      <c r="N554" s="782"/>
      <c r="O554" s="782"/>
      <c r="P554" s="783"/>
      <c r="Q554" s="784"/>
      <c r="R554" s="783"/>
      <c r="S554" s="785"/>
      <c r="T554" s="785"/>
    </row>
    <row r="555">
      <c r="A555" s="777"/>
      <c r="B555" s="778"/>
      <c r="C555" s="779"/>
      <c r="D555" s="780"/>
      <c r="E555" s="781" t="s">
        <v>71</v>
      </c>
      <c r="F555" s="778"/>
      <c r="G555" s="778"/>
      <c r="H555" s="778"/>
      <c r="I555" s="778"/>
      <c r="J555" s="778"/>
      <c r="K555" s="778"/>
      <c r="L555" s="782" t="s">
        <v>71</v>
      </c>
      <c r="M555" s="782" t="s">
        <v>71</v>
      </c>
      <c r="N555" s="782"/>
      <c r="O555" s="782"/>
      <c r="P555" s="783"/>
      <c r="Q555" s="784"/>
      <c r="R555" s="783"/>
      <c r="S555" s="785"/>
      <c r="T555" s="785"/>
    </row>
    <row r="556">
      <c r="A556" s="777"/>
      <c r="B556" s="778"/>
      <c r="C556" s="779"/>
      <c r="D556" s="780"/>
      <c r="E556" s="781" t="s">
        <v>71</v>
      </c>
      <c r="F556" s="778"/>
      <c r="G556" s="778"/>
      <c r="H556" s="778"/>
      <c r="I556" s="778"/>
      <c r="J556" s="778"/>
      <c r="K556" s="778"/>
      <c r="L556" s="782" t="s">
        <v>71</v>
      </c>
      <c r="M556" s="782" t="s">
        <v>71</v>
      </c>
      <c r="N556" s="782"/>
      <c r="O556" s="782"/>
      <c r="P556" s="783"/>
      <c r="Q556" s="784"/>
      <c r="R556" s="783"/>
      <c r="S556" s="785"/>
      <c r="T556" s="785"/>
    </row>
    <row r="557">
      <c r="A557" s="777"/>
      <c r="B557" s="778"/>
      <c r="C557" s="779"/>
      <c r="D557" s="780"/>
      <c r="E557" s="781" t="s">
        <v>71</v>
      </c>
      <c r="F557" s="778"/>
      <c r="G557" s="778"/>
      <c r="H557" s="778"/>
      <c r="I557" s="778"/>
      <c r="J557" s="778"/>
      <c r="K557" s="778"/>
      <c r="L557" s="782" t="s">
        <v>71</v>
      </c>
      <c r="M557" s="782" t="s">
        <v>71</v>
      </c>
      <c r="N557" s="782"/>
      <c r="O557" s="782"/>
      <c r="P557" s="783"/>
      <c r="Q557" s="784"/>
      <c r="R557" s="783"/>
      <c r="S557" s="785"/>
      <c r="T557" s="785"/>
    </row>
    <row r="558">
      <c r="A558" s="777"/>
      <c r="B558" s="778"/>
      <c r="C558" s="779"/>
      <c r="D558" s="780"/>
      <c r="E558" s="781" t="s">
        <v>71</v>
      </c>
      <c r="F558" s="778"/>
      <c r="G558" s="778"/>
      <c r="H558" s="778"/>
      <c r="I558" s="778"/>
      <c r="J558" s="778"/>
      <c r="K558" s="778"/>
      <c r="L558" s="782" t="s">
        <v>71</v>
      </c>
      <c r="M558" s="782" t="s">
        <v>71</v>
      </c>
      <c r="N558" s="782"/>
      <c r="O558" s="782"/>
      <c r="P558" s="783"/>
      <c r="Q558" s="784"/>
      <c r="R558" s="783"/>
      <c r="S558" s="785"/>
      <c r="T558" s="785"/>
    </row>
    <row r="559">
      <c r="A559" s="777"/>
      <c r="B559" s="778"/>
      <c r="C559" s="779"/>
      <c r="D559" s="780"/>
      <c r="E559" s="781" t="s">
        <v>71</v>
      </c>
      <c r="F559" s="778"/>
      <c r="G559" s="778"/>
      <c r="H559" s="778"/>
      <c r="I559" s="778"/>
      <c r="J559" s="778"/>
      <c r="K559" s="778"/>
      <c r="L559" s="782" t="s">
        <v>71</v>
      </c>
      <c r="M559" s="782" t="s">
        <v>71</v>
      </c>
      <c r="N559" s="782"/>
      <c r="O559" s="782"/>
      <c r="P559" s="783"/>
      <c r="Q559" s="784"/>
      <c r="R559" s="783"/>
      <c r="S559" s="785"/>
      <c r="T559" s="785"/>
    </row>
    <row r="560">
      <c r="A560" s="777"/>
      <c r="B560" s="778"/>
      <c r="C560" s="779"/>
      <c r="D560" s="780"/>
      <c r="E560" s="781" t="s">
        <v>71</v>
      </c>
      <c r="F560" s="778"/>
      <c r="G560" s="778"/>
      <c r="H560" s="778"/>
      <c r="I560" s="778"/>
      <c r="J560" s="778"/>
      <c r="K560" s="778"/>
      <c r="L560" s="782" t="s">
        <v>71</v>
      </c>
      <c r="M560" s="782" t="s">
        <v>71</v>
      </c>
      <c r="N560" s="782"/>
      <c r="O560" s="782"/>
      <c r="P560" s="783"/>
      <c r="Q560" s="784"/>
      <c r="R560" s="783"/>
      <c r="S560" s="785"/>
      <c r="T560" s="785"/>
    </row>
    <row r="561">
      <c r="A561" s="777"/>
      <c r="B561" s="778"/>
      <c r="C561" s="779"/>
      <c r="D561" s="780"/>
      <c r="E561" s="781" t="s">
        <v>71</v>
      </c>
      <c r="F561" s="778"/>
      <c r="G561" s="778"/>
      <c r="H561" s="778"/>
      <c r="I561" s="778"/>
      <c r="J561" s="778"/>
      <c r="K561" s="778"/>
      <c r="L561" s="782" t="s">
        <v>71</v>
      </c>
      <c r="M561" s="782" t="s">
        <v>71</v>
      </c>
      <c r="N561" s="782"/>
      <c r="O561" s="782"/>
      <c r="P561" s="783"/>
      <c r="Q561" s="784"/>
      <c r="R561" s="783"/>
      <c r="S561" s="785"/>
      <c r="T561" s="785"/>
    </row>
    <row r="562">
      <c r="A562" s="777"/>
      <c r="B562" s="778"/>
      <c r="C562" s="779"/>
      <c r="D562" s="780"/>
      <c r="E562" s="781" t="s">
        <v>71</v>
      </c>
      <c r="F562" s="778"/>
      <c r="G562" s="778"/>
      <c r="H562" s="778"/>
      <c r="I562" s="778"/>
      <c r="J562" s="778"/>
      <c r="K562" s="778"/>
      <c r="L562" s="782" t="s">
        <v>71</v>
      </c>
      <c r="M562" s="782" t="s">
        <v>71</v>
      </c>
      <c r="N562" s="782"/>
      <c r="O562" s="782"/>
      <c r="P562" s="783"/>
      <c r="Q562" s="784"/>
      <c r="R562" s="783"/>
      <c r="S562" s="785"/>
      <c r="T562" s="785"/>
    </row>
    <row r="563">
      <c r="A563" s="777"/>
      <c r="B563" s="778"/>
      <c r="C563" s="779"/>
      <c r="D563" s="780"/>
      <c r="E563" s="781" t="s">
        <v>71</v>
      </c>
      <c r="F563" s="778"/>
      <c r="G563" s="778"/>
      <c r="H563" s="778"/>
      <c r="I563" s="778"/>
      <c r="J563" s="778"/>
      <c r="K563" s="778"/>
      <c r="L563" s="782" t="s">
        <v>71</v>
      </c>
      <c r="M563" s="782" t="s">
        <v>71</v>
      </c>
      <c r="N563" s="782"/>
      <c r="O563" s="782"/>
      <c r="P563" s="783"/>
      <c r="Q563" s="784"/>
      <c r="R563" s="783"/>
      <c r="S563" s="785"/>
      <c r="T563" s="785"/>
    </row>
    <row r="564">
      <c r="A564" s="777"/>
      <c r="B564" s="778"/>
      <c r="C564" s="779"/>
      <c r="D564" s="780"/>
      <c r="E564" s="781" t="s">
        <v>71</v>
      </c>
      <c r="F564" s="778"/>
      <c r="G564" s="778"/>
      <c r="H564" s="778"/>
      <c r="I564" s="778"/>
      <c r="J564" s="778"/>
      <c r="K564" s="778"/>
      <c r="L564" s="782" t="s">
        <v>71</v>
      </c>
      <c r="M564" s="782" t="s">
        <v>71</v>
      </c>
      <c r="N564" s="782"/>
      <c r="O564" s="782"/>
      <c r="P564" s="783"/>
      <c r="Q564" s="784"/>
      <c r="R564" s="783"/>
      <c r="S564" s="785"/>
      <c r="T564" s="785"/>
    </row>
    <row r="565">
      <c r="A565" s="777"/>
      <c r="B565" s="778"/>
      <c r="C565" s="779"/>
      <c r="D565" s="780"/>
      <c r="E565" s="781" t="s">
        <v>71</v>
      </c>
      <c r="F565" s="778"/>
      <c r="G565" s="778"/>
      <c r="H565" s="778"/>
      <c r="I565" s="778"/>
      <c r="J565" s="778"/>
      <c r="K565" s="778"/>
      <c r="L565" s="782" t="s">
        <v>71</v>
      </c>
      <c r="M565" s="782" t="s">
        <v>71</v>
      </c>
      <c r="N565" s="782"/>
      <c r="O565" s="782"/>
      <c r="P565" s="783"/>
      <c r="Q565" s="784"/>
      <c r="R565" s="783"/>
      <c r="S565" s="785"/>
      <c r="T565" s="785"/>
    </row>
    <row r="566">
      <c r="A566" s="777"/>
      <c r="B566" s="778"/>
      <c r="C566" s="779"/>
      <c r="D566" s="780"/>
      <c r="E566" s="781" t="s">
        <v>71</v>
      </c>
      <c r="F566" s="778"/>
      <c r="G566" s="778"/>
      <c r="H566" s="778"/>
      <c r="I566" s="778"/>
      <c r="J566" s="778"/>
      <c r="K566" s="778"/>
      <c r="L566" s="782" t="s">
        <v>71</v>
      </c>
      <c r="M566" s="782" t="s">
        <v>71</v>
      </c>
      <c r="N566" s="782"/>
      <c r="O566" s="782"/>
      <c r="P566" s="783"/>
      <c r="Q566" s="784"/>
      <c r="R566" s="783"/>
      <c r="S566" s="785"/>
      <c r="T566" s="785"/>
    </row>
    <row r="567">
      <c r="A567" s="777"/>
      <c r="B567" s="778"/>
      <c r="C567" s="779"/>
      <c r="D567" s="780"/>
      <c r="E567" s="781" t="s">
        <v>71</v>
      </c>
      <c r="F567" s="778"/>
      <c r="G567" s="778"/>
      <c r="H567" s="778"/>
      <c r="I567" s="778"/>
      <c r="J567" s="778"/>
      <c r="K567" s="778"/>
      <c r="L567" s="782" t="s">
        <v>71</v>
      </c>
      <c r="M567" s="782" t="s">
        <v>71</v>
      </c>
      <c r="N567" s="782"/>
      <c r="O567" s="782"/>
      <c r="P567" s="783"/>
      <c r="Q567" s="784"/>
      <c r="R567" s="783"/>
      <c r="S567" s="785"/>
      <c r="T567" s="785"/>
    </row>
    <row r="568">
      <c r="A568" s="777"/>
      <c r="B568" s="778"/>
      <c r="C568" s="779"/>
      <c r="D568" s="780"/>
      <c r="E568" s="781" t="s">
        <v>71</v>
      </c>
      <c r="F568" s="778"/>
      <c r="G568" s="778"/>
      <c r="H568" s="778"/>
      <c r="I568" s="778"/>
      <c r="J568" s="778"/>
      <c r="K568" s="778"/>
      <c r="L568" s="782" t="s">
        <v>71</v>
      </c>
      <c r="M568" s="782" t="s">
        <v>71</v>
      </c>
      <c r="N568" s="782"/>
      <c r="O568" s="782"/>
      <c r="P568" s="783"/>
      <c r="Q568" s="784"/>
      <c r="R568" s="783"/>
      <c r="S568" s="785"/>
      <c r="T568" s="785"/>
    </row>
    <row r="569">
      <c r="A569" s="777"/>
      <c r="B569" s="778"/>
      <c r="C569" s="779"/>
      <c r="D569" s="780"/>
      <c r="E569" s="781" t="s">
        <v>71</v>
      </c>
      <c r="F569" s="778"/>
      <c r="G569" s="778"/>
      <c r="H569" s="778"/>
      <c r="I569" s="778"/>
      <c r="J569" s="778"/>
      <c r="K569" s="778"/>
      <c r="L569" s="782" t="s">
        <v>71</v>
      </c>
      <c r="M569" s="782" t="s">
        <v>71</v>
      </c>
      <c r="N569" s="782"/>
      <c r="O569" s="782"/>
      <c r="P569" s="783"/>
      <c r="Q569" s="784"/>
      <c r="R569" s="783"/>
      <c r="S569" s="785"/>
      <c r="T569" s="785"/>
    </row>
    <row r="570">
      <c r="A570" s="777"/>
      <c r="B570" s="778"/>
      <c r="C570" s="779"/>
      <c r="D570" s="780"/>
      <c r="E570" s="781" t="s">
        <v>71</v>
      </c>
      <c r="F570" s="778"/>
      <c r="G570" s="778"/>
      <c r="H570" s="778"/>
      <c r="I570" s="778"/>
      <c r="J570" s="778"/>
      <c r="K570" s="778"/>
      <c r="L570" s="782" t="s">
        <v>71</v>
      </c>
      <c r="M570" s="782" t="s">
        <v>71</v>
      </c>
      <c r="N570" s="782"/>
      <c r="O570" s="782"/>
      <c r="P570" s="783"/>
      <c r="Q570" s="784"/>
      <c r="R570" s="783"/>
      <c r="S570" s="785"/>
      <c r="T570" s="785"/>
    </row>
    <row r="571">
      <c r="A571" s="777"/>
      <c r="B571" s="778"/>
      <c r="C571" s="779"/>
      <c r="D571" s="780"/>
      <c r="E571" s="781" t="s">
        <v>71</v>
      </c>
      <c r="F571" s="778"/>
      <c r="G571" s="778"/>
      <c r="H571" s="778"/>
      <c r="I571" s="778"/>
      <c r="J571" s="778"/>
      <c r="K571" s="778"/>
      <c r="L571" s="782" t="s">
        <v>71</v>
      </c>
      <c r="M571" s="782" t="s">
        <v>71</v>
      </c>
      <c r="N571" s="782"/>
      <c r="O571" s="782"/>
      <c r="P571" s="783"/>
      <c r="Q571" s="784"/>
      <c r="R571" s="783"/>
      <c r="S571" s="785"/>
      <c r="T571" s="785"/>
    </row>
    <row r="572">
      <c r="A572" s="777"/>
      <c r="B572" s="778"/>
      <c r="C572" s="779"/>
      <c r="D572" s="780"/>
      <c r="E572" s="781" t="s">
        <v>71</v>
      </c>
      <c r="F572" s="778"/>
      <c r="G572" s="778"/>
      <c r="H572" s="778"/>
      <c r="I572" s="778"/>
      <c r="J572" s="778"/>
      <c r="K572" s="778"/>
      <c r="L572" s="782" t="s">
        <v>71</v>
      </c>
      <c r="M572" s="782" t="s">
        <v>71</v>
      </c>
      <c r="N572" s="782"/>
      <c r="O572" s="782"/>
      <c r="P572" s="783"/>
      <c r="Q572" s="784"/>
      <c r="R572" s="783"/>
      <c r="S572" s="785"/>
      <c r="T572" s="785"/>
    </row>
    <row r="573">
      <c r="A573" s="777"/>
      <c r="B573" s="778"/>
      <c r="C573" s="779"/>
      <c r="D573" s="780"/>
      <c r="E573" s="781" t="s">
        <v>71</v>
      </c>
      <c r="F573" s="778"/>
      <c r="G573" s="778"/>
      <c r="H573" s="778"/>
      <c r="I573" s="778"/>
      <c r="J573" s="778"/>
      <c r="K573" s="778"/>
      <c r="L573" s="782" t="s">
        <v>71</v>
      </c>
      <c r="M573" s="782" t="s">
        <v>71</v>
      </c>
      <c r="N573" s="782"/>
      <c r="O573" s="782"/>
      <c r="P573" s="783"/>
      <c r="Q573" s="784"/>
      <c r="R573" s="783"/>
      <c r="S573" s="785"/>
      <c r="T573" s="785"/>
    </row>
    <row r="574">
      <c r="A574" s="777"/>
      <c r="B574" s="778"/>
      <c r="C574" s="779"/>
      <c r="D574" s="780"/>
      <c r="E574" s="781" t="s">
        <v>71</v>
      </c>
      <c r="F574" s="778"/>
      <c r="G574" s="778"/>
      <c r="H574" s="778"/>
      <c r="I574" s="778"/>
      <c r="J574" s="778"/>
      <c r="K574" s="778"/>
      <c r="L574" s="782" t="s">
        <v>71</v>
      </c>
      <c r="M574" s="782" t="s">
        <v>71</v>
      </c>
      <c r="N574" s="782"/>
      <c r="O574" s="782"/>
      <c r="P574" s="783"/>
      <c r="Q574" s="784"/>
      <c r="R574" s="783"/>
      <c r="S574" s="785"/>
      <c r="T574" s="785"/>
    </row>
    <row r="575">
      <c r="A575" s="777"/>
      <c r="B575" s="778"/>
      <c r="C575" s="779"/>
      <c r="D575" s="780"/>
      <c r="E575" s="781" t="s">
        <v>71</v>
      </c>
      <c r="F575" s="778"/>
      <c r="G575" s="778"/>
      <c r="H575" s="778"/>
      <c r="I575" s="778"/>
      <c r="J575" s="778"/>
      <c r="K575" s="778"/>
      <c r="L575" s="782" t="s">
        <v>71</v>
      </c>
      <c r="M575" s="782" t="s">
        <v>71</v>
      </c>
      <c r="N575" s="782"/>
      <c r="O575" s="782"/>
      <c r="P575" s="783"/>
      <c r="Q575" s="784"/>
      <c r="R575" s="783"/>
      <c r="S575" s="785"/>
      <c r="T575" s="785"/>
    </row>
    <row r="576">
      <c r="A576" s="777"/>
      <c r="B576" s="778"/>
      <c r="C576" s="779"/>
      <c r="D576" s="780"/>
      <c r="E576" s="781" t="s">
        <v>71</v>
      </c>
      <c r="F576" s="778"/>
      <c r="G576" s="778"/>
      <c r="H576" s="778"/>
      <c r="I576" s="778"/>
      <c r="J576" s="778"/>
      <c r="K576" s="778"/>
      <c r="L576" s="782" t="s">
        <v>71</v>
      </c>
      <c r="M576" s="782" t="s">
        <v>71</v>
      </c>
      <c r="N576" s="782"/>
      <c r="O576" s="782"/>
      <c r="P576" s="783"/>
      <c r="Q576" s="784"/>
      <c r="R576" s="783"/>
      <c r="S576" s="785"/>
      <c r="T576" s="785"/>
    </row>
    <row r="577">
      <c r="A577" s="777"/>
      <c r="B577" s="778"/>
      <c r="C577" s="779"/>
      <c r="D577" s="780"/>
      <c r="E577" s="781" t="s">
        <v>71</v>
      </c>
      <c r="F577" s="778"/>
      <c r="G577" s="778"/>
      <c r="H577" s="778"/>
      <c r="I577" s="778"/>
      <c r="J577" s="778"/>
      <c r="K577" s="778"/>
      <c r="L577" s="782" t="s">
        <v>71</v>
      </c>
      <c r="M577" s="782" t="s">
        <v>71</v>
      </c>
      <c r="N577" s="782"/>
      <c r="O577" s="782"/>
      <c r="P577" s="783"/>
      <c r="Q577" s="784"/>
      <c r="R577" s="783"/>
      <c r="S577" s="785"/>
      <c r="T577" s="785"/>
    </row>
    <row r="578">
      <c r="A578" s="777"/>
      <c r="B578" s="778"/>
      <c r="C578" s="779"/>
      <c r="D578" s="780"/>
      <c r="E578" s="781" t="s">
        <v>71</v>
      </c>
      <c r="F578" s="778"/>
      <c r="G578" s="778"/>
      <c r="H578" s="778"/>
      <c r="I578" s="778"/>
      <c r="J578" s="778"/>
      <c r="K578" s="778"/>
      <c r="L578" s="782" t="s">
        <v>71</v>
      </c>
      <c r="M578" s="782" t="s">
        <v>71</v>
      </c>
      <c r="N578" s="782"/>
      <c r="O578" s="782"/>
      <c r="P578" s="783"/>
      <c r="Q578" s="784"/>
      <c r="R578" s="783"/>
      <c r="S578" s="785"/>
      <c r="T578" s="785"/>
    </row>
    <row r="579">
      <c r="A579" s="777"/>
      <c r="B579" s="778"/>
      <c r="C579" s="779"/>
      <c r="D579" s="780"/>
      <c r="E579" s="781" t="s">
        <v>71</v>
      </c>
      <c r="F579" s="778"/>
      <c r="G579" s="778"/>
      <c r="H579" s="778"/>
      <c r="I579" s="778"/>
      <c r="J579" s="778"/>
      <c r="K579" s="778"/>
      <c r="L579" s="782" t="s">
        <v>71</v>
      </c>
      <c r="M579" s="782" t="s">
        <v>71</v>
      </c>
      <c r="N579" s="782"/>
      <c r="O579" s="782"/>
      <c r="P579" s="783"/>
      <c r="Q579" s="784"/>
      <c r="R579" s="783"/>
      <c r="S579" s="785"/>
      <c r="T579" s="785"/>
    </row>
    <row r="580">
      <c r="A580" s="777"/>
      <c r="B580" s="778"/>
      <c r="C580" s="779"/>
      <c r="D580" s="780"/>
      <c r="E580" s="781" t="s">
        <v>71</v>
      </c>
      <c r="F580" s="778"/>
      <c r="G580" s="778"/>
      <c r="H580" s="778"/>
      <c r="I580" s="778"/>
      <c r="J580" s="778"/>
      <c r="K580" s="778"/>
      <c r="L580" s="782" t="s">
        <v>71</v>
      </c>
      <c r="M580" s="782" t="s">
        <v>71</v>
      </c>
      <c r="N580" s="782"/>
      <c r="O580" s="782"/>
      <c r="P580" s="783"/>
      <c r="Q580" s="784"/>
      <c r="R580" s="783"/>
      <c r="S580" s="785"/>
      <c r="T580" s="785"/>
    </row>
    <row r="581">
      <c r="A581" s="777"/>
      <c r="B581" s="778"/>
      <c r="C581" s="779"/>
      <c r="D581" s="780"/>
      <c r="E581" s="781" t="s">
        <v>71</v>
      </c>
      <c r="F581" s="778"/>
      <c r="G581" s="778"/>
      <c r="H581" s="778"/>
      <c r="I581" s="778"/>
      <c r="J581" s="778"/>
      <c r="K581" s="778"/>
      <c r="L581" s="782" t="s">
        <v>71</v>
      </c>
      <c r="M581" s="782" t="s">
        <v>71</v>
      </c>
      <c r="N581" s="782"/>
      <c r="O581" s="782"/>
      <c r="P581" s="783"/>
      <c r="Q581" s="784"/>
      <c r="R581" s="783"/>
      <c r="S581" s="785"/>
      <c r="T581" s="785"/>
    </row>
    <row r="582">
      <c r="A582" s="777"/>
      <c r="B582" s="778"/>
      <c r="C582" s="779"/>
      <c r="D582" s="780"/>
      <c r="E582" s="781" t="s">
        <v>71</v>
      </c>
      <c r="F582" s="778"/>
      <c r="G582" s="778"/>
      <c r="H582" s="778"/>
      <c r="I582" s="778"/>
      <c r="J582" s="778"/>
      <c r="K582" s="778"/>
      <c r="L582" s="782" t="s">
        <v>71</v>
      </c>
      <c r="M582" s="782" t="s">
        <v>71</v>
      </c>
      <c r="N582" s="782"/>
      <c r="O582" s="782"/>
      <c r="P582" s="783"/>
      <c r="Q582" s="784"/>
      <c r="R582" s="783"/>
      <c r="S582" s="785"/>
      <c r="T582" s="785"/>
    </row>
    <row r="583">
      <c r="A583" s="777"/>
      <c r="B583" s="778"/>
      <c r="C583" s="779"/>
      <c r="D583" s="780"/>
      <c r="E583" s="781" t="s">
        <v>71</v>
      </c>
      <c r="F583" s="778"/>
      <c r="G583" s="778"/>
      <c r="H583" s="778"/>
      <c r="I583" s="778"/>
      <c r="J583" s="778"/>
      <c r="K583" s="778"/>
      <c r="L583" s="782" t="s">
        <v>71</v>
      </c>
      <c r="M583" s="782" t="s">
        <v>71</v>
      </c>
      <c r="N583" s="782"/>
      <c r="O583" s="782"/>
      <c r="P583" s="783"/>
      <c r="Q583" s="784"/>
      <c r="R583" s="783"/>
      <c r="S583" s="785"/>
      <c r="T583" s="785"/>
    </row>
    <row r="584">
      <c r="A584" s="777"/>
      <c r="B584" s="778"/>
      <c r="C584" s="779"/>
      <c r="D584" s="780"/>
      <c r="E584" s="781" t="s">
        <v>71</v>
      </c>
      <c r="F584" s="778"/>
      <c r="G584" s="778"/>
      <c r="H584" s="778"/>
      <c r="I584" s="778"/>
      <c r="J584" s="778"/>
      <c r="K584" s="778"/>
      <c r="L584" s="782" t="s">
        <v>71</v>
      </c>
      <c r="M584" s="782" t="s">
        <v>71</v>
      </c>
      <c r="N584" s="782"/>
      <c r="O584" s="782"/>
      <c r="P584" s="783"/>
      <c r="Q584" s="784"/>
      <c r="R584" s="783"/>
      <c r="S584" s="785"/>
      <c r="T584" s="785"/>
    </row>
    <row r="585">
      <c r="A585" s="777"/>
      <c r="B585" s="778"/>
      <c r="C585" s="779"/>
      <c r="D585" s="780"/>
      <c r="E585" s="781" t="s">
        <v>71</v>
      </c>
      <c r="F585" s="778"/>
      <c r="G585" s="778"/>
      <c r="H585" s="778"/>
      <c r="I585" s="778"/>
      <c r="J585" s="778"/>
      <c r="K585" s="778"/>
      <c r="L585" s="782" t="s">
        <v>71</v>
      </c>
      <c r="M585" s="782" t="s">
        <v>71</v>
      </c>
      <c r="N585" s="782"/>
      <c r="O585" s="782"/>
      <c r="P585" s="783"/>
      <c r="Q585" s="784"/>
      <c r="R585" s="783"/>
      <c r="S585" s="785"/>
      <c r="T585" s="785"/>
    </row>
    <row r="586">
      <c r="A586" s="777"/>
      <c r="B586" s="778"/>
      <c r="C586" s="779"/>
      <c r="D586" s="780"/>
      <c r="E586" s="781" t="s">
        <v>71</v>
      </c>
      <c r="F586" s="778"/>
      <c r="G586" s="778"/>
      <c r="H586" s="778"/>
      <c r="I586" s="778"/>
      <c r="J586" s="778"/>
      <c r="K586" s="778"/>
      <c r="L586" s="782" t="s">
        <v>71</v>
      </c>
      <c r="M586" s="782" t="s">
        <v>71</v>
      </c>
      <c r="N586" s="782"/>
      <c r="O586" s="782"/>
      <c r="P586" s="783"/>
      <c r="Q586" s="784"/>
      <c r="R586" s="783"/>
      <c r="S586" s="785"/>
      <c r="T586" s="785"/>
    </row>
    <row r="587">
      <c r="A587" s="777"/>
      <c r="B587" s="778"/>
      <c r="C587" s="779"/>
      <c r="D587" s="780"/>
      <c r="E587" s="781" t="s">
        <v>71</v>
      </c>
      <c r="F587" s="778"/>
      <c r="G587" s="778"/>
      <c r="H587" s="778"/>
      <c r="I587" s="778"/>
      <c r="J587" s="778"/>
      <c r="K587" s="778"/>
      <c r="L587" s="782" t="s">
        <v>71</v>
      </c>
      <c r="M587" s="782" t="s">
        <v>71</v>
      </c>
      <c r="N587" s="782"/>
      <c r="O587" s="782"/>
      <c r="P587" s="783"/>
      <c r="Q587" s="784"/>
      <c r="R587" s="783"/>
      <c r="S587" s="785"/>
      <c r="T587" s="785"/>
    </row>
    <row r="588">
      <c r="A588" s="777"/>
      <c r="B588" s="778"/>
      <c r="C588" s="779"/>
      <c r="D588" s="780"/>
      <c r="E588" s="781" t="s">
        <v>71</v>
      </c>
      <c r="F588" s="778"/>
      <c r="G588" s="778"/>
      <c r="H588" s="778"/>
      <c r="I588" s="778"/>
      <c r="J588" s="778"/>
      <c r="K588" s="778"/>
      <c r="L588" s="782" t="s">
        <v>71</v>
      </c>
      <c r="M588" s="782" t="s">
        <v>71</v>
      </c>
      <c r="N588" s="782"/>
      <c r="O588" s="782"/>
      <c r="P588" s="783"/>
      <c r="Q588" s="784"/>
      <c r="R588" s="783"/>
      <c r="S588" s="785"/>
      <c r="T588" s="785"/>
    </row>
    <row r="589">
      <c r="A589" s="777"/>
      <c r="B589" s="778"/>
      <c r="C589" s="779"/>
      <c r="D589" s="780"/>
      <c r="E589" s="781" t="s">
        <v>71</v>
      </c>
      <c r="F589" s="778"/>
      <c r="G589" s="778"/>
      <c r="H589" s="778"/>
      <c r="I589" s="778"/>
      <c r="J589" s="778"/>
      <c r="K589" s="778"/>
      <c r="L589" s="782" t="s">
        <v>71</v>
      </c>
      <c r="M589" s="782" t="s">
        <v>71</v>
      </c>
      <c r="N589" s="782"/>
      <c r="O589" s="782"/>
      <c r="P589" s="783"/>
      <c r="Q589" s="784"/>
      <c r="R589" s="783"/>
      <c r="S589" s="785"/>
      <c r="T589" s="785"/>
    </row>
    <row r="590">
      <c r="A590" s="777"/>
      <c r="B590" s="778"/>
      <c r="C590" s="779"/>
      <c r="D590" s="780"/>
      <c r="E590" s="781" t="s">
        <v>71</v>
      </c>
      <c r="F590" s="778"/>
      <c r="G590" s="778"/>
      <c r="H590" s="778"/>
      <c r="I590" s="778"/>
      <c r="J590" s="778"/>
      <c r="K590" s="778"/>
      <c r="L590" s="782" t="s">
        <v>71</v>
      </c>
      <c r="M590" s="782" t="s">
        <v>71</v>
      </c>
      <c r="N590" s="782"/>
      <c r="O590" s="782"/>
      <c r="P590" s="783"/>
      <c r="Q590" s="784"/>
      <c r="R590" s="783"/>
      <c r="S590" s="785"/>
      <c r="T590" s="785"/>
    </row>
    <row r="591">
      <c r="A591" s="777"/>
      <c r="B591" s="778"/>
      <c r="C591" s="779"/>
      <c r="D591" s="780"/>
      <c r="E591" s="781" t="s">
        <v>71</v>
      </c>
      <c r="F591" s="778"/>
      <c r="G591" s="778"/>
      <c r="H591" s="778"/>
      <c r="I591" s="778"/>
      <c r="J591" s="778"/>
      <c r="K591" s="778"/>
      <c r="L591" s="782" t="s">
        <v>71</v>
      </c>
      <c r="M591" s="782" t="s">
        <v>71</v>
      </c>
      <c r="N591" s="782"/>
      <c r="O591" s="782"/>
      <c r="P591" s="783"/>
      <c r="Q591" s="784"/>
      <c r="R591" s="783"/>
      <c r="S591" s="785"/>
      <c r="T591" s="785"/>
    </row>
    <row r="592">
      <c r="A592" s="777"/>
      <c r="B592" s="778"/>
      <c r="C592" s="779"/>
      <c r="D592" s="780"/>
      <c r="E592" s="781" t="s">
        <v>71</v>
      </c>
      <c r="F592" s="778"/>
      <c r="G592" s="778"/>
      <c r="H592" s="778"/>
      <c r="I592" s="778"/>
      <c r="J592" s="778"/>
      <c r="K592" s="778"/>
      <c r="L592" s="782" t="s">
        <v>71</v>
      </c>
      <c r="M592" s="782" t="s">
        <v>71</v>
      </c>
      <c r="N592" s="782"/>
      <c r="O592" s="782"/>
      <c r="P592" s="783"/>
      <c r="Q592" s="784"/>
      <c r="R592" s="783"/>
      <c r="S592" s="785"/>
      <c r="T592" s="785"/>
    </row>
    <row r="593">
      <c r="A593" s="777"/>
      <c r="B593" s="778"/>
      <c r="C593" s="779"/>
      <c r="D593" s="780"/>
      <c r="E593" s="781" t="s">
        <v>71</v>
      </c>
      <c r="F593" s="778"/>
      <c r="G593" s="778"/>
      <c r="H593" s="778"/>
      <c r="I593" s="778"/>
      <c r="J593" s="778"/>
      <c r="K593" s="778"/>
      <c r="L593" s="782" t="s">
        <v>71</v>
      </c>
      <c r="M593" s="782" t="s">
        <v>71</v>
      </c>
      <c r="N593" s="782"/>
      <c r="O593" s="782"/>
      <c r="P593" s="783"/>
      <c r="Q593" s="784"/>
      <c r="R593" s="783"/>
      <c r="S593" s="785"/>
      <c r="T593" s="785"/>
    </row>
    <row r="594">
      <c r="A594" s="777"/>
      <c r="B594" s="778"/>
      <c r="C594" s="779"/>
      <c r="D594" s="780"/>
      <c r="E594" s="781" t="s">
        <v>71</v>
      </c>
      <c r="F594" s="778"/>
      <c r="G594" s="778"/>
      <c r="H594" s="778"/>
      <c r="I594" s="778"/>
      <c r="J594" s="778"/>
      <c r="K594" s="778"/>
      <c r="L594" s="782" t="s">
        <v>71</v>
      </c>
      <c r="M594" s="782" t="s">
        <v>71</v>
      </c>
      <c r="N594" s="782"/>
      <c r="O594" s="782"/>
      <c r="P594" s="783"/>
      <c r="Q594" s="784"/>
      <c r="R594" s="783"/>
      <c r="S594" s="785"/>
      <c r="T594" s="785"/>
    </row>
    <row r="595">
      <c r="A595" s="777"/>
      <c r="B595" s="778"/>
      <c r="C595" s="779"/>
      <c r="D595" s="780"/>
      <c r="E595" s="781" t="s">
        <v>71</v>
      </c>
      <c r="F595" s="778"/>
      <c r="G595" s="778"/>
      <c r="H595" s="778"/>
      <c r="I595" s="778"/>
      <c r="J595" s="778"/>
      <c r="K595" s="778"/>
      <c r="L595" s="782" t="s">
        <v>71</v>
      </c>
      <c r="M595" s="782" t="s">
        <v>71</v>
      </c>
      <c r="N595" s="782"/>
      <c r="O595" s="782"/>
      <c r="P595" s="783"/>
      <c r="Q595" s="784"/>
      <c r="R595" s="783"/>
      <c r="S595" s="785"/>
      <c r="T595" s="785"/>
    </row>
    <row r="596">
      <c r="A596" s="777"/>
      <c r="B596" s="778"/>
      <c r="C596" s="779"/>
      <c r="D596" s="780"/>
      <c r="E596" s="781" t="s">
        <v>71</v>
      </c>
      <c r="F596" s="778"/>
      <c r="G596" s="778"/>
      <c r="H596" s="778"/>
      <c r="I596" s="778"/>
      <c r="J596" s="778"/>
      <c r="K596" s="778"/>
      <c r="L596" s="782" t="s">
        <v>71</v>
      </c>
      <c r="M596" s="782" t="s">
        <v>71</v>
      </c>
      <c r="N596" s="782"/>
      <c r="O596" s="782"/>
      <c r="P596" s="783"/>
      <c r="Q596" s="784"/>
      <c r="R596" s="783"/>
      <c r="S596" s="785"/>
      <c r="T596" s="785"/>
    </row>
    <row r="597">
      <c r="A597" s="777"/>
      <c r="B597" s="778"/>
      <c r="C597" s="779"/>
      <c r="D597" s="780"/>
      <c r="E597" s="781" t="s">
        <v>71</v>
      </c>
      <c r="F597" s="778"/>
      <c r="G597" s="778"/>
      <c r="H597" s="778"/>
      <c r="I597" s="778"/>
      <c r="J597" s="778"/>
      <c r="K597" s="778"/>
      <c r="L597" s="782" t="s">
        <v>71</v>
      </c>
      <c r="M597" s="782" t="s">
        <v>71</v>
      </c>
      <c r="N597" s="782"/>
      <c r="O597" s="782"/>
      <c r="P597" s="783"/>
      <c r="Q597" s="784"/>
      <c r="R597" s="783"/>
      <c r="S597" s="785"/>
      <c r="T597" s="785"/>
    </row>
    <row r="598">
      <c r="A598" s="777"/>
      <c r="B598" s="778"/>
      <c r="C598" s="779"/>
      <c r="D598" s="780"/>
      <c r="E598" s="781" t="s">
        <v>71</v>
      </c>
      <c r="F598" s="778"/>
      <c r="G598" s="778"/>
      <c r="H598" s="778"/>
      <c r="I598" s="778"/>
      <c r="J598" s="778"/>
      <c r="K598" s="778"/>
      <c r="L598" s="782" t="s">
        <v>71</v>
      </c>
      <c r="M598" s="782" t="s">
        <v>71</v>
      </c>
      <c r="N598" s="782"/>
      <c r="O598" s="782"/>
      <c r="P598" s="783"/>
      <c r="Q598" s="784"/>
      <c r="R598" s="783"/>
      <c r="S598" s="785"/>
      <c r="T598" s="785"/>
    </row>
    <row r="599">
      <c r="A599" s="777"/>
      <c r="B599" s="778"/>
      <c r="C599" s="779"/>
      <c r="D599" s="780"/>
      <c r="E599" s="781" t="s">
        <v>71</v>
      </c>
      <c r="F599" s="778"/>
      <c r="G599" s="778"/>
      <c r="H599" s="778"/>
      <c r="I599" s="778"/>
      <c r="J599" s="778"/>
      <c r="K599" s="778"/>
      <c r="L599" s="782" t="s">
        <v>71</v>
      </c>
      <c r="M599" s="782" t="s">
        <v>71</v>
      </c>
      <c r="N599" s="782"/>
      <c r="O599" s="782"/>
      <c r="P599" s="783"/>
      <c r="Q599" s="784"/>
      <c r="R599" s="783"/>
      <c r="S599" s="785"/>
      <c r="T599" s="785"/>
    </row>
    <row r="600">
      <c r="A600" s="777"/>
      <c r="B600" s="778"/>
      <c r="C600" s="779"/>
      <c r="D600" s="780"/>
      <c r="E600" s="781" t="s">
        <v>71</v>
      </c>
      <c r="F600" s="778"/>
      <c r="G600" s="778"/>
      <c r="H600" s="778"/>
      <c r="I600" s="778"/>
      <c r="J600" s="778"/>
      <c r="K600" s="778"/>
      <c r="L600" s="782" t="s">
        <v>71</v>
      </c>
      <c r="M600" s="782" t="s">
        <v>71</v>
      </c>
      <c r="N600" s="782"/>
      <c r="O600" s="782"/>
      <c r="P600" s="783"/>
      <c r="Q600" s="784"/>
      <c r="R600" s="783"/>
      <c r="S600" s="785"/>
      <c r="T600" s="785"/>
    </row>
    <row r="601">
      <c r="A601" s="777"/>
      <c r="B601" s="778"/>
      <c r="C601" s="779"/>
      <c r="D601" s="780"/>
      <c r="E601" s="781" t="s">
        <v>71</v>
      </c>
      <c r="F601" s="778"/>
      <c r="G601" s="778"/>
      <c r="H601" s="778"/>
      <c r="I601" s="778"/>
      <c r="J601" s="778"/>
      <c r="K601" s="778"/>
      <c r="L601" s="782" t="s">
        <v>71</v>
      </c>
      <c r="M601" s="782" t="s">
        <v>71</v>
      </c>
      <c r="N601" s="782"/>
      <c r="O601" s="782"/>
      <c r="P601" s="783"/>
      <c r="Q601" s="784"/>
      <c r="R601" s="783"/>
      <c r="S601" s="785"/>
      <c r="T601" s="785"/>
    </row>
    <row r="602">
      <c r="A602" s="777"/>
      <c r="B602" s="778"/>
      <c r="C602" s="779"/>
      <c r="D602" s="780"/>
      <c r="E602" s="781" t="s">
        <v>71</v>
      </c>
      <c r="F602" s="778"/>
      <c r="G602" s="778"/>
      <c r="H602" s="778"/>
      <c r="I602" s="778"/>
      <c r="J602" s="778"/>
      <c r="K602" s="778"/>
      <c r="L602" s="782" t="s">
        <v>71</v>
      </c>
      <c r="M602" s="782" t="s">
        <v>71</v>
      </c>
      <c r="N602" s="782"/>
      <c r="O602" s="782"/>
      <c r="P602" s="783"/>
      <c r="Q602" s="784"/>
      <c r="R602" s="783"/>
      <c r="S602" s="785"/>
      <c r="T602" s="785"/>
    </row>
    <row r="603">
      <c r="A603" s="777"/>
      <c r="B603" s="778"/>
      <c r="C603" s="779"/>
      <c r="D603" s="780"/>
      <c r="E603" s="781" t="s">
        <v>71</v>
      </c>
      <c r="F603" s="778"/>
      <c r="G603" s="778"/>
      <c r="H603" s="778"/>
      <c r="I603" s="778"/>
      <c r="J603" s="778"/>
      <c r="K603" s="778"/>
      <c r="L603" s="782" t="s">
        <v>71</v>
      </c>
      <c r="M603" s="782" t="s">
        <v>71</v>
      </c>
      <c r="N603" s="782"/>
      <c r="O603" s="782"/>
      <c r="P603" s="783"/>
      <c r="Q603" s="784"/>
      <c r="R603" s="783"/>
      <c r="S603" s="785"/>
      <c r="T603" s="785"/>
    </row>
    <row r="604">
      <c r="A604" s="777"/>
      <c r="B604" s="778"/>
      <c r="C604" s="779"/>
      <c r="D604" s="780"/>
      <c r="E604" s="781" t="s">
        <v>71</v>
      </c>
      <c r="F604" s="778"/>
      <c r="G604" s="778"/>
      <c r="H604" s="778"/>
      <c r="I604" s="778"/>
      <c r="J604" s="778"/>
      <c r="K604" s="778"/>
      <c r="L604" s="782" t="s">
        <v>71</v>
      </c>
      <c r="M604" s="782" t="s">
        <v>71</v>
      </c>
      <c r="N604" s="782"/>
      <c r="O604" s="782"/>
      <c r="P604" s="783"/>
      <c r="Q604" s="784"/>
      <c r="R604" s="783"/>
      <c r="S604" s="785"/>
      <c r="T604" s="785"/>
    </row>
    <row r="605">
      <c r="A605" s="777"/>
      <c r="B605" s="778"/>
      <c r="C605" s="779"/>
      <c r="D605" s="780"/>
      <c r="E605" s="781" t="s">
        <v>71</v>
      </c>
      <c r="F605" s="778"/>
      <c r="G605" s="778"/>
      <c r="H605" s="778"/>
      <c r="I605" s="778"/>
      <c r="J605" s="778"/>
      <c r="K605" s="778"/>
      <c r="L605" s="782" t="s">
        <v>71</v>
      </c>
      <c r="M605" s="782" t="s">
        <v>71</v>
      </c>
      <c r="N605" s="782"/>
      <c r="O605" s="782"/>
      <c r="P605" s="783"/>
      <c r="Q605" s="784"/>
      <c r="R605" s="783"/>
      <c r="S605" s="785"/>
      <c r="T605" s="785"/>
    </row>
    <row r="606">
      <c r="A606" s="777"/>
      <c r="B606" s="778"/>
      <c r="C606" s="779"/>
      <c r="D606" s="780"/>
      <c r="E606" s="781" t="s">
        <v>71</v>
      </c>
      <c r="F606" s="778"/>
      <c r="G606" s="778"/>
      <c r="H606" s="778"/>
      <c r="I606" s="778"/>
      <c r="J606" s="778"/>
      <c r="K606" s="778"/>
      <c r="L606" s="782" t="s">
        <v>71</v>
      </c>
      <c r="M606" s="782" t="s">
        <v>71</v>
      </c>
      <c r="N606" s="782"/>
      <c r="O606" s="782"/>
      <c r="P606" s="783"/>
      <c r="Q606" s="784"/>
      <c r="R606" s="783"/>
      <c r="S606" s="785"/>
      <c r="T606" s="785"/>
    </row>
    <row r="607">
      <c r="A607" s="777"/>
      <c r="B607" s="778"/>
      <c r="C607" s="779"/>
      <c r="D607" s="780"/>
      <c r="E607" s="781" t="s">
        <v>71</v>
      </c>
      <c r="F607" s="778"/>
      <c r="G607" s="778"/>
      <c r="H607" s="778"/>
      <c r="I607" s="778"/>
      <c r="J607" s="778"/>
      <c r="K607" s="778"/>
      <c r="L607" s="782" t="s">
        <v>71</v>
      </c>
      <c r="M607" s="782" t="s">
        <v>71</v>
      </c>
      <c r="N607" s="782"/>
      <c r="O607" s="782"/>
      <c r="P607" s="783"/>
      <c r="Q607" s="784"/>
      <c r="R607" s="783"/>
      <c r="S607" s="785"/>
      <c r="T607" s="785"/>
    </row>
    <row r="608">
      <c r="A608" s="777"/>
      <c r="B608" s="778"/>
      <c r="C608" s="779"/>
      <c r="D608" s="780"/>
      <c r="E608" s="781" t="s">
        <v>71</v>
      </c>
      <c r="F608" s="778"/>
      <c r="G608" s="778"/>
      <c r="H608" s="778"/>
      <c r="I608" s="778"/>
      <c r="J608" s="778"/>
      <c r="K608" s="778"/>
      <c r="L608" s="782" t="s">
        <v>71</v>
      </c>
      <c r="M608" s="782" t="s">
        <v>71</v>
      </c>
      <c r="N608" s="782"/>
      <c r="O608" s="782"/>
      <c r="P608" s="783"/>
      <c r="Q608" s="784"/>
      <c r="R608" s="783"/>
      <c r="S608" s="785"/>
      <c r="T608" s="785"/>
    </row>
    <row r="609">
      <c r="A609" s="777"/>
      <c r="B609" s="778"/>
      <c r="C609" s="779"/>
      <c r="D609" s="780"/>
      <c r="E609" s="781" t="s">
        <v>71</v>
      </c>
      <c r="F609" s="778"/>
      <c r="G609" s="778"/>
      <c r="H609" s="778"/>
      <c r="I609" s="778"/>
      <c r="J609" s="778"/>
      <c r="K609" s="778"/>
      <c r="L609" s="782" t="s">
        <v>71</v>
      </c>
      <c r="M609" s="782" t="s">
        <v>71</v>
      </c>
      <c r="N609" s="782"/>
      <c r="O609" s="782"/>
      <c r="P609" s="783"/>
      <c r="Q609" s="784"/>
      <c r="R609" s="783"/>
      <c r="S609" s="785"/>
      <c r="T609" s="785"/>
    </row>
    <row r="610">
      <c r="A610" s="777"/>
      <c r="B610" s="778"/>
      <c r="C610" s="779"/>
      <c r="D610" s="780"/>
      <c r="E610" s="781" t="s">
        <v>71</v>
      </c>
      <c r="F610" s="778"/>
      <c r="G610" s="778"/>
      <c r="H610" s="778"/>
      <c r="I610" s="778"/>
      <c r="J610" s="778"/>
      <c r="K610" s="778"/>
      <c r="L610" s="782" t="s">
        <v>71</v>
      </c>
      <c r="M610" s="782" t="s">
        <v>71</v>
      </c>
      <c r="N610" s="782"/>
      <c r="O610" s="782"/>
      <c r="P610" s="783"/>
      <c r="Q610" s="784"/>
      <c r="R610" s="783"/>
      <c r="S610" s="785"/>
      <c r="T610" s="785"/>
    </row>
    <row r="611">
      <c r="A611" s="777"/>
      <c r="B611" s="778"/>
      <c r="C611" s="779"/>
      <c r="D611" s="780"/>
      <c r="E611" s="781" t="s">
        <v>71</v>
      </c>
      <c r="F611" s="778"/>
      <c r="G611" s="778"/>
      <c r="H611" s="778"/>
      <c r="I611" s="778"/>
      <c r="J611" s="778"/>
      <c r="K611" s="778"/>
      <c r="L611" s="782" t="s">
        <v>71</v>
      </c>
      <c r="M611" s="782" t="s">
        <v>71</v>
      </c>
      <c r="N611" s="782"/>
      <c r="O611" s="782"/>
      <c r="P611" s="783"/>
      <c r="Q611" s="784"/>
      <c r="R611" s="783"/>
      <c r="S611" s="785"/>
      <c r="T611" s="785"/>
    </row>
    <row r="612">
      <c r="A612" s="777"/>
      <c r="B612" s="778"/>
      <c r="C612" s="779"/>
      <c r="D612" s="780"/>
      <c r="E612" s="781" t="s">
        <v>71</v>
      </c>
      <c r="F612" s="778"/>
      <c r="G612" s="778"/>
      <c r="H612" s="778"/>
      <c r="I612" s="778"/>
      <c r="J612" s="778"/>
      <c r="K612" s="778"/>
      <c r="L612" s="782" t="s">
        <v>71</v>
      </c>
      <c r="M612" s="782" t="s">
        <v>71</v>
      </c>
      <c r="N612" s="782"/>
      <c r="O612" s="782"/>
      <c r="P612" s="783"/>
      <c r="Q612" s="784"/>
      <c r="R612" s="783"/>
      <c r="S612" s="785"/>
      <c r="T612" s="785"/>
    </row>
    <row r="613">
      <c r="A613" s="777"/>
      <c r="B613" s="778"/>
      <c r="C613" s="779"/>
      <c r="D613" s="780"/>
      <c r="E613" s="781" t="s">
        <v>71</v>
      </c>
      <c r="F613" s="778"/>
      <c r="G613" s="778"/>
      <c r="H613" s="778"/>
      <c r="I613" s="778"/>
      <c r="J613" s="778"/>
      <c r="K613" s="778"/>
      <c r="L613" s="782" t="s">
        <v>71</v>
      </c>
      <c r="M613" s="782" t="s">
        <v>71</v>
      </c>
      <c r="N613" s="782"/>
      <c r="O613" s="782"/>
      <c r="P613" s="783"/>
      <c r="Q613" s="784"/>
      <c r="R613" s="783"/>
      <c r="S613" s="785"/>
      <c r="T613" s="785"/>
    </row>
    <row r="614">
      <c r="A614" s="777"/>
      <c r="B614" s="778"/>
      <c r="C614" s="779"/>
      <c r="D614" s="780"/>
      <c r="E614" s="781" t="s">
        <v>71</v>
      </c>
      <c r="F614" s="778"/>
      <c r="G614" s="778"/>
      <c r="H614" s="778"/>
      <c r="I614" s="778"/>
      <c r="J614" s="778"/>
      <c r="K614" s="778"/>
      <c r="L614" s="782" t="s">
        <v>71</v>
      </c>
      <c r="M614" s="782" t="s">
        <v>71</v>
      </c>
      <c r="N614" s="782"/>
      <c r="O614" s="782"/>
      <c r="P614" s="783"/>
      <c r="Q614" s="784"/>
      <c r="R614" s="783"/>
      <c r="S614" s="785"/>
      <c r="T614" s="785"/>
    </row>
    <row r="615">
      <c r="A615" s="777"/>
      <c r="B615" s="778"/>
      <c r="C615" s="779"/>
      <c r="D615" s="780"/>
      <c r="E615" s="781" t="s">
        <v>71</v>
      </c>
      <c r="F615" s="778"/>
      <c r="G615" s="778"/>
      <c r="H615" s="778"/>
      <c r="I615" s="778"/>
      <c r="J615" s="778"/>
      <c r="K615" s="778"/>
      <c r="L615" s="782" t="s">
        <v>71</v>
      </c>
      <c r="M615" s="782" t="s">
        <v>71</v>
      </c>
      <c r="N615" s="782"/>
      <c r="O615" s="782"/>
      <c r="P615" s="783"/>
      <c r="Q615" s="784"/>
      <c r="R615" s="783"/>
      <c r="S615" s="785"/>
      <c r="T615" s="785"/>
    </row>
    <row r="616">
      <c r="A616" s="777"/>
      <c r="B616" s="778"/>
      <c r="C616" s="779"/>
      <c r="D616" s="780"/>
      <c r="E616" s="781" t="s">
        <v>71</v>
      </c>
      <c r="F616" s="778"/>
      <c r="G616" s="778"/>
      <c r="H616" s="778"/>
      <c r="I616" s="778"/>
      <c r="J616" s="778"/>
      <c r="K616" s="778"/>
      <c r="L616" s="782" t="s">
        <v>71</v>
      </c>
      <c r="M616" s="782" t="s">
        <v>71</v>
      </c>
      <c r="N616" s="782"/>
      <c r="O616" s="782"/>
      <c r="P616" s="783"/>
      <c r="Q616" s="784"/>
      <c r="R616" s="783"/>
      <c r="S616" s="785"/>
      <c r="T616" s="785"/>
    </row>
    <row r="617">
      <c r="A617" s="777"/>
      <c r="B617" s="778"/>
      <c r="C617" s="779"/>
      <c r="D617" s="780"/>
      <c r="E617" s="781" t="s">
        <v>71</v>
      </c>
      <c r="F617" s="778"/>
      <c r="G617" s="778"/>
      <c r="H617" s="778"/>
      <c r="I617" s="778"/>
      <c r="J617" s="778"/>
      <c r="K617" s="778"/>
      <c r="L617" s="782" t="s">
        <v>71</v>
      </c>
      <c r="M617" s="782" t="s">
        <v>71</v>
      </c>
      <c r="N617" s="782"/>
      <c r="O617" s="782"/>
      <c r="P617" s="783"/>
      <c r="Q617" s="784"/>
      <c r="R617" s="783"/>
      <c r="S617" s="785"/>
      <c r="T617" s="785"/>
    </row>
    <row r="618">
      <c r="A618" s="777"/>
      <c r="B618" s="778"/>
      <c r="C618" s="779"/>
      <c r="D618" s="780"/>
      <c r="E618" s="781" t="s">
        <v>71</v>
      </c>
      <c r="F618" s="778"/>
      <c r="G618" s="778"/>
      <c r="H618" s="778"/>
      <c r="I618" s="778"/>
      <c r="J618" s="778"/>
      <c r="K618" s="778"/>
      <c r="L618" s="782" t="s">
        <v>71</v>
      </c>
      <c r="M618" s="782" t="s">
        <v>71</v>
      </c>
      <c r="N618" s="782"/>
      <c r="O618" s="782"/>
      <c r="P618" s="783"/>
      <c r="Q618" s="784"/>
      <c r="R618" s="783"/>
      <c r="S618" s="785"/>
      <c r="T618" s="785"/>
    </row>
    <row r="619">
      <c r="A619" s="777"/>
      <c r="B619" s="778"/>
      <c r="C619" s="779"/>
      <c r="D619" s="780"/>
      <c r="E619" s="781" t="s">
        <v>71</v>
      </c>
      <c r="F619" s="778"/>
      <c r="G619" s="778"/>
      <c r="H619" s="778"/>
      <c r="I619" s="778"/>
      <c r="J619" s="778"/>
      <c r="K619" s="778"/>
      <c r="L619" s="782" t="s">
        <v>71</v>
      </c>
      <c r="M619" s="782" t="s">
        <v>71</v>
      </c>
      <c r="N619" s="782"/>
      <c r="O619" s="782"/>
      <c r="P619" s="783"/>
      <c r="Q619" s="784"/>
      <c r="R619" s="783"/>
      <c r="S619" s="785"/>
      <c r="T619" s="785"/>
    </row>
    <row r="620">
      <c r="A620" s="777"/>
      <c r="B620" s="778"/>
      <c r="C620" s="779"/>
      <c r="D620" s="780"/>
      <c r="E620" s="781" t="s">
        <v>71</v>
      </c>
      <c r="F620" s="778"/>
      <c r="G620" s="778"/>
      <c r="H620" s="778"/>
      <c r="I620" s="778"/>
      <c r="J620" s="778"/>
      <c r="K620" s="778"/>
      <c r="L620" s="782" t="s">
        <v>71</v>
      </c>
      <c r="M620" s="782" t="s">
        <v>71</v>
      </c>
      <c r="N620" s="782"/>
      <c r="O620" s="782"/>
      <c r="P620" s="783"/>
      <c r="Q620" s="784"/>
      <c r="R620" s="783"/>
      <c r="S620" s="785"/>
      <c r="T620" s="785"/>
    </row>
    <row r="621">
      <c r="A621" s="777"/>
      <c r="B621" s="778"/>
      <c r="C621" s="779"/>
      <c r="D621" s="780"/>
      <c r="E621" s="781" t="s">
        <v>71</v>
      </c>
      <c r="F621" s="778"/>
      <c r="G621" s="778"/>
      <c r="H621" s="778"/>
      <c r="I621" s="778"/>
      <c r="J621" s="778"/>
      <c r="K621" s="778"/>
      <c r="L621" s="782" t="s">
        <v>71</v>
      </c>
      <c r="M621" s="782" t="s">
        <v>71</v>
      </c>
      <c r="N621" s="782"/>
      <c r="O621" s="782"/>
      <c r="P621" s="783"/>
      <c r="Q621" s="784"/>
      <c r="R621" s="783"/>
      <c r="S621" s="785"/>
      <c r="T621" s="785"/>
    </row>
    <row r="622">
      <c r="A622" s="777"/>
      <c r="B622" s="778"/>
      <c r="C622" s="779"/>
      <c r="D622" s="780"/>
      <c r="E622" s="781" t="s">
        <v>71</v>
      </c>
      <c r="F622" s="778"/>
      <c r="G622" s="778"/>
      <c r="H622" s="778"/>
      <c r="I622" s="778"/>
      <c r="J622" s="778"/>
      <c r="K622" s="778"/>
      <c r="L622" s="782" t="s">
        <v>71</v>
      </c>
      <c r="M622" s="782" t="s">
        <v>71</v>
      </c>
      <c r="N622" s="782"/>
      <c r="O622" s="782"/>
      <c r="P622" s="783"/>
      <c r="Q622" s="784"/>
      <c r="R622" s="783"/>
      <c r="S622" s="785"/>
      <c r="T622" s="785"/>
    </row>
    <row r="623">
      <c r="A623" s="777"/>
      <c r="B623" s="778"/>
      <c r="C623" s="779"/>
      <c r="D623" s="780"/>
      <c r="E623" s="781" t="s">
        <v>71</v>
      </c>
      <c r="F623" s="778"/>
      <c r="G623" s="778"/>
      <c r="H623" s="778"/>
      <c r="I623" s="778"/>
      <c r="J623" s="778"/>
      <c r="K623" s="778"/>
      <c r="L623" s="782" t="s">
        <v>71</v>
      </c>
      <c r="M623" s="782" t="s">
        <v>71</v>
      </c>
      <c r="N623" s="782"/>
      <c r="O623" s="782"/>
      <c r="P623" s="783"/>
      <c r="Q623" s="784"/>
      <c r="R623" s="783"/>
      <c r="S623" s="785"/>
      <c r="T623" s="785"/>
    </row>
    <row r="624">
      <c r="A624" s="777"/>
      <c r="B624" s="778"/>
      <c r="C624" s="779"/>
      <c r="D624" s="780"/>
      <c r="E624" s="781" t="s">
        <v>71</v>
      </c>
      <c r="F624" s="778"/>
      <c r="G624" s="778"/>
      <c r="H624" s="778"/>
      <c r="I624" s="778"/>
      <c r="J624" s="778"/>
      <c r="K624" s="778"/>
      <c r="L624" s="782" t="s">
        <v>71</v>
      </c>
      <c r="M624" s="782" t="s">
        <v>71</v>
      </c>
      <c r="N624" s="782"/>
      <c r="O624" s="782"/>
      <c r="P624" s="783"/>
      <c r="Q624" s="784"/>
      <c r="R624" s="783"/>
      <c r="S624" s="785"/>
      <c r="T624" s="785"/>
    </row>
    <row r="625">
      <c r="A625" s="777"/>
      <c r="B625" s="778"/>
      <c r="C625" s="779"/>
      <c r="D625" s="780"/>
      <c r="E625" s="781" t="s">
        <v>71</v>
      </c>
      <c r="F625" s="778"/>
      <c r="G625" s="778"/>
      <c r="H625" s="778"/>
      <c r="I625" s="778"/>
      <c r="J625" s="778"/>
      <c r="K625" s="778"/>
      <c r="L625" s="782" t="s">
        <v>71</v>
      </c>
      <c r="M625" s="782" t="s">
        <v>71</v>
      </c>
      <c r="N625" s="782"/>
      <c r="O625" s="782"/>
      <c r="P625" s="783"/>
      <c r="Q625" s="784"/>
      <c r="R625" s="783"/>
      <c r="S625" s="785"/>
      <c r="T625" s="785"/>
    </row>
    <row r="626">
      <c r="A626" s="777"/>
      <c r="B626" s="778"/>
      <c r="C626" s="779"/>
      <c r="D626" s="780"/>
      <c r="E626" s="781" t="s">
        <v>71</v>
      </c>
      <c r="F626" s="778"/>
      <c r="G626" s="778"/>
      <c r="H626" s="778"/>
      <c r="I626" s="778"/>
      <c r="J626" s="778"/>
      <c r="K626" s="778"/>
      <c r="L626" s="782" t="s">
        <v>71</v>
      </c>
      <c r="M626" s="782" t="s">
        <v>71</v>
      </c>
      <c r="N626" s="782"/>
      <c r="O626" s="782"/>
      <c r="P626" s="783"/>
      <c r="Q626" s="784"/>
      <c r="R626" s="783"/>
      <c r="S626" s="785"/>
      <c r="T626" s="785"/>
    </row>
    <row r="627">
      <c r="A627" s="777"/>
      <c r="B627" s="778"/>
      <c r="C627" s="779"/>
      <c r="D627" s="780"/>
      <c r="E627" s="781" t="s">
        <v>71</v>
      </c>
      <c r="F627" s="778"/>
      <c r="G627" s="778"/>
      <c r="H627" s="778"/>
      <c r="I627" s="778"/>
      <c r="J627" s="778"/>
      <c r="K627" s="778"/>
      <c r="L627" s="782" t="s">
        <v>71</v>
      </c>
      <c r="M627" s="782" t="s">
        <v>71</v>
      </c>
      <c r="N627" s="782"/>
      <c r="O627" s="782"/>
      <c r="P627" s="783"/>
      <c r="Q627" s="784"/>
      <c r="R627" s="783"/>
      <c r="S627" s="785"/>
      <c r="T627" s="785"/>
    </row>
    <row r="628">
      <c r="A628" s="777"/>
      <c r="B628" s="778"/>
      <c r="C628" s="779"/>
      <c r="D628" s="780"/>
      <c r="E628" s="781" t="s">
        <v>71</v>
      </c>
      <c r="F628" s="778"/>
      <c r="G628" s="778"/>
      <c r="H628" s="778"/>
      <c r="I628" s="778"/>
      <c r="J628" s="778"/>
      <c r="K628" s="778"/>
      <c r="L628" s="782" t="s">
        <v>71</v>
      </c>
      <c r="M628" s="782" t="s">
        <v>71</v>
      </c>
      <c r="N628" s="782"/>
      <c r="O628" s="782"/>
      <c r="P628" s="783"/>
      <c r="Q628" s="784"/>
      <c r="R628" s="783"/>
      <c r="S628" s="785"/>
      <c r="T628" s="785"/>
    </row>
    <row r="629">
      <c r="A629" s="777"/>
      <c r="B629" s="778"/>
      <c r="C629" s="779"/>
      <c r="D629" s="780"/>
      <c r="E629" s="781" t="s">
        <v>71</v>
      </c>
      <c r="F629" s="778"/>
      <c r="G629" s="778"/>
      <c r="H629" s="778"/>
      <c r="I629" s="778"/>
      <c r="J629" s="778"/>
      <c r="K629" s="778"/>
      <c r="L629" s="782" t="s">
        <v>71</v>
      </c>
      <c r="M629" s="782" t="s">
        <v>71</v>
      </c>
      <c r="N629" s="782"/>
      <c r="O629" s="782"/>
      <c r="P629" s="783"/>
      <c r="Q629" s="784"/>
      <c r="R629" s="783"/>
      <c r="S629" s="785"/>
      <c r="T629" s="785"/>
    </row>
    <row r="630">
      <c r="A630" s="777"/>
      <c r="B630" s="778"/>
      <c r="C630" s="779"/>
      <c r="D630" s="780"/>
      <c r="E630" s="781" t="s">
        <v>71</v>
      </c>
      <c r="F630" s="778"/>
      <c r="G630" s="778"/>
      <c r="H630" s="778"/>
      <c r="I630" s="778"/>
      <c r="J630" s="778"/>
      <c r="K630" s="778"/>
      <c r="L630" s="782" t="s">
        <v>71</v>
      </c>
      <c r="M630" s="782" t="s">
        <v>71</v>
      </c>
      <c r="N630" s="782"/>
      <c r="O630" s="782"/>
      <c r="P630" s="783"/>
      <c r="Q630" s="784"/>
      <c r="R630" s="783"/>
      <c r="S630" s="785"/>
      <c r="T630" s="785"/>
    </row>
    <row r="631">
      <c r="A631" s="777"/>
      <c r="B631" s="778"/>
      <c r="C631" s="779"/>
      <c r="D631" s="780"/>
      <c r="E631" s="781" t="s">
        <v>71</v>
      </c>
      <c r="F631" s="778"/>
      <c r="G631" s="778"/>
      <c r="H631" s="778"/>
      <c r="I631" s="778"/>
      <c r="J631" s="778"/>
      <c r="K631" s="778"/>
      <c r="L631" s="782" t="s">
        <v>71</v>
      </c>
      <c r="M631" s="782" t="s">
        <v>71</v>
      </c>
      <c r="N631" s="782"/>
      <c r="O631" s="782"/>
      <c r="P631" s="783"/>
      <c r="Q631" s="784"/>
      <c r="R631" s="783"/>
      <c r="S631" s="785"/>
      <c r="T631" s="785"/>
    </row>
    <row r="632">
      <c r="A632" s="777"/>
      <c r="B632" s="778"/>
      <c r="C632" s="779"/>
      <c r="D632" s="780"/>
      <c r="E632" s="781" t="s">
        <v>71</v>
      </c>
      <c r="F632" s="778"/>
      <c r="G632" s="778"/>
      <c r="H632" s="778"/>
      <c r="I632" s="778"/>
      <c r="J632" s="778"/>
      <c r="K632" s="778"/>
      <c r="L632" s="782" t="s">
        <v>71</v>
      </c>
      <c r="M632" s="782" t="s">
        <v>71</v>
      </c>
      <c r="N632" s="782"/>
      <c r="O632" s="782"/>
      <c r="P632" s="783"/>
      <c r="Q632" s="784"/>
      <c r="R632" s="783"/>
      <c r="S632" s="785"/>
      <c r="T632" s="785"/>
    </row>
    <row r="633">
      <c r="A633" s="777"/>
      <c r="B633" s="778"/>
      <c r="C633" s="779"/>
      <c r="D633" s="780"/>
      <c r="E633" s="781" t="s">
        <v>71</v>
      </c>
      <c r="F633" s="778"/>
      <c r="G633" s="778"/>
      <c r="H633" s="778"/>
      <c r="I633" s="778"/>
      <c r="J633" s="778"/>
      <c r="K633" s="778"/>
      <c r="L633" s="782" t="s">
        <v>71</v>
      </c>
      <c r="M633" s="782" t="s">
        <v>71</v>
      </c>
      <c r="N633" s="782"/>
      <c r="O633" s="782"/>
      <c r="P633" s="783"/>
      <c r="Q633" s="784"/>
      <c r="R633" s="783"/>
      <c r="S633" s="785"/>
      <c r="T633" s="785"/>
    </row>
    <row r="634">
      <c r="A634" s="777"/>
      <c r="B634" s="778"/>
      <c r="C634" s="779"/>
      <c r="D634" s="780"/>
      <c r="E634" s="781" t="s">
        <v>71</v>
      </c>
      <c r="F634" s="778"/>
      <c r="G634" s="778"/>
      <c r="H634" s="778"/>
      <c r="I634" s="778"/>
      <c r="J634" s="778"/>
      <c r="K634" s="778"/>
      <c r="L634" s="782" t="s">
        <v>71</v>
      </c>
      <c r="M634" s="782" t="s">
        <v>71</v>
      </c>
      <c r="N634" s="782"/>
      <c r="O634" s="782"/>
      <c r="P634" s="783"/>
      <c r="Q634" s="784"/>
      <c r="R634" s="783"/>
      <c r="S634" s="785"/>
      <c r="T634" s="785"/>
    </row>
    <row r="635">
      <c r="A635" s="777"/>
      <c r="B635" s="778"/>
      <c r="C635" s="779"/>
      <c r="D635" s="780"/>
      <c r="E635" s="781" t="s">
        <v>71</v>
      </c>
      <c r="F635" s="778"/>
      <c r="G635" s="778"/>
      <c r="H635" s="778"/>
      <c r="I635" s="778"/>
      <c r="J635" s="778"/>
      <c r="K635" s="778"/>
      <c r="L635" s="782" t="s">
        <v>71</v>
      </c>
      <c r="M635" s="782" t="s">
        <v>71</v>
      </c>
      <c r="N635" s="782"/>
      <c r="O635" s="782"/>
      <c r="P635" s="783"/>
      <c r="Q635" s="784"/>
      <c r="R635" s="783"/>
      <c r="S635" s="785"/>
      <c r="T635" s="785"/>
    </row>
    <row r="636">
      <c r="A636" s="777"/>
      <c r="B636" s="778"/>
      <c r="C636" s="779"/>
      <c r="D636" s="780"/>
      <c r="E636" s="781" t="s">
        <v>71</v>
      </c>
      <c r="F636" s="778"/>
      <c r="G636" s="778"/>
      <c r="H636" s="778"/>
      <c r="I636" s="778"/>
      <c r="J636" s="778"/>
      <c r="K636" s="778"/>
      <c r="L636" s="782" t="s">
        <v>71</v>
      </c>
      <c r="M636" s="782" t="s">
        <v>71</v>
      </c>
      <c r="N636" s="782"/>
      <c r="O636" s="782"/>
      <c r="P636" s="783"/>
      <c r="Q636" s="784"/>
      <c r="R636" s="783"/>
      <c r="S636" s="785"/>
      <c r="T636" s="785"/>
    </row>
    <row r="637">
      <c r="A637" s="777"/>
      <c r="B637" s="778"/>
      <c r="C637" s="779"/>
      <c r="D637" s="780"/>
      <c r="E637" s="781" t="s">
        <v>71</v>
      </c>
      <c r="F637" s="778"/>
      <c r="G637" s="778"/>
      <c r="H637" s="778"/>
      <c r="I637" s="778"/>
      <c r="J637" s="778"/>
      <c r="K637" s="778"/>
      <c r="L637" s="782" t="s">
        <v>71</v>
      </c>
      <c r="M637" s="782" t="s">
        <v>71</v>
      </c>
      <c r="N637" s="782"/>
      <c r="O637" s="782"/>
      <c r="P637" s="783"/>
      <c r="Q637" s="784"/>
      <c r="R637" s="783"/>
      <c r="S637" s="785"/>
      <c r="T637" s="785"/>
    </row>
    <row r="638">
      <c r="A638" s="777"/>
      <c r="B638" s="778"/>
      <c r="C638" s="779"/>
      <c r="D638" s="780"/>
      <c r="E638" s="781" t="s">
        <v>71</v>
      </c>
      <c r="F638" s="778"/>
      <c r="G638" s="778"/>
      <c r="H638" s="778"/>
      <c r="I638" s="778"/>
      <c r="J638" s="778"/>
      <c r="K638" s="778"/>
      <c r="L638" s="782" t="s">
        <v>71</v>
      </c>
      <c r="M638" s="782" t="s">
        <v>71</v>
      </c>
      <c r="N638" s="782"/>
      <c r="O638" s="782"/>
      <c r="P638" s="783"/>
      <c r="Q638" s="784"/>
      <c r="R638" s="783"/>
      <c r="S638" s="785"/>
      <c r="T638" s="785"/>
    </row>
    <row r="639">
      <c r="A639" s="777"/>
      <c r="B639" s="778"/>
      <c r="C639" s="779"/>
      <c r="D639" s="780"/>
      <c r="E639" s="781" t="s">
        <v>71</v>
      </c>
      <c r="F639" s="778"/>
      <c r="G639" s="778"/>
      <c r="H639" s="778"/>
      <c r="I639" s="778"/>
      <c r="J639" s="778"/>
      <c r="K639" s="778"/>
      <c r="L639" s="782" t="s">
        <v>71</v>
      </c>
      <c r="M639" s="782" t="s">
        <v>71</v>
      </c>
      <c r="N639" s="782"/>
      <c r="O639" s="782"/>
      <c r="P639" s="783"/>
      <c r="Q639" s="784"/>
      <c r="R639" s="783"/>
      <c r="S639" s="785"/>
      <c r="T639" s="785"/>
    </row>
    <row r="640">
      <c r="A640" s="777"/>
      <c r="B640" s="778"/>
      <c r="C640" s="779"/>
      <c r="D640" s="780"/>
      <c r="E640" s="781" t="s">
        <v>71</v>
      </c>
      <c r="F640" s="778"/>
      <c r="G640" s="778"/>
      <c r="H640" s="778"/>
      <c r="I640" s="778"/>
      <c r="J640" s="778"/>
      <c r="K640" s="778"/>
      <c r="L640" s="782" t="s">
        <v>71</v>
      </c>
      <c r="M640" s="782" t="s">
        <v>71</v>
      </c>
      <c r="N640" s="782"/>
      <c r="O640" s="782"/>
      <c r="P640" s="783"/>
      <c r="Q640" s="784"/>
      <c r="R640" s="783"/>
      <c r="S640" s="785"/>
      <c r="T640" s="785"/>
    </row>
    <row r="641">
      <c r="A641" s="777"/>
      <c r="B641" s="778"/>
      <c r="C641" s="779"/>
      <c r="D641" s="780"/>
      <c r="E641" s="781" t="s">
        <v>71</v>
      </c>
      <c r="F641" s="778"/>
      <c r="G641" s="778"/>
      <c r="H641" s="778"/>
      <c r="I641" s="778"/>
      <c r="J641" s="778"/>
      <c r="K641" s="778"/>
      <c r="L641" s="782" t="s">
        <v>71</v>
      </c>
      <c r="M641" s="782" t="s">
        <v>71</v>
      </c>
      <c r="N641" s="782"/>
      <c r="O641" s="782"/>
      <c r="P641" s="783"/>
      <c r="Q641" s="784"/>
      <c r="R641" s="783"/>
      <c r="S641" s="785"/>
      <c r="T641" s="785"/>
    </row>
    <row r="642">
      <c r="A642" s="777"/>
      <c r="B642" s="778"/>
      <c r="C642" s="779"/>
      <c r="D642" s="780"/>
      <c r="E642" s="781" t="s">
        <v>71</v>
      </c>
      <c r="F642" s="778"/>
      <c r="G642" s="778"/>
      <c r="H642" s="778"/>
      <c r="I642" s="778"/>
      <c r="J642" s="778"/>
      <c r="K642" s="778"/>
      <c r="L642" s="782" t="s">
        <v>71</v>
      </c>
      <c r="M642" s="782" t="s">
        <v>71</v>
      </c>
      <c r="N642" s="782"/>
      <c r="O642" s="782"/>
      <c r="P642" s="783"/>
      <c r="Q642" s="784"/>
      <c r="R642" s="783"/>
      <c r="S642" s="785"/>
      <c r="T642" s="785"/>
    </row>
    <row r="643">
      <c r="A643" s="777"/>
      <c r="B643" s="778"/>
      <c r="C643" s="779"/>
      <c r="D643" s="780"/>
      <c r="E643" s="781" t="s">
        <v>71</v>
      </c>
      <c r="F643" s="778"/>
      <c r="G643" s="778"/>
      <c r="H643" s="778"/>
      <c r="I643" s="778"/>
      <c r="J643" s="778"/>
      <c r="K643" s="778"/>
      <c r="L643" s="782" t="s">
        <v>71</v>
      </c>
      <c r="M643" s="782" t="s">
        <v>71</v>
      </c>
      <c r="N643" s="782"/>
      <c r="O643" s="782"/>
      <c r="P643" s="783"/>
      <c r="Q643" s="784"/>
      <c r="R643" s="783"/>
      <c r="S643" s="785"/>
      <c r="T643" s="785"/>
    </row>
    <row r="644">
      <c r="A644" s="777"/>
      <c r="B644" s="778"/>
      <c r="C644" s="779"/>
      <c r="D644" s="780"/>
      <c r="E644" s="781" t="s">
        <v>71</v>
      </c>
      <c r="F644" s="778"/>
      <c r="G644" s="778"/>
      <c r="H644" s="778"/>
      <c r="I644" s="778"/>
      <c r="J644" s="778"/>
      <c r="K644" s="778"/>
      <c r="L644" s="782" t="s">
        <v>71</v>
      </c>
      <c r="M644" s="782" t="s">
        <v>71</v>
      </c>
      <c r="N644" s="782"/>
      <c r="O644" s="782"/>
      <c r="P644" s="783"/>
      <c r="Q644" s="784"/>
      <c r="R644" s="783"/>
      <c r="S644" s="785"/>
      <c r="T644" s="785"/>
    </row>
    <row r="645">
      <c r="A645" s="777"/>
      <c r="B645" s="778"/>
      <c r="C645" s="779"/>
      <c r="D645" s="780"/>
      <c r="E645" s="781" t="s">
        <v>71</v>
      </c>
      <c r="F645" s="778"/>
      <c r="G645" s="778"/>
      <c r="H645" s="778"/>
      <c r="I645" s="778"/>
      <c r="J645" s="778"/>
      <c r="K645" s="778"/>
      <c r="L645" s="782" t="s">
        <v>71</v>
      </c>
      <c r="M645" s="782" t="s">
        <v>71</v>
      </c>
      <c r="N645" s="782"/>
      <c r="O645" s="782"/>
      <c r="P645" s="783"/>
      <c r="Q645" s="784"/>
      <c r="R645" s="783"/>
      <c r="S645" s="785"/>
      <c r="T645" s="785"/>
    </row>
    <row r="646">
      <c r="A646" s="777"/>
      <c r="B646" s="778"/>
      <c r="C646" s="779"/>
      <c r="D646" s="780"/>
      <c r="E646" s="781" t="s">
        <v>71</v>
      </c>
      <c r="F646" s="778"/>
      <c r="G646" s="778"/>
      <c r="H646" s="778"/>
      <c r="I646" s="778"/>
      <c r="J646" s="778"/>
      <c r="K646" s="778"/>
      <c r="L646" s="782" t="s">
        <v>71</v>
      </c>
      <c r="M646" s="782" t="s">
        <v>71</v>
      </c>
      <c r="N646" s="782"/>
      <c r="O646" s="782"/>
      <c r="P646" s="783"/>
      <c r="Q646" s="784"/>
      <c r="R646" s="783"/>
      <c r="S646" s="785"/>
      <c r="T646" s="785"/>
    </row>
    <row r="647">
      <c r="A647" s="777"/>
      <c r="B647" s="778"/>
      <c r="C647" s="779"/>
      <c r="D647" s="780"/>
      <c r="E647" s="781" t="s">
        <v>71</v>
      </c>
      <c r="F647" s="778"/>
      <c r="G647" s="778"/>
      <c r="H647" s="778"/>
      <c r="I647" s="778"/>
      <c r="J647" s="778"/>
      <c r="K647" s="778"/>
      <c r="L647" s="782" t="s">
        <v>71</v>
      </c>
      <c r="M647" s="782" t="s">
        <v>71</v>
      </c>
      <c r="N647" s="782"/>
      <c r="O647" s="782"/>
      <c r="P647" s="783"/>
      <c r="Q647" s="784"/>
      <c r="R647" s="783"/>
      <c r="S647" s="785"/>
      <c r="T647" s="785"/>
    </row>
    <row r="648">
      <c r="A648" s="777"/>
      <c r="B648" s="778"/>
      <c r="C648" s="779"/>
      <c r="D648" s="780"/>
      <c r="E648" s="781" t="s">
        <v>71</v>
      </c>
      <c r="F648" s="778"/>
      <c r="G648" s="778"/>
      <c r="H648" s="778"/>
      <c r="I648" s="778"/>
      <c r="J648" s="778"/>
      <c r="K648" s="778"/>
      <c r="L648" s="782" t="s">
        <v>71</v>
      </c>
      <c r="M648" s="782" t="s">
        <v>71</v>
      </c>
      <c r="N648" s="782"/>
      <c r="O648" s="782"/>
      <c r="P648" s="783"/>
      <c r="Q648" s="784"/>
      <c r="R648" s="783"/>
      <c r="S648" s="785"/>
      <c r="T648" s="785"/>
    </row>
    <row r="649">
      <c r="A649" s="777"/>
      <c r="B649" s="778"/>
      <c r="C649" s="779"/>
      <c r="D649" s="780"/>
      <c r="E649" s="781" t="s">
        <v>71</v>
      </c>
      <c r="F649" s="778"/>
      <c r="G649" s="778"/>
      <c r="H649" s="778"/>
      <c r="I649" s="778"/>
      <c r="J649" s="778"/>
      <c r="K649" s="778"/>
      <c r="L649" s="782" t="s">
        <v>71</v>
      </c>
      <c r="M649" s="782" t="s">
        <v>71</v>
      </c>
      <c r="N649" s="782"/>
      <c r="O649" s="782"/>
      <c r="P649" s="783"/>
      <c r="Q649" s="784"/>
      <c r="R649" s="783"/>
      <c r="S649" s="785"/>
      <c r="T649" s="785"/>
    </row>
    <row r="650">
      <c r="A650" s="777"/>
      <c r="B650" s="778"/>
      <c r="C650" s="779"/>
      <c r="D650" s="780"/>
      <c r="E650" s="781" t="s">
        <v>71</v>
      </c>
      <c r="F650" s="778"/>
      <c r="G650" s="778"/>
      <c r="H650" s="778"/>
      <c r="I650" s="778"/>
      <c r="J650" s="778"/>
      <c r="K650" s="778"/>
      <c r="L650" s="782" t="s">
        <v>71</v>
      </c>
      <c r="M650" s="782" t="s">
        <v>71</v>
      </c>
      <c r="N650" s="782"/>
      <c r="O650" s="782"/>
      <c r="P650" s="783"/>
      <c r="Q650" s="784"/>
      <c r="R650" s="783"/>
      <c r="S650" s="785"/>
      <c r="T650" s="785"/>
    </row>
    <row r="651">
      <c r="A651" s="777"/>
      <c r="B651" s="778"/>
      <c r="C651" s="779"/>
      <c r="D651" s="780"/>
      <c r="E651" s="781" t="s">
        <v>71</v>
      </c>
      <c r="F651" s="778"/>
      <c r="G651" s="778"/>
      <c r="H651" s="778"/>
      <c r="I651" s="778"/>
      <c r="J651" s="778"/>
      <c r="K651" s="778"/>
      <c r="L651" s="782" t="s">
        <v>71</v>
      </c>
      <c r="M651" s="782" t="s">
        <v>71</v>
      </c>
      <c r="N651" s="782"/>
      <c r="O651" s="782"/>
      <c r="P651" s="783"/>
      <c r="Q651" s="784"/>
      <c r="R651" s="783"/>
      <c r="S651" s="785"/>
      <c r="T651" s="785"/>
    </row>
    <row r="652">
      <c r="A652" s="777"/>
      <c r="B652" s="778"/>
      <c r="C652" s="779"/>
      <c r="D652" s="780"/>
      <c r="E652" s="781" t="s">
        <v>71</v>
      </c>
      <c r="F652" s="778"/>
      <c r="G652" s="778"/>
      <c r="H652" s="778"/>
      <c r="I652" s="778"/>
      <c r="J652" s="778"/>
      <c r="K652" s="778"/>
      <c r="L652" s="782" t="s">
        <v>71</v>
      </c>
      <c r="M652" s="782" t="s">
        <v>71</v>
      </c>
      <c r="N652" s="782"/>
      <c r="O652" s="782"/>
      <c r="P652" s="783"/>
      <c r="Q652" s="784"/>
      <c r="R652" s="783"/>
      <c r="S652" s="785"/>
      <c r="T652" s="785"/>
    </row>
    <row r="653">
      <c r="A653" s="777"/>
      <c r="B653" s="778"/>
      <c r="C653" s="779"/>
      <c r="D653" s="780"/>
      <c r="E653" s="781" t="s">
        <v>71</v>
      </c>
      <c r="F653" s="778"/>
      <c r="G653" s="778"/>
      <c r="H653" s="778"/>
      <c r="I653" s="778"/>
      <c r="J653" s="778"/>
      <c r="K653" s="778"/>
      <c r="L653" s="782" t="s">
        <v>71</v>
      </c>
      <c r="M653" s="782" t="s">
        <v>71</v>
      </c>
      <c r="N653" s="782"/>
      <c r="O653" s="782"/>
      <c r="P653" s="783"/>
      <c r="Q653" s="784"/>
      <c r="R653" s="783"/>
      <c r="S653" s="785"/>
      <c r="T653" s="785"/>
    </row>
    <row r="654">
      <c r="A654" s="777"/>
      <c r="B654" s="778"/>
      <c r="C654" s="779"/>
      <c r="D654" s="780"/>
      <c r="E654" s="781" t="s">
        <v>71</v>
      </c>
      <c r="F654" s="778"/>
      <c r="G654" s="778"/>
      <c r="H654" s="778"/>
      <c r="I654" s="778"/>
      <c r="J654" s="778"/>
      <c r="K654" s="778"/>
      <c r="L654" s="782" t="s">
        <v>71</v>
      </c>
      <c r="M654" s="782" t="s">
        <v>71</v>
      </c>
      <c r="N654" s="782"/>
      <c r="O654" s="782"/>
      <c r="P654" s="783"/>
      <c r="Q654" s="784"/>
      <c r="R654" s="783"/>
      <c r="S654" s="785"/>
      <c r="T654" s="785"/>
    </row>
    <row r="655">
      <c r="A655" s="777"/>
      <c r="B655" s="778"/>
      <c r="C655" s="779"/>
      <c r="D655" s="780"/>
      <c r="E655" s="781" t="s">
        <v>71</v>
      </c>
      <c r="F655" s="778"/>
      <c r="G655" s="778"/>
      <c r="H655" s="778"/>
      <c r="I655" s="778"/>
      <c r="J655" s="778"/>
      <c r="K655" s="778"/>
      <c r="L655" s="782" t="s">
        <v>71</v>
      </c>
      <c r="M655" s="782" t="s">
        <v>71</v>
      </c>
      <c r="N655" s="782"/>
      <c r="O655" s="782"/>
      <c r="P655" s="783"/>
      <c r="Q655" s="784"/>
      <c r="R655" s="783"/>
      <c r="S655" s="785"/>
      <c r="T655" s="785"/>
    </row>
    <row r="656">
      <c r="A656" s="777"/>
      <c r="B656" s="778"/>
      <c r="C656" s="779"/>
      <c r="D656" s="780"/>
      <c r="E656" s="781" t="s">
        <v>71</v>
      </c>
      <c r="F656" s="778"/>
      <c r="G656" s="778"/>
      <c r="H656" s="778"/>
      <c r="I656" s="778"/>
      <c r="J656" s="778"/>
      <c r="K656" s="778"/>
      <c r="L656" s="782" t="s">
        <v>71</v>
      </c>
      <c r="M656" s="782" t="s">
        <v>71</v>
      </c>
      <c r="N656" s="782"/>
      <c r="O656" s="782"/>
      <c r="P656" s="783"/>
      <c r="Q656" s="784"/>
      <c r="R656" s="783"/>
      <c r="S656" s="785"/>
      <c r="T656" s="785"/>
    </row>
    <row r="657">
      <c r="A657" s="777"/>
      <c r="B657" s="778"/>
      <c r="C657" s="779"/>
      <c r="D657" s="780"/>
      <c r="E657" s="781" t="s">
        <v>71</v>
      </c>
      <c r="F657" s="778"/>
      <c r="G657" s="778"/>
      <c r="H657" s="778"/>
      <c r="I657" s="778"/>
      <c r="J657" s="778"/>
      <c r="K657" s="778"/>
      <c r="L657" s="782" t="s">
        <v>71</v>
      </c>
      <c r="M657" s="782" t="s">
        <v>71</v>
      </c>
      <c r="N657" s="782"/>
      <c r="O657" s="782"/>
      <c r="P657" s="783"/>
      <c r="Q657" s="784"/>
      <c r="R657" s="783"/>
      <c r="S657" s="785"/>
      <c r="T657" s="785"/>
    </row>
    <row r="658">
      <c r="A658" s="777"/>
      <c r="B658" s="778"/>
      <c r="C658" s="779"/>
      <c r="D658" s="780"/>
      <c r="E658" s="781" t="s">
        <v>71</v>
      </c>
      <c r="F658" s="778"/>
      <c r="G658" s="778"/>
      <c r="H658" s="778"/>
      <c r="I658" s="778"/>
      <c r="J658" s="778"/>
      <c r="K658" s="778"/>
      <c r="L658" s="782" t="s">
        <v>71</v>
      </c>
      <c r="M658" s="782" t="s">
        <v>71</v>
      </c>
      <c r="N658" s="782"/>
      <c r="O658" s="782"/>
      <c r="P658" s="783"/>
      <c r="Q658" s="784"/>
      <c r="R658" s="783"/>
      <c r="S658" s="785"/>
      <c r="T658" s="785"/>
    </row>
    <row r="659">
      <c r="A659" s="777"/>
      <c r="B659" s="778"/>
      <c r="C659" s="779"/>
      <c r="D659" s="780"/>
      <c r="E659" s="781" t="s">
        <v>71</v>
      </c>
      <c r="F659" s="778"/>
      <c r="G659" s="778"/>
      <c r="H659" s="778"/>
      <c r="I659" s="778"/>
      <c r="J659" s="778"/>
      <c r="K659" s="778"/>
      <c r="L659" s="782" t="s">
        <v>71</v>
      </c>
      <c r="M659" s="782" t="s">
        <v>71</v>
      </c>
      <c r="N659" s="782"/>
      <c r="O659" s="782"/>
      <c r="P659" s="783"/>
      <c r="Q659" s="784"/>
      <c r="R659" s="783"/>
      <c r="S659" s="785"/>
      <c r="T659" s="785"/>
    </row>
    <row r="660">
      <c r="A660" s="777"/>
      <c r="B660" s="778"/>
      <c r="C660" s="779"/>
      <c r="D660" s="780"/>
      <c r="E660" s="781" t="s">
        <v>71</v>
      </c>
      <c r="F660" s="778"/>
      <c r="G660" s="778"/>
      <c r="H660" s="778"/>
      <c r="I660" s="778"/>
      <c r="J660" s="778"/>
      <c r="K660" s="778"/>
      <c r="L660" s="782" t="s">
        <v>71</v>
      </c>
      <c r="M660" s="782" t="s">
        <v>71</v>
      </c>
      <c r="N660" s="782"/>
      <c r="O660" s="782"/>
      <c r="P660" s="783"/>
      <c r="Q660" s="784"/>
      <c r="R660" s="783"/>
      <c r="S660" s="785"/>
      <c r="T660" s="785"/>
    </row>
    <row r="661">
      <c r="A661" s="777"/>
      <c r="B661" s="778"/>
      <c r="C661" s="779"/>
      <c r="D661" s="780"/>
      <c r="E661" s="781" t="s">
        <v>71</v>
      </c>
      <c r="F661" s="778"/>
      <c r="G661" s="778"/>
      <c r="H661" s="778"/>
      <c r="I661" s="778"/>
      <c r="J661" s="778"/>
      <c r="K661" s="778"/>
      <c r="L661" s="782" t="s">
        <v>71</v>
      </c>
      <c r="M661" s="782" t="s">
        <v>71</v>
      </c>
      <c r="N661" s="782"/>
      <c r="O661" s="782"/>
      <c r="P661" s="783"/>
      <c r="Q661" s="784"/>
      <c r="R661" s="783"/>
      <c r="S661" s="785"/>
      <c r="T661" s="785"/>
    </row>
    <row r="662">
      <c r="A662" s="777"/>
      <c r="B662" s="778"/>
      <c r="C662" s="779"/>
      <c r="D662" s="780"/>
      <c r="E662" s="781" t="s">
        <v>71</v>
      </c>
      <c r="F662" s="778"/>
      <c r="G662" s="778"/>
      <c r="H662" s="778"/>
      <c r="I662" s="778"/>
      <c r="J662" s="778"/>
      <c r="K662" s="778"/>
      <c r="L662" s="782" t="s">
        <v>71</v>
      </c>
      <c r="M662" s="782" t="s">
        <v>71</v>
      </c>
      <c r="N662" s="782"/>
      <c r="O662" s="782"/>
      <c r="P662" s="783"/>
      <c r="Q662" s="784"/>
      <c r="R662" s="783"/>
      <c r="S662" s="785"/>
      <c r="T662" s="785"/>
    </row>
    <row r="663">
      <c r="A663" s="777"/>
      <c r="B663" s="778"/>
      <c r="C663" s="779"/>
      <c r="D663" s="780"/>
      <c r="E663" s="781" t="s">
        <v>71</v>
      </c>
      <c r="F663" s="778"/>
      <c r="G663" s="778"/>
      <c r="H663" s="778"/>
      <c r="I663" s="778"/>
      <c r="J663" s="778"/>
      <c r="K663" s="778"/>
      <c r="L663" s="782" t="s">
        <v>71</v>
      </c>
      <c r="M663" s="782" t="s">
        <v>71</v>
      </c>
      <c r="N663" s="782"/>
      <c r="O663" s="782"/>
      <c r="P663" s="783"/>
      <c r="Q663" s="784"/>
      <c r="R663" s="783"/>
      <c r="S663" s="785"/>
      <c r="T663" s="785"/>
    </row>
    <row r="664">
      <c r="A664" s="777"/>
      <c r="B664" s="778"/>
      <c r="C664" s="779"/>
      <c r="D664" s="780"/>
      <c r="E664" s="781" t="s">
        <v>71</v>
      </c>
      <c r="F664" s="778"/>
      <c r="G664" s="778"/>
      <c r="H664" s="778"/>
      <c r="I664" s="778"/>
      <c r="J664" s="778"/>
      <c r="K664" s="778"/>
      <c r="L664" s="782" t="s">
        <v>71</v>
      </c>
      <c r="M664" s="782" t="s">
        <v>71</v>
      </c>
      <c r="N664" s="782"/>
      <c r="O664" s="782"/>
      <c r="P664" s="783"/>
      <c r="Q664" s="784"/>
      <c r="R664" s="783"/>
      <c r="S664" s="785"/>
      <c r="T664" s="785"/>
    </row>
    <row r="665">
      <c r="A665" s="777"/>
      <c r="B665" s="778"/>
      <c r="C665" s="779"/>
      <c r="D665" s="780"/>
      <c r="E665" s="781" t="s">
        <v>71</v>
      </c>
      <c r="F665" s="778"/>
      <c r="G665" s="778"/>
      <c r="H665" s="778"/>
      <c r="I665" s="778"/>
      <c r="J665" s="778"/>
      <c r="K665" s="778"/>
      <c r="L665" s="782" t="s">
        <v>71</v>
      </c>
      <c r="M665" s="782" t="s">
        <v>71</v>
      </c>
      <c r="N665" s="782"/>
      <c r="O665" s="782"/>
      <c r="P665" s="783"/>
      <c r="Q665" s="784"/>
      <c r="R665" s="783"/>
      <c r="S665" s="785"/>
      <c r="T665" s="785"/>
    </row>
    <row r="666">
      <c r="A666" s="777"/>
      <c r="B666" s="778"/>
      <c r="C666" s="779"/>
      <c r="D666" s="780"/>
      <c r="E666" s="781" t="s">
        <v>71</v>
      </c>
      <c r="F666" s="778"/>
      <c r="G666" s="778"/>
      <c r="H666" s="778"/>
      <c r="I666" s="778"/>
      <c r="J666" s="778"/>
      <c r="K666" s="778"/>
      <c r="L666" s="782" t="s">
        <v>71</v>
      </c>
      <c r="M666" s="782" t="s">
        <v>71</v>
      </c>
      <c r="N666" s="782"/>
      <c r="O666" s="782"/>
      <c r="P666" s="783"/>
      <c r="Q666" s="784"/>
      <c r="R666" s="783"/>
      <c r="S666" s="785"/>
      <c r="T666" s="785"/>
    </row>
    <row r="667">
      <c r="A667" s="777"/>
      <c r="B667" s="778"/>
      <c r="C667" s="779"/>
      <c r="D667" s="780"/>
      <c r="E667" s="781" t="s">
        <v>71</v>
      </c>
      <c r="F667" s="778"/>
      <c r="G667" s="778"/>
      <c r="H667" s="778"/>
      <c r="I667" s="778"/>
      <c r="J667" s="778"/>
      <c r="K667" s="778"/>
      <c r="L667" s="782" t="s">
        <v>71</v>
      </c>
      <c r="M667" s="782" t="s">
        <v>71</v>
      </c>
      <c r="N667" s="782"/>
      <c r="O667" s="782"/>
      <c r="P667" s="783"/>
      <c r="Q667" s="784"/>
      <c r="R667" s="783"/>
      <c r="S667" s="785"/>
      <c r="T667" s="785"/>
    </row>
    <row r="668">
      <c r="A668" s="777"/>
      <c r="B668" s="778"/>
      <c r="C668" s="779"/>
      <c r="D668" s="780"/>
      <c r="E668" s="781" t="s">
        <v>71</v>
      </c>
      <c r="F668" s="778"/>
      <c r="G668" s="778"/>
      <c r="H668" s="778"/>
      <c r="I668" s="778"/>
      <c r="J668" s="778"/>
      <c r="K668" s="778"/>
      <c r="L668" s="782" t="s">
        <v>71</v>
      </c>
      <c r="M668" s="782" t="s">
        <v>71</v>
      </c>
      <c r="N668" s="782"/>
      <c r="O668" s="782"/>
      <c r="P668" s="783"/>
      <c r="Q668" s="784"/>
      <c r="R668" s="783"/>
      <c r="S668" s="785"/>
      <c r="T668" s="785"/>
    </row>
    <row r="669">
      <c r="A669" s="777"/>
      <c r="B669" s="778"/>
      <c r="C669" s="779"/>
      <c r="D669" s="780"/>
      <c r="E669" s="781" t="s">
        <v>71</v>
      </c>
      <c r="F669" s="778"/>
      <c r="G669" s="778"/>
      <c r="H669" s="778"/>
      <c r="I669" s="778"/>
      <c r="J669" s="778"/>
      <c r="K669" s="778"/>
      <c r="L669" s="782" t="s">
        <v>71</v>
      </c>
      <c r="M669" s="782" t="s">
        <v>71</v>
      </c>
      <c r="N669" s="782"/>
      <c r="O669" s="782"/>
      <c r="P669" s="783"/>
      <c r="Q669" s="784"/>
      <c r="R669" s="783"/>
      <c r="S669" s="785"/>
      <c r="T669" s="785"/>
    </row>
    <row r="670">
      <c r="A670" s="777"/>
      <c r="B670" s="778"/>
      <c r="C670" s="779"/>
      <c r="D670" s="780"/>
      <c r="E670" s="781" t="s">
        <v>71</v>
      </c>
      <c r="F670" s="778"/>
      <c r="G670" s="778"/>
      <c r="H670" s="778"/>
      <c r="I670" s="778"/>
      <c r="J670" s="778"/>
      <c r="K670" s="778"/>
      <c r="L670" s="782" t="s">
        <v>71</v>
      </c>
      <c r="M670" s="782" t="s">
        <v>71</v>
      </c>
      <c r="N670" s="782"/>
      <c r="O670" s="782"/>
      <c r="P670" s="783"/>
      <c r="Q670" s="784"/>
      <c r="R670" s="783"/>
      <c r="S670" s="785"/>
      <c r="T670" s="785"/>
    </row>
    <row r="671">
      <c r="A671" s="777"/>
      <c r="B671" s="778"/>
      <c r="C671" s="779"/>
      <c r="D671" s="780"/>
      <c r="E671" s="781" t="s">
        <v>71</v>
      </c>
      <c r="F671" s="778"/>
      <c r="G671" s="778"/>
      <c r="H671" s="778"/>
      <c r="I671" s="778"/>
      <c r="J671" s="778"/>
      <c r="K671" s="778"/>
      <c r="L671" s="782" t="s">
        <v>71</v>
      </c>
      <c r="M671" s="782" t="s">
        <v>71</v>
      </c>
      <c r="N671" s="782"/>
      <c r="O671" s="782"/>
      <c r="P671" s="783"/>
      <c r="Q671" s="784"/>
      <c r="R671" s="783"/>
      <c r="S671" s="785"/>
      <c r="T671" s="785"/>
    </row>
    <row r="672">
      <c r="A672" s="777"/>
      <c r="B672" s="778"/>
      <c r="C672" s="779"/>
      <c r="D672" s="780"/>
      <c r="E672" s="781" t="s">
        <v>71</v>
      </c>
      <c r="F672" s="778"/>
      <c r="G672" s="778"/>
      <c r="H672" s="778"/>
      <c r="I672" s="778"/>
      <c r="J672" s="778"/>
      <c r="K672" s="778"/>
      <c r="L672" s="782" t="s">
        <v>71</v>
      </c>
      <c r="M672" s="782" t="s">
        <v>71</v>
      </c>
      <c r="N672" s="782"/>
      <c r="O672" s="782"/>
      <c r="P672" s="783"/>
      <c r="Q672" s="784"/>
      <c r="R672" s="783"/>
      <c r="S672" s="785"/>
      <c r="T672" s="785"/>
    </row>
    <row r="673">
      <c r="A673" s="777"/>
      <c r="B673" s="778"/>
      <c r="C673" s="779"/>
      <c r="D673" s="780"/>
      <c r="E673" s="781" t="s">
        <v>71</v>
      </c>
      <c r="F673" s="778"/>
      <c r="G673" s="778"/>
      <c r="H673" s="778"/>
      <c r="I673" s="778"/>
      <c r="J673" s="778"/>
      <c r="K673" s="778"/>
      <c r="L673" s="782" t="s">
        <v>71</v>
      </c>
      <c r="M673" s="782" t="s">
        <v>71</v>
      </c>
      <c r="N673" s="782"/>
      <c r="O673" s="782"/>
      <c r="P673" s="783"/>
      <c r="Q673" s="784"/>
      <c r="R673" s="783"/>
      <c r="S673" s="785"/>
      <c r="T673" s="785"/>
    </row>
    <row r="674">
      <c r="A674" s="777"/>
      <c r="B674" s="778"/>
      <c r="C674" s="779"/>
      <c r="D674" s="780"/>
      <c r="E674" s="781" t="s">
        <v>71</v>
      </c>
      <c r="F674" s="778"/>
      <c r="G674" s="778"/>
      <c r="H674" s="778"/>
      <c r="I674" s="778"/>
      <c r="J674" s="778"/>
      <c r="K674" s="778"/>
      <c r="L674" s="782" t="s">
        <v>71</v>
      </c>
      <c r="M674" s="782" t="s">
        <v>71</v>
      </c>
      <c r="N674" s="782"/>
      <c r="O674" s="782"/>
      <c r="P674" s="783"/>
      <c r="Q674" s="784"/>
      <c r="R674" s="783"/>
      <c r="S674" s="785"/>
      <c r="T674" s="785"/>
    </row>
    <row r="675">
      <c r="A675" s="777"/>
      <c r="B675" s="778"/>
      <c r="C675" s="779"/>
      <c r="D675" s="780"/>
      <c r="E675" s="781" t="s">
        <v>71</v>
      </c>
      <c r="F675" s="778"/>
      <c r="G675" s="778"/>
      <c r="H675" s="778"/>
      <c r="I675" s="778"/>
      <c r="J675" s="778"/>
      <c r="K675" s="778"/>
      <c r="L675" s="782" t="s">
        <v>71</v>
      </c>
      <c r="M675" s="782" t="s">
        <v>71</v>
      </c>
      <c r="N675" s="782"/>
      <c r="O675" s="782"/>
      <c r="P675" s="783"/>
      <c r="Q675" s="784"/>
      <c r="R675" s="783"/>
      <c r="S675" s="785"/>
      <c r="T675" s="785"/>
    </row>
    <row r="676">
      <c r="A676" s="777"/>
      <c r="B676" s="778"/>
      <c r="C676" s="779"/>
      <c r="D676" s="780"/>
      <c r="E676" s="781" t="s">
        <v>71</v>
      </c>
      <c r="F676" s="778"/>
      <c r="G676" s="778"/>
      <c r="H676" s="778"/>
      <c r="I676" s="778"/>
      <c r="J676" s="778"/>
      <c r="K676" s="778"/>
      <c r="L676" s="782" t="s">
        <v>71</v>
      </c>
      <c r="M676" s="782" t="s">
        <v>71</v>
      </c>
      <c r="N676" s="782"/>
      <c r="O676" s="782"/>
      <c r="P676" s="783"/>
      <c r="Q676" s="784"/>
      <c r="R676" s="783"/>
      <c r="S676" s="785"/>
      <c r="T676" s="785"/>
    </row>
    <row r="677">
      <c r="A677" s="777"/>
      <c r="B677" s="778"/>
      <c r="C677" s="779"/>
      <c r="D677" s="780"/>
      <c r="E677" s="781" t="s">
        <v>71</v>
      </c>
      <c r="F677" s="778"/>
      <c r="G677" s="778"/>
      <c r="H677" s="778"/>
      <c r="I677" s="778"/>
      <c r="J677" s="778"/>
      <c r="K677" s="778"/>
      <c r="L677" s="782" t="s">
        <v>71</v>
      </c>
      <c r="M677" s="782" t="s">
        <v>71</v>
      </c>
      <c r="N677" s="782"/>
      <c r="O677" s="782"/>
      <c r="P677" s="783"/>
      <c r="Q677" s="784"/>
      <c r="R677" s="783"/>
      <c r="S677" s="785"/>
      <c r="T677" s="785"/>
    </row>
    <row r="678">
      <c r="A678" s="777"/>
      <c r="B678" s="778"/>
      <c r="C678" s="779"/>
      <c r="D678" s="780"/>
      <c r="E678" s="781" t="s">
        <v>71</v>
      </c>
      <c r="F678" s="778"/>
      <c r="G678" s="778"/>
      <c r="H678" s="778"/>
      <c r="I678" s="778"/>
      <c r="J678" s="778"/>
      <c r="K678" s="778"/>
      <c r="L678" s="782" t="s">
        <v>71</v>
      </c>
      <c r="M678" s="782" t="s">
        <v>71</v>
      </c>
      <c r="N678" s="782"/>
      <c r="O678" s="782"/>
      <c r="P678" s="783"/>
      <c r="Q678" s="784"/>
      <c r="R678" s="783"/>
      <c r="S678" s="785"/>
      <c r="T678" s="785"/>
    </row>
    <row r="679">
      <c r="A679" s="777"/>
      <c r="B679" s="778"/>
      <c r="C679" s="779"/>
      <c r="D679" s="780"/>
      <c r="E679" s="781" t="s">
        <v>71</v>
      </c>
      <c r="F679" s="778"/>
      <c r="G679" s="778"/>
      <c r="H679" s="778"/>
      <c r="I679" s="778"/>
      <c r="J679" s="778"/>
      <c r="K679" s="778"/>
      <c r="L679" s="782" t="s">
        <v>71</v>
      </c>
      <c r="M679" s="782" t="s">
        <v>71</v>
      </c>
      <c r="N679" s="782"/>
      <c r="O679" s="782"/>
      <c r="P679" s="783"/>
      <c r="Q679" s="784"/>
      <c r="R679" s="783"/>
      <c r="S679" s="785"/>
      <c r="T679" s="785"/>
    </row>
    <row r="680">
      <c r="A680" s="777"/>
      <c r="B680" s="778"/>
      <c r="C680" s="779"/>
      <c r="D680" s="780"/>
      <c r="E680" s="781" t="s">
        <v>71</v>
      </c>
      <c r="F680" s="778"/>
      <c r="G680" s="778"/>
      <c r="H680" s="778"/>
      <c r="I680" s="778"/>
      <c r="J680" s="778"/>
      <c r="K680" s="778"/>
      <c r="L680" s="782" t="s">
        <v>71</v>
      </c>
      <c r="M680" s="782" t="s">
        <v>71</v>
      </c>
      <c r="N680" s="782"/>
      <c r="O680" s="782"/>
      <c r="P680" s="783"/>
      <c r="Q680" s="784"/>
      <c r="R680" s="783"/>
      <c r="S680" s="785"/>
      <c r="T680" s="785"/>
    </row>
    <row r="681">
      <c r="A681" s="777"/>
      <c r="B681" s="778"/>
      <c r="C681" s="779"/>
      <c r="D681" s="780"/>
      <c r="E681" s="781" t="s">
        <v>71</v>
      </c>
      <c r="F681" s="778"/>
      <c r="G681" s="778"/>
      <c r="H681" s="778"/>
      <c r="I681" s="778"/>
      <c r="J681" s="778"/>
      <c r="K681" s="778"/>
      <c r="L681" s="782" t="s">
        <v>71</v>
      </c>
      <c r="M681" s="782" t="s">
        <v>71</v>
      </c>
      <c r="N681" s="782"/>
      <c r="O681" s="782"/>
      <c r="P681" s="783"/>
      <c r="Q681" s="784"/>
      <c r="R681" s="783"/>
      <c r="S681" s="785"/>
      <c r="T681" s="785"/>
    </row>
    <row r="682">
      <c r="A682" s="777"/>
      <c r="B682" s="778"/>
      <c r="C682" s="779"/>
      <c r="D682" s="780"/>
      <c r="E682" s="781" t="s">
        <v>71</v>
      </c>
      <c r="F682" s="778"/>
      <c r="G682" s="778"/>
      <c r="H682" s="778"/>
      <c r="I682" s="778"/>
      <c r="J682" s="778"/>
      <c r="K682" s="778"/>
      <c r="L682" s="782" t="s">
        <v>71</v>
      </c>
      <c r="M682" s="782" t="s">
        <v>71</v>
      </c>
      <c r="N682" s="782"/>
      <c r="O682" s="782"/>
      <c r="P682" s="783"/>
      <c r="Q682" s="784"/>
      <c r="R682" s="783"/>
      <c r="S682" s="785"/>
      <c r="T682" s="785"/>
    </row>
    <row r="683">
      <c r="A683" s="777"/>
      <c r="B683" s="778"/>
      <c r="C683" s="779"/>
      <c r="D683" s="780"/>
      <c r="E683" s="781" t="s">
        <v>71</v>
      </c>
      <c r="F683" s="778"/>
      <c r="G683" s="778"/>
      <c r="H683" s="778"/>
      <c r="I683" s="778"/>
      <c r="J683" s="778"/>
      <c r="K683" s="778"/>
      <c r="L683" s="782" t="s">
        <v>71</v>
      </c>
      <c r="M683" s="782" t="s">
        <v>71</v>
      </c>
      <c r="N683" s="782"/>
      <c r="O683" s="782"/>
      <c r="P683" s="783"/>
      <c r="Q683" s="784"/>
      <c r="R683" s="783"/>
      <c r="S683" s="785"/>
      <c r="T683" s="785"/>
    </row>
    <row r="684">
      <c r="A684" s="777"/>
      <c r="B684" s="778"/>
      <c r="C684" s="779"/>
      <c r="D684" s="780"/>
      <c r="E684" s="781" t="s">
        <v>71</v>
      </c>
      <c r="F684" s="778"/>
      <c r="G684" s="778"/>
      <c r="H684" s="778"/>
      <c r="I684" s="778"/>
      <c r="J684" s="778"/>
      <c r="K684" s="778"/>
      <c r="L684" s="782" t="s">
        <v>71</v>
      </c>
      <c r="M684" s="782" t="s">
        <v>71</v>
      </c>
      <c r="N684" s="782"/>
      <c r="O684" s="782"/>
      <c r="P684" s="783"/>
      <c r="Q684" s="784"/>
      <c r="R684" s="783"/>
      <c r="S684" s="785"/>
      <c r="T684" s="785"/>
    </row>
    <row r="685">
      <c r="A685" s="777"/>
      <c r="B685" s="778"/>
      <c r="C685" s="779"/>
      <c r="D685" s="780"/>
      <c r="E685" s="781" t="s">
        <v>71</v>
      </c>
      <c r="F685" s="778"/>
      <c r="G685" s="778"/>
      <c r="H685" s="778"/>
      <c r="I685" s="778"/>
      <c r="J685" s="778"/>
      <c r="K685" s="778"/>
      <c r="L685" s="782" t="s">
        <v>71</v>
      </c>
      <c r="M685" s="782" t="s">
        <v>71</v>
      </c>
      <c r="N685" s="782"/>
      <c r="O685" s="782"/>
      <c r="P685" s="783"/>
      <c r="Q685" s="784"/>
      <c r="R685" s="783"/>
      <c r="S685" s="785"/>
      <c r="T685" s="785"/>
    </row>
    <row r="686">
      <c r="A686" s="777"/>
      <c r="B686" s="778"/>
      <c r="C686" s="779"/>
      <c r="D686" s="780"/>
      <c r="E686" s="781" t="s">
        <v>71</v>
      </c>
      <c r="F686" s="778"/>
      <c r="G686" s="778"/>
      <c r="H686" s="778"/>
      <c r="I686" s="778"/>
      <c r="J686" s="778"/>
      <c r="K686" s="778"/>
      <c r="L686" s="782" t="s">
        <v>71</v>
      </c>
      <c r="M686" s="782" t="s">
        <v>71</v>
      </c>
      <c r="N686" s="782"/>
      <c r="O686" s="782"/>
      <c r="P686" s="783"/>
      <c r="Q686" s="784"/>
      <c r="R686" s="783"/>
      <c r="S686" s="785"/>
      <c r="T686" s="785"/>
    </row>
    <row r="687">
      <c r="A687" s="777"/>
      <c r="B687" s="778"/>
      <c r="C687" s="779"/>
      <c r="D687" s="780"/>
      <c r="E687" s="781" t="s">
        <v>71</v>
      </c>
      <c r="F687" s="778"/>
      <c r="G687" s="778"/>
      <c r="H687" s="778"/>
      <c r="I687" s="778"/>
      <c r="J687" s="778"/>
      <c r="K687" s="778"/>
      <c r="L687" s="782" t="s">
        <v>71</v>
      </c>
      <c r="M687" s="782" t="s">
        <v>71</v>
      </c>
      <c r="N687" s="782"/>
      <c r="O687" s="782"/>
      <c r="P687" s="783"/>
      <c r="Q687" s="784"/>
      <c r="R687" s="783"/>
      <c r="S687" s="785"/>
      <c r="T687" s="785"/>
    </row>
    <row r="688">
      <c r="A688" s="777"/>
      <c r="B688" s="778"/>
      <c r="C688" s="779"/>
      <c r="D688" s="780"/>
      <c r="E688" s="781" t="s">
        <v>71</v>
      </c>
      <c r="F688" s="778"/>
      <c r="G688" s="778"/>
      <c r="H688" s="778"/>
      <c r="I688" s="778"/>
      <c r="J688" s="778"/>
      <c r="K688" s="778"/>
      <c r="L688" s="782" t="s">
        <v>71</v>
      </c>
      <c r="M688" s="782" t="s">
        <v>71</v>
      </c>
      <c r="N688" s="782"/>
      <c r="O688" s="782"/>
      <c r="P688" s="783"/>
      <c r="Q688" s="784"/>
      <c r="R688" s="783"/>
      <c r="S688" s="785"/>
      <c r="T688" s="785"/>
    </row>
    <row r="689">
      <c r="A689" s="777"/>
      <c r="B689" s="778"/>
      <c r="C689" s="779"/>
      <c r="D689" s="780"/>
      <c r="E689" s="781" t="s">
        <v>71</v>
      </c>
      <c r="F689" s="778"/>
      <c r="G689" s="778"/>
      <c r="H689" s="778"/>
      <c r="I689" s="778"/>
      <c r="J689" s="778"/>
      <c r="K689" s="778"/>
      <c r="L689" s="782" t="s">
        <v>71</v>
      </c>
      <c r="M689" s="782" t="s">
        <v>71</v>
      </c>
      <c r="N689" s="782"/>
      <c r="O689" s="782"/>
      <c r="P689" s="783"/>
      <c r="Q689" s="784"/>
      <c r="R689" s="783"/>
      <c r="S689" s="785"/>
      <c r="T689" s="785"/>
    </row>
    <row r="690">
      <c r="A690" s="777"/>
      <c r="B690" s="778"/>
      <c r="C690" s="779"/>
      <c r="D690" s="780"/>
      <c r="E690" s="781" t="s">
        <v>71</v>
      </c>
      <c r="F690" s="778"/>
      <c r="G690" s="778"/>
      <c r="H690" s="778"/>
      <c r="I690" s="778"/>
      <c r="J690" s="778"/>
      <c r="K690" s="778"/>
      <c r="L690" s="782" t="s">
        <v>71</v>
      </c>
      <c r="M690" s="782" t="s">
        <v>71</v>
      </c>
      <c r="N690" s="782"/>
      <c r="O690" s="782"/>
      <c r="P690" s="783"/>
      <c r="Q690" s="784"/>
      <c r="R690" s="783"/>
      <c r="S690" s="785"/>
      <c r="T690" s="785"/>
    </row>
    <row r="691">
      <c r="A691" s="777"/>
      <c r="B691" s="778"/>
      <c r="C691" s="779"/>
      <c r="D691" s="780"/>
      <c r="E691" s="781" t="s">
        <v>71</v>
      </c>
      <c r="F691" s="778"/>
      <c r="G691" s="778"/>
      <c r="H691" s="778"/>
      <c r="I691" s="778"/>
      <c r="J691" s="778"/>
      <c r="K691" s="778"/>
      <c r="L691" s="782" t="s">
        <v>71</v>
      </c>
      <c r="M691" s="782" t="s">
        <v>71</v>
      </c>
      <c r="N691" s="782"/>
      <c r="O691" s="782"/>
      <c r="P691" s="783"/>
      <c r="Q691" s="784"/>
      <c r="R691" s="783"/>
      <c r="S691" s="785"/>
      <c r="T691" s="785"/>
    </row>
    <row r="692">
      <c r="A692" s="777"/>
      <c r="B692" s="778"/>
      <c r="C692" s="779"/>
      <c r="D692" s="780"/>
      <c r="E692" s="781" t="s">
        <v>71</v>
      </c>
      <c r="F692" s="778"/>
      <c r="G692" s="778"/>
      <c r="H692" s="778"/>
      <c r="I692" s="778"/>
      <c r="J692" s="778"/>
      <c r="K692" s="778"/>
      <c r="L692" s="782" t="s">
        <v>71</v>
      </c>
      <c r="M692" s="782" t="s">
        <v>71</v>
      </c>
      <c r="N692" s="782"/>
      <c r="O692" s="782"/>
      <c r="P692" s="783"/>
      <c r="Q692" s="784"/>
      <c r="R692" s="783"/>
      <c r="S692" s="785"/>
      <c r="T692" s="785"/>
    </row>
    <row r="693">
      <c r="A693" s="777"/>
      <c r="B693" s="778"/>
      <c r="C693" s="779"/>
      <c r="D693" s="780"/>
      <c r="E693" s="781" t="s">
        <v>71</v>
      </c>
      <c r="F693" s="778"/>
      <c r="G693" s="778"/>
      <c r="H693" s="778"/>
      <c r="I693" s="778"/>
      <c r="J693" s="778"/>
      <c r="K693" s="778"/>
      <c r="L693" s="782" t="s">
        <v>71</v>
      </c>
      <c r="M693" s="782" t="s">
        <v>71</v>
      </c>
      <c r="N693" s="782"/>
      <c r="O693" s="782"/>
      <c r="P693" s="783"/>
      <c r="Q693" s="784"/>
      <c r="R693" s="783"/>
      <c r="S693" s="785"/>
      <c r="T693" s="785"/>
    </row>
    <row r="694">
      <c r="A694" s="777"/>
      <c r="B694" s="778"/>
      <c r="C694" s="779"/>
      <c r="D694" s="780"/>
      <c r="E694" s="781" t="s">
        <v>71</v>
      </c>
      <c r="F694" s="778"/>
      <c r="G694" s="778"/>
      <c r="H694" s="778"/>
      <c r="I694" s="778"/>
      <c r="J694" s="778"/>
      <c r="K694" s="778"/>
      <c r="L694" s="782" t="s">
        <v>71</v>
      </c>
      <c r="M694" s="782" t="s">
        <v>71</v>
      </c>
      <c r="N694" s="782"/>
      <c r="O694" s="782"/>
      <c r="P694" s="783"/>
      <c r="Q694" s="784"/>
      <c r="R694" s="783"/>
      <c r="S694" s="785"/>
      <c r="T694" s="785"/>
    </row>
    <row r="695">
      <c r="A695" s="777"/>
      <c r="B695" s="778"/>
      <c r="C695" s="779"/>
      <c r="D695" s="780"/>
      <c r="E695" s="781" t="s">
        <v>71</v>
      </c>
      <c r="F695" s="778"/>
      <c r="G695" s="778"/>
      <c r="H695" s="778"/>
      <c r="I695" s="778"/>
      <c r="J695" s="778"/>
      <c r="K695" s="778"/>
      <c r="L695" s="782" t="s">
        <v>71</v>
      </c>
      <c r="M695" s="782" t="s">
        <v>71</v>
      </c>
      <c r="N695" s="782"/>
      <c r="O695" s="782"/>
      <c r="P695" s="783"/>
      <c r="Q695" s="784"/>
      <c r="R695" s="783"/>
      <c r="S695" s="785"/>
      <c r="T695" s="785"/>
    </row>
    <row r="696">
      <c r="A696" s="777"/>
      <c r="B696" s="778"/>
      <c r="C696" s="779"/>
      <c r="D696" s="780"/>
      <c r="E696" s="781" t="s">
        <v>71</v>
      </c>
      <c r="F696" s="778"/>
      <c r="G696" s="778"/>
      <c r="H696" s="778"/>
      <c r="I696" s="778"/>
      <c r="J696" s="778"/>
      <c r="K696" s="778"/>
      <c r="L696" s="782" t="s">
        <v>71</v>
      </c>
      <c r="M696" s="782" t="s">
        <v>71</v>
      </c>
      <c r="N696" s="782"/>
      <c r="O696" s="782"/>
      <c r="P696" s="783"/>
      <c r="Q696" s="784"/>
      <c r="R696" s="783"/>
      <c r="S696" s="785"/>
      <c r="T696" s="785"/>
    </row>
    <row r="697">
      <c r="A697" s="777"/>
      <c r="B697" s="778"/>
      <c r="C697" s="779"/>
      <c r="D697" s="780"/>
      <c r="E697" s="781" t="s">
        <v>71</v>
      </c>
      <c r="F697" s="778"/>
      <c r="G697" s="778"/>
      <c r="H697" s="778"/>
      <c r="I697" s="778"/>
      <c r="J697" s="778"/>
      <c r="K697" s="778"/>
      <c r="L697" s="782" t="s">
        <v>71</v>
      </c>
      <c r="M697" s="782" t="s">
        <v>71</v>
      </c>
      <c r="N697" s="782"/>
      <c r="O697" s="782"/>
      <c r="P697" s="783"/>
      <c r="Q697" s="784"/>
      <c r="R697" s="783"/>
      <c r="S697" s="785"/>
      <c r="T697" s="785"/>
    </row>
    <row r="698">
      <c r="A698" s="777"/>
      <c r="B698" s="778"/>
      <c r="C698" s="779"/>
      <c r="D698" s="780"/>
      <c r="E698" s="781" t="s">
        <v>71</v>
      </c>
      <c r="F698" s="778"/>
      <c r="G698" s="778"/>
      <c r="H698" s="778"/>
      <c r="I698" s="778"/>
      <c r="J698" s="778"/>
      <c r="K698" s="778"/>
      <c r="L698" s="782" t="s">
        <v>71</v>
      </c>
      <c r="M698" s="782" t="s">
        <v>71</v>
      </c>
      <c r="N698" s="782"/>
      <c r="O698" s="782"/>
      <c r="P698" s="783"/>
      <c r="Q698" s="784"/>
      <c r="R698" s="783"/>
      <c r="S698" s="785"/>
      <c r="T698" s="785"/>
    </row>
    <row r="699">
      <c r="A699" s="777"/>
      <c r="B699" s="778"/>
      <c r="C699" s="779"/>
      <c r="D699" s="780"/>
      <c r="E699" s="781" t="s">
        <v>71</v>
      </c>
      <c r="F699" s="778"/>
      <c r="G699" s="778"/>
      <c r="H699" s="778"/>
      <c r="I699" s="778"/>
      <c r="J699" s="778"/>
      <c r="K699" s="778"/>
      <c r="L699" s="782" t="s">
        <v>71</v>
      </c>
      <c r="M699" s="782" t="s">
        <v>71</v>
      </c>
      <c r="N699" s="782"/>
      <c r="O699" s="782"/>
      <c r="P699" s="783"/>
      <c r="Q699" s="784"/>
      <c r="R699" s="783"/>
      <c r="S699" s="785"/>
      <c r="T699" s="785"/>
    </row>
    <row r="700">
      <c r="A700" s="777"/>
      <c r="B700" s="778"/>
      <c r="C700" s="779"/>
      <c r="D700" s="780"/>
      <c r="E700" s="781" t="s">
        <v>71</v>
      </c>
      <c r="F700" s="778"/>
      <c r="G700" s="778"/>
      <c r="H700" s="778"/>
      <c r="I700" s="778"/>
      <c r="J700" s="778"/>
      <c r="K700" s="778"/>
      <c r="L700" s="782" t="s">
        <v>71</v>
      </c>
      <c r="M700" s="782" t="s">
        <v>71</v>
      </c>
      <c r="N700" s="782"/>
      <c r="O700" s="782"/>
      <c r="P700" s="783"/>
      <c r="Q700" s="784"/>
      <c r="R700" s="783"/>
      <c r="S700" s="785"/>
      <c r="T700" s="785"/>
    </row>
    <row r="701">
      <c r="A701" s="777"/>
      <c r="B701" s="778"/>
      <c r="C701" s="779"/>
      <c r="D701" s="780"/>
      <c r="E701" s="781" t="s">
        <v>71</v>
      </c>
      <c r="F701" s="778"/>
      <c r="G701" s="778"/>
      <c r="H701" s="778"/>
      <c r="I701" s="778"/>
      <c r="J701" s="778"/>
      <c r="K701" s="778"/>
      <c r="L701" s="782" t="s">
        <v>71</v>
      </c>
      <c r="M701" s="782" t="s">
        <v>71</v>
      </c>
      <c r="N701" s="782"/>
      <c r="O701" s="782"/>
      <c r="P701" s="783"/>
      <c r="Q701" s="784"/>
      <c r="R701" s="783"/>
      <c r="S701" s="785"/>
      <c r="T701" s="785"/>
    </row>
    <row r="702">
      <c r="A702" s="777"/>
      <c r="B702" s="778"/>
      <c r="C702" s="779"/>
      <c r="D702" s="780"/>
      <c r="E702" s="781" t="s">
        <v>71</v>
      </c>
      <c r="F702" s="778"/>
      <c r="G702" s="778"/>
      <c r="H702" s="778"/>
      <c r="I702" s="778"/>
      <c r="J702" s="778"/>
      <c r="K702" s="778"/>
      <c r="L702" s="782" t="s">
        <v>71</v>
      </c>
      <c r="M702" s="782" t="s">
        <v>71</v>
      </c>
      <c r="N702" s="782"/>
      <c r="O702" s="782"/>
      <c r="P702" s="783"/>
      <c r="Q702" s="784"/>
      <c r="R702" s="783"/>
      <c r="S702" s="785"/>
      <c r="T702" s="785"/>
    </row>
    <row r="703">
      <c r="A703" s="777"/>
      <c r="B703" s="778"/>
      <c r="C703" s="779"/>
      <c r="D703" s="780"/>
      <c r="E703" s="781" t="s">
        <v>71</v>
      </c>
      <c r="F703" s="778"/>
      <c r="G703" s="778"/>
      <c r="H703" s="778"/>
      <c r="I703" s="778"/>
      <c r="J703" s="778"/>
      <c r="K703" s="778"/>
      <c r="L703" s="782" t="s">
        <v>71</v>
      </c>
      <c r="M703" s="782" t="s">
        <v>71</v>
      </c>
      <c r="N703" s="782"/>
      <c r="O703" s="782"/>
      <c r="P703" s="783"/>
      <c r="Q703" s="784"/>
      <c r="R703" s="783"/>
      <c r="S703" s="785"/>
      <c r="T703" s="785"/>
    </row>
    <row r="704">
      <c r="A704" s="777"/>
      <c r="B704" s="778"/>
      <c r="C704" s="779"/>
      <c r="D704" s="780"/>
      <c r="E704" s="781" t="s">
        <v>71</v>
      </c>
      <c r="F704" s="778"/>
      <c r="G704" s="778"/>
      <c r="H704" s="778"/>
      <c r="I704" s="778"/>
      <c r="J704" s="778"/>
      <c r="K704" s="778"/>
      <c r="L704" s="782" t="s">
        <v>71</v>
      </c>
      <c r="M704" s="782" t="s">
        <v>71</v>
      </c>
      <c r="N704" s="782"/>
      <c r="O704" s="782"/>
      <c r="P704" s="783"/>
      <c r="Q704" s="784"/>
      <c r="R704" s="783"/>
      <c r="S704" s="785"/>
      <c r="T704" s="785"/>
    </row>
    <row r="705">
      <c r="A705" s="777"/>
      <c r="B705" s="778"/>
      <c r="C705" s="779"/>
      <c r="D705" s="780"/>
      <c r="E705" s="781" t="s">
        <v>71</v>
      </c>
      <c r="F705" s="778"/>
      <c r="G705" s="778"/>
      <c r="H705" s="778"/>
      <c r="I705" s="778"/>
      <c r="J705" s="778"/>
      <c r="K705" s="778"/>
      <c r="L705" s="782" t="s">
        <v>71</v>
      </c>
      <c r="M705" s="782" t="s">
        <v>71</v>
      </c>
      <c r="N705" s="782"/>
      <c r="O705" s="782"/>
      <c r="P705" s="783"/>
      <c r="Q705" s="784"/>
      <c r="R705" s="783"/>
      <c r="S705" s="785"/>
      <c r="T705" s="785"/>
    </row>
    <row r="706">
      <c r="A706" s="777"/>
      <c r="B706" s="778"/>
      <c r="C706" s="779"/>
      <c r="D706" s="780"/>
      <c r="E706" s="781" t="s">
        <v>71</v>
      </c>
      <c r="F706" s="778"/>
      <c r="G706" s="778"/>
      <c r="H706" s="778"/>
      <c r="I706" s="778"/>
      <c r="J706" s="778"/>
      <c r="K706" s="778"/>
      <c r="L706" s="782" t="s">
        <v>71</v>
      </c>
      <c r="M706" s="782" t="s">
        <v>71</v>
      </c>
      <c r="N706" s="782"/>
      <c r="O706" s="782"/>
      <c r="P706" s="783"/>
      <c r="Q706" s="784"/>
      <c r="R706" s="783"/>
      <c r="S706" s="785"/>
      <c r="T706" s="785"/>
    </row>
    <row r="707">
      <c r="A707" s="777"/>
      <c r="B707" s="778"/>
      <c r="C707" s="779"/>
      <c r="D707" s="780"/>
      <c r="E707" s="781" t="s">
        <v>71</v>
      </c>
      <c r="F707" s="778"/>
      <c r="G707" s="778"/>
      <c r="H707" s="778"/>
      <c r="I707" s="778"/>
      <c r="J707" s="778"/>
      <c r="K707" s="778"/>
      <c r="L707" s="782" t="s">
        <v>71</v>
      </c>
      <c r="M707" s="782" t="s">
        <v>71</v>
      </c>
      <c r="N707" s="782"/>
      <c r="O707" s="782"/>
      <c r="P707" s="783"/>
      <c r="Q707" s="784"/>
      <c r="R707" s="783"/>
      <c r="S707" s="785"/>
      <c r="T707" s="785"/>
    </row>
    <row r="708">
      <c r="A708" s="777"/>
      <c r="B708" s="778"/>
      <c r="C708" s="779"/>
      <c r="D708" s="780"/>
      <c r="E708" s="781" t="s">
        <v>71</v>
      </c>
      <c r="F708" s="778"/>
      <c r="G708" s="778"/>
      <c r="H708" s="778"/>
      <c r="I708" s="778"/>
      <c r="J708" s="778"/>
      <c r="K708" s="778"/>
      <c r="L708" s="782" t="s">
        <v>71</v>
      </c>
      <c r="M708" s="782" t="s">
        <v>71</v>
      </c>
      <c r="N708" s="782"/>
      <c r="O708" s="782"/>
      <c r="P708" s="783"/>
      <c r="Q708" s="784"/>
      <c r="R708" s="783"/>
      <c r="S708" s="785"/>
      <c r="T708" s="785"/>
    </row>
    <row r="709">
      <c r="A709" s="777"/>
      <c r="B709" s="778"/>
      <c r="C709" s="779"/>
      <c r="D709" s="780"/>
      <c r="E709" s="781" t="s">
        <v>71</v>
      </c>
      <c r="F709" s="778"/>
      <c r="G709" s="778"/>
      <c r="H709" s="778"/>
      <c r="I709" s="778"/>
      <c r="J709" s="778"/>
      <c r="K709" s="778"/>
      <c r="L709" s="782" t="s">
        <v>71</v>
      </c>
      <c r="M709" s="782" t="s">
        <v>71</v>
      </c>
      <c r="N709" s="782"/>
      <c r="O709" s="782"/>
      <c r="P709" s="783"/>
      <c r="Q709" s="784"/>
      <c r="R709" s="783"/>
      <c r="S709" s="785"/>
      <c r="T709" s="785"/>
    </row>
    <row r="710">
      <c r="A710" s="777"/>
      <c r="B710" s="778"/>
      <c r="C710" s="779"/>
      <c r="D710" s="780"/>
      <c r="E710" s="781" t="s">
        <v>71</v>
      </c>
      <c r="F710" s="778"/>
      <c r="G710" s="778"/>
      <c r="H710" s="778"/>
      <c r="I710" s="778"/>
      <c r="J710" s="778"/>
      <c r="K710" s="778"/>
      <c r="L710" s="782" t="s">
        <v>71</v>
      </c>
      <c r="M710" s="782" t="s">
        <v>71</v>
      </c>
      <c r="N710" s="782"/>
      <c r="O710" s="782"/>
      <c r="P710" s="783"/>
      <c r="Q710" s="784"/>
      <c r="R710" s="783"/>
      <c r="S710" s="785"/>
      <c r="T710" s="785"/>
    </row>
    <row r="711">
      <c r="A711" s="777"/>
      <c r="B711" s="778"/>
      <c r="C711" s="779"/>
      <c r="D711" s="780"/>
      <c r="E711" s="781" t="s">
        <v>71</v>
      </c>
      <c r="F711" s="778"/>
      <c r="G711" s="778"/>
      <c r="H711" s="778"/>
      <c r="I711" s="778"/>
      <c r="J711" s="778"/>
      <c r="K711" s="778"/>
      <c r="L711" s="782" t="s">
        <v>71</v>
      </c>
      <c r="M711" s="782" t="s">
        <v>71</v>
      </c>
      <c r="N711" s="782"/>
      <c r="O711" s="782"/>
      <c r="P711" s="783"/>
      <c r="Q711" s="784"/>
      <c r="R711" s="783"/>
      <c r="S711" s="785"/>
      <c r="T711" s="785"/>
    </row>
    <row r="712">
      <c r="A712" s="777"/>
      <c r="B712" s="778"/>
      <c r="C712" s="779"/>
      <c r="D712" s="780"/>
      <c r="E712" s="781" t="s">
        <v>71</v>
      </c>
      <c r="F712" s="778"/>
      <c r="G712" s="778"/>
      <c r="H712" s="778"/>
      <c r="I712" s="778"/>
      <c r="J712" s="778"/>
      <c r="K712" s="778"/>
      <c r="L712" s="782" t="s">
        <v>71</v>
      </c>
      <c r="M712" s="782" t="s">
        <v>71</v>
      </c>
      <c r="N712" s="782"/>
      <c r="O712" s="782"/>
      <c r="P712" s="783"/>
      <c r="Q712" s="784"/>
      <c r="R712" s="783"/>
      <c r="S712" s="785"/>
      <c r="T712" s="785"/>
    </row>
    <row r="713">
      <c r="A713" s="777"/>
      <c r="B713" s="778"/>
      <c r="C713" s="779"/>
      <c r="D713" s="780"/>
      <c r="E713" s="781" t="s">
        <v>71</v>
      </c>
      <c r="F713" s="778"/>
      <c r="G713" s="778"/>
      <c r="H713" s="778"/>
      <c r="I713" s="778"/>
      <c r="J713" s="778"/>
      <c r="K713" s="778"/>
      <c r="L713" s="782" t="s">
        <v>71</v>
      </c>
      <c r="M713" s="782" t="s">
        <v>71</v>
      </c>
      <c r="N713" s="782"/>
      <c r="O713" s="782"/>
      <c r="P713" s="783"/>
      <c r="Q713" s="784"/>
      <c r="R713" s="783"/>
      <c r="S713" s="785"/>
      <c r="T713" s="785"/>
    </row>
    <row r="714">
      <c r="A714" s="777"/>
      <c r="B714" s="778"/>
      <c r="C714" s="779"/>
      <c r="D714" s="780"/>
      <c r="E714" s="781" t="s">
        <v>71</v>
      </c>
      <c r="F714" s="778"/>
      <c r="G714" s="778"/>
      <c r="H714" s="778"/>
      <c r="I714" s="778"/>
      <c r="J714" s="778"/>
      <c r="K714" s="778"/>
      <c r="L714" s="782" t="s">
        <v>71</v>
      </c>
      <c r="M714" s="782" t="s">
        <v>71</v>
      </c>
      <c r="N714" s="782"/>
      <c r="O714" s="782"/>
      <c r="P714" s="783"/>
      <c r="Q714" s="784"/>
      <c r="R714" s="783"/>
      <c r="S714" s="785"/>
      <c r="T714" s="785"/>
    </row>
    <row r="715">
      <c r="A715" s="777"/>
      <c r="B715" s="778"/>
      <c r="C715" s="779"/>
      <c r="D715" s="780"/>
      <c r="E715" s="781" t="s">
        <v>71</v>
      </c>
      <c r="F715" s="778"/>
      <c r="G715" s="778"/>
      <c r="H715" s="778"/>
      <c r="I715" s="778"/>
      <c r="J715" s="778"/>
      <c r="K715" s="778"/>
      <c r="L715" s="782" t="s">
        <v>71</v>
      </c>
      <c r="M715" s="782" t="s">
        <v>71</v>
      </c>
      <c r="N715" s="782"/>
      <c r="O715" s="782"/>
      <c r="P715" s="783"/>
      <c r="Q715" s="784"/>
      <c r="R715" s="783"/>
      <c r="S715" s="785"/>
      <c r="T715" s="785"/>
    </row>
    <row r="716">
      <c r="A716" s="777"/>
      <c r="B716" s="778"/>
      <c r="C716" s="779"/>
      <c r="D716" s="780"/>
      <c r="E716" s="781" t="s">
        <v>71</v>
      </c>
      <c r="F716" s="778"/>
      <c r="G716" s="778"/>
      <c r="H716" s="778"/>
      <c r="I716" s="778"/>
      <c r="J716" s="778"/>
      <c r="K716" s="778"/>
      <c r="L716" s="782" t="s">
        <v>71</v>
      </c>
      <c r="M716" s="782" t="s">
        <v>71</v>
      </c>
      <c r="N716" s="782"/>
      <c r="O716" s="782"/>
      <c r="P716" s="783"/>
      <c r="Q716" s="784"/>
      <c r="R716" s="783"/>
      <c r="S716" s="785"/>
      <c r="T716" s="785"/>
    </row>
    <row r="717">
      <c r="A717" s="777"/>
      <c r="B717" s="778"/>
      <c r="C717" s="779"/>
      <c r="D717" s="780"/>
      <c r="E717" s="781" t="s">
        <v>71</v>
      </c>
      <c r="F717" s="778"/>
      <c r="G717" s="778"/>
      <c r="H717" s="778"/>
      <c r="I717" s="778"/>
      <c r="J717" s="778"/>
      <c r="K717" s="778"/>
      <c r="L717" s="782" t="s">
        <v>71</v>
      </c>
      <c r="M717" s="782" t="s">
        <v>71</v>
      </c>
      <c r="N717" s="782"/>
      <c r="O717" s="782"/>
      <c r="P717" s="783"/>
      <c r="Q717" s="784"/>
      <c r="R717" s="783"/>
      <c r="S717" s="785"/>
      <c r="T717" s="785"/>
    </row>
    <row r="718">
      <c r="A718" s="777"/>
      <c r="B718" s="778"/>
      <c r="C718" s="779"/>
      <c r="D718" s="780"/>
      <c r="E718" s="781" t="s">
        <v>71</v>
      </c>
      <c r="F718" s="778"/>
      <c r="G718" s="778"/>
      <c r="H718" s="778"/>
      <c r="I718" s="778"/>
      <c r="J718" s="778"/>
      <c r="K718" s="778"/>
      <c r="L718" s="782" t="s">
        <v>71</v>
      </c>
      <c r="M718" s="782" t="s">
        <v>71</v>
      </c>
      <c r="N718" s="782"/>
      <c r="O718" s="782"/>
      <c r="P718" s="783"/>
      <c r="Q718" s="784"/>
      <c r="R718" s="783"/>
      <c r="S718" s="785"/>
      <c r="T718" s="785"/>
    </row>
    <row r="719">
      <c r="A719" s="777"/>
      <c r="B719" s="778"/>
      <c r="C719" s="779"/>
      <c r="D719" s="780"/>
      <c r="E719" s="781" t="s">
        <v>71</v>
      </c>
      <c r="F719" s="778"/>
      <c r="G719" s="778"/>
      <c r="H719" s="778"/>
      <c r="I719" s="778"/>
      <c r="J719" s="778"/>
      <c r="K719" s="778"/>
      <c r="L719" s="782" t="s">
        <v>71</v>
      </c>
      <c r="M719" s="782" t="s">
        <v>71</v>
      </c>
      <c r="N719" s="782"/>
      <c r="O719" s="782"/>
      <c r="P719" s="783"/>
      <c r="Q719" s="784"/>
      <c r="R719" s="783"/>
      <c r="S719" s="785"/>
      <c r="T719" s="785"/>
    </row>
    <row r="720">
      <c r="A720" s="777"/>
      <c r="B720" s="778"/>
      <c r="C720" s="779"/>
      <c r="D720" s="780"/>
      <c r="E720" s="781" t="s">
        <v>71</v>
      </c>
      <c r="F720" s="778"/>
      <c r="G720" s="778"/>
      <c r="H720" s="778"/>
      <c r="I720" s="778"/>
      <c r="J720" s="778"/>
      <c r="K720" s="778"/>
      <c r="L720" s="782" t="s">
        <v>71</v>
      </c>
      <c r="M720" s="782" t="s">
        <v>71</v>
      </c>
      <c r="N720" s="782"/>
      <c r="O720" s="782"/>
      <c r="P720" s="783"/>
      <c r="Q720" s="784"/>
      <c r="R720" s="783"/>
      <c r="S720" s="785"/>
      <c r="T720" s="785"/>
    </row>
    <row r="721">
      <c r="A721" s="777"/>
      <c r="B721" s="778"/>
      <c r="C721" s="779"/>
      <c r="D721" s="780"/>
      <c r="E721" s="781" t="s">
        <v>71</v>
      </c>
      <c r="F721" s="778"/>
      <c r="G721" s="778"/>
      <c r="H721" s="778"/>
      <c r="I721" s="778"/>
      <c r="J721" s="778"/>
      <c r="K721" s="778"/>
      <c r="L721" s="782" t="s">
        <v>71</v>
      </c>
      <c r="M721" s="782" t="s">
        <v>71</v>
      </c>
      <c r="N721" s="782"/>
      <c r="O721" s="782"/>
      <c r="P721" s="783"/>
      <c r="Q721" s="784"/>
      <c r="R721" s="783"/>
      <c r="S721" s="785"/>
      <c r="T721" s="785"/>
    </row>
    <row r="722">
      <c r="A722" s="777"/>
      <c r="B722" s="778"/>
      <c r="C722" s="779"/>
      <c r="D722" s="780"/>
      <c r="E722" s="781" t="s">
        <v>71</v>
      </c>
      <c r="F722" s="778"/>
      <c r="G722" s="778"/>
      <c r="H722" s="778"/>
      <c r="I722" s="778"/>
      <c r="J722" s="778"/>
      <c r="K722" s="778"/>
      <c r="L722" s="782" t="s">
        <v>71</v>
      </c>
      <c r="M722" s="782" t="s">
        <v>71</v>
      </c>
      <c r="N722" s="782"/>
      <c r="O722" s="782"/>
      <c r="P722" s="783"/>
      <c r="Q722" s="784"/>
      <c r="R722" s="783"/>
      <c r="S722" s="785"/>
      <c r="T722" s="785"/>
    </row>
    <row r="723">
      <c r="A723" s="777"/>
      <c r="B723" s="778"/>
      <c r="C723" s="779"/>
      <c r="D723" s="780"/>
      <c r="E723" s="781" t="s">
        <v>71</v>
      </c>
      <c r="F723" s="778"/>
      <c r="G723" s="778"/>
      <c r="H723" s="778"/>
      <c r="I723" s="778"/>
      <c r="J723" s="778"/>
      <c r="K723" s="778"/>
      <c r="L723" s="782" t="s">
        <v>71</v>
      </c>
      <c r="M723" s="782" t="s">
        <v>71</v>
      </c>
      <c r="N723" s="782"/>
      <c r="O723" s="782"/>
      <c r="P723" s="783"/>
      <c r="Q723" s="784"/>
      <c r="R723" s="783"/>
      <c r="S723" s="785"/>
      <c r="T723" s="785"/>
    </row>
    <row r="724">
      <c r="A724" s="777"/>
      <c r="B724" s="778"/>
      <c r="C724" s="779"/>
      <c r="D724" s="780"/>
      <c r="E724" s="781" t="s">
        <v>71</v>
      </c>
      <c r="F724" s="778"/>
      <c r="G724" s="778"/>
      <c r="H724" s="778"/>
      <c r="I724" s="778"/>
      <c r="J724" s="778"/>
      <c r="K724" s="778"/>
      <c r="L724" s="782" t="s">
        <v>71</v>
      </c>
      <c r="M724" s="782" t="s">
        <v>71</v>
      </c>
      <c r="N724" s="782"/>
      <c r="O724" s="782"/>
      <c r="P724" s="783"/>
      <c r="Q724" s="784"/>
      <c r="R724" s="783"/>
      <c r="S724" s="785"/>
      <c r="T724" s="785"/>
    </row>
    <row r="725">
      <c r="A725" s="777"/>
      <c r="B725" s="778"/>
      <c r="C725" s="779"/>
      <c r="D725" s="780"/>
      <c r="E725" s="781" t="s">
        <v>71</v>
      </c>
      <c r="F725" s="778"/>
      <c r="G725" s="778"/>
      <c r="H725" s="778"/>
      <c r="I725" s="778"/>
      <c r="J725" s="778"/>
      <c r="K725" s="778"/>
      <c r="L725" s="782" t="s">
        <v>71</v>
      </c>
      <c r="M725" s="782" t="s">
        <v>71</v>
      </c>
      <c r="N725" s="782"/>
      <c r="O725" s="782"/>
      <c r="P725" s="783"/>
      <c r="Q725" s="784"/>
      <c r="R725" s="783"/>
      <c r="S725" s="785"/>
      <c r="T725" s="785"/>
    </row>
    <row r="726">
      <c r="A726" s="777"/>
      <c r="B726" s="778"/>
      <c r="C726" s="779"/>
      <c r="D726" s="780"/>
      <c r="E726" s="781" t="s">
        <v>71</v>
      </c>
      <c r="F726" s="778"/>
      <c r="G726" s="778"/>
      <c r="H726" s="778"/>
      <c r="I726" s="778"/>
      <c r="J726" s="778"/>
      <c r="K726" s="778"/>
      <c r="L726" s="782" t="s">
        <v>71</v>
      </c>
      <c r="M726" s="782" t="s">
        <v>71</v>
      </c>
      <c r="N726" s="782"/>
      <c r="O726" s="782"/>
      <c r="P726" s="783"/>
      <c r="Q726" s="784"/>
      <c r="R726" s="783"/>
      <c r="S726" s="785"/>
      <c r="T726" s="785"/>
    </row>
    <row r="727">
      <c r="A727" s="777"/>
      <c r="B727" s="778"/>
      <c r="C727" s="779"/>
      <c r="D727" s="780"/>
      <c r="E727" s="781" t="s">
        <v>71</v>
      </c>
      <c r="F727" s="778"/>
      <c r="G727" s="778"/>
      <c r="H727" s="778"/>
      <c r="I727" s="778"/>
      <c r="J727" s="778"/>
      <c r="K727" s="778"/>
      <c r="L727" s="782" t="s">
        <v>71</v>
      </c>
      <c r="M727" s="782" t="s">
        <v>71</v>
      </c>
      <c r="N727" s="782"/>
      <c r="O727" s="782"/>
      <c r="P727" s="783"/>
      <c r="Q727" s="784"/>
      <c r="R727" s="783"/>
      <c r="S727" s="785"/>
      <c r="T727" s="785"/>
    </row>
    <row r="728">
      <c r="A728" s="777"/>
      <c r="B728" s="778"/>
      <c r="C728" s="779"/>
      <c r="D728" s="780"/>
      <c r="E728" s="781" t="s">
        <v>71</v>
      </c>
      <c r="F728" s="778"/>
      <c r="G728" s="778"/>
      <c r="H728" s="778"/>
      <c r="I728" s="778"/>
      <c r="J728" s="778"/>
      <c r="K728" s="778"/>
      <c r="L728" s="782" t="s">
        <v>71</v>
      </c>
      <c r="M728" s="782" t="s">
        <v>71</v>
      </c>
      <c r="N728" s="782"/>
      <c r="O728" s="782"/>
      <c r="P728" s="783"/>
      <c r="Q728" s="784"/>
      <c r="R728" s="783"/>
      <c r="S728" s="785"/>
      <c r="T728" s="785"/>
    </row>
    <row r="729">
      <c r="A729" s="777"/>
      <c r="B729" s="778"/>
      <c r="C729" s="779"/>
      <c r="D729" s="780"/>
      <c r="E729" s="781" t="s">
        <v>71</v>
      </c>
      <c r="F729" s="778"/>
      <c r="G729" s="778"/>
      <c r="H729" s="778"/>
      <c r="I729" s="778"/>
      <c r="J729" s="778"/>
      <c r="K729" s="778"/>
      <c r="L729" s="782" t="s">
        <v>71</v>
      </c>
      <c r="M729" s="782" t="s">
        <v>71</v>
      </c>
      <c r="N729" s="782"/>
      <c r="O729" s="782"/>
      <c r="P729" s="783"/>
      <c r="Q729" s="784"/>
      <c r="R729" s="783"/>
      <c r="S729" s="785"/>
      <c r="T729" s="785"/>
    </row>
    <row r="730">
      <c r="A730" s="777"/>
      <c r="B730" s="778"/>
      <c r="C730" s="779"/>
      <c r="D730" s="780"/>
      <c r="E730" s="781" t="s">
        <v>71</v>
      </c>
      <c r="F730" s="778"/>
      <c r="G730" s="778"/>
      <c r="H730" s="778"/>
      <c r="I730" s="778"/>
      <c r="J730" s="778"/>
      <c r="K730" s="778"/>
      <c r="L730" s="782" t="s">
        <v>71</v>
      </c>
      <c r="M730" s="782" t="s">
        <v>71</v>
      </c>
      <c r="N730" s="782"/>
      <c r="O730" s="782"/>
      <c r="P730" s="783"/>
      <c r="Q730" s="784"/>
      <c r="R730" s="783"/>
      <c r="S730" s="785"/>
      <c r="T730" s="785"/>
    </row>
    <row r="731">
      <c r="A731" s="777"/>
      <c r="B731" s="778"/>
      <c r="C731" s="779"/>
      <c r="D731" s="780"/>
      <c r="E731" s="781" t="s">
        <v>71</v>
      </c>
      <c r="F731" s="778"/>
      <c r="G731" s="778"/>
      <c r="H731" s="778"/>
      <c r="I731" s="778"/>
      <c r="J731" s="778"/>
      <c r="K731" s="778"/>
      <c r="L731" s="782" t="s">
        <v>71</v>
      </c>
      <c r="M731" s="782" t="s">
        <v>71</v>
      </c>
      <c r="N731" s="782"/>
      <c r="O731" s="782"/>
      <c r="P731" s="783"/>
      <c r="Q731" s="784"/>
      <c r="R731" s="783"/>
      <c r="S731" s="785"/>
      <c r="T731" s="785"/>
    </row>
    <row r="732">
      <c r="A732" s="777"/>
      <c r="B732" s="778"/>
      <c r="C732" s="779"/>
      <c r="D732" s="780"/>
      <c r="E732" s="781" t="s">
        <v>71</v>
      </c>
      <c r="F732" s="778"/>
      <c r="G732" s="778"/>
      <c r="H732" s="778"/>
      <c r="I732" s="778"/>
      <c r="J732" s="778"/>
      <c r="K732" s="778"/>
      <c r="L732" s="782" t="s">
        <v>71</v>
      </c>
      <c r="M732" s="782" t="s">
        <v>71</v>
      </c>
      <c r="N732" s="782"/>
      <c r="O732" s="782"/>
      <c r="P732" s="783"/>
      <c r="Q732" s="784"/>
      <c r="R732" s="783"/>
      <c r="S732" s="785"/>
      <c r="T732" s="785"/>
    </row>
    <row r="733">
      <c r="A733" s="777"/>
      <c r="B733" s="778"/>
      <c r="C733" s="779"/>
      <c r="D733" s="780"/>
      <c r="E733" s="781" t="s">
        <v>71</v>
      </c>
      <c r="F733" s="778"/>
      <c r="G733" s="778"/>
      <c r="H733" s="778"/>
      <c r="I733" s="778"/>
      <c r="J733" s="778"/>
      <c r="K733" s="778"/>
      <c r="L733" s="782" t="s">
        <v>71</v>
      </c>
      <c r="M733" s="782" t="s">
        <v>71</v>
      </c>
      <c r="N733" s="782"/>
      <c r="O733" s="782"/>
      <c r="P733" s="783"/>
      <c r="Q733" s="784"/>
      <c r="R733" s="783"/>
      <c r="S733" s="785"/>
      <c r="T733" s="785"/>
    </row>
    <row r="734">
      <c r="A734" s="777"/>
      <c r="B734" s="778"/>
      <c r="C734" s="779"/>
      <c r="D734" s="780"/>
      <c r="E734" s="781" t="s">
        <v>71</v>
      </c>
      <c r="F734" s="778"/>
      <c r="G734" s="778"/>
      <c r="H734" s="778"/>
      <c r="I734" s="778"/>
      <c r="J734" s="778"/>
      <c r="K734" s="778"/>
      <c r="L734" s="782" t="s">
        <v>71</v>
      </c>
      <c r="M734" s="782" t="s">
        <v>71</v>
      </c>
      <c r="N734" s="782"/>
      <c r="O734" s="782"/>
      <c r="P734" s="783"/>
      <c r="Q734" s="784"/>
      <c r="R734" s="783"/>
      <c r="S734" s="785"/>
      <c r="T734" s="785"/>
    </row>
    <row r="735">
      <c r="A735" s="777"/>
      <c r="B735" s="778"/>
      <c r="C735" s="779"/>
      <c r="D735" s="780"/>
      <c r="E735" s="781" t="s">
        <v>71</v>
      </c>
      <c r="F735" s="778"/>
      <c r="G735" s="778"/>
      <c r="H735" s="778"/>
      <c r="I735" s="778"/>
      <c r="J735" s="778"/>
      <c r="K735" s="778"/>
      <c r="L735" s="782" t="s">
        <v>71</v>
      </c>
      <c r="M735" s="782" t="s">
        <v>71</v>
      </c>
      <c r="N735" s="782"/>
      <c r="O735" s="782"/>
      <c r="P735" s="783"/>
      <c r="Q735" s="784"/>
      <c r="R735" s="783"/>
      <c r="S735" s="785"/>
      <c r="T735" s="785"/>
    </row>
    <row r="736">
      <c r="A736" s="777"/>
      <c r="B736" s="778"/>
      <c r="C736" s="779"/>
      <c r="D736" s="780"/>
      <c r="E736" s="781" t="s">
        <v>71</v>
      </c>
      <c r="F736" s="778"/>
      <c r="G736" s="778"/>
      <c r="H736" s="778"/>
      <c r="I736" s="778"/>
      <c r="J736" s="778"/>
      <c r="K736" s="778"/>
      <c r="L736" s="782" t="s">
        <v>71</v>
      </c>
      <c r="M736" s="782" t="s">
        <v>71</v>
      </c>
      <c r="N736" s="782"/>
      <c r="O736" s="782"/>
      <c r="P736" s="783"/>
      <c r="Q736" s="784"/>
      <c r="R736" s="783"/>
      <c r="S736" s="785"/>
      <c r="T736" s="785"/>
    </row>
    <row r="737">
      <c r="A737" s="777"/>
      <c r="B737" s="778"/>
      <c r="C737" s="779"/>
      <c r="D737" s="780"/>
      <c r="E737" s="781" t="s">
        <v>71</v>
      </c>
      <c r="F737" s="778"/>
      <c r="G737" s="778"/>
      <c r="H737" s="778"/>
      <c r="I737" s="778"/>
      <c r="J737" s="778"/>
      <c r="K737" s="778"/>
      <c r="L737" s="782" t="s">
        <v>71</v>
      </c>
      <c r="M737" s="782" t="s">
        <v>71</v>
      </c>
      <c r="N737" s="782"/>
      <c r="O737" s="782"/>
      <c r="P737" s="783"/>
      <c r="Q737" s="784"/>
      <c r="R737" s="783"/>
      <c r="S737" s="785"/>
      <c r="T737" s="785"/>
    </row>
    <row r="738">
      <c r="A738" s="777"/>
      <c r="B738" s="778"/>
      <c r="C738" s="779"/>
      <c r="D738" s="780"/>
      <c r="E738" s="781" t="s">
        <v>71</v>
      </c>
      <c r="F738" s="778"/>
      <c r="G738" s="778"/>
      <c r="H738" s="778"/>
      <c r="I738" s="778"/>
      <c r="J738" s="778"/>
      <c r="K738" s="778"/>
      <c r="L738" s="782" t="s">
        <v>71</v>
      </c>
      <c r="M738" s="782" t="s">
        <v>71</v>
      </c>
      <c r="N738" s="782"/>
      <c r="O738" s="782"/>
      <c r="P738" s="783"/>
      <c r="Q738" s="784"/>
      <c r="R738" s="783"/>
      <c r="S738" s="785"/>
      <c r="T738" s="785"/>
    </row>
    <row r="739">
      <c r="A739" s="777"/>
      <c r="B739" s="778"/>
      <c r="C739" s="779"/>
      <c r="D739" s="780"/>
      <c r="E739" s="781" t="s">
        <v>71</v>
      </c>
      <c r="F739" s="778"/>
      <c r="G739" s="778"/>
      <c r="H739" s="778"/>
      <c r="I739" s="778"/>
      <c r="J739" s="778"/>
      <c r="K739" s="778"/>
      <c r="L739" s="782" t="s">
        <v>71</v>
      </c>
      <c r="M739" s="782" t="s">
        <v>71</v>
      </c>
      <c r="N739" s="782"/>
      <c r="O739" s="782"/>
      <c r="P739" s="783"/>
      <c r="Q739" s="784"/>
      <c r="R739" s="783"/>
      <c r="S739" s="785"/>
      <c r="T739" s="785"/>
    </row>
    <row r="740">
      <c r="A740" s="777"/>
      <c r="B740" s="778"/>
      <c r="C740" s="779"/>
      <c r="D740" s="780"/>
      <c r="E740" s="781" t="s">
        <v>71</v>
      </c>
      <c r="F740" s="778"/>
      <c r="G740" s="778"/>
      <c r="H740" s="778"/>
      <c r="I740" s="778"/>
      <c r="J740" s="778"/>
      <c r="K740" s="778"/>
      <c r="L740" s="782" t="s">
        <v>71</v>
      </c>
      <c r="M740" s="782" t="s">
        <v>71</v>
      </c>
      <c r="N740" s="782"/>
      <c r="O740" s="782"/>
      <c r="P740" s="783"/>
      <c r="Q740" s="784"/>
      <c r="R740" s="783"/>
      <c r="S740" s="785"/>
      <c r="T740" s="785"/>
    </row>
    <row r="741">
      <c r="A741" s="777"/>
      <c r="B741" s="778"/>
      <c r="C741" s="779"/>
      <c r="D741" s="780"/>
      <c r="E741" s="781" t="s">
        <v>71</v>
      </c>
      <c r="F741" s="778"/>
      <c r="G741" s="778"/>
      <c r="H741" s="778"/>
      <c r="I741" s="778"/>
      <c r="J741" s="778"/>
      <c r="K741" s="778"/>
      <c r="L741" s="782" t="s">
        <v>71</v>
      </c>
      <c r="M741" s="782" t="s">
        <v>71</v>
      </c>
      <c r="N741" s="782"/>
      <c r="O741" s="782"/>
      <c r="P741" s="783"/>
      <c r="Q741" s="784"/>
      <c r="R741" s="783"/>
      <c r="S741" s="785"/>
      <c r="T741" s="785"/>
    </row>
    <row r="742">
      <c r="A742" s="777"/>
      <c r="B742" s="778"/>
      <c r="C742" s="779"/>
      <c r="D742" s="780"/>
      <c r="E742" s="781" t="s">
        <v>71</v>
      </c>
      <c r="F742" s="778"/>
      <c r="G742" s="778"/>
      <c r="H742" s="778"/>
      <c r="I742" s="778"/>
      <c r="J742" s="778"/>
      <c r="K742" s="778"/>
      <c r="L742" s="782" t="s">
        <v>71</v>
      </c>
      <c r="M742" s="782" t="s">
        <v>71</v>
      </c>
      <c r="N742" s="782"/>
      <c r="O742" s="782"/>
      <c r="P742" s="783"/>
      <c r="Q742" s="784"/>
      <c r="R742" s="783"/>
      <c r="S742" s="785"/>
      <c r="T742" s="785"/>
    </row>
    <row r="743">
      <c r="A743" s="777"/>
      <c r="B743" s="778"/>
      <c r="C743" s="779"/>
      <c r="D743" s="780"/>
      <c r="E743" s="781" t="s">
        <v>71</v>
      </c>
      <c r="F743" s="778"/>
      <c r="G743" s="778"/>
      <c r="H743" s="778"/>
      <c r="I743" s="778"/>
      <c r="J743" s="778"/>
      <c r="K743" s="778"/>
      <c r="L743" s="782" t="s">
        <v>71</v>
      </c>
      <c r="M743" s="782" t="s">
        <v>71</v>
      </c>
      <c r="N743" s="782"/>
      <c r="O743" s="782"/>
      <c r="P743" s="783"/>
      <c r="Q743" s="784"/>
      <c r="R743" s="783"/>
      <c r="S743" s="785"/>
      <c r="T743" s="785"/>
    </row>
    <row r="744">
      <c r="A744" s="777"/>
      <c r="B744" s="778"/>
      <c r="C744" s="779"/>
      <c r="D744" s="780"/>
      <c r="E744" s="781" t="s">
        <v>71</v>
      </c>
      <c r="F744" s="778"/>
      <c r="G744" s="778"/>
      <c r="H744" s="778"/>
      <c r="I744" s="778"/>
      <c r="J744" s="778"/>
      <c r="K744" s="778"/>
      <c r="L744" s="782" t="s">
        <v>71</v>
      </c>
      <c r="M744" s="782" t="s">
        <v>71</v>
      </c>
      <c r="N744" s="782"/>
      <c r="O744" s="782"/>
      <c r="P744" s="783"/>
      <c r="Q744" s="784"/>
      <c r="R744" s="783"/>
      <c r="S744" s="785"/>
      <c r="T744" s="785"/>
    </row>
    <row r="745">
      <c r="A745" s="777"/>
      <c r="B745" s="778"/>
      <c r="C745" s="779"/>
      <c r="D745" s="780"/>
      <c r="E745" s="781" t="s">
        <v>71</v>
      </c>
      <c r="F745" s="778"/>
      <c r="G745" s="778"/>
      <c r="H745" s="778"/>
      <c r="I745" s="778"/>
      <c r="J745" s="778"/>
      <c r="K745" s="778"/>
      <c r="L745" s="782" t="s">
        <v>71</v>
      </c>
      <c r="M745" s="782" t="s">
        <v>71</v>
      </c>
      <c r="N745" s="782"/>
      <c r="O745" s="782"/>
      <c r="P745" s="783"/>
      <c r="Q745" s="784"/>
      <c r="R745" s="783"/>
      <c r="S745" s="785"/>
      <c r="T745" s="785"/>
    </row>
    <row r="746">
      <c r="A746" s="777"/>
      <c r="B746" s="778"/>
      <c r="C746" s="779"/>
      <c r="D746" s="780"/>
      <c r="E746" s="781" t="s">
        <v>71</v>
      </c>
      <c r="F746" s="778"/>
      <c r="G746" s="778"/>
      <c r="H746" s="778"/>
      <c r="I746" s="778"/>
      <c r="J746" s="778"/>
      <c r="K746" s="778"/>
      <c r="L746" s="782" t="s">
        <v>71</v>
      </c>
      <c r="M746" s="782" t="s">
        <v>71</v>
      </c>
      <c r="N746" s="782"/>
      <c r="O746" s="782"/>
      <c r="P746" s="783"/>
      <c r="Q746" s="784"/>
      <c r="R746" s="783"/>
      <c r="S746" s="785"/>
      <c r="T746" s="785"/>
    </row>
    <row r="747">
      <c r="A747" s="777"/>
      <c r="B747" s="778"/>
      <c r="C747" s="779"/>
      <c r="D747" s="780"/>
      <c r="E747" s="781" t="s">
        <v>71</v>
      </c>
      <c r="F747" s="778"/>
      <c r="G747" s="778"/>
      <c r="H747" s="778"/>
      <c r="I747" s="778"/>
      <c r="J747" s="778"/>
      <c r="K747" s="778"/>
      <c r="L747" s="782" t="s">
        <v>71</v>
      </c>
      <c r="M747" s="782" t="s">
        <v>71</v>
      </c>
      <c r="N747" s="782"/>
      <c r="O747" s="782"/>
      <c r="P747" s="783"/>
      <c r="Q747" s="784"/>
      <c r="R747" s="783"/>
      <c r="S747" s="785"/>
      <c r="T747" s="785"/>
    </row>
    <row r="748">
      <c r="A748" s="777"/>
      <c r="B748" s="778"/>
      <c r="C748" s="779"/>
      <c r="D748" s="780"/>
      <c r="E748" s="781" t="s">
        <v>71</v>
      </c>
      <c r="F748" s="778"/>
      <c r="G748" s="778"/>
      <c r="H748" s="778"/>
      <c r="I748" s="778"/>
      <c r="J748" s="778"/>
      <c r="K748" s="778"/>
      <c r="L748" s="782" t="s">
        <v>71</v>
      </c>
      <c r="M748" s="782" t="s">
        <v>71</v>
      </c>
      <c r="N748" s="782"/>
      <c r="O748" s="782"/>
      <c r="P748" s="783"/>
      <c r="Q748" s="784"/>
      <c r="R748" s="783"/>
      <c r="S748" s="785"/>
      <c r="T748" s="785"/>
    </row>
    <row r="749">
      <c r="A749" s="777"/>
      <c r="B749" s="778"/>
      <c r="C749" s="779"/>
      <c r="D749" s="780"/>
      <c r="E749" s="781" t="s">
        <v>71</v>
      </c>
      <c r="F749" s="778"/>
      <c r="G749" s="778"/>
      <c r="H749" s="778"/>
      <c r="I749" s="778"/>
      <c r="J749" s="778"/>
      <c r="K749" s="778"/>
      <c r="L749" s="782" t="s">
        <v>71</v>
      </c>
      <c r="M749" s="782" t="s">
        <v>71</v>
      </c>
      <c r="N749" s="782"/>
      <c r="O749" s="782"/>
      <c r="P749" s="783"/>
      <c r="Q749" s="784"/>
      <c r="R749" s="783"/>
      <c r="S749" s="785"/>
      <c r="T749" s="785"/>
    </row>
    <row r="750">
      <c r="A750" s="777"/>
      <c r="B750" s="778"/>
      <c r="C750" s="779"/>
      <c r="D750" s="780"/>
      <c r="E750" s="781" t="s">
        <v>71</v>
      </c>
      <c r="F750" s="778"/>
      <c r="G750" s="778"/>
      <c r="H750" s="778"/>
      <c r="I750" s="778"/>
      <c r="J750" s="778"/>
      <c r="K750" s="778"/>
      <c r="L750" s="782" t="s">
        <v>71</v>
      </c>
      <c r="M750" s="782" t="s">
        <v>71</v>
      </c>
      <c r="N750" s="782"/>
      <c r="O750" s="782"/>
      <c r="P750" s="783"/>
      <c r="Q750" s="784"/>
      <c r="R750" s="783"/>
      <c r="S750" s="785"/>
      <c r="T750" s="785"/>
    </row>
    <row r="751">
      <c r="A751" s="777"/>
      <c r="B751" s="778"/>
      <c r="C751" s="779"/>
      <c r="D751" s="780"/>
      <c r="E751" s="781" t="s">
        <v>71</v>
      </c>
      <c r="F751" s="778"/>
      <c r="G751" s="778"/>
      <c r="H751" s="778"/>
      <c r="I751" s="778"/>
      <c r="J751" s="778"/>
      <c r="K751" s="778"/>
      <c r="L751" s="782" t="s">
        <v>71</v>
      </c>
      <c r="M751" s="782" t="s">
        <v>71</v>
      </c>
      <c r="N751" s="782"/>
      <c r="O751" s="782"/>
      <c r="P751" s="783"/>
      <c r="Q751" s="784"/>
      <c r="R751" s="783"/>
      <c r="S751" s="785"/>
      <c r="T751" s="785"/>
    </row>
    <row r="752">
      <c r="A752" s="777"/>
      <c r="B752" s="778"/>
      <c r="C752" s="779"/>
      <c r="D752" s="780"/>
      <c r="E752" s="781" t="s">
        <v>71</v>
      </c>
      <c r="F752" s="778"/>
      <c r="G752" s="778"/>
      <c r="H752" s="778"/>
      <c r="I752" s="778"/>
      <c r="J752" s="778"/>
      <c r="K752" s="778"/>
      <c r="L752" s="782" t="s">
        <v>71</v>
      </c>
      <c r="M752" s="782" t="s">
        <v>71</v>
      </c>
      <c r="N752" s="782"/>
      <c r="O752" s="782"/>
      <c r="P752" s="783"/>
      <c r="Q752" s="784"/>
      <c r="R752" s="783"/>
      <c r="S752" s="785"/>
      <c r="T752" s="785"/>
    </row>
    <row r="753">
      <c r="A753" s="777"/>
      <c r="B753" s="778"/>
      <c r="C753" s="779"/>
      <c r="D753" s="780"/>
      <c r="E753" s="781" t="s">
        <v>71</v>
      </c>
      <c r="F753" s="778"/>
      <c r="G753" s="778"/>
      <c r="H753" s="778"/>
      <c r="I753" s="778"/>
      <c r="J753" s="778"/>
      <c r="K753" s="778"/>
      <c r="L753" s="782" t="s">
        <v>71</v>
      </c>
      <c r="M753" s="782" t="s">
        <v>71</v>
      </c>
      <c r="N753" s="782"/>
      <c r="O753" s="782"/>
      <c r="P753" s="783"/>
      <c r="Q753" s="784"/>
      <c r="R753" s="783"/>
      <c r="S753" s="785"/>
      <c r="T753" s="785"/>
    </row>
    <row r="754">
      <c r="A754" s="777"/>
      <c r="B754" s="778"/>
      <c r="C754" s="779"/>
      <c r="D754" s="780"/>
      <c r="E754" s="781" t="s">
        <v>71</v>
      </c>
      <c r="F754" s="778"/>
      <c r="G754" s="778"/>
      <c r="H754" s="778"/>
      <c r="I754" s="778"/>
      <c r="J754" s="778"/>
      <c r="K754" s="778"/>
      <c r="L754" s="782" t="s">
        <v>71</v>
      </c>
      <c r="M754" s="782" t="s">
        <v>71</v>
      </c>
      <c r="N754" s="782"/>
      <c r="O754" s="782"/>
      <c r="P754" s="783"/>
      <c r="Q754" s="784"/>
      <c r="R754" s="783"/>
      <c r="S754" s="785"/>
      <c r="T754" s="785"/>
    </row>
    <row r="755">
      <c r="A755" s="777"/>
      <c r="B755" s="778"/>
      <c r="C755" s="779"/>
      <c r="D755" s="780"/>
      <c r="E755" s="781" t="s">
        <v>71</v>
      </c>
      <c r="F755" s="778"/>
      <c r="G755" s="778"/>
      <c r="H755" s="778"/>
      <c r="I755" s="778"/>
      <c r="J755" s="778"/>
      <c r="K755" s="778"/>
      <c r="L755" s="782" t="s">
        <v>71</v>
      </c>
      <c r="M755" s="782" t="s">
        <v>71</v>
      </c>
      <c r="N755" s="782"/>
      <c r="O755" s="782"/>
      <c r="P755" s="783"/>
      <c r="Q755" s="784"/>
      <c r="R755" s="783"/>
      <c r="S755" s="785"/>
      <c r="T755" s="785"/>
    </row>
    <row r="756">
      <c r="A756" s="777"/>
      <c r="B756" s="778"/>
      <c r="C756" s="779"/>
      <c r="D756" s="780"/>
      <c r="E756" s="781" t="s">
        <v>71</v>
      </c>
      <c r="F756" s="778"/>
      <c r="G756" s="778"/>
      <c r="H756" s="778"/>
      <c r="I756" s="778"/>
      <c r="J756" s="778"/>
      <c r="K756" s="778"/>
      <c r="L756" s="782" t="s">
        <v>71</v>
      </c>
      <c r="M756" s="782" t="s">
        <v>71</v>
      </c>
      <c r="N756" s="782"/>
      <c r="O756" s="782"/>
      <c r="P756" s="783"/>
      <c r="Q756" s="784"/>
      <c r="R756" s="783"/>
      <c r="S756" s="785"/>
      <c r="T756" s="785"/>
    </row>
    <row r="757">
      <c r="A757" s="777"/>
      <c r="B757" s="778"/>
      <c r="C757" s="779"/>
      <c r="D757" s="780"/>
      <c r="E757" s="781" t="s">
        <v>71</v>
      </c>
      <c r="F757" s="778"/>
      <c r="G757" s="778"/>
      <c r="H757" s="778"/>
      <c r="I757" s="778"/>
      <c r="J757" s="778"/>
      <c r="K757" s="778"/>
      <c r="L757" s="782" t="s">
        <v>71</v>
      </c>
      <c r="M757" s="782" t="s">
        <v>71</v>
      </c>
      <c r="N757" s="782"/>
      <c r="O757" s="782"/>
      <c r="P757" s="783"/>
      <c r="Q757" s="784"/>
      <c r="R757" s="783"/>
      <c r="S757" s="785"/>
      <c r="T757" s="785"/>
    </row>
    <row r="758">
      <c r="A758" s="777"/>
      <c r="B758" s="778"/>
      <c r="C758" s="779"/>
      <c r="D758" s="780"/>
      <c r="E758" s="781" t="s">
        <v>71</v>
      </c>
      <c r="F758" s="778"/>
      <c r="G758" s="778"/>
      <c r="H758" s="778"/>
      <c r="I758" s="778"/>
      <c r="J758" s="778"/>
      <c r="K758" s="778"/>
      <c r="L758" s="782" t="s">
        <v>71</v>
      </c>
      <c r="M758" s="782" t="s">
        <v>71</v>
      </c>
      <c r="N758" s="782"/>
      <c r="O758" s="782"/>
      <c r="P758" s="783"/>
      <c r="Q758" s="784"/>
      <c r="R758" s="783"/>
      <c r="S758" s="785"/>
      <c r="T758" s="785"/>
    </row>
    <row r="759">
      <c r="A759" s="777"/>
      <c r="B759" s="778"/>
      <c r="C759" s="779"/>
      <c r="D759" s="780"/>
      <c r="E759" s="781" t="s">
        <v>71</v>
      </c>
      <c r="F759" s="778"/>
      <c r="G759" s="778"/>
      <c r="H759" s="778"/>
      <c r="I759" s="778"/>
      <c r="J759" s="778"/>
      <c r="K759" s="778"/>
      <c r="L759" s="782" t="s">
        <v>71</v>
      </c>
      <c r="M759" s="782" t="s">
        <v>71</v>
      </c>
      <c r="N759" s="782"/>
      <c r="O759" s="782"/>
      <c r="P759" s="783"/>
      <c r="Q759" s="784"/>
      <c r="R759" s="783"/>
      <c r="S759" s="785"/>
      <c r="T759" s="785"/>
    </row>
    <row r="760">
      <c r="A760" s="777"/>
      <c r="B760" s="778"/>
      <c r="C760" s="779"/>
      <c r="D760" s="780"/>
      <c r="E760" s="781" t="s">
        <v>71</v>
      </c>
      <c r="F760" s="778"/>
      <c r="G760" s="778"/>
      <c r="H760" s="778"/>
      <c r="I760" s="778"/>
      <c r="J760" s="778"/>
      <c r="K760" s="778"/>
      <c r="L760" s="782" t="s">
        <v>71</v>
      </c>
      <c r="M760" s="782" t="s">
        <v>71</v>
      </c>
      <c r="N760" s="782"/>
      <c r="O760" s="782"/>
      <c r="P760" s="783"/>
      <c r="Q760" s="784"/>
      <c r="R760" s="783"/>
      <c r="S760" s="785"/>
      <c r="T760" s="785"/>
    </row>
    <row r="761">
      <c r="A761" s="777"/>
      <c r="B761" s="778"/>
      <c r="C761" s="779"/>
      <c r="D761" s="780"/>
      <c r="E761" s="781" t="s">
        <v>71</v>
      </c>
      <c r="F761" s="778"/>
      <c r="G761" s="778"/>
      <c r="H761" s="778"/>
      <c r="I761" s="778"/>
      <c r="J761" s="778"/>
      <c r="K761" s="778"/>
      <c r="L761" s="782" t="s">
        <v>71</v>
      </c>
      <c r="M761" s="782" t="s">
        <v>71</v>
      </c>
      <c r="N761" s="782"/>
      <c r="O761" s="782"/>
      <c r="P761" s="783"/>
      <c r="Q761" s="784"/>
      <c r="R761" s="783"/>
      <c r="S761" s="785"/>
      <c r="T761" s="785"/>
    </row>
    <row r="762">
      <c r="A762" s="777"/>
      <c r="B762" s="778"/>
      <c r="C762" s="779"/>
      <c r="D762" s="780"/>
      <c r="E762" s="781" t="s">
        <v>71</v>
      </c>
      <c r="F762" s="778"/>
      <c r="G762" s="778"/>
      <c r="H762" s="778"/>
      <c r="I762" s="778"/>
      <c r="J762" s="778"/>
      <c r="K762" s="778"/>
      <c r="L762" s="782" t="s">
        <v>71</v>
      </c>
      <c r="M762" s="782" t="s">
        <v>71</v>
      </c>
      <c r="N762" s="782"/>
      <c r="O762" s="782"/>
      <c r="P762" s="783"/>
      <c r="Q762" s="784"/>
      <c r="R762" s="783"/>
      <c r="S762" s="785"/>
      <c r="T762" s="785"/>
    </row>
    <row r="763">
      <c r="A763" s="777"/>
      <c r="B763" s="778"/>
      <c r="C763" s="779"/>
      <c r="D763" s="780"/>
      <c r="E763" s="781" t="s">
        <v>71</v>
      </c>
      <c r="F763" s="778"/>
      <c r="G763" s="778"/>
      <c r="H763" s="778"/>
      <c r="I763" s="778"/>
      <c r="J763" s="778"/>
      <c r="K763" s="778"/>
      <c r="L763" s="782" t="s">
        <v>71</v>
      </c>
      <c r="M763" s="782" t="s">
        <v>71</v>
      </c>
      <c r="N763" s="782"/>
      <c r="O763" s="782"/>
      <c r="P763" s="783"/>
      <c r="Q763" s="784"/>
      <c r="R763" s="783"/>
      <c r="S763" s="785"/>
      <c r="T763" s="785"/>
    </row>
    <row r="764">
      <c r="A764" s="777"/>
      <c r="B764" s="778"/>
      <c r="C764" s="779"/>
      <c r="D764" s="780"/>
      <c r="E764" s="781" t="s">
        <v>71</v>
      </c>
      <c r="F764" s="778"/>
      <c r="G764" s="778"/>
      <c r="H764" s="778"/>
      <c r="I764" s="778"/>
      <c r="J764" s="778"/>
      <c r="K764" s="778"/>
      <c r="L764" s="782" t="s">
        <v>71</v>
      </c>
      <c r="M764" s="782" t="s">
        <v>71</v>
      </c>
      <c r="N764" s="782"/>
      <c r="O764" s="782"/>
      <c r="P764" s="783"/>
      <c r="Q764" s="784"/>
      <c r="R764" s="783"/>
      <c r="S764" s="785"/>
      <c r="T764" s="785"/>
    </row>
    <row r="765">
      <c r="A765" s="777"/>
      <c r="B765" s="778"/>
      <c r="C765" s="779"/>
      <c r="D765" s="780"/>
      <c r="E765" s="781" t="s">
        <v>71</v>
      </c>
      <c r="F765" s="778"/>
      <c r="G765" s="778"/>
      <c r="H765" s="778"/>
      <c r="I765" s="778"/>
      <c r="J765" s="778"/>
      <c r="K765" s="778"/>
      <c r="L765" s="782" t="s">
        <v>71</v>
      </c>
      <c r="M765" s="782" t="s">
        <v>71</v>
      </c>
      <c r="N765" s="782"/>
      <c r="O765" s="782"/>
      <c r="P765" s="783"/>
      <c r="Q765" s="784"/>
      <c r="R765" s="783"/>
      <c r="S765" s="785"/>
      <c r="T765" s="785"/>
    </row>
    <row r="766">
      <c r="A766" s="777"/>
      <c r="B766" s="778"/>
      <c r="C766" s="779"/>
      <c r="D766" s="780"/>
      <c r="E766" s="781" t="s">
        <v>71</v>
      </c>
      <c r="F766" s="778"/>
      <c r="G766" s="778"/>
      <c r="H766" s="778"/>
      <c r="I766" s="778"/>
      <c r="J766" s="778"/>
      <c r="K766" s="778"/>
      <c r="L766" s="782" t="s">
        <v>71</v>
      </c>
      <c r="M766" s="782" t="s">
        <v>71</v>
      </c>
      <c r="N766" s="782"/>
      <c r="O766" s="782"/>
      <c r="P766" s="783"/>
      <c r="Q766" s="784"/>
      <c r="R766" s="783"/>
      <c r="S766" s="785"/>
      <c r="T766" s="785"/>
    </row>
    <row r="767">
      <c r="A767" s="777"/>
      <c r="B767" s="778"/>
      <c r="C767" s="779"/>
      <c r="D767" s="780"/>
      <c r="E767" s="781" t="s">
        <v>71</v>
      </c>
      <c r="F767" s="778"/>
      <c r="G767" s="778"/>
      <c r="H767" s="778"/>
      <c r="I767" s="778"/>
      <c r="J767" s="778"/>
      <c r="K767" s="778"/>
      <c r="L767" s="782" t="s">
        <v>71</v>
      </c>
      <c r="M767" s="782" t="s">
        <v>71</v>
      </c>
      <c r="N767" s="782"/>
      <c r="O767" s="782"/>
      <c r="P767" s="783"/>
      <c r="Q767" s="784"/>
      <c r="R767" s="783"/>
      <c r="S767" s="785"/>
      <c r="T767" s="785"/>
    </row>
    <row r="768">
      <c r="A768" s="777"/>
      <c r="B768" s="778"/>
      <c r="C768" s="779"/>
      <c r="D768" s="780"/>
      <c r="E768" s="781" t="s">
        <v>71</v>
      </c>
      <c r="F768" s="778"/>
      <c r="G768" s="778"/>
      <c r="H768" s="778"/>
      <c r="I768" s="778"/>
      <c r="J768" s="778"/>
      <c r="K768" s="778"/>
      <c r="L768" s="782" t="s">
        <v>71</v>
      </c>
      <c r="M768" s="782" t="s">
        <v>71</v>
      </c>
      <c r="N768" s="782"/>
      <c r="O768" s="782"/>
      <c r="P768" s="783"/>
      <c r="Q768" s="784"/>
      <c r="R768" s="783"/>
      <c r="S768" s="785"/>
      <c r="T768" s="785"/>
    </row>
    <row r="769">
      <c r="A769" s="777"/>
      <c r="B769" s="778"/>
      <c r="C769" s="779"/>
      <c r="D769" s="780"/>
      <c r="E769" s="781" t="s">
        <v>71</v>
      </c>
      <c r="F769" s="778"/>
      <c r="G769" s="778"/>
      <c r="H769" s="778"/>
      <c r="I769" s="778"/>
      <c r="J769" s="778"/>
      <c r="K769" s="778"/>
      <c r="L769" s="782" t="s">
        <v>71</v>
      </c>
      <c r="M769" s="782" t="s">
        <v>71</v>
      </c>
      <c r="N769" s="782"/>
      <c r="O769" s="782"/>
      <c r="P769" s="783"/>
      <c r="Q769" s="784"/>
      <c r="R769" s="783"/>
      <c r="S769" s="785"/>
      <c r="T769" s="785"/>
    </row>
    <row r="770">
      <c r="A770" s="777"/>
      <c r="B770" s="778"/>
      <c r="C770" s="779"/>
      <c r="D770" s="780"/>
      <c r="E770" s="781" t="s">
        <v>71</v>
      </c>
      <c r="F770" s="778"/>
      <c r="G770" s="778"/>
      <c r="H770" s="778"/>
      <c r="I770" s="778"/>
      <c r="J770" s="778"/>
      <c r="K770" s="778"/>
      <c r="L770" s="782" t="s">
        <v>71</v>
      </c>
      <c r="M770" s="782" t="s">
        <v>71</v>
      </c>
      <c r="N770" s="782"/>
      <c r="O770" s="782"/>
      <c r="P770" s="783"/>
      <c r="Q770" s="784"/>
      <c r="R770" s="783"/>
      <c r="S770" s="785"/>
      <c r="T770" s="785"/>
    </row>
    <row r="771">
      <c r="A771" s="777"/>
      <c r="B771" s="778"/>
      <c r="C771" s="779"/>
      <c r="D771" s="780"/>
      <c r="E771" s="781" t="s">
        <v>71</v>
      </c>
      <c r="F771" s="778"/>
      <c r="G771" s="778"/>
      <c r="H771" s="778"/>
      <c r="I771" s="778"/>
      <c r="J771" s="778"/>
      <c r="K771" s="778"/>
      <c r="L771" s="782" t="s">
        <v>71</v>
      </c>
      <c r="M771" s="782" t="s">
        <v>71</v>
      </c>
      <c r="N771" s="782"/>
      <c r="O771" s="782"/>
      <c r="P771" s="783"/>
      <c r="Q771" s="784"/>
      <c r="R771" s="783"/>
      <c r="S771" s="785"/>
      <c r="T771" s="785"/>
    </row>
    <row r="772">
      <c r="A772" s="777"/>
      <c r="B772" s="778"/>
      <c r="C772" s="779"/>
      <c r="D772" s="780"/>
      <c r="E772" s="781" t="s">
        <v>71</v>
      </c>
      <c r="F772" s="778"/>
      <c r="G772" s="778"/>
      <c r="H772" s="778"/>
      <c r="I772" s="778"/>
      <c r="J772" s="778"/>
      <c r="K772" s="778"/>
      <c r="L772" s="782" t="s">
        <v>71</v>
      </c>
      <c r="M772" s="782" t="s">
        <v>71</v>
      </c>
      <c r="N772" s="782"/>
      <c r="O772" s="782"/>
      <c r="P772" s="783"/>
      <c r="Q772" s="784"/>
      <c r="R772" s="783"/>
      <c r="S772" s="785"/>
      <c r="T772" s="785"/>
    </row>
    <row r="773">
      <c r="A773" s="777"/>
      <c r="B773" s="778"/>
      <c r="C773" s="779"/>
      <c r="D773" s="780"/>
      <c r="E773" s="781" t="s">
        <v>71</v>
      </c>
      <c r="F773" s="778"/>
      <c r="G773" s="778"/>
      <c r="H773" s="778"/>
      <c r="I773" s="778"/>
      <c r="J773" s="778"/>
      <c r="K773" s="778"/>
      <c r="L773" s="782" t="s">
        <v>71</v>
      </c>
      <c r="M773" s="782" t="s">
        <v>71</v>
      </c>
      <c r="N773" s="782"/>
      <c r="O773" s="782"/>
      <c r="P773" s="783"/>
      <c r="Q773" s="784"/>
      <c r="R773" s="783"/>
      <c r="S773" s="785"/>
      <c r="T773" s="785"/>
    </row>
    <row r="774">
      <c r="A774" s="777"/>
      <c r="B774" s="778"/>
      <c r="C774" s="779"/>
      <c r="D774" s="780"/>
      <c r="E774" s="781" t="s">
        <v>71</v>
      </c>
      <c r="F774" s="778"/>
      <c r="G774" s="778"/>
      <c r="H774" s="778"/>
      <c r="I774" s="778"/>
      <c r="J774" s="778"/>
      <c r="K774" s="778"/>
      <c r="L774" s="782" t="s">
        <v>71</v>
      </c>
      <c r="M774" s="782" t="s">
        <v>71</v>
      </c>
      <c r="N774" s="782"/>
      <c r="O774" s="782"/>
      <c r="P774" s="783"/>
      <c r="Q774" s="784"/>
      <c r="R774" s="783"/>
      <c r="S774" s="785"/>
      <c r="T774" s="785"/>
    </row>
    <row r="775">
      <c r="A775" s="777"/>
      <c r="B775" s="778"/>
      <c r="C775" s="779"/>
      <c r="D775" s="780"/>
      <c r="E775" s="781" t="s">
        <v>71</v>
      </c>
      <c r="F775" s="778"/>
      <c r="G775" s="778"/>
      <c r="H775" s="778"/>
      <c r="I775" s="778"/>
      <c r="J775" s="778"/>
      <c r="K775" s="778"/>
      <c r="L775" s="782" t="s">
        <v>71</v>
      </c>
      <c r="M775" s="782" t="s">
        <v>71</v>
      </c>
      <c r="N775" s="782"/>
      <c r="O775" s="782"/>
      <c r="P775" s="783"/>
      <c r="Q775" s="784"/>
      <c r="R775" s="783"/>
      <c r="S775" s="785"/>
      <c r="T775" s="785"/>
    </row>
    <row r="776">
      <c r="A776" s="777"/>
      <c r="B776" s="778"/>
      <c r="C776" s="779"/>
      <c r="D776" s="780"/>
      <c r="E776" s="781" t="s">
        <v>71</v>
      </c>
      <c r="F776" s="778"/>
      <c r="G776" s="778"/>
      <c r="H776" s="778"/>
      <c r="I776" s="778"/>
      <c r="J776" s="778"/>
      <c r="K776" s="778"/>
      <c r="L776" s="782" t="s">
        <v>71</v>
      </c>
      <c r="M776" s="782" t="s">
        <v>71</v>
      </c>
      <c r="N776" s="782"/>
      <c r="O776" s="782"/>
      <c r="P776" s="783"/>
      <c r="Q776" s="784"/>
      <c r="R776" s="783"/>
      <c r="S776" s="785"/>
      <c r="T776" s="785"/>
    </row>
    <row r="777">
      <c r="A777" s="777"/>
      <c r="B777" s="778"/>
      <c r="C777" s="779"/>
      <c r="D777" s="780"/>
      <c r="E777" s="781" t="s">
        <v>71</v>
      </c>
      <c r="F777" s="778"/>
      <c r="G777" s="778"/>
      <c r="H777" s="778"/>
      <c r="I777" s="778"/>
      <c r="J777" s="778"/>
      <c r="K777" s="778"/>
      <c r="L777" s="782" t="s">
        <v>71</v>
      </c>
      <c r="M777" s="782" t="s">
        <v>71</v>
      </c>
      <c r="N777" s="782"/>
      <c r="O777" s="782"/>
      <c r="P777" s="783"/>
      <c r="Q777" s="784"/>
      <c r="R777" s="783"/>
      <c r="S777" s="785"/>
      <c r="T777" s="785"/>
    </row>
    <row r="778">
      <c r="A778" s="777"/>
      <c r="B778" s="778"/>
      <c r="C778" s="779"/>
      <c r="D778" s="780"/>
      <c r="E778" s="781" t="s">
        <v>71</v>
      </c>
      <c r="F778" s="778"/>
      <c r="G778" s="778"/>
      <c r="H778" s="778"/>
      <c r="I778" s="778"/>
      <c r="J778" s="778"/>
      <c r="K778" s="778"/>
      <c r="L778" s="782" t="s">
        <v>71</v>
      </c>
      <c r="M778" s="782" t="s">
        <v>71</v>
      </c>
      <c r="N778" s="782"/>
      <c r="O778" s="782"/>
      <c r="P778" s="783"/>
      <c r="Q778" s="784"/>
      <c r="R778" s="783"/>
      <c r="S778" s="785"/>
      <c r="T778" s="785"/>
    </row>
    <row r="779">
      <c r="A779" s="777"/>
      <c r="B779" s="778"/>
      <c r="C779" s="779"/>
      <c r="D779" s="780"/>
      <c r="E779" s="781" t="s">
        <v>71</v>
      </c>
      <c r="F779" s="778"/>
      <c r="G779" s="778"/>
      <c r="H779" s="778"/>
      <c r="I779" s="778"/>
      <c r="J779" s="778"/>
      <c r="K779" s="778"/>
      <c r="L779" s="782" t="s">
        <v>71</v>
      </c>
      <c r="M779" s="782" t="s">
        <v>71</v>
      </c>
      <c r="N779" s="782"/>
      <c r="O779" s="782"/>
      <c r="P779" s="783"/>
      <c r="Q779" s="784"/>
      <c r="R779" s="783"/>
      <c r="S779" s="785"/>
      <c r="T779" s="785"/>
    </row>
    <row r="780">
      <c r="A780" s="777"/>
      <c r="B780" s="778"/>
      <c r="C780" s="779"/>
      <c r="D780" s="780"/>
      <c r="E780" s="781" t="s">
        <v>71</v>
      </c>
      <c r="F780" s="778"/>
      <c r="G780" s="778"/>
      <c r="H780" s="778"/>
      <c r="I780" s="778"/>
      <c r="J780" s="778"/>
      <c r="K780" s="778"/>
      <c r="L780" s="782" t="s">
        <v>71</v>
      </c>
      <c r="M780" s="782" t="s">
        <v>71</v>
      </c>
      <c r="N780" s="782"/>
      <c r="O780" s="782"/>
      <c r="P780" s="783"/>
      <c r="Q780" s="784"/>
      <c r="R780" s="783"/>
      <c r="S780" s="785"/>
      <c r="T780" s="785"/>
    </row>
    <row r="781">
      <c r="A781" s="777"/>
      <c r="B781" s="778"/>
      <c r="C781" s="779"/>
      <c r="D781" s="780"/>
      <c r="E781" s="781" t="s">
        <v>71</v>
      </c>
      <c r="F781" s="778"/>
      <c r="G781" s="778"/>
      <c r="H781" s="778"/>
      <c r="I781" s="778"/>
      <c r="J781" s="778"/>
      <c r="K781" s="778"/>
      <c r="L781" s="782" t="s">
        <v>71</v>
      </c>
      <c r="M781" s="782" t="s">
        <v>71</v>
      </c>
      <c r="N781" s="782"/>
      <c r="O781" s="782"/>
      <c r="P781" s="783"/>
      <c r="Q781" s="784"/>
      <c r="R781" s="783"/>
      <c r="S781" s="785"/>
      <c r="T781" s="785"/>
    </row>
    <row r="782">
      <c r="A782" s="777"/>
      <c r="B782" s="778"/>
      <c r="C782" s="779"/>
      <c r="D782" s="780"/>
      <c r="E782" s="781" t="s">
        <v>71</v>
      </c>
      <c r="F782" s="778"/>
      <c r="G782" s="778"/>
      <c r="H782" s="778"/>
      <c r="I782" s="778"/>
      <c r="J782" s="778"/>
      <c r="K782" s="778"/>
      <c r="L782" s="782" t="s">
        <v>71</v>
      </c>
      <c r="M782" s="782" t="s">
        <v>71</v>
      </c>
      <c r="N782" s="782"/>
      <c r="O782" s="782"/>
      <c r="P782" s="783"/>
      <c r="Q782" s="784"/>
      <c r="R782" s="783"/>
      <c r="S782" s="785"/>
      <c r="T782" s="785"/>
    </row>
    <row r="783">
      <c r="A783" s="777"/>
      <c r="B783" s="778"/>
      <c r="C783" s="779"/>
      <c r="D783" s="780"/>
      <c r="E783" s="781" t="s">
        <v>71</v>
      </c>
      <c r="F783" s="778"/>
      <c r="G783" s="778"/>
      <c r="H783" s="778"/>
      <c r="I783" s="778"/>
      <c r="J783" s="778"/>
      <c r="K783" s="778"/>
      <c r="L783" s="782" t="s">
        <v>71</v>
      </c>
      <c r="M783" s="782" t="s">
        <v>71</v>
      </c>
      <c r="N783" s="782"/>
      <c r="O783" s="782"/>
      <c r="P783" s="783"/>
      <c r="Q783" s="784"/>
      <c r="R783" s="783"/>
      <c r="S783" s="785"/>
      <c r="T783" s="785"/>
    </row>
    <row r="784">
      <c r="A784" s="777"/>
      <c r="B784" s="778"/>
      <c r="C784" s="779"/>
      <c r="D784" s="780"/>
      <c r="E784" s="781" t="s">
        <v>71</v>
      </c>
      <c r="F784" s="778"/>
      <c r="G784" s="778"/>
      <c r="H784" s="778"/>
      <c r="I784" s="778"/>
      <c r="J784" s="778"/>
      <c r="K784" s="778"/>
      <c r="L784" s="782" t="s">
        <v>71</v>
      </c>
      <c r="M784" s="782" t="s">
        <v>71</v>
      </c>
      <c r="N784" s="782"/>
      <c r="O784" s="782"/>
      <c r="P784" s="783"/>
      <c r="Q784" s="784"/>
      <c r="R784" s="783"/>
      <c r="S784" s="785"/>
      <c r="T784" s="785"/>
    </row>
    <row r="785">
      <c r="A785" s="777"/>
      <c r="B785" s="778"/>
      <c r="C785" s="779"/>
      <c r="D785" s="780"/>
      <c r="E785" s="781" t="s">
        <v>71</v>
      </c>
      <c r="F785" s="778"/>
      <c r="G785" s="778"/>
      <c r="H785" s="778"/>
      <c r="I785" s="778"/>
      <c r="J785" s="778"/>
      <c r="K785" s="778"/>
      <c r="L785" s="782" t="s">
        <v>71</v>
      </c>
      <c r="M785" s="782" t="s">
        <v>71</v>
      </c>
      <c r="N785" s="782"/>
      <c r="O785" s="782"/>
      <c r="P785" s="783"/>
      <c r="Q785" s="784"/>
      <c r="R785" s="783"/>
      <c r="S785" s="785"/>
      <c r="T785" s="785"/>
    </row>
    <row r="786">
      <c r="A786" s="777"/>
      <c r="B786" s="778"/>
      <c r="C786" s="779"/>
      <c r="D786" s="780"/>
      <c r="E786" s="781" t="s">
        <v>71</v>
      </c>
      <c r="F786" s="778"/>
      <c r="G786" s="778"/>
      <c r="H786" s="778"/>
      <c r="I786" s="778"/>
      <c r="J786" s="778"/>
      <c r="K786" s="778"/>
      <c r="L786" s="782" t="s">
        <v>71</v>
      </c>
      <c r="M786" s="782" t="s">
        <v>71</v>
      </c>
      <c r="N786" s="782"/>
      <c r="O786" s="782"/>
      <c r="P786" s="783"/>
      <c r="Q786" s="784"/>
      <c r="R786" s="783"/>
      <c r="S786" s="785"/>
      <c r="T786" s="785"/>
    </row>
    <row r="787">
      <c r="A787" s="777"/>
      <c r="B787" s="778"/>
      <c r="C787" s="779"/>
      <c r="D787" s="780"/>
      <c r="E787" s="781" t="s">
        <v>71</v>
      </c>
      <c r="F787" s="778"/>
      <c r="G787" s="778"/>
      <c r="H787" s="778"/>
      <c r="I787" s="778"/>
      <c r="J787" s="778"/>
      <c r="K787" s="778"/>
      <c r="L787" s="782" t="s">
        <v>71</v>
      </c>
      <c r="M787" s="782" t="s">
        <v>71</v>
      </c>
      <c r="N787" s="782"/>
      <c r="O787" s="782"/>
      <c r="P787" s="783"/>
      <c r="Q787" s="784"/>
      <c r="R787" s="783"/>
      <c r="S787" s="785"/>
      <c r="T787" s="785"/>
    </row>
    <row r="788">
      <c r="A788" s="777"/>
      <c r="B788" s="778"/>
      <c r="C788" s="779"/>
      <c r="D788" s="780"/>
      <c r="E788" s="781" t="s">
        <v>71</v>
      </c>
      <c r="F788" s="778"/>
      <c r="G788" s="778"/>
      <c r="H788" s="778"/>
      <c r="I788" s="778"/>
      <c r="J788" s="778"/>
      <c r="K788" s="778"/>
      <c r="L788" s="782" t="s">
        <v>71</v>
      </c>
      <c r="M788" s="782" t="s">
        <v>71</v>
      </c>
      <c r="N788" s="782"/>
      <c r="O788" s="782"/>
      <c r="P788" s="783"/>
      <c r="Q788" s="784"/>
      <c r="R788" s="783"/>
      <c r="S788" s="785"/>
      <c r="T788" s="785"/>
    </row>
    <row r="789">
      <c r="A789" s="777"/>
      <c r="B789" s="778"/>
      <c r="C789" s="779"/>
      <c r="D789" s="780"/>
      <c r="E789" s="781" t="s">
        <v>71</v>
      </c>
      <c r="F789" s="778"/>
      <c r="G789" s="778"/>
      <c r="H789" s="778"/>
      <c r="I789" s="778"/>
      <c r="J789" s="778"/>
      <c r="K789" s="778"/>
      <c r="L789" s="782" t="s">
        <v>71</v>
      </c>
      <c r="M789" s="782" t="s">
        <v>71</v>
      </c>
      <c r="N789" s="782"/>
      <c r="O789" s="782"/>
      <c r="P789" s="783"/>
      <c r="Q789" s="784"/>
      <c r="R789" s="783"/>
      <c r="S789" s="785"/>
      <c r="T789" s="785"/>
    </row>
    <row r="790">
      <c r="A790" s="777"/>
      <c r="B790" s="778"/>
      <c r="C790" s="779"/>
      <c r="D790" s="780"/>
      <c r="E790" s="781" t="s">
        <v>71</v>
      </c>
      <c r="F790" s="778"/>
      <c r="G790" s="778"/>
      <c r="H790" s="778"/>
      <c r="I790" s="778"/>
      <c r="J790" s="778"/>
      <c r="K790" s="778"/>
      <c r="L790" s="782" t="s">
        <v>71</v>
      </c>
      <c r="M790" s="782" t="s">
        <v>71</v>
      </c>
      <c r="N790" s="782"/>
      <c r="O790" s="782"/>
      <c r="P790" s="783"/>
      <c r="Q790" s="784"/>
      <c r="R790" s="783"/>
      <c r="S790" s="785"/>
      <c r="T790" s="785"/>
    </row>
    <row r="791">
      <c r="A791" s="777"/>
      <c r="B791" s="778"/>
      <c r="C791" s="779"/>
      <c r="D791" s="780"/>
      <c r="E791" s="781" t="s">
        <v>71</v>
      </c>
      <c r="F791" s="778"/>
      <c r="G791" s="778"/>
      <c r="H791" s="778"/>
      <c r="I791" s="778"/>
      <c r="J791" s="778"/>
      <c r="K791" s="778"/>
      <c r="L791" s="782" t="s">
        <v>71</v>
      </c>
      <c r="M791" s="782" t="s">
        <v>71</v>
      </c>
      <c r="N791" s="782"/>
      <c r="O791" s="782"/>
      <c r="P791" s="783"/>
      <c r="Q791" s="784"/>
      <c r="R791" s="783"/>
      <c r="S791" s="785"/>
      <c r="T791" s="785"/>
    </row>
    <row r="792">
      <c r="A792" s="777"/>
      <c r="B792" s="778"/>
      <c r="C792" s="779"/>
      <c r="D792" s="780"/>
      <c r="E792" s="781" t="s">
        <v>71</v>
      </c>
      <c r="F792" s="778"/>
      <c r="G792" s="778"/>
      <c r="H792" s="778"/>
      <c r="I792" s="778"/>
      <c r="J792" s="778"/>
      <c r="K792" s="778"/>
      <c r="L792" s="782" t="s">
        <v>71</v>
      </c>
      <c r="M792" s="782" t="s">
        <v>71</v>
      </c>
      <c r="N792" s="782"/>
      <c r="O792" s="782"/>
      <c r="P792" s="783"/>
      <c r="Q792" s="784"/>
      <c r="R792" s="783"/>
      <c r="S792" s="785"/>
      <c r="T792" s="785"/>
    </row>
    <row r="793">
      <c r="A793" s="777"/>
      <c r="B793" s="778"/>
      <c r="C793" s="779"/>
      <c r="D793" s="780"/>
      <c r="E793" s="781" t="s">
        <v>71</v>
      </c>
      <c r="F793" s="778"/>
      <c r="G793" s="778"/>
      <c r="H793" s="778"/>
      <c r="I793" s="778"/>
      <c r="J793" s="778"/>
      <c r="K793" s="778"/>
      <c r="L793" s="782" t="s">
        <v>71</v>
      </c>
      <c r="M793" s="782" t="s">
        <v>71</v>
      </c>
      <c r="N793" s="782"/>
      <c r="O793" s="782"/>
      <c r="P793" s="783"/>
      <c r="Q793" s="784"/>
      <c r="R793" s="783"/>
      <c r="S793" s="785"/>
      <c r="T793" s="785"/>
    </row>
    <row r="794">
      <c r="A794" s="777"/>
      <c r="B794" s="778"/>
      <c r="C794" s="779"/>
      <c r="D794" s="780"/>
      <c r="E794" s="781" t="s">
        <v>71</v>
      </c>
      <c r="F794" s="778"/>
      <c r="G794" s="778"/>
      <c r="H794" s="778"/>
      <c r="I794" s="778"/>
      <c r="J794" s="778"/>
      <c r="K794" s="778"/>
      <c r="L794" s="782" t="s">
        <v>71</v>
      </c>
      <c r="M794" s="782" t="s">
        <v>71</v>
      </c>
      <c r="N794" s="782"/>
      <c r="O794" s="782"/>
      <c r="P794" s="783"/>
      <c r="Q794" s="784"/>
      <c r="R794" s="783"/>
      <c r="S794" s="785"/>
      <c r="T794" s="785"/>
    </row>
    <row r="795">
      <c r="A795" s="777"/>
      <c r="B795" s="778"/>
      <c r="C795" s="779"/>
      <c r="D795" s="780"/>
      <c r="E795" s="781" t="s">
        <v>71</v>
      </c>
      <c r="F795" s="778"/>
      <c r="G795" s="778"/>
      <c r="H795" s="778"/>
      <c r="I795" s="778"/>
      <c r="J795" s="778"/>
      <c r="K795" s="778"/>
      <c r="L795" s="782" t="s">
        <v>71</v>
      </c>
      <c r="M795" s="782" t="s">
        <v>71</v>
      </c>
      <c r="N795" s="782"/>
      <c r="O795" s="782"/>
      <c r="P795" s="783"/>
      <c r="Q795" s="784"/>
      <c r="R795" s="783"/>
      <c r="S795" s="785"/>
      <c r="T795" s="785"/>
    </row>
    <row r="796">
      <c r="A796" s="777"/>
      <c r="B796" s="778"/>
      <c r="C796" s="779"/>
      <c r="D796" s="780"/>
      <c r="E796" s="781" t="s">
        <v>71</v>
      </c>
      <c r="F796" s="778"/>
      <c r="G796" s="778"/>
      <c r="H796" s="778"/>
      <c r="I796" s="778"/>
      <c r="J796" s="778"/>
      <c r="K796" s="778"/>
      <c r="L796" s="782" t="s">
        <v>71</v>
      </c>
      <c r="M796" s="782" t="s">
        <v>71</v>
      </c>
      <c r="N796" s="782"/>
      <c r="O796" s="782"/>
      <c r="P796" s="783"/>
      <c r="Q796" s="784"/>
      <c r="R796" s="783"/>
      <c r="S796" s="785"/>
      <c r="T796" s="785"/>
    </row>
    <row r="797">
      <c r="A797" s="777"/>
      <c r="B797" s="778"/>
      <c r="C797" s="779"/>
      <c r="D797" s="780"/>
      <c r="E797" s="781" t="s">
        <v>71</v>
      </c>
      <c r="F797" s="778"/>
      <c r="G797" s="778"/>
      <c r="H797" s="778"/>
      <c r="I797" s="778"/>
      <c r="J797" s="778"/>
      <c r="K797" s="778"/>
      <c r="L797" s="782" t="s">
        <v>71</v>
      </c>
      <c r="M797" s="782" t="s">
        <v>71</v>
      </c>
      <c r="N797" s="782"/>
      <c r="O797" s="782"/>
      <c r="P797" s="783"/>
      <c r="Q797" s="784"/>
      <c r="R797" s="783"/>
      <c r="S797" s="785"/>
      <c r="T797" s="785"/>
    </row>
    <row r="798">
      <c r="A798" s="777"/>
      <c r="B798" s="778"/>
      <c r="C798" s="779"/>
      <c r="D798" s="780"/>
      <c r="E798" s="781" t="s">
        <v>71</v>
      </c>
      <c r="F798" s="778"/>
      <c r="G798" s="778"/>
      <c r="H798" s="778"/>
      <c r="I798" s="778"/>
      <c r="J798" s="778"/>
      <c r="K798" s="778"/>
      <c r="L798" s="782" t="s">
        <v>71</v>
      </c>
      <c r="M798" s="782" t="s">
        <v>71</v>
      </c>
      <c r="N798" s="782"/>
      <c r="O798" s="782"/>
      <c r="P798" s="783"/>
      <c r="Q798" s="784"/>
      <c r="R798" s="783"/>
      <c r="S798" s="785"/>
      <c r="T798" s="785"/>
    </row>
    <row r="799">
      <c r="A799" s="777"/>
      <c r="B799" s="778"/>
      <c r="C799" s="779"/>
      <c r="D799" s="780"/>
      <c r="E799" s="781" t="s">
        <v>71</v>
      </c>
      <c r="F799" s="778"/>
      <c r="G799" s="778"/>
      <c r="H799" s="778"/>
      <c r="I799" s="778"/>
      <c r="J799" s="778"/>
      <c r="K799" s="778"/>
      <c r="L799" s="782" t="s">
        <v>71</v>
      </c>
      <c r="M799" s="782" t="s">
        <v>71</v>
      </c>
      <c r="N799" s="782"/>
      <c r="O799" s="782"/>
      <c r="P799" s="783"/>
      <c r="Q799" s="784"/>
      <c r="R799" s="783"/>
      <c r="S799" s="785"/>
      <c r="T799" s="785"/>
    </row>
    <row r="800">
      <c r="A800" s="777"/>
      <c r="B800" s="778"/>
      <c r="C800" s="779"/>
      <c r="D800" s="780"/>
      <c r="E800" s="781" t="s">
        <v>71</v>
      </c>
      <c r="F800" s="778"/>
      <c r="G800" s="778"/>
      <c r="H800" s="778"/>
      <c r="I800" s="778"/>
      <c r="J800" s="778"/>
      <c r="K800" s="778"/>
      <c r="L800" s="782" t="s">
        <v>71</v>
      </c>
      <c r="M800" s="782" t="s">
        <v>71</v>
      </c>
      <c r="N800" s="782"/>
      <c r="O800" s="782"/>
      <c r="P800" s="783"/>
      <c r="Q800" s="784"/>
      <c r="R800" s="783"/>
      <c r="S800" s="785"/>
      <c r="T800" s="785"/>
    </row>
    <row r="801">
      <c r="A801" s="777"/>
      <c r="B801" s="778"/>
      <c r="C801" s="779"/>
      <c r="D801" s="780"/>
      <c r="E801" s="781" t="s">
        <v>71</v>
      </c>
      <c r="F801" s="778"/>
      <c r="G801" s="778"/>
      <c r="H801" s="778"/>
      <c r="I801" s="778"/>
      <c r="J801" s="778"/>
      <c r="K801" s="778"/>
      <c r="L801" s="782" t="s">
        <v>71</v>
      </c>
      <c r="M801" s="782" t="s">
        <v>71</v>
      </c>
      <c r="N801" s="782"/>
      <c r="O801" s="782"/>
      <c r="P801" s="783"/>
      <c r="Q801" s="784"/>
      <c r="R801" s="783"/>
      <c r="S801" s="785"/>
      <c r="T801" s="785"/>
    </row>
    <row r="802">
      <c r="A802" s="777"/>
      <c r="B802" s="778"/>
      <c r="C802" s="779"/>
      <c r="D802" s="780"/>
      <c r="E802" s="781" t="s">
        <v>71</v>
      </c>
      <c r="F802" s="778"/>
      <c r="G802" s="778"/>
      <c r="H802" s="778"/>
      <c r="I802" s="778"/>
      <c r="J802" s="778"/>
      <c r="K802" s="778"/>
      <c r="L802" s="782" t="s">
        <v>71</v>
      </c>
      <c r="M802" s="782" t="s">
        <v>71</v>
      </c>
      <c r="N802" s="782"/>
      <c r="O802" s="782"/>
      <c r="P802" s="783"/>
      <c r="Q802" s="784"/>
      <c r="R802" s="783"/>
      <c r="S802" s="785"/>
      <c r="T802" s="785"/>
    </row>
    <row r="803">
      <c r="A803" s="777"/>
      <c r="B803" s="778"/>
      <c r="C803" s="779"/>
      <c r="D803" s="780"/>
      <c r="E803" s="781" t="s">
        <v>71</v>
      </c>
      <c r="F803" s="778"/>
      <c r="G803" s="778"/>
      <c r="H803" s="778"/>
      <c r="I803" s="778"/>
      <c r="J803" s="778"/>
      <c r="K803" s="778"/>
      <c r="L803" s="782" t="s">
        <v>71</v>
      </c>
      <c r="M803" s="782" t="s">
        <v>71</v>
      </c>
      <c r="N803" s="782"/>
      <c r="O803" s="782"/>
      <c r="P803" s="783"/>
      <c r="Q803" s="784"/>
      <c r="R803" s="783"/>
      <c r="S803" s="785"/>
      <c r="T803" s="785"/>
    </row>
    <row r="804">
      <c r="A804" s="777"/>
      <c r="B804" s="778"/>
      <c r="C804" s="779"/>
      <c r="D804" s="780"/>
      <c r="E804" s="781" t="s">
        <v>71</v>
      </c>
      <c r="F804" s="778"/>
      <c r="G804" s="778"/>
      <c r="H804" s="778"/>
      <c r="I804" s="778"/>
      <c r="J804" s="778"/>
      <c r="K804" s="778"/>
      <c r="L804" s="782" t="s">
        <v>71</v>
      </c>
      <c r="M804" s="782" t="s">
        <v>71</v>
      </c>
      <c r="N804" s="782"/>
      <c r="O804" s="782"/>
      <c r="P804" s="783"/>
      <c r="Q804" s="784"/>
      <c r="R804" s="783"/>
      <c r="S804" s="785"/>
      <c r="T804" s="785"/>
    </row>
    <row r="805">
      <c r="A805" s="777"/>
      <c r="B805" s="778"/>
      <c r="C805" s="779"/>
      <c r="D805" s="780"/>
      <c r="E805" s="781" t="s">
        <v>71</v>
      </c>
      <c r="F805" s="778"/>
      <c r="G805" s="778"/>
      <c r="H805" s="778"/>
      <c r="I805" s="778"/>
      <c r="J805" s="778"/>
      <c r="K805" s="778"/>
      <c r="L805" s="782" t="s">
        <v>71</v>
      </c>
      <c r="M805" s="782" t="s">
        <v>71</v>
      </c>
      <c r="N805" s="782"/>
      <c r="O805" s="782"/>
      <c r="P805" s="783"/>
      <c r="Q805" s="784"/>
      <c r="R805" s="783"/>
      <c r="S805" s="785"/>
      <c r="T805" s="785"/>
    </row>
    <row r="806">
      <c r="A806" s="777"/>
      <c r="B806" s="778"/>
      <c r="C806" s="779"/>
      <c r="D806" s="780"/>
      <c r="E806" s="781" t="s">
        <v>71</v>
      </c>
      <c r="F806" s="778"/>
      <c r="G806" s="778"/>
      <c r="H806" s="778"/>
      <c r="I806" s="778"/>
      <c r="J806" s="778"/>
      <c r="K806" s="778"/>
      <c r="L806" s="782" t="s">
        <v>71</v>
      </c>
      <c r="M806" s="782" t="s">
        <v>71</v>
      </c>
      <c r="N806" s="782"/>
      <c r="O806" s="782"/>
      <c r="P806" s="783"/>
      <c r="Q806" s="784"/>
      <c r="R806" s="783"/>
      <c r="S806" s="785"/>
      <c r="T806" s="785"/>
    </row>
    <row r="807">
      <c r="A807" s="777"/>
      <c r="B807" s="778"/>
      <c r="C807" s="779"/>
      <c r="D807" s="780"/>
      <c r="E807" s="781" t="s">
        <v>71</v>
      </c>
      <c r="F807" s="778"/>
      <c r="G807" s="778"/>
      <c r="H807" s="778"/>
      <c r="I807" s="778"/>
      <c r="J807" s="778"/>
      <c r="K807" s="778"/>
      <c r="L807" s="782" t="s">
        <v>71</v>
      </c>
      <c r="M807" s="782" t="s">
        <v>71</v>
      </c>
      <c r="N807" s="782"/>
      <c r="O807" s="782"/>
      <c r="P807" s="783"/>
      <c r="Q807" s="784"/>
      <c r="R807" s="783"/>
      <c r="S807" s="785"/>
      <c r="T807" s="785"/>
    </row>
    <row r="808">
      <c r="A808" s="777"/>
      <c r="B808" s="778"/>
      <c r="C808" s="779"/>
      <c r="D808" s="780"/>
      <c r="E808" s="781" t="s">
        <v>71</v>
      </c>
      <c r="F808" s="778"/>
      <c r="G808" s="778"/>
      <c r="H808" s="778"/>
      <c r="I808" s="778"/>
      <c r="J808" s="778"/>
      <c r="K808" s="778"/>
      <c r="L808" s="782" t="s">
        <v>71</v>
      </c>
      <c r="M808" s="782" t="s">
        <v>71</v>
      </c>
      <c r="N808" s="782"/>
      <c r="O808" s="782"/>
      <c r="P808" s="783"/>
      <c r="Q808" s="784"/>
      <c r="R808" s="783"/>
      <c r="S808" s="785"/>
      <c r="T808" s="785"/>
    </row>
    <row r="809">
      <c r="A809" s="777"/>
      <c r="B809" s="778"/>
      <c r="C809" s="779"/>
      <c r="D809" s="780"/>
      <c r="E809" s="781" t="s">
        <v>71</v>
      </c>
      <c r="F809" s="778"/>
      <c r="G809" s="778"/>
      <c r="H809" s="778"/>
      <c r="I809" s="778"/>
      <c r="J809" s="778"/>
      <c r="K809" s="778"/>
      <c r="L809" s="782" t="s">
        <v>71</v>
      </c>
      <c r="M809" s="782" t="s">
        <v>71</v>
      </c>
      <c r="N809" s="782"/>
      <c r="O809" s="782"/>
      <c r="P809" s="783"/>
      <c r="Q809" s="784"/>
      <c r="R809" s="783"/>
      <c r="S809" s="785"/>
      <c r="T809" s="785"/>
    </row>
    <row r="810">
      <c r="A810" s="777"/>
      <c r="B810" s="778"/>
      <c r="C810" s="779"/>
      <c r="D810" s="780"/>
      <c r="E810" s="781" t="s">
        <v>71</v>
      </c>
      <c r="F810" s="778"/>
      <c r="G810" s="778"/>
      <c r="H810" s="778"/>
      <c r="I810" s="778"/>
      <c r="J810" s="778"/>
      <c r="K810" s="778"/>
      <c r="L810" s="782" t="s">
        <v>71</v>
      </c>
      <c r="M810" s="782" t="s">
        <v>71</v>
      </c>
      <c r="N810" s="782"/>
      <c r="O810" s="782"/>
      <c r="P810" s="783"/>
      <c r="Q810" s="784"/>
      <c r="R810" s="783"/>
      <c r="S810" s="785"/>
      <c r="T810" s="785"/>
    </row>
    <row r="811">
      <c r="A811" s="777"/>
      <c r="B811" s="778"/>
      <c r="C811" s="779"/>
      <c r="D811" s="780"/>
      <c r="E811" s="781" t="s">
        <v>71</v>
      </c>
      <c r="F811" s="778"/>
      <c r="G811" s="778"/>
      <c r="H811" s="778"/>
      <c r="I811" s="778"/>
      <c r="J811" s="778"/>
      <c r="K811" s="778"/>
      <c r="L811" s="782" t="s">
        <v>71</v>
      </c>
      <c r="M811" s="782" t="s">
        <v>71</v>
      </c>
      <c r="N811" s="782"/>
      <c r="O811" s="782"/>
      <c r="P811" s="783"/>
      <c r="Q811" s="784"/>
      <c r="R811" s="783"/>
      <c r="S811" s="785"/>
      <c r="T811" s="785"/>
    </row>
    <row r="812">
      <c r="A812" s="777"/>
      <c r="B812" s="778"/>
      <c r="C812" s="779"/>
      <c r="D812" s="780"/>
      <c r="E812" s="781" t="s">
        <v>71</v>
      </c>
      <c r="F812" s="778"/>
      <c r="G812" s="778"/>
      <c r="H812" s="778"/>
      <c r="I812" s="778"/>
      <c r="J812" s="778"/>
      <c r="K812" s="778"/>
      <c r="L812" s="782" t="s">
        <v>71</v>
      </c>
      <c r="M812" s="782" t="s">
        <v>71</v>
      </c>
      <c r="N812" s="782"/>
      <c r="O812" s="782"/>
      <c r="P812" s="783"/>
      <c r="Q812" s="784"/>
      <c r="R812" s="783"/>
      <c r="S812" s="785"/>
      <c r="T812" s="785"/>
    </row>
    <row r="813">
      <c r="A813" s="777"/>
      <c r="B813" s="778"/>
      <c r="C813" s="779"/>
      <c r="D813" s="780"/>
      <c r="E813" s="781" t="s">
        <v>71</v>
      </c>
      <c r="F813" s="778"/>
      <c r="G813" s="778"/>
      <c r="H813" s="778"/>
      <c r="I813" s="778"/>
      <c r="J813" s="778"/>
      <c r="K813" s="778"/>
      <c r="L813" s="782" t="s">
        <v>71</v>
      </c>
      <c r="M813" s="782" t="s">
        <v>71</v>
      </c>
      <c r="N813" s="782"/>
      <c r="O813" s="782"/>
      <c r="P813" s="783"/>
      <c r="Q813" s="784"/>
      <c r="R813" s="783"/>
      <c r="S813" s="785"/>
      <c r="T813" s="785"/>
    </row>
    <row r="814">
      <c r="A814" s="777"/>
      <c r="B814" s="778"/>
      <c r="C814" s="779"/>
      <c r="D814" s="780"/>
      <c r="E814" s="781" t="s">
        <v>71</v>
      </c>
      <c r="F814" s="778"/>
      <c r="G814" s="778"/>
      <c r="H814" s="778"/>
      <c r="I814" s="778"/>
      <c r="J814" s="778"/>
      <c r="K814" s="778"/>
      <c r="L814" s="782" t="s">
        <v>71</v>
      </c>
      <c r="M814" s="782" t="s">
        <v>71</v>
      </c>
      <c r="N814" s="782"/>
      <c r="O814" s="782"/>
      <c r="P814" s="783"/>
      <c r="Q814" s="784"/>
      <c r="R814" s="783"/>
      <c r="S814" s="785"/>
      <c r="T814" s="785"/>
    </row>
    <row r="815">
      <c r="A815" s="777"/>
      <c r="B815" s="778"/>
      <c r="C815" s="779"/>
      <c r="D815" s="780"/>
      <c r="E815" s="781" t="s">
        <v>71</v>
      </c>
      <c r="F815" s="778"/>
      <c r="G815" s="778"/>
      <c r="H815" s="778"/>
      <c r="I815" s="778"/>
      <c r="J815" s="778"/>
      <c r="K815" s="778"/>
      <c r="L815" s="782" t="s">
        <v>71</v>
      </c>
      <c r="M815" s="782" t="s">
        <v>71</v>
      </c>
      <c r="N815" s="782"/>
      <c r="O815" s="782"/>
      <c r="P815" s="783"/>
      <c r="Q815" s="784"/>
      <c r="R815" s="783"/>
      <c r="S815" s="785"/>
      <c r="T815" s="785"/>
    </row>
    <row r="816">
      <c r="A816" s="777"/>
      <c r="B816" s="778"/>
      <c r="C816" s="779"/>
      <c r="D816" s="780"/>
      <c r="E816" s="781" t="s">
        <v>71</v>
      </c>
      <c r="F816" s="778"/>
      <c r="G816" s="778"/>
      <c r="H816" s="778"/>
      <c r="I816" s="778"/>
      <c r="J816" s="778"/>
      <c r="K816" s="778"/>
      <c r="L816" s="782" t="s">
        <v>71</v>
      </c>
      <c r="M816" s="782" t="s">
        <v>71</v>
      </c>
      <c r="N816" s="782"/>
      <c r="O816" s="782"/>
      <c r="P816" s="783"/>
      <c r="Q816" s="784"/>
      <c r="R816" s="783"/>
      <c r="S816" s="785"/>
      <c r="T816" s="785"/>
    </row>
    <row r="817">
      <c r="A817" s="777"/>
      <c r="B817" s="778"/>
      <c r="C817" s="779"/>
      <c r="D817" s="780"/>
      <c r="E817" s="781" t="s">
        <v>71</v>
      </c>
      <c r="F817" s="778"/>
      <c r="G817" s="778"/>
      <c r="H817" s="778"/>
      <c r="I817" s="778"/>
      <c r="J817" s="778"/>
      <c r="K817" s="778"/>
      <c r="L817" s="782" t="s">
        <v>71</v>
      </c>
      <c r="M817" s="782" t="s">
        <v>71</v>
      </c>
      <c r="N817" s="782"/>
      <c r="O817" s="782"/>
      <c r="P817" s="783"/>
      <c r="Q817" s="784"/>
      <c r="R817" s="783"/>
      <c r="S817" s="785"/>
      <c r="T817" s="785"/>
    </row>
    <row r="818">
      <c r="A818" s="777"/>
      <c r="B818" s="778"/>
      <c r="C818" s="779"/>
      <c r="D818" s="780"/>
      <c r="E818" s="781" t="s">
        <v>71</v>
      </c>
      <c r="F818" s="778"/>
      <c r="G818" s="778"/>
      <c r="H818" s="778"/>
      <c r="I818" s="778"/>
      <c r="J818" s="778"/>
      <c r="K818" s="778"/>
      <c r="L818" s="782" t="s">
        <v>71</v>
      </c>
      <c r="M818" s="782" t="s">
        <v>71</v>
      </c>
      <c r="N818" s="782"/>
      <c r="O818" s="782"/>
      <c r="P818" s="783"/>
      <c r="Q818" s="784"/>
      <c r="R818" s="783"/>
      <c r="S818" s="785"/>
      <c r="T818" s="785"/>
    </row>
    <row r="819">
      <c r="A819" s="777"/>
      <c r="B819" s="778"/>
      <c r="C819" s="779"/>
      <c r="D819" s="780"/>
      <c r="E819" s="781" t="s">
        <v>71</v>
      </c>
      <c r="F819" s="778"/>
      <c r="G819" s="778"/>
      <c r="H819" s="778"/>
      <c r="I819" s="778"/>
      <c r="J819" s="778"/>
      <c r="K819" s="778"/>
      <c r="L819" s="782" t="s">
        <v>71</v>
      </c>
      <c r="M819" s="782" t="s">
        <v>71</v>
      </c>
      <c r="N819" s="782"/>
      <c r="O819" s="782"/>
      <c r="P819" s="783"/>
      <c r="Q819" s="784"/>
      <c r="R819" s="783"/>
      <c r="S819" s="785"/>
      <c r="T819" s="785"/>
    </row>
    <row r="820">
      <c r="A820" s="777"/>
      <c r="B820" s="778"/>
      <c r="C820" s="779"/>
      <c r="D820" s="780"/>
      <c r="E820" s="781" t="s">
        <v>71</v>
      </c>
      <c r="F820" s="778"/>
      <c r="G820" s="778"/>
      <c r="H820" s="778"/>
      <c r="I820" s="778"/>
      <c r="J820" s="778"/>
      <c r="K820" s="778"/>
      <c r="L820" s="782" t="s">
        <v>71</v>
      </c>
      <c r="M820" s="782" t="s">
        <v>71</v>
      </c>
      <c r="N820" s="782"/>
      <c r="O820" s="782"/>
      <c r="P820" s="783"/>
      <c r="Q820" s="784"/>
      <c r="R820" s="783"/>
      <c r="S820" s="785"/>
      <c r="T820" s="785"/>
    </row>
    <row r="821">
      <c r="A821" s="777"/>
      <c r="B821" s="778"/>
      <c r="C821" s="779"/>
      <c r="D821" s="780"/>
      <c r="E821" s="781" t="s">
        <v>71</v>
      </c>
      <c r="F821" s="778"/>
      <c r="G821" s="778"/>
      <c r="H821" s="778"/>
      <c r="I821" s="778"/>
      <c r="J821" s="778"/>
      <c r="K821" s="778"/>
      <c r="L821" s="782" t="s">
        <v>71</v>
      </c>
      <c r="M821" s="782" t="s">
        <v>71</v>
      </c>
      <c r="N821" s="782"/>
      <c r="O821" s="782"/>
      <c r="P821" s="783"/>
      <c r="Q821" s="784"/>
      <c r="R821" s="783"/>
      <c r="S821" s="785"/>
      <c r="T821" s="785"/>
    </row>
    <row r="822">
      <c r="A822" s="777"/>
      <c r="B822" s="778"/>
      <c r="C822" s="779"/>
      <c r="D822" s="780"/>
      <c r="E822" s="781" t="s">
        <v>71</v>
      </c>
      <c r="F822" s="778"/>
      <c r="G822" s="778"/>
      <c r="H822" s="778"/>
      <c r="I822" s="778"/>
      <c r="J822" s="778"/>
      <c r="K822" s="778"/>
      <c r="L822" s="782" t="s">
        <v>71</v>
      </c>
      <c r="M822" s="782" t="s">
        <v>71</v>
      </c>
      <c r="N822" s="782"/>
      <c r="O822" s="782"/>
      <c r="P822" s="783"/>
      <c r="Q822" s="784"/>
      <c r="R822" s="783"/>
      <c r="S822" s="785"/>
      <c r="T822" s="785"/>
    </row>
    <row r="823">
      <c r="A823" s="777"/>
      <c r="B823" s="778"/>
      <c r="C823" s="779"/>
      <c r="D823" s="780"/>
      <c r="E823" s="781" t="s">
        <v>71</v>
      </c>
      <c r="F823" s="778"/>
      <c r="G823" s="778"/>
      <c r="H823" s="778"/>
      <c r="I823" s="778"/>
      <c r="J823" s="778"/>
      <c r="K823" s="778"/>
      <c r="L823" s="782" t="s">
        <v>71</v>
      </c>
      <c r="M823" s="782" t="s">
        <v>71</v>
      </c>
      <c r="N823" s="782"/>
      <c r="O823" s="782"/>
      <c r="P823" s="783"/>
      <c r="Q823" s="784"/>
      <c r="R823" s="783"/>
      <c r="S823" s="785"/>
      <c r="T823" s="785"/>
    </row>
    <row r="824">
      <c r="A824" s="777"/>
      <c r="B824" s="778"/>
      <c r="C824" s="779"/>
      <c r="D824" s="780"/>
      <c r="E824" s="781" t="s">
        <v>71</v>
      </c>
      <c r="F824" s="778"/>
      <c r="G824" s="778"/>
      <c r="H824" s="778"/>
      <c r="I824" s="778"/>
      <c r="J824" s="778"/>
      <c r="K824" s="778"/>
      <c r="L824" s="782" t="s">
        <v>71</v>
      </c>
      <c r="M824" s="782" t="s">
        <v>71</v>
      </c>
      <c r="N824" s="782"/>
      <c r="O824" s="782"/>
      <c r="P824" s="783"/>
      <c r="Q824" s="784"/>
      <c r="R824" s="783"/>
      <c r="S824" s="785"/>
      <c r="T824" s="785"/>
    </row>
    <row r="825">
      <c r="A825" s="777"/>
      <c r="B825" s="778"/>
      <c r="C825" s="779"/>
      <c r="D825" s="780"/>
      <c r="E825" s="781" t="s">
        <v>71</v>
      </c>
      <c r="F825" s="778"/>
      <c r="G825" s="778"/>
      <c r="H825" s="778"/>
      <c r="I825" s="778"/>
      <c r="J825" s="778"/>
      <c r="K825" s="778"/>
      <c r="L825" s="782" t="s">
        <v>71</v>
      </c>
      <c r="M825" s="782" t="s">
        <v>71</v>
      </c>
      <c r="N825" s="782"/>
      <c r="O825" s="782"/>
      <c r="P825" s="783"/>
      <c r="Q825" s="784"/>
      <c r="R825" s="783"/>
      <c r="S825" s="785"/>
      <c r="T825" s="785"/>
    </row>
    <row r="826">
      <c r="A826" s="777"/>
      <c r="B826" s="778"/>
      <c r="C826" s="779"/>
      <c r="D826" s="780"/>
      <c r="E826" s="781" t="s">
        <v>71</v>
      </c>
      <c r="F826" s="778"/>
      <c r="G826" s="778"/>
      <c r="H826" s="778"/>
      <c r="I826" s="778"/>
      <c r="J826" s="778"/>
      <c r="K826" s="778"/>
      <c r="L826" s="782" t="s">
        <v>71</v>
      </c>
      <c r="M826" s="782" t="s">
        <v>71</v>
      </c>
      <c r="N826" s="782"/>
      <c r="O826" s="782"/>
      <c r="P826" s="783"/>
      <c r="Q826" s="784"/>
      <c r="R826" s="783"/>
      <c r="S826" s="785"/>
      <c r="T826" s="785"/>
    </row>
    <row r="827">
      <c r="A827" s="777"/>
      <c r="B827" s="778"/>
      <c r="C827" s="779"/>
      <c r="D827" s="780"/>
      <c r="E827" s="781" t="s">
        <v>71</v>
      </c>
      <c r="F827" s="778"/>
      <c r="G827" s="778"/>
      <c r="H827" s="778"/>
      <c r="I827" s="778"/>
      <c r="J827" s="778"/>
      <c r="K827" s="778"/>
      <c r="L827" s="782" t="s">
        <v>71</v>
      </c>
      <c r="M827" s="782" t="s">
        <v>71</v>
      </c>
      <c r="N827" s="782"/>
      <c r="O827" s="782"/>
      <c r="P827" s="783"/>
      <c r="Q827" s="784"/>
      <c r="R827" s="783"/>
      <c r="S827" s="785"/>
      <c r="T827" s="785"/>
    </row>
    <row r="828">
      <c r="A828" s="777"/>
      <c r="B828" s="778"/>
      <c r="C828" s="779"/>
      <c r="D828" s="780"/>
      <c r="E828" s="781" t="s">
        <v>71</v>
      </c>
      <c r="F828" s="778"/>
      <c r="G828" s="778"/>
      <c r="H828" s="778"/>
      <c r="I828" s="778"/>
      <c r="J828" s="778"/>
      <c r="K828" s="778"/>
      <c r="L828" s="782" t="s">
        <v>71</v>
      </c>
      <c r="M828" s="782" t="s">
        <v>71</v>
      </c>
      <c r="N828" s="782"/>
      <c r="O828" s="782"/>
      <c r="P828" s="783"/>
      <c r="Q828" s="784"/>
      <c r="R828" s="783"/>
      <c r="S828" s="785"/>
      <c r="T828" s="785"/>
    </row>
    <row r="829">
      <c r="A829" s="777"/>
      <c r="B829" s="778"/>
      <c r="C829" s="779"/>
      <c r="D829" s="780"/>
      <c r="E829" s="781" t="s">
        <v>71</v>
      </c>
      <c r="F829" s="778"/>
      <c r="G829" s="778"/>
      <c r="H829" s="778"/>
      <c r="I829" s="778"/>
      <c r="J829" s="778"/>
      <c r="K829" s="778"/>
      <c r="L829" s="782" t="s">
        <v>71</v>
      </c>
      <c r="M829" s="782" t="s">
        <v>71</v>
      </c>
      <c r="N829" s="782"/>
      <c r="O829" s="782"/>
      <c r="P829" s="783"/>
      <c r="Q829" s="784"/>
      <c r="R829" s="783"/>
      <c r="S829" s="785"/>
      <c r="T829" s="785"/>
    </row>
    <row r="830">
      <c r="A830" s="777"/>
      <c r="B830" s="778"/>
      <c r="C830" s="779"/>
      <c r="D830" s="780"/>
      <c r="E830" s="781" t="s">
        <v>71</v>
      </c>
      <c r="F830" s="778"/>
      <c r="G830" s="778"/>
      <c r="H830" s="778"/>
      <c r="I830" s="778"/>
      <c r="J830" s="778"/>
      <c r="K830" s="778"/>
      <c r="L830" s="782" t="s">
        <v>71</v>
      </c>
      <c r="M830" s="782" t="s">
        <v>71</v>
      </c>
      <c r="N830" s="782"/>
      <c r="O830" s="782"/>
      <c r="P830" s="783"/>
      <c r="Q830" s="784"/>
      <c r="R830" s="783"/>
      <c r="S830" s="785"/>
      <c r="T830" s="785"/>
    </row>
    <row r="831">
      <c r="A831" s="777"/>
      <c r="B831" s="778"/>
      <c r="C831" s="779"/>
      <c r="D831" s="780"/>
      <c r="E831" s="781" t="s">
        <v>71</v>
      </c>
      <c r="F831" s="778"/>
      <c r="G831" s="778"/>
      <c r="H831" s="778"/>
      <c r="I831" s="778"/>
      <c r="J831" s="778"/>
      <c r="K831" s="778"/>
      <c r="L831" s="782" t="s">
        <v>71</v>
      </c>
      <c r="M831" s="782" t="s">
        <v>71</v>
      </c>
      <c r="N831" s="782"/>
      <c r="O831" s="782"/>
      <c r="P831" s="783"/>
      <c r="Q831" s="784"/>
      <c r="R831" s="783"/>
      <c r="S831" s="785"/>
      <c r="T831" s="785"/>
    </row>
    <row r="832">
      <c r="A832" s="777"/>
      <c r="B832" s="778"/>
      <c r="C832" s="779"/>
      <c r="D832" s="780"/>
      <c r="E832" s="781" t="s">
        <v>71</v>
      </c>
      <c r="F832" s="778"/>
      <c r="G832" s="778"/>
      <c r="H832" s="778"/>
      <c r="I832" s="778"/>
      <c r="J832" s="778"/>
      <c r="K832" s="778"/>
      <c r="L832" s="782" t="s">
        <v>71</v>
      </c>
      <c r="M832" s="782" t="s">
        <v>71</v>
      </c>
      <c r="N832" s="782"/>
      <c r="O832" s="782"/>
      <c r="P832" s="783"/>
      <c r="Q832" s="784"/>
      <c r="R832" s="783"/>
      <c r="S832" s="785"/>
      <c r="T832" s="785"/>
    </row>
    <row r="833">
      <c r="A833" s="777"/>
      <c r="B833" s="778"/>
      <c r="C833" s="779"/>
      <c r="D833" s="780"/>
      <c r="E833" s="781" t="s">
        <v>71</v>
      </c>
      <c r="F833" s="778"/>
      <c r="G833" s="778"/>
      <c r="H833" s="778"/>
      <c r="I833" s="778"/>
      <c r="J833" s="778"/>
      <c r="K833" s="778"/>
      <c r="L833" s="782" t="s">
        <v>71</v>
      </c>
      <c r="M833" s="782" t="s">
        <v>71</v>
      </c>
      <c r="N833" s="782"/>
      <c r="O833" s="782"/>
      <c r="P833" s="783"/>
      <c r="Q833" s="784"/>
      <c r="R833" s="783"/>
      <c r="S833" s="785"/>
      <c r="T833" s="785"/>
    </row>
    <row r="834">
      <c r="A834" s="777"/>
      <c r="B834" s="778"/>
      <c r="C834" s="779"/>
      <c r="D834" s="780"/>
      <c r="E834" s="781" t="s">
        <v>71</v>
      </c>
      <c r="F834" s="778"/>
      <c r="G834" s="778"/>
      <c r="H834" s="778"/>
      <c r="I834" s="778"/>
      <c r="J834" s="778"/>
      <c r="K834" s="778"/>
      <c r="L834" s="782" t="s">
        <v>71</v>
      </c>
      <c r="M834" s="782" t="s">
        <v>71</v>
      </c>
      <c r="N834" s="782"/>
      <c r="O834" s="782"/>
      <c r="P834" s="783"/>
      <c r="Q834" s="784"/>
      <c r="R834" s="783"/>
      <c r="S834" s="785"/>
      <c r="T834" s="785"/>
    </row>
    <row r="835">
      <c r="A835" s="777"/>
      <c r="B835" s="778"/>
      <c r="C835" s="779"/>
      <c r="D835" s="780"/>
      <c r="E835" s="781" t="s">
        <v>71</v>
      </c>
      <c r="F835" s="778"/>
      <c r="G835" s="778"/>
      <c r="H835" s="778"/>
      <c r="I835" s="778"/>
      <c r="J835" s="778"/>
      <c r="K835" s="778"/>
      <c r="L835" s="782" t="s">
        <v>71</v>
      </c>
      <c r="M835" s="782" t="s">
        <v>71</v>
      </c>
      <c r="N835" s="782"/>
      <c r="O835" s="782"/>
      <c r="P835" s="783"/>
      <c r="Q835" s="784"/>
      <c r="R835" s="783"/>
      <c r="S835" s="785"/>
      <c r="T835" s="785"/>
    </row>
    <row r="836">
      <c r="A836" s="777"/>
      <c r="B836" s="778"/>
      <c r="C836" s="779"/>
      <c r="D836" s="780"/>
      <c r="E836" s="781" t="s">
        <v>71</v>
      </c>
      <c r="F836" s="778"/>
      <c r="G836" s="778"/>
      <c r="H836" s="778"/>
      <c r="I836" s="778"/>
      <c r="J836" s="778"/>
      <c r="K836" s="778"/>
      <c r="L836" s="782" t="s">
        <v>71</v>
      </c>
      <c r="M836" s="782" t="s">
        <v>71</v>
      </c>
      <c r="N836" s="782"/>
      <c r="O836" s="782"/>
      <c r="P836" s="783"/>
      <c r="Q836" s="784"/>
      <c r="R836" s="783"/>
      <c r="S836" s="785"/>
      <c r="T836" s="785"/>
    </row>
    <row r="837">
      <c r="A837" s="777"/>
      <c r="B837" s="778"/>
      <c r="C837" s="779"/>
      <c r="D837" s="780"/>
      <c r="E837" s="781" t="s">
        <v>71</v>
      </c>
      <c r="F837" s="778"/>
      <c r="G837" s="778"/>
      <c r="H837" s="778"/>
      <c r="I837" s="778"/>
      <c r="J837" s="778"/>
      <c r="K837" s="778"/>
      <c r="L837" s="782" t="s">
        <v>71</v>
      </c>
      <c r="M837" s="782" t="s">
        <v>71</v>
      </c>
      <c r="N837" s="782"/>
      <c r="O837" s="782"/>
      <c r="P837" s="783"/>
      <c r="Q837" s="784"/>
      <c r="R837" s="783"/>
      <c r="S837" s="785"/>
      <c r="T837" s="785"/>
    </row>
    <row r="838">
      <c r="A838" s="777"/>
      <c r="B838" s="778"/>
      <c r="C838" s="779"/>
      <c r="D838" s="780"/>
      <c r="E838" s="781" t="s">
        <v>71</v>
      </c>
      <c r="F838" s="778"/>
      <c r="G838" s="778"/>
      <c r="H838" s="778"/>
      <c r="I838" s="778"/>
      <c r="J838" s="778"/>
      <c r="K838" s="778"/>
      <c r="L838" s="782" t="s">
        <v>71</v>
      </c>
      <c r="M838" s="782" t="s">
        <v>71</v>
      </c>
      <c r="N838" s="782"/>
      <c r="O838" s="782"/>
      <c r="P838" s="783"/>
      <c r="Q838" s="784"/>
      <c r="R838" s="783"/>
      <c r="S838" s="785"/>
      <c r="T838" s="785"/>
    </row>
    <row r="839">
      <c r="A839" s="777"/>
      <c r="B839" s="778"/>
      <c r="C839" s="779"/>
      <c r="D839" s="780"/>
      <c r="E839" s="781" t="s">
        <v>71</v>
      </c>
      <c r="F839" s="778"/>
      <c r="G839" s="778"/>
      <c r="H839" s="778"/>
      <c r="I839" s="778"/>
      <c r="J839" s="778"/>
      <c r="K839" s="778"/>
      <c r="L839" s="782" t="s">
        <v>71</v>
      </c>
      <c r="M839" s="782" t="s">
        <v>71</v>
      </c>
      <c r="N839" s="782"/>
      <c r="O839" s="782"/>
      <c r="P839" s="783"/>
      <c r="Q839" s="784"/>
      <c r="R839" s="783"/>
      <c r="S839" s="785"/>
      <c r="T839" s="785"/>
    </row>
    <row r="840">
      <c r="A840" s="777"/>
      <c r="B840" s="778"/>
      <c r="C840" s="779"/>
      <c r="D840" s="780"/>
      <c r="E840" s="781" t="s">
        <v>71</v>
      </c>
      <c r="F840" s="778"/>
      <c r="G840" s="778"/>
      <c r="H840" s="778"/>
      <c r="I840" s="778"/>
      <c r="J840" s="778"/>
      <c r="K840" s="778"/>
      <c r="L840" s="782" t="s">
        <v>71</v>
      </c>
      <c r="M840" s="782" t="s">
        <v>71</v>
      </c>
      <c r="N840" s="782"/>
      <c r="O840" s="782"/>
      <c r="P840" s="783"/>
      <c r="Q840" s="784"/>
      <c r="R840" s="783"/>
      <c r="S840" s="785"/>
      <c r="T840" s="785"/>
    </row>
    <row r="841">
      <c r="A841" s="777"/>
      <c r="B841" s="778"/>
      <c r="C841" s="779"/>
      <c r="D841" s="780"/>
      <c r="E841" s="781" t="s">
        <v>71</v>
      </c>
      <c r="F841" s="778"/>
      <c r="G841" s="778"/>
      <c r="H841" s="778"/>
      <c r="I841" s="778"/>
      <c r="J841" s="778"/>
      <c r="K841" s="778"/>
      <c r="L841" s="782" t="s">
        <v>71</v>
      </c>
      <c r="M841" s="782" t="s">
        <v>71</v>
      </c>
      <c r="N841" s="782"/>
      <c r="O841" s="782"/>
      <c r="P841" s="783"/>
      <c r="Q841" s="784"/>
      <c r="R841" s="783"/>
      <c r="S841" s="785"/>
      <c r="T841" s="785"/>
    </row>
    <row r="842">
      <c r="A842" s="777"/>
      <c r="B842" s="778"/>
      <c r="C842" s="779"/>
      <c r="D842" s="780"/>
      <c r="E842" s="781" t="s">
        <v>71</v>
      </c>
      <c r="F842" s="778"/>
      <c r="G842" s="778"/>
      <c r="H842" s="778"/>
      <c r="I842" s="778"/>
      <c r="J842" s="778"/>
      <c r="K842" s="778"/>
      <c r="L842" s="782" t="s">
        <v>71</v>
      </c>
      <c r="M842" s="782" t="s">
        <v>71</v>
      </c>
      <c r="N842" s="782"/>
      <c r="O842" s="782"/>
      <c r="P842" s="783"/>
      <c r="Q842" s="784"/>
      <c r="R842" s="783"/>
      <c r="S842" s="785"/>
      <c r="T842" s="785"/>
    </row>
    <row r="843">
      <c r="A843" s="777"/>
      <c r="B843" s="778"/>
      <c r="C843" s="779"/>
      <c r="D843" s="780"/>
      <c r="E843" s="781" t="s">
        <v>71</v>
      </c>
      <c r="F843" s="778"/>
      <c r="G843" s="778"/>
      <c r="H843" s="778"/>
      <c r="I843" s="778"/>
      <c r="J843" s="778"/>
      <c r="K843" s="778"/>
      <c r="L843" s="782" t="s">
        <v>71</v>
      </c>
      <c r="M843" s="782" t="s">
        <v>71</v>
      </c>
      <c r="N843" s="782"/>
      <c r="O843" s="782"/>
      <c r="P843" s="783"/>
      <c r="Q843" s="784"/>
      <c r="R843" s="783"/>
      <c r="S843" s="785"/>
      <c r="T843" s="785"/>
    </row>
    <row r="844">
      <c r="A844" s="777"/>
      <c r="B844" s="778"/>
      <c r="C844" s="779"/>
      <c r="D844" s="780"/>
      <c r="E844" s="781" t="s">
        <v>71</v>
      </c>
      <c r="F844" s="778"/>
      <c r="G844" s="778"/>
      <c r="H844" s="778"/>
      <c r="I844" s="778"/>
      <c r="J844" s="778"/>
      <c r="K844" s="778"/>
      <c r="L844" s="782" t="s">
        <v>71</v>
      </c>
      <c r="M844" s="782" t="s">
        <v>71</v>
      </c>
      <c r="N844" s="782"/>
      <c r="O844" s="782"/>
      <c r="P844" s="783"/>
      <c r="Q844" s="784"/>
      <c r="R844" s="783"/>
      <c r="S844" s="785"/>
      <c r="T844" s="785"/>
    </row>
    <row r="845">
      <c r="A845" s="777"/>
      <c r="B845" s="778"/>
      <c r="C845" s="779"/>
      <c r="D845" s="780"/>
      <c r="E845" s="781" t="s">
        <v>71</v>
      </c>
      <c r="F845" s="778"/>
      <c r="G845" s="778"/>
      <c r="H845" s="778"/>
      <c r="I845" s="778"/>
      <c r="J845" s="778"/>
      <c r="K845" s="778"/>
      <c r="L845" s="782" t="s">
        <v>71</v>
      </c>
      <c r="M845" s="782" t="s">
        <v>71</v>
      </c>
      <c r="N845" s="782"/>
      <c r="O845" s="782"/>
      <c r="P845" s="783"/>
      <c r="Q845" s="784"/>
      <c r="R845" s="783"/>
      <c r="S845" s="785"/>
      <c r="T845" s="785"/>
    </row>
    <row r="846">
      <c r="A846" s="777"/>
      <c r="B846" s="778"/>
      <c r="C846" s="779"/>
      <c r="D846" s="780"/>
      <c r="E846" s="781" t="s">
        <v>71</v>
      </c>
      <c r="F846" s="778"/>
      <c r="G846" s="778"/>
      <c r="H846" s="778"/>
      <c r="I846" s="778"/>
      <c r="J846" s="778"/>
      <c r="K846" s="778"/>
      <c r="L846" s="782" t="s">
        <v>71</v>
      </c>
      <c r="M846" s="782" t="s">
        <v>71</v>
      </c>
      <c r="N846" s="782"/>
      <c r="O846" s="782"/>
      <c r="P846" s="783"/>
      <c r="Q846" s="784"/>
      <c r="R846" s="783"/>
      <c r="S846" s="785"/>
      <c r="T846" s="785"/>
    </row>
    <row r="847">
      <c r="A847" s="777"/>
      <c r="B847" s="778"/>
      <c r="C847" s="779"/>
      <c r="D847" s="780"/>
      <c r="E847" s="781" t="s">
        <v>71</v>
      </c>
      <c r="F847" s="778"/>
      <c r="G847" s="778"/>
      <c r="H847" s="778"/>
      <c r="I847" s="778"/>
      <c r="J847" s="778"/>
      <c r="K847" s="778"/>
      <c r="L847" s="782" t="s">
        <v>71</v>
      </c>
      <c r="M847" s="782" t="s">
        <v>71</v>
      </c>
      <c r="N847" s="782"/>
      <c r="O847" s="782"/>
      <c r="P847" s="783"/>
      <c r="Q847" s="784"/>
      <c r="R847" s="783"/>
      <c r="S847" s="785"/>
      <c r="T847" s="785"/>
    </row>
    <row r="848">
      <c r="A848" s="777"/>
      <c r="B848" s="778"/>
      <c r="C848" s="779"/>
      <c r="D848" s="780"/>
      <c r="E848" s="781" t="s">
        <v>71</v>
      </c>
      <c r="F848" s="778"/>
      <c r="G848" s="778"/>
      <c r="H848" s="778"/>
      <c r="I848" s="778"/>
      <c r="J848" s="778"/>
      <c r="K848" s="778"/>
      <c r="L848" s="782" t="s">
        <v>71</v>
      </c>
      <c r="M848" s="782" t="s">
        <v>71</v>
      </c>
      <c r="N848" s="782"/>
      <c r="O848" s="782"/>
      <c r="P848" s="783"/>
      <c r="Q848" s="784"/>
      <c r="R848" s="783"/>
      <c r="S848" s="785"/>
      <c r="T848" s="785"/>
    </row>
    <row r="849">
      <c r="A849" s="777"/>
      <c r="B849" s="778"/>
      <c r="C849" s="779"/>
      <c r="D849" s="780"/>
      <c r="E849" s="781" t="s">
        <v>71</v>
      </c>
      <c r="F849" s="778"/>
      <c r="G849" s="778"/>
      <c r="H849" s="778"/>
      <c r="I849" s="778"/>
      <c r="J849" s="778"/>
      <c r="K849" s="778"/>
      <c r="L849" s="782" t="s">
        <v>71</v>
      </c>
      <c r="M849" s="782" t="s">
        <v>71</v>
      </c>
      <c r="N849" s="782"/>
      <c r="O849" s="782"/>
      <c r="P849" s="783"/>
      <c r="Q849" s="784"/>
      <c r="R849" s="783"/>
      <c r="S849" s="785"/>
      <c r="T849" s="785"/>
    </row>
    <row r="850">
      <c r="A850" s="777"/>
      <c r="B850" s="778"/>
      <c r="C850" s="779"/>
      <c r="D850" s="780"/>
      <c r="E850" s="781" t="s">
        <v>71</v>
      </c>
      <c r="F850" s="778"/>
      <c r="G850" s="778"/>
      <c r="H850" s="778"/>
      <c r="I850" s="778"/>
      <c r="J850" s="778"/>
      <c r="K850" s="778"/>
      <c r="L850" s="782" t="s">
        <v>71</v>
      </c>
      <c r="M850" s="782" t="s">
        <v>71</v>
      </c>
      <c r="N850" s="782"/>
      <c r="O850" s="782"/>
      <c r="P850" s="783"/>
      <c r="Q850" s="784"/>
      <c r="R850" s="783"/>
      <c r="S850" s="785"/>
      <c r="T850" s="785"/>
    </row>
    <row r="851">
      <c r="A851" s="777"/>
      <c r="B851" s="778"/>
      <c r="C851" s="779"/>
      <c r="D851" s="780"/>
      <c r="E851" s="781" t="s">
        <v>71</v>
      </c>
      <c r="F851" s="778"/>
      <c r="G851" s="778"/>
      <c r="H851" s="778"/>
      <c r="I851" s="778"/>
      <c r="J851" s="778"/>
      <c r="K851" s="778"/>
      <c r="L851" s="782" t="s">
        <v>71</v>
      </c>
      <c r="M851" s="782" t="s">
        <v>71</v>
      </c>
      <c r="N851" s="782"/>
      <c r="O851" s="782"/>
      <c r="P851" s="783"/>
      <c r="Q851" s="784"/>
      <c r="R851" s="783"/>
      <c r="S851" s="785"/>
      <c r="T851" s="785"/>
    </row>
    <row r="852">
      <c r="A852" s="777"/>
      <c r="B852" s="778"/>
      <c r="C852" s="779"/>
      <c r="D852" s="780"/>
      <c r="E852" s="781" t="s">
        <v>71</v>
      </c>
      <c r="F852" s="778"/>
      <c r="G852" s="778"/>
      <c r="H852" s="778"/>
      <c r="I852" s="778"/>
      <c r="J852" s="778"/>
      <c r="K852" s="778"/>
      <c r="L852" s="782" t="s">
        <v>71</v>
      </c>
      <c r="M852" s="782" t="s">
        <v>71</v>
      </c>
      <c r="N852" s="782"/>
      <c r="O852" s="782"/>
      <c r="P852" s="783"/>
      <c r="Q852" s="784"/>
      <c r="R852" s="783"/>
      <c r="S852" s="785"/>
      <c r="T852" s="785"/>
    </row>
    <row r="853">
      <c r="A853" s="777"/>
      <c r="B853" s="778"/>
      <c r="C853" s="779"/>
      <c r="D853" s="780"/>
      <c r="E853" s="781" t="s">
        <v>71</v>
      </c>
      <c r="F853" s="778"/>
      <c r="G853" s="778"/>
      <c r="H853" s="778"/>
      <c r="I853" s="778"/>
      <c r="J853" s="778"/>
      <c r="K853" s="778"/>
      <c r="L853" s="782" t="s">
        <v>71</v>
      </c>
      <c r="M853" s="782" t="s">
        <v>71</v>
      </c>
      <c r="N853" s="782"/>
      <c r="O853" s="782"/>
      <c r="P853" s="783"/>
      <c r="Q853" s="784"/>
      <c r="R853" s="783"/>
      <c r="S853" s="785"/>
      <c r="T853" s="785"/>
    </row>
    <row r="854">
      <c r="A854" s="777"/>
      <c r="B854" s="778"/>
      <c r="C854" s="779"/>
      <c r="D854" s="780"/>
      <c r="E854" s="781" t="s">
        <v>71</v>
      </c>
      <c r="F854" s="778"/>
      <c r="G854" s="778"/>
      <c r="H854" s="778"/>
      <c r="I854" s="778"/>
      <c r="J854" s="778"/>
      <c r="K854" s="778"/>
      <c r="L854" s="782" t="s">
        <v>71</v>
      </c>
      <c r="M854" s="782" t="s">
        <v>71</v>
      </c>
      <c r="N854" s="782"/>
      <c r="O854" s="782"/>
      <c r="P854" s="783"/>
      <c r="Q854" s="784"/>
      <c r="R854" s="783"/>
      <c r="S854" s="785"/>
      <c r="T854" s="785"/>
    </row>
    <row r="855">
      <c r="A855" s="777"/>
      <c r="B855" s="778"/>
      <c r="C855" s="779"/>
      <c r="D855" s="780"/>
      <c r="E855" s="781" t="s">
        <v>71</v>
      </c>
      <c r="F855" s="778"/>
      <c r="G855" s="778"/>
      <c r="H855" s="778"/>
      <c r="I855" s="778"/>
      <c r="J855" s="778"/>
      <c r="K855" s="778"/>
      <c r="L855" s="782" t="s">
        <v>71</v>
      </c>
      <c r="M855" s="782" t="s">
        <v>71</v>
      </c>
      <c r="N855" s="782"/>
      <c r="O855" s="782"/>
      <c r="P855" s="783"/>
      <c r="Q855" s="784"/>
      <c r="R855" s="783"/>
      <c r="S855" s="785"/>
      <c r="T855" s="785"/>
    </row>
    <row r="856">
      <c r="A856" s="777"/>
      <c r="B856" s="778"/>
      <c r="C856" s="779"/>
      <c r="D856" s="780"/>
      <c r="E856" s="781" t="s">
        <v>71</v>
      </c>
      <c r="F856" s="778"/>
      <c r="G856" s="778"/>
      <c r="H856" s="778"/>
      <c r="I856" s="778"/>
      <c r="J856" s="778"/>
      <c r="K856" s="778"/>
      <c r="L856" s="782" t="s">
        <v>71</v>
      </c>
      <c r="M856" s="782" t="s">
        <v>71</v>
      </c>
      <c r="N856" s="782"/>
      <c r="O856" s="782"/>
      <c r="P856" s="783"/>
      <c r="Q856" s="784"/>
      <c r="R856" s="783"/>
      <c r="S856" s="785"/>
      <c r="T856" s="785"/>
    </row>
    <row r="857">
      <c r="A857" s="777"/>
      <c r="B857" s="778"/>
      <c r="C857" s="779"/>
      <c r="D857" s="780"/>
      <c r="E857" s="781" t="s">
        <v>71</v>
      </c>
      <c r="F857" s="778"/>
      <c r="G857" s="778"/>
      <c r="H857" s="778"/>
      <c r="I857" s="778"/>
      <c r="J857" s="778"/>
      <c r="K857" s="778"/>
      <c r="L857" s="782" t="s">
        <v>71</v>
      </c>
      <c r="M857" s="782" t="s">
        <v>71</v>
      </c>
      <c r="N857" s="782"/>
      <c r="O857" s="782"/>
      <c r="P857" s="783"/>
      <c r="Q857" s="784"/>
      <c r="R857" s="783"/>
      <c r="S857" s="785"/>
      <c r="T857" s="785"/>
    </row>
    <row r="858">
      <c r="A858" s="777"/>
      <c r="B858" s="778"/>
      <c r="C858" s="779"/>
      <c r="D858" s="780"/>
      <c r="E858" s="781" t="s">
        <v>71</v>
      </c>
      <c r="F858" s="778"/>
      <c r="G858" s="778"/>
      <c r="H858" s="778"/>
      <c r="I858" s="778"/>
      <c r="J858" s="778"/>
      <c r="K858" s="778"/>
      <c r="L858" s="782" t="s">
        <v>71</v>
      </c>
      <c r="M858" s="782" t="s">
        <v>71</v>
      </c>
      <c r="N858" s="782"/>
      <c r="O858" s="782"/>
      <c r="P858" s="783"/>
      <c r="Q858" s="784"/>
      <c r="R858" s="783"/>
      <c r="S858" s="785"/>
      <c r="T858" s="785"/>
    </row>
    <row r="859">
      <c r="A859" s="777"/>
      <c r="B859" s="778"/>
      <c r="C859" s="779"/>
      <c r="D859" s="780"/>
      <c r="E859" s="781" t="s">
        <v>71</v>
      </c>
      <c r="F859" s="778"/>
      <c r="G859" s="778"/>
      <c r="H859" s="778"/>
      <c r="I859" s="778"/>
      <c r="J859" s="778"/>
      <c r="K859" s="778"/>
      <c r="L859" s="782" t="s">
        <v>71</v>
      </c>
      <c r="M859" s="782" t="s">
        <v>71</v>
      </c>
      <c r="N859" s="782"/>
      <c r="O859" s="782"/>
      <c r="P859" s="783"/>
      <c r="Q859" s="784"/>
      <c r="R859" s="783"/>
      <c r="S859" s="785"/>
      <c r="T859" s="785"/>
    </row>
    <row r="860">
      <c r="A860" s="777"/>
      <c r="B860" s="778"/>
      <c r="C860" s="779"/>
      <c r="D860" s="780"/>
      <c r="E860" s="781" t="s">
        <v>71</v>
      </c>
      <c r="F860" s="778"/>
      <c r="G860" s="778"/>
      <c r="H860" s="778"/>
      <c r="I860" s="778"/>
      <c r="J860" s="778"/>
      <c r="K860" s="778"/>
      <c r="L860" s="782" t="s">
        <v>71</v>
      </c>
      <c r="M860" s="782" t="s">
        <v>71</v>
      </c>
      <c r="N860" s="782"/>
      <c r="O860" s="782"/>
      <c r="P860" s="783"/>
      <c r="Q860" s="784"/>
      <c r="R860" s="783"/>
      <c r="S860" s="785"/>
      <c r="T860" s="785"/>
    </row>
    <row r="861">
      <c r="A861" s="777"/>
      <c r="B861" s="778"/>
      <c r="C861" s="779"/>
      <c r="D861" s="780"/>
      <c r="E861" s="781" t="s">
        <v>71</v>
      </c>
      <c r="F861" s="778"/>
      <c r="G861" s="778"/>
      <c r="H861" s="778"/>
      <c r="I861" s="778"/>
      <c r="J861" s="778"/>
      <c r="K861" s="778"/>
      <c r="L861" s="782" t="s">
        <v>71</v>
      </c>
      <c r="M861" s="782" t="s">
        <v>71</v>
      </c>
      <c r="N861" s="782"/>
      <c r="O861" s="782"/>
      <c r="P861" s="783"/>
      <c r="Q861" s="784"/>
      <c r="R861" s="783"/>
      <c r="S861" s="785"/>
      <c r="T861" s="785"/>
    </row>
    <row r="862">
      <c r="A862" s="777"/>
      <c r="B862" s="778"/>
      <c r="C862" s="779"/>
      <c r="D862" s="780"/>
      <c r="E862" s="781" t="s">
        <v>71</v>
      </c>
      <c r="F862" s="778"/>
      <c r="G862" s="778"/>
      <c r="H862" s="778"/>
      <c r="I862" s="778"/>
      <c r="J862" s="778"/>
      <c r="K862" s="778"/>
      <c r="L862" s="782" t="s">
        <v>71</v>
      </c>
      <c r="M862" s="782" t="s">
        <v>71</v>
      </c>
      <c r="N862" s="782"/>
      <c r="O862" s="782"/>
      <c r="P862" s="783"/>
      <c r="Q862" s="784"/>
      <c r="R862" s="783"/>
      <c r="S862" s="785"/>
      <c r="T862" s="785"/>
    </row>
    <row r="863">
      <c r="A863" s="777"/>
      <c r="B863" s="778"/>
      <c r="C863" s="779"/>
      <c r="D863" s="780"/>
      <c r="E863" s="781" t="s">
        <v>71</v>
      </c>
      <c r="F863" s="778"/>
      <c r="G863" s="778"/>
      <c r="H863" s="778"/>
      <c r="I863" s="778"/>
      <c r="J863" s="778"/>
      <c r="K863" s="778"/>
      <c r="L863" s="782" t="s">
        <v>71</v>
      </c>
      <c r="M863" s="782" t="s">
        <v>71</v>
      </c>
      <c r="N863" s="782"/>
      <c r="O863" s="782"/>
      <c r="P863" s="783"/>
      <c r="Q863" s="784"/>
      <c r="R863" s="783"/>
      <c r="S863" s="785"/>
      <c r="T863" s="785"/>
    </row>
    <row r="864">
      <c r="A864" s="777"/>
      <c r="B864" s="778"/>
      <c r="C864" s="779"/>
      <c r="D864" s="780"/>
      <c r="E864" s="781" t="s">
        <v>71</v>
      </c>
      <c r="F864" s="778"/>
      <c r="G864" s="778"/>
      <c r="H864" s="778"/>
      <c r="I864" s="778"/>
      <c r="J864" s="778"/>
      <c r="K864" s="778"/>
      <c r="L864" s="782" t="s">
        <v>71</v>
      </c>
      <c r="M864" s="782" t="s">
        <v>71</v>
      </c>
      <c r="N864" s="782"/>
      <c r="O864" s="782"/>
      <c r="P864" s="783"/>
      <c r="Q864" s="784"/>
      <c r="R864" s="783"/>
      <c r="S864" s="785"/>
      <c r="T864" s="785"/>
    </row>
    <row r="865">
      <c r="A865" s="777"/>
      <c r="B865" s="778"/>
      <c r="C865" s="779"/>
      <c r="D865" s="780"/>
      <c r="E865" s="781" t="s">
        <v>71</v>
      </c>
      <c r="F865" s="778"/>
      <c r="G865" s="778"/>
      <c r="H865" s="778"/>
      <c r="I865" s="778"/>
      <c r="J865" s="778"/>
      <c r="K865" s="778"/>
      <c r="L865" s="782" t="s">
        <v>71</v>
      </c>
      <c r="M865" s="782" t="s">
        <v>71</v>
      </c>
      <c r="N865" s="782"/>
      <c r="O865" s="782"/>
      <c r="P865" s="783"/>
      <c r="Q865" s="784"/>
      <c r="R865" s="783"/>
      <c r="S865" s="785"/>
      <c r="T865" s="785"/>
    </row>
    <row r="866">
      <c r="A866" s="777"/>
      <c r="B866" s="778"/>
      <c r="C866" s="779"/>
      <c r="D866" s="780"/>
      <c r="E866" s="781" t="s">
        <v>71</v>
      </c>
      <c r="F866" s="778"/>
      <c r="G866" s="778"/>
      <c r="H866" s="778"/>
      <c r="I866" s="778"/>
      <c r="J866" s="778"/>
      <c r="K866" s="778"/>
      <c r="L866" s="782" t="s">
        <v>71</v>
      </c>
      <c r="M866" s="782" t="s">
        <v>71</v>
      </c>
      <c r="N866" s="782"/>
      <c r="O866" s="782"/>
      <c r="P866" s="783"/>
      <c r="Q866" s="784"/>
      <c r="R866" s="783"/>
      <c r="S866" s="785"/>
      <c r="T866" s="785"/>
    </row>
    <row r="867">
      <c r="A867" s="777"/>
      <c r="B867" s="778"/>
      <c r="C867" s="779"/>
      <c r="D867" s="780"/>
      <c r="E867" s="781" t="s">
        <v>71</v>
      </c>
      <c r="F867" s="778"/>
      <c r="G867" s="778"/>
      <c r="H867" s="778"/>
      <c r="I867" s="778"/>
      <c r="J867" s="778"/>
      <c r="K867" s="778"/>
      <c r="L867" s="782" t="s">
        <v>71</v>
      </c>
      <c r="M867" s="782" t="s">
        <v>71</v>
      </c>
      <c r="N867" s="782"/>
      <c r="O867" s="782"/>
      <c r="P867" s="783"/>
      <c r="Q867" s="784"/>
      <c r="R867" s="783"/>
      <c r="S867" s="785"/>
      <c r="T867" s="785"/>
    </row>
    <row r="868">
      <c r="A868" s="777"/>
      <c r="B868" s="778"/>
      <c r="C868" s="779"/>
      <c r="D868" s="780"/>
      <c r="E868" s="781" t="s">
        <v>71</v>
      </c>
      <c r="F868" s="778"/>
      <c r="G868" s="778"/>
      <c r="H868" s="778"/>
      <c r="I868" s="778"/>
      <c r="J868" s="778"/>
      <c r="K868" s="778"/>
      <c r="L868" s="782" t="s">
        <v>71</v>
      </c>
      <c r="M868" s="782" t="s">
        <v>71</v>
      </c>
      <c r="N868" s="782"/>
      <c r="O868" s="782"/>
      <c r="P868" s="783"/>
      <c r="Q868" s="784"/>
      <c r="R868" s="783"/>
      <c r="S868" s="785"/>
      <c r="T868" s="785"/>
    </row>
    <row r="869">
      <c r="A869" s="777"/>
      <c r="B869" s="778"/>
      <c r="C869" s="779"/>
      <c r="D869" s="780"/>
      <c r="E869" s="781" t="s">
        <v>71</v>
      </c>
      <c r="F869" s="778"/>
      <c r="G869" s="778"/>
      <c r="H869" s="778"/>
      <c r="I869" s="778"/>
      <c r="J869" s="778"/>
      <c r="K869" s="778"/>
      <c r="L869" s="782" t="s">
        <v>71</v>
      </c>
      <c r="M869" s="782" t="s">
        <v>71</v>
      </c>
      <c r="N869" s="782"/>
      <c r="O869" s="782"/>
      <c r="P869" s="783"/>
      <c r="Q869" s="784"/>
      <c r="R869" s="783"/>
      <c r="S869" s="785"/>
      <c r="T869" s="785"/>
    </row>
    <row r="870">
      <c r="A870" s="777"/>
      <c r="B870" s="778"/>
      <c r="C870" s="779"/>
      <c r="D870" s="780"/>
      <c r="E870" s="781" t="s">
        <v>71</v>
      </c>
      <c r="F870" s="778"/>
      <c r="G870" s="778"/>
      <c r="H870" s="778"/>
      <c r="I870" s="778"/>
      <c r="J870" s="778"/>
      <c r="K870" s="778"/>
      <c r="L870" s="782" t="s">
        <v>71</v>
      </c>
      <c r="M870" s="782" t="s">
        <v>71</v>
      </c>
      <c r="N870" s="782"/>
      <c r="O870" s="782"/>
      <c r="P870" s="783"/>
      <c r="Q870" s="784"/>
      <c r="R870" s="783"/>
      <c r="S870" s="785"/>
      <c r="T870" s="785"/>
    </row>
    <row r="871">
      <c r="A871" s="777"/>
      <c r="B871" s="778"/>
      <c r="C871" s="779"/>
      <c r="D871" s="780"/>
      <c r="E871" s="781" t="s">
        <v>71</v>
      </c>
      <c r="F871" s="778"/>
      <c r="G871" s="778"/>
      <c r="H871" s="778"/>
      <c r="I871" s="778"/>
      <c r="J871" s="778"/>
      <c r="K871" s="778"/>
      <c r="L871" s="782" t="s">
        <v>71</v>
      </c>
      <c r="M871" s="782" t="s">
        <v>71</v>
      </c>
      <c r="N871" s="782"/>
      <c r="O871" s="782"/>
      <c r="P871" s="783"/>
      <c r="Q871" s="784"/>
      <c r="R871" s="783"/>
      <c r="S871" s="785"/>
      <c r="T871" s="785"/>
    </row>
    <row r="872">
      <c r="A872" s="777"/>
      <c r="B872" s="778"/>
      <c r="C872" s="779"/>
      <c r="D872" s="780"/>
      <c r="E872" s="781" t="s">
        <v>71</v>
      </c>
      <c r="F872" s="778"/>
      <c r="G872" s="778"/>
      <c r="H872" s="778"/>
      <c r="I872" s="778"/>
      <c r="J872" s="778"/>
      <c r="K872" s="778"/>
      <c r="L872" s="782" t="s">
        <v>71</v>
      </c>
      <c r="M872" s="782" t="s">
        <v>71</v>
      </c>
      <c r="N872" s="782"/>
      <c r="O872" s="782"/>
      <c r="P872" s="783"/>
      <c r="Q872" s="784"/>
      <c r="R872" s="783"/>
      <c r="S872" s="785"/>
      <c r="T872" s="785"/>
    </row>
    <row r="873">
      <c r="A873" s="777"/>
      <c r="B873" s="778"/>
      <c r="C873" s="779"/>
      <c r="D873" s="780"/>
      <c r="E873" s="781" t="s">
        <v>71</v>
      </c>
      <c r="F873" s="778"/>
      <c r="G873" s="778"/>
      <c r="H873" s="778"/>
      <c r="I873" s="778"/>
      <c r="J873" s="778"/>
      <c r="K873" s="778"/>
      <c r="L873" s="782" t="s">
        <v>71</v>
      </c>
      <c r="M873" s="782" t="s">
        <v>71</v>
      </c>
      <c r="N873" s="782"/>
      <c r="O873" s="782"/>
      <c r="P873" s="783"/>
      <c r="Q873" s="784"/>
      <c r="R873" s="783"/>
      <c r="S873" s="785"/>
      <c r="T873" s="785"/>
    </row>
    <row r="874">
      <c r="A874" s="777"/>
      <c r="B874" s="778"/>
      <c r="C874" s="779"/>
      <c r="D874" s="780"/>
      <c r="E874" s="781" t="s">
        <v>71</v>
      </c>
      <c r="F874" s="778"/>
      <c r="G874" s="778"/>
      <c r="H874" s="778"/>
      <c r="I874" s="778"/>
      <c r="J874" s="778"/>
      <c r="K874" s="778"/>
      <c r="L874" s="782" t="s">
        <v>71</v>
      </c>
      <c r="M874" s="782" t="s">
        <v>71</v>
      </c>
      <c r="N874" s="782"/>
      <c r="O874" s="782"/>
      <c r="P874" s="783"/>
      <c r="Q874" s="784"/>
      <c r="R874" s="783"/>
      <c r="S874" s="785"/>
      <c r="T874" s="785"/>
    </row>
    <row r="875">
      <c r="A875" s="777"/>
      <c r="B875" s="778"/>
      <c r="C875" s="779"/>
      <c r="D875" s="780"/>
      <c r="E875" s="781" t="s">
        <v>71</v>
      </c>
      <c r="F875" s="778"/>
      <c r="G875" s="778"/>
      <c r="H875" s="778"/>
      <c r="I875" s="778"/>
      <c r="J875" s="778"/>
      <c r="K875" s="778"/>
      <c r="L875" s="782" t="s">
        <v>71</v>
      </c>
      <c r="M875" s="782" t="s">
        <v>71</v>
      </c>
      <c r="N875" s="782"/>
      <c r="O875" s="782"/>
      <c r="P875" s="783"/>
      <c r="Q875" s="784"/>
      <c r="R875" s="783"/>
      <c r="S875" s="785"/>
      <c r="T875" s="785"/>
    </row>
    <row r="876">
      <c r="A876" s="777"/>
      <c r="B876" s="778"/>
      <c r="C876" s="779"/>
      <c r="D876" s="780"/>
      <c r="E876" s="781" t="s">
        <v>71</v>
      </c>
      <c r="F876" s="778"/>
      <c r="G876" s="778"/>
      <c r="H876" s="778"/>
      <c r="I876" s="778"/>
      <c r="J876" s="778"/>
      <c r="K876" s="778"/>
      <c r="L876" s="782" t="s">
        <v>71</v>
      </c>
      <c r="M876" s="782" t="s">
        <v>71</v>
      </c>
      <c r="N876" s="782"/>
      <c r="O876" s="782"/>
      <c r="P876" s="783"/>
      <c r="Q876" s="784"/>
      <c r="R876" s="783"/>
      <c r="S876" s="785"/>
      <c r="T876" s="785"/>
    </row>
    <row r="877">
      <c r="A877" s="777"/>
      <c r="B877" s="778"/>
      <c r="C877" s="779"/>
      <c r="D877" s="780"/>
      <c r="E877" s="781" t="s">
        <v>71</v>
      </c>
      <c r="F877" s="778"/>
      <c r="G877" s="778"/>
      <c r="H877" s="778"/>
      <c r="I877" s="778"/>
      <c r="J877" s="778"/>
      <c r="K877" s="778"/>
      <c r="L877" s="782" t="s">
        <v>71</v>
      </c>
      <c r="M877" s="782" t="s">
        <v>71</v>
      </c>
      <c r="N877" s="782"/>
      <c r="O877" s="782"/>
      <c r="P877" s="783"/>
      <c r="Q877" s="784"/>
      <c r="R877" s="783"/>
      <c r="S877" s="785"/>
      <c r="T877" s="785"/>
    </row>
    <row r="878">
      <c r="A878" s="777"/>
      <c r="B878" s="778"/>
      <c r="C878" s="779"/>
      <c r="D878" s="780"/>
      <c r="E878" s="781" t="s">
        <v>71</v>
      </c>
      <c r="F878" s="778"/>
      <c r="G878" s="778"/>
      <c r="H878" s="778"/>
      <c r="I878" s="778"/>
      <c r="J878" s="778"/>
      <c r="K878" s="778"/>
      <c r="L878" s="782" t="s">
        <v>71</v>
      </c>
      <c r="M878" s="782" t="s">
        <v>71</v>
      </c>
      <c r="N878" s="782"/>
      <c r="O878" s="782"/>
      <c r="P878" s="783"/>
      <c r="Q878" s="784"/>
      <c r="R878" s="783"/>
      <c r="S878" s="785"/>
      <c r="T878" s="785"/>
    </row>
    <row r="879">
      <c r="A879" s="777"/>
      <c r="B879" s="778"/>
      <c r="C879" s="779"/>
      <c r="D879" s="780"/>
      <c r="E879" s="781" t="s">
        <v>71</v>
      </c>
      <c r="F879" s="778"/>
      <c r="G879" s="778"/>
      <c r="H879" s="778"/>
      <c r="I879" s="778"/>
      <c r="J879" s="778"/>
      <c r="K879" s="778"/>
      <c r="L879" s="782" t="s">
        <v>71</v>
      </c>
      <c r="M879" s="782" t="s">
        <v>71</v>
      </c>
      <c r="N879" s="782"/>
      <c r="O879" s="782"/>
      <c r="P879" s="783"/>
      <c r="Q879" s="784"/>
      <c r="R879" s="783"/>
      <c r="S879" s="785"/>
      <c r="T879" s="785"/>
    </row>
    <row r="880">
      <c r="A880" s="777"/>
      <c r="B880" s="778"/>
      <c r="C880" s="779"/>
      <c r="D880" s="780"/>
      <c r="E880" s="781" t="s">
        <v>71</v>
      </c>
      <c r="F880" s="778"/>
      <c r="G880" s="778"/>
      <c r="H880" s="778"/>
      <c r="I880" s="778"/>
      <c r="J880" s="778"/>
      <c r="K880" s="778"/>
      <c r="L880" s="782" t="s">
        <v>71</v>
      </c>
      <c r="M880" s="782" t="s">
        <v>71</v>
      </c>
      <c r="N880" s="782"/>
      <c r="O880" s="782"/>
      <c r="P880" s="783"/>
      <c r="Q880" s="784"/>
      <c r="R880" s="783"/>
      <c r="S880" s="785"/>
      <c r="T880" s="785"/>
    </row>
    <row r="881">
      <c r="A881" s="777"/>
      <c r="B881" s="778"/>
      <c r="C881" s="779"/>
      <c r="D881" s="780"/>
      <c r="E881" s="781" t="s">
        <v>71</v>
      </c>
      <c r="F881" s="778"/>
      <c r="G881" s="778"/>
      <c r="H881" s="778"/>
      <c r="I881" s="778"/>
      <c r="J881" s="778"/>
      <c r="K881" s="778"/>
      <c r="L881" s="782" t="s">
        <v>71</v>
      </c>
      <c r="M881" s="782" t="s">
        <v>71</v>
      </c>
      <c r="N881" s="782"/>
      <c r="O881" s="782"/>
      <c r="P881" s="783"/>
      <c r="Q881" s="784"/>
      <c r="R881" s="783"/>
      <c r="S881" s="785"/>
      <c r="T881" s="785"/>
    </row>
    <row r="882">
      <c r="A882" s="777"/>
      <c r="B882" s="778"/>
      <c r="C882" s="779"/>
      <c r="D882" s="780"/>
      <c r="E882" s="781" t="s">
        <v>71</v>
      </c>
      <c r="F882" s="778"/>
      <c r="G882" s="778"/>
      <c r="H882" s="778"/>
      <c r="I882" s="778"/>
      <c r="J882" s="778"/>
      <c r="K882" s="778"/>
      <c r="L882" s="782" t="s">
        <v>71</v>
      </c>
      <c r="M882" s="782" t="s">
        <v>71</v>
      </c>
      <c r="N882" s="782"/>
      <c r="O882" s="782"/>
      <c r="P882" s="783"/>
      <c r="Q882" s="784"/>
      <c r="R882" s="783"/>
      <c r="S882" s="785"/>
      <c r="T882" s="785"/>
    </row>
    <row r="883">
      <c r="A883" s="777"/>
      <c r="B883" s="778"/>
      <c r="C883" s="779"/>
      <c r="D883" s="780"/>
      <c r="E883" s="781" t="s">
        <v>71</v>
      </c>
      <c r="F883" s="778"/>
      <c r="G883" s="778"/>
      <c r="H883" s="778"/>
      <c r="I883" s="778"/>
      <c r="J883" s="778"/>
      <c r="K883" s="778"/>
      <c r="L883" s="782" t="s">
        <v>71</v>
      </c>
      <c r="M883" s="782" t="s">
        <v>71</v>
      </c>
      <c r="N883" s="782"/>
      <c r="O883" s="782"/>
      <c r="P883" s="783"/>
      <c r="Q883" s="784"/>
      <c r="R883" s="783"/>
      <c r="S883" s="785"/>
      <c r="T883" s="785"/>
    </row>
    <row r="884">
      <c r="A884" s="777"/>
      <c r="B884" s="778"/>
      <c r="C884" s="779"/>
      <c r="D884" s="780"/>
      <c r="E884" s="781" t="s">
        <v>71</v>
      </c>
      <c r="F884" s="778"/>
      <c r="G884" s="778"/>
      <c r="H884" s="778"/>
      <c r="I884" s="778"/>
      <c r="J884" s="778"/>
      <c r="K884" s="778"/>
      <c r="L884" s="782" t="s">
        <v>71</v>
      </c>
      <c r="M884" s="782" t="s">
        <v>71</v>
      </c>
      <c r="N884" s="782"/>
      <c r="O884" s="782"/>
      <c r="P884" s="783"/>
      <c r="Q884" s="784"/>
      <c r="R884" s="783"/>
      <c r="S884" s="785"/>
      <c r="T884" s="785"/>
    </row>
    <row r="885">
      <c r="A885" s="777"/>
      <c r="B885" s="778"/>
      <c r="C885" s="779"/>
      <c r="D885" s="780"/>
      <c r="E885" s="781" t="s">
        <v>71</v>
      </c>
      <c r="F885" s="778"/>
      <c r="G885" s="778"/>
      <c r="H885" s="778"/>
      <c r="I885" s="778"/>
      <c r="J885" s="778"/>
      <c r="K885" s="778"/>
      <c r="L885" s="782" t="s">
        <v>71</v>
      </c>
      <c r="M885" s="782" t="s">
        <v>71</v>
      </c>
      <c r="N885" s="782"/>
      <c r="O885" s="782"/>
      <c r="P885" s="783"/>
      <c r="Q885" s="784"/>
      <c r="R885" s="783"/>
      <c r="S885" s="785"/>
      <c r="T885" s="785"/>
    </row>
    <row r="886">
      <c r="A886" s="777"/>
      <c r="B886" s="778"/>
      <c r="C886" s="779"/>
      <c r="D886" s="780"/>
      <c r="E886" s="781" t="s">
        <v>71</v>
      </c>
      <c r="F886" s="778"/>
      <c r="G886" s="778"/>
      <c r="H886" s="778"/>
      <c r="I886" s="778"/>
      <c r="J886" s="778"/>
      <c r="K886" s="778"/>
      <c r="L886" s="782" t="s">
        <v>71</v>
      </c>
      <c r="M886" s="782" t="s">
        <v>71</v>
      </c>
      <c r="N886" s="782"/>
      <c r="O886" s="782"/>
      <c r="P886" s="783"/>
      <c r="Q886" s="784"/>
      <c r="R886" s="783"/>
      <c r="S886" s="785"/>
      <c r="T886" s="785"/>
    </row>
    <row r="887">
      <c r="A887" s="777"/>
      <c r="B887" s="778"/>
      <c r="C887" s="779"/>
      <c r="D887" s="780"/>
      <c r="E887" s="781" t="s">
        <v>71</v>
      </c>
      <c r="F887" s="778"/>
      <c r="G887" s="778"/>
      <c r="H887" s="778"/>
      <c r="I887" s="778"/>
      <c r="J887" s="778"/>
      <c r="K887" s="778"/>
      <c r="L887" s="782" t="s">
        <v>71</v>
      </c>
      <c r="M887" s="782" t="s">
        <v>71</v>
      </c>
      <c r="N887" s="782"/>
      <c r="O887" s="782"/>
      <c r="P887" s="783"/>
      <c r="Q887" s="784"/>
      <c r="R887" s="783"/>
      <c r="S887" s="785"/>
      <c r="T887" s="785"/>
    </row>
    <row r="888">
      <c r="A888" s="777"/>
      <c r="B888" s="778"/>
      <c r="C888" s="779"/>
      <c r="D888" s="780"/>
      <c r="E888" s="781" t="s">
        <v>71</v>
      </c>
      <c r="F888" s="778"/>
      <c r="G888" s="778"/>
      <c r="H888" s="778"/>
      <c r="I888" s="778"/>
      <c r="J888" s="778"/>
      <c r="K888" s="778"/>
      <c r="L888" s="782" t="s">
        <v>71</v>
      </c>
      <c r="M888" s="782" t="s">
        <v>71</v>
      </c>
      <c r="N888" s="782"/>
      <c r="O888" s="782"/>
      <c r="P888" s="783"/>
      <c r="Q888" s="784"/>
      <c r="R888" s="783"/>
      <c r="S888" s="785"/>
      <c r="T888" s="785"/>
    </row>
    <row r="889">
      <c r="A889" s="777"/>
      <c r="B889" s="778"/>
      <c r="C889" s="779"/>
      <c r="D889" s="780"/>
      <c r="E889" s="781" t="s">
        <v>71</v>
      </c>
      <c r="F889" s="778"/>
      <c r="G889" s="778"/>
      <c r="H889" s="778"/>
      <c r="I889" s="778"/>
      <c r="J889" s="778"/>
      <c r="K889" s="778"/>
      <c r="L889" s="782" t="s">
        <v>71</v>
      </c>
      <c r="M889" s="782" t="s">
        <v>71</v>
      </c>
      <c r="N889" s="782"/>
      <c r="O889" s="782"/>
      <c r="P889" s="783"/>
      <c r="Q889" s="784"/>
      <c r="R889" s="783"/>
      <c r="S889" s="785"/>
      <c r="T889" s="785"/>
    </row>
    <row r="890">
      <c r="A890" s="777"/>
      <c r="B890" s="778"/>
      <c r="C890" s="779"/>
      <c r="D890" s="780"/>
      <c r="E890" s="781" t="s">
        <v>71</v>
      </c>
      <c r="F890" s="778"/>
      <c r="G890" s="778"/>
      <c r="H890" s="778"/>
      <c r="I890" s="778"/>
      <c r="J890" s="778"/>
      <c r="K890" s="778"/>
      <c r="L890" s="782" t="s">
        <v>71</v>
      </c>
      <c r="M890" s="782" t="s">
        <v>71</v>
      </c>
      <c r="N890" s="782"/>
      <c r="O890" s="782"/>
      <c r="P890" s="783"/>
      <c r="Q890" s="784"/>
      <c r="R890" s="783"/>
      <c r="S890" s="785"/>
      <c r="T890" s="785"/>
    </row>
    <row r="891">
      <c r="A891" s="777"/>
      <c r="B891" s="778"/>
      <c r="C891" s="779"/>
      <c r="D891" s="780"/>
      <c r="E891" s="781" t="s">
        <v>71</v>
      </c>
      <c r="F891" s="778"/>
      <c r="G891" s="778"/>
      <c r="H891" s="778"/>
      <c r="I891" s="778"/>
      <c r="J891" s="778"/>
      <c r="K891" s="778"/>
      <c r="L891" s="782" t="s">
        <v>71</v>
      </c>
      <c r="M891" s="782" t="s">
        <v>71</v>
      </c>
      <c r="N891" s="782"/>
      <c r="O891" s="782"/>
      <c r="P891" s="783"/>
      <c r="Q891" s="784"/>
      <c r="R891" s="783"/>
      <c r="S891" s="785"/>
      <c r="T891" s="785"/>
    </row>
    <row r="892">
      <c r="A892" s="777"/>
      <c r="B892" s="778"/>
      <c r="C892" s="779"/>
      <c r="D892" s="780"/>
      <c r="E892" s="781" t="s">
        <v>71</v>
      </c>
      <c r="F892" s="778"/>
      <c r="G892" s="778"/>
      <c r="H892" s="778"/>
      <c r="I892" s="778"/>
      <c r="J892" s="778"/>
      <c r="K892" s="778"/>
      <c r="L892" s="782" t="s">
        <v>71</v>
      </c>
      <c r="M892" s="782" t="s">
        <v>71</v>
      </c>
      <c r="N892" s="782"/>
      <c r="O892" s="782"/>
      <c r="P892" s="783"/>
      <c r="Q892" s="784"/>
      <c r="R892" s="783"/>
      <c r="S892" s="785"/>
      <c r="T892" s="785"/>
    </row>
    <row r="893">
      <c r="A893" s="777"/>
      <c r="B893" s="778"/>
      <c r="C893" s="779"/>
      <c r="D893" s="780"/>
      <c r="E893" s="781" t="s">
        <v>71</v>
      </c>
      <c r="F893" s="778"/>
      <c r="G893" s="778"/>
      <c r="H893" s="778"/>
      <c r="I893" s="778"/>
      <c r="J893" s="778"/>
      <c r="K893" s="778"/>
      <c r="L893" s="782" t="s">
        <v>71</v>
      </c>
      <c r="M893" s="782" t="s">
        <v>71</v>
      </c>
      <c r="N893" s="782"/>
      <c r="O893" s="782"/>
      <c r="P893" s="783"/>
      <c r="Q893" s="784"/>
      <c r="R893" s="783"/>
      <c r="S893" s="785"/>
      <c r="T893" s="785"/>
    </row>
    <row r="894">
      <c r="A894" s="777"/>
      <c r="B894" s="778"/>
      <c r="C894" s="779"/>
      <c r="D894" s="780"/>
      <c r="E894" s="781" t="s">
        <v>71</v>
      </c>
      <c r="F894" s="778"/>
      <c r="G894" s="778"/>
      <c r="H894" s="778"/>
      <c r="I894" s="778"/>
      <c r="J894" s="778"/>
      <c r="K894" s="778"/>
      <c r="L894" s="782" t="s">
        <v>71</v>
      </c>
      <c r="M894" s="782" t="s">
        <v>71</v>
      </c>
      <c r="N894" s="782"/>
      <c r="O894" s="782"/>
      <c r="P894" s="783"/>
      <c r="Q894" s="784"/>
      <c r="R894" s="783"/>
      <c r="S894" s="785"/>
      <c r="T894" s="785"/>
    </row>
    <row r="895">
      <c r="A895" s="777"/>
      <c r="B895" s="778"/>
      <c r="C895" s="779"/>
      <c r="D895" s="780"/>
      <c r="E895" s="781" t="s">
        <v>71</v>
      </c>
      <c r="F895" s="778"/>
      <c r="G895" s="778"/>
      <c r="H895" s="778"/>
      <c r="I895" s="778"/>
      <c r="J895" s="778"/>
      <c r="K895" s="778"/>
      <c r="L895" s="782" t="s">
        <v>71</v>
      </c>
      <c r="M895" s="782" t="s">
        <v>71</v>
      </c>
      <c r="N895" s="782"/>
      <c r="O895" s="782"/>
      <c r="P895" s="783"/>
      <c r="Q895" s="784"/>
      <c r="R895" s="783"/>
      <c r="S895" s="785"/>
      <c r="T895" s="785"/>
    </row>
    <row r="896">
      <c r="A896" s="777"/>
      <c r="B896" s="778"/>
      <c r="C896" s="779"/>
      <c r="D896" s="780"/>
      <c r="E896" s="781" t="s">
        <v>71</v>
      </c>
      <c r="F896" s="778"/>
      <c r="G896" s="778"/>
      <c r="H896" s="778"/>
      <c r="I896" s="778"/>
      <c r="J896" s="778"/>
      <c r="K896" s="778"/>
      <c r="L896" s="782" t="s">
        <v>71</v>
      </c>
      <c r="M896" s="782" t="s">
        <v>71</v>
      </c>
      <c r="N896" s="782"/>
      <c r="O896" s="782"/>
      <c r="P896" s="783"/>
      <c r="Q896" s="784"/>
      <c r="R896" s="783"/>
      <c r="S896" s="785"/>
      <c r="T896" s="785"/>
    </row>
    <row r="897">
      <c r="A897" s="777"/>
      <c r="B897" s="778"/>
      <c r="C897" s="779"/>
      <c r="D897" s="780"/>
      <c r="E897" s="781" t="s">
        <v>71</v>
      </c>
      <c r="F897" s="778"/>
      <c r="G897" s="778"/>
      <c r="H897" s="778"/>
      <c r="I897" s="778"/>
      <c r="J897" s="778"/>
      <c r="K897" s="778"/>
      <c r="L897" s="782" t="s">
        <v>71</v>
      </c>
      <c r="M897" s="782" t="s">
        <v>71</v>
      </c>
      <c r="N897" s="782"/>
      <c r="O897" s="782"/>
      <c r="P897" s="783"/>
      <c r="Q897" s="784"/>
      <c r="R897" s="783"/>
      <c r="S897" s="785"/>
      <c r="T897" s="785"/>
    </row>
    <row r="898">
      <c r="A898" s="777"/>
      <c r="B898" s="778"/>
      <c r="C898" s="779"/>
      <c r="D898" s="780"/>
      <c r="E898" s="781" t="s">
        <v>71</v>
      </c>
      <c r="F898" s="778"/>
      <c r="G898" s="778"/>
      <c r="H898" s="778"/>
      <c r="I898" s="778"/>
      <c r="J898" s="778"/>
      <c r="K898" s="778"/>
      <c r="L898" s="782" t="s">
        <v>71</v>
      </c>
      <c r="M898" s="782" t="s">
        <v>71</v>
      </c>
      <c r="N898" s="782"/>
      <c r="O898" s="782"/>
      <c r="P898" s="783"/>
      <c r="Q898" s="784"/>
      <c r="R898" s="783"/>
      <c r="S898" s="785"/>
      <c r="T898" s="785"/>
    </row>
    <row r="899">
      <c r="A899" s="777"/>
      <c r="B899" s="778"/>
      <c r="C899" s="779"/>
      <c r="D899" s="780"/>
      <c r="E899" s="781" t="s">
        <v>71</v>
      </c>
      <c r="F899" s="778"/>
      <c r="G899" s="778"/>
      <c r="H899" s="778"/>
      <c r="I899" s="778"/>
      <c r="J899" s="778"/>
      <c r="K899" s="778"/>
      <c r="L899" s="782" t="s">
        <v>71</v>
      </c>
      <c r="M899" s="782" t="s">
        <v>71</v>
      </c>
      <c r="N899" s="782"/>
      <c r="O899" s="782"/>
      <c r="P899" s="783"/>
      <c r="Q899" s="784"/>
      <c r="R899" s="783"/>
      <c r="S899" s="785"/>
      <c r="T899" s="785"/>
    </row>
    <row r="900">
      <c r="A900" s="777"/>
      <c r="B900" s="778"/>
      <c r="C900" s="779"/>
      <c r="D900" s="780"/>
      <c r="E900" s="781" t="s">
        <v>71</v>
      </c>
      <c r="F900" s="778"/>
      <c r="G900" s="778"/>
      <c r="H900" s="778"/>
      <c r="I900" s="778"/>
      <c r="J900" s="778"/>
      <c r="K900" s="778"/>
      <c r="L900" s="782" t="s">
        <v>71</v>
      </c>
      <c r="M900" s="782" t="s">
        <v>71</v>
      </c>
      <c r="N900" s="782"/>
      <c r="O900" s="782"/>
      <c r="P900" s="783"/>
      <c r="Q900" s="784"/>
      <c r="R900" s="783"/>
      <c r="S900" s="785"/>
      <c r="T900" s="785"/>
    </row>
    <row r="901">
      <c r="A901" s="777"/>
      <c r="B901" s="778"/>
      <c r="C901" s="779"/>
      <c r="D901" s="780"/>
      <c r="E901" s="781" t="s">
        <v>71</v>
      </c>
      <c r="F901" s="778"/>
      <c r="G901" s="778"/>
      <c r="H901" s="778"/>
      <c r="I901" s="778"/>
      <c r="J901" s="778"/>
      <c r="K901" s="778"/>
      <c r="L901" s="782" t="s">
        <v>71</v>
      </c>
      <c r="M901" s="782" t="s">
        <v>71</v>
      </c>
      <c r="N901" s="782"/>
      <c r="O901" s="782"/>
      <c r="P901" s="783"/>
      <c r="Q901" s="784"/>
      <c r="R901" s="783"/>
      <c r="S901" s="785"/>
      <c r="T901" s="785"/>
    </row>
    <row r="902">
      <c r="A902" s="777"/>
      <c r="B902" s="778"/>
      <c r="C902" s="779"/>
      <c r="D902" s="780"/>
      <c r="E902" s="781" t="s">
        <v>71</v>
      </c>
      <c r="F902" s="778"/>
      <c r="G902" s="778"/>
      <c r="H902" s="778"/>
      <c r="I902" s="778"/>
      <c r="J902" s="778"/>
      <c r="K902" s="778"/>
      <c r="L902" s="782" t="s">
        <v>71</v>
      </c>
      <c r="M902" s="782" t="s">
        <v>71</v>
      </c>
      <c r="N902" s="782"/>
      <c r="O902" s="782"/>
      <c r="P902" s="783"/>
      <c r="Q902" s="784"/>
      <c r="R902" s="783"/>
      <c r="S902" s="785"/>
      <c r="T902" s="785"/>
    </row>
    <row r="903">
      <c r="A903" s="777"/>
      <c r="B903" s="778"/>
      <c r="C903" s="779"/>
      <c r="D903" s="780"/>
      <c r="E903" s="781" t="s">
        <v>71</v>
      </c>
      <c r="F903" s="778"/>
      <c r="G903" s="778"/>
      <c r="H903" s="778"/>
      <c r="I903" s="778"/>
      <c r="J903" s="778"/>
      <c r="K903" s="778"/>
      <c r="L903" s="782" t="s">
        <v>71</v>
      </c>
      <c r="M903" s="782" t="s">
        <v>71</v>
      </c>
      <c r="N903" s="782"/>
      <c r="O903" s="782"/>
      <c r="P903" s="783"/>
      <c r="Q903" s="784"/>
      <c r="R903" s="783"/>
      <c r="S903" s="785"/>
      <c r="T903" s="785"/>
    </row>
    <row r="904">
      <c r="A904" s="777"/>
      <c r="B904" s="778"/>
      <c r="C904" s="779"/>
      <c r="D904" s="780"/>
      <c r="E904" s="781" t="s">
        <v>71</v>
      </c>
      <c r="F904" s="778"/>
      <c r="G904" s="778"/>
      <c r="H904" s="778"/>
      <c r="I904" s="778"/>
      <c r="J904" s="778"/>
      <c r="K904" s="778"/>
      <c r="L904" s="782" t="s">
        <v>71</v>
      </c>
      <c r="M904" s="782" t="s">
        <v>71</v>
      </c>
      <c r="N904" s="782"/>
      <c r="O904" s="782"/>
      <c r="P904" s="783"/>
      <c r="Q904" s="784"/>
      <c r="R904" s="783"/>
      <c r="S904" s="785"/>
      <c r="T904" s="785"/>
    </row>
    <row r="905">
      <c r="A905" s="777"/>
      <c r="B905" s="778"/>
      <c r="C905" s="779"/>
      <c r="D905" s="780"/>
      <c r="E905" s="781" t="s">
        <v>71</v>
      </c>
      <c r="F905" s="778"/>
      <c r="G905" s="778"/>
      <c r="H905" s="778"/>
      <c r="I905" s="778"/>
      <c r="J905" s="778"/>
      <c r="K905" s="778"/>
      <c r="L905" s="782" t="s">
        <v>71</v>
      </c>
      <c r="M905" s="782" t="s">
        <v>71</v>
      </c>
      <c r="N905" s="782"/>
      <c r="O905" s="782"/>
      <c r="P905" s="783"/>
      <c r="Q905" s="784"/>
      <c r="R905" s="783"/>
      <c r="S905" s="785"/>
      <c r="T905" s="785"/>
    </row>
    <row r="906">
      <c r="A906" s="777"/>
      <c r="B906" s="778"/>
      <c r="C906" s="779"/>
      <c r="D906" s="780"/>
      <c r="E906" s="781" t="s">
        <v>71</v>
      </c>
      <c r="F906" s="778"/>
      <c r="G906" s="778"/>
      <c r="H906" s="778"/>
      <c r="I906" s="778"/>
      <c r="J906" s="778"/>
      <c r="K906" s="778"/>
      <c r="L906" s="782" t="s">
        <v>71</v>
      </c>
      <c r="M906" s="782" t="s">
        <v>71</v>
      </c>
      <c r="N906" s="782"/>
      <c r="O906" s="782"/>
      <c r="P906" s="783"/>
      <c r="Q906" s="784"/>
      <c r="R906" s="783"/>
      <c r="S906" s="785"/>
      <c r="T906" s="785"/>
    </row>
    <row r="907">
      <c r="A907" s="777"/>
      <c r="B907" s="778"/>
      <c r="C907" s="779"/>
      <c r="D907" s="780"/>
      <c r="E907" s="781" t="s">
        <v>71</v>
      </c>
      <c r="F907" s="778"/>
      <c r="G907" s="778"/>
      <c r="H907" s="778"/>
      <c r="I907" s="778"/>
      <c r="J907" s="778"/>
      <c r="K907" s="778"/>
      <c r="L907" s="782" t="s">
        <v>71</v>
      </c>
      <c r="M907" s="782" t="s">
        <v>71</v>
      </c>
      <c r="N907" s="782"/>
      <c r="O907" s="782"/>
      <c r="P907" s="783"/>
      <c r="Q907" s="784"/>
      <c r="R907" s="783"/>
      <c r="S907" s="785"/>
      <c r="T907" s="785"/>
    </row>
    <row r="908">
      <c r="A908" s="777"/>
      <c r="B908" s="778"/>
      <c r="C908" s="779"/>
      <c r="D908" s="780"/>
      <c r="E908" s="781" t="s">
        <v>71</v>
      </c>
      <c r="F908" s="778"/>
      <c r="G908" s="778"/>
      <c r="H908" s="778"/>
      <c r="I908" s="778"/>
      <c r="J908" s="778"/>
      <c r="K908" s="778"/>
      <c r="L908" s="782" t="s">
        <v>71</v>
      </c>
      <c r="M908" s="782" t="s">
        <v>71</v>
      </c>
      <c r="N908" s="782"/>
      <c r="O908" s="782"/>
      <c r="P908" s="783"/>
      <c r="Q908" s="784"/>
      <c r="R908" s="783"/>
      <c r="S908" s="785"/>
      <c r="T908" s="785"/>
    </row>
    <row r="909">
      <c r="A909" s="777"/>
      <c r="B909" s="778"/>
      <c r="C909" s="779"/>
      <c r="D909" s="780"/>
      <c r="E909" s="781" t="s">
        <v>71</v>
      </c>
      <c r="F909" s="778"/>
      <c r="G909" s="778"/>
      <c r="H909" s="778"/>
      <c r="I909" s="778"/>
      <c r="J909" s="778"/>
      <c r="K909" s="778"/>
      <c r="L909" s="782" t="s">
        <v>71</v>
      </c>
      <c r="M909" s="782" t="s">
        <v>71</v>
      </c>
      <c r="N909" s="782"/>
      <c r="O909" s="782"/>
      <c r="P909" s="783"/>
      <c r="Q909" s="784"/>
      <c r="R909" s="783"/>
      <c r="S909" s="785"/>
      <c r="T909" s="785"/>
    </row>
    <row r="910">
      <c r="A910" s="777"/>
      <c r="B910" s="778"/>
      <c r="C910" s="779"/>
      <c r="D910" s="780"/>
      <c r="E910" s="781" t="s">
        <v>71</v>
      </c>
      <c r="F910" s="778"/>
      <c r="G910" s="778"/>
      <c r="H910" s="778"/>
      <c r="I910" s="778"/>
      <c r="J910" s="778"/>
      <c r="K910" s="778"/>
      <c r="L910" s="782" t="s">
        <v>71</v>
      </c>
      <c r="M910" s="782" t="s">
        <v>71</v>
      </c>
      <c r="N910" s="782"/>
      <c r="O910" s="782"/>
      <c r="P910" s="783"/>
      <c r="Q910" s="784"/>
      <c r="R910" s="783"/>
      <c r="S910" s="785"/>
      <c r="T910" s="785"/>
    </row>
    <row r="911">
      <c r="A911" s="777"/>
      <c r="B911" s="778"/>
      <c r="C911" s="779"/>
      <c r="D911" s="780"/>
      <c r="E911" s="781" t="s">
        <v>71</v>
      </c>
      <c r="F911" s="778"/>
      <c r="G911" s="778"/>
      <c r="H911" s="778"/>
      <c r="I911" s="778"/>
      <c r="J911" s="778"/>
      <c r="K911" s="778"/>
      <c r="L911" s="782" t="s">
        <v>71</v>
      </c>
      <c r="M911" s="782" t="s">
        <v>71</v>
      </c>
      <c r="N911" s="782"/>
      <c r="O911" s="782"/>
      <c r="P911" s="783"/>
      <c r="Q911" s="784"/>
      <c r="R911" s="783"/>
      <c r="S911" s="785"/>
      <c r="T911" s="785"/>
    </row>
    <row r="912">
      <c r="A912" s="777"/>
      <c r="B912" s="778"/>
      <c r="C912" s="779"/>
      <c r="D912" s="780"/>
      <c r="E912" s="781" t="s">
        <v>71</v>
      </c>
      <c r="F912" s="778"/>
      <c r="G912" s="778"/>
      <c r="H912" s="778"/>
      <c r="I912" s="778"/>
      <c r="J912" s="778"/>
      <c r="K912" s="778"/>
      <c r="L912" s="782" t="s">
        <v>71</v>
      </c>
      <c r="M912" s="782" t="s">
        <v>71</v>
      </c>
      <c r="N912" s="782"/>
      <c r="O912" s="782"/>
      <c r="P912" s="783"/>
      <c r="Q912" s="784"/>
      <c r="R912" s="783"/>
      <c r="S912" s="785"/>
      <c r="T912" s="785"/>
    </row>
    <row r="913">
      <c r="A913" s="777"/>
      <c r="B913" s="778"/>
      <c r="C913" s="779"/>
      <c r="D913" s="780"/>
      <c r="E913" s="781" t="s">
        <v>71</v>
      </c>
      <c r="F913" s="778"/>
      <c r="G913" s="778"/>
      <c r="H913" s="778"/>
      <c r="I913" s="778"/>
      <c r="J913" s="778"/>
      <c r="K913" s="778"/>
      <c r="L913" s="782" t="s">
        <v>71</v>
      </c>
      <c r="M913" s="782" t="s">
        <v>71</v>
      </c>
      <c r="N913" s="782"/>
      <c r="O913" s="782"/>
      <c r="P913" s="783"/>
      <c r="Q913" s="784"/>
      <c r="R913" s="783"/>
      <c r="S913" s="785"/>
      <c r="T913" s="785"/>
    </row>
    <row r="914">
      <c r="A914" s="777"/>
      <c r="B914" s="778"/>
      <c r="C914" s="779"/>
      <c r="D914" s="780"/>
      <c r="E914" s="781" t="s">
        <v>71</v>
      </c>
      <c r="F914" s="778"/>
      <c r="G914" s="778"/>
      <c r="H914" s="778"/>
      <c r="I914" s="778"/>
      <c r="J914" s="778"/>
      <c r="K914" s="778"/>
      <c r="L914" s="782" t="s">
        <v>71</v>
      </c>
      <c r="M914" s="782" t="s">
        <v>71</v>
      </c>
      <c r="N914" s="782"/>
      <c r="O914" s="782"/>
      <c r="P914" s="783"/>
      <c r="Q914" s="784"/>
      <c r="R914" s="783"/>
      <c r="S914" s="785"/>
      <c r="T914" s="785"/>
    </row>
    <row r="915">
      <c r="A915" s="777"/>
      <c r="B915" s="778"/>
      <c r="C915" s="779"/>
      <c r="D915" s="780"/>
      <c r="E915" s="781" t="s">
        <v>71</v>
      </c>
      <c r="F915" s="778"/>
      <c r="G915" s="778"/>
      <c r="H915" s="778"/>
      <c r="I915" s="778"/>
      <c r="J915" s="778"/>
      <c r="K915" s="778"/>
      <c r="L915" s="782" t="s">
        <v>71</v>
      </c>
      <c r="M915" s="782" t="s">
        <v>71</v>
      </c>
      <c r="N915" s="782"/>
      <c r="O915" s="782"/>
      <c r="P915" s="783"/>
      <c r="Q915" s="784"/>
      <c r="R915" s="783"/>
      <c r="S915" s="785"/>
      <c r="T915" s="785"/>
    </row>
    <row r="916">
      <c r="A916" s="777"/>
      <c r="B916" s="778"/>
      <c r="C916" s="779"/>
      <c r="D916" s="780"/>
      <c r="E916" s="781" t="s">
        <v>71</v>
      </c>
      <c r="F916" s="778"/>
      <c r="G916" s="778"/>
      <c r="H916" s="778"/>
      <c r="I916" s="778"/>
      <c r="J916" s="778"/>
      <c r="K916" s="778"/>
      <c r="L916" s="782" t="s">
        <v>71</v>
      </c>
      <c r="M916" s="782" t="s">
        <v>71</v>
      </c>
      <c r="N916" s="782"/>
      <c r="O916" s="782"/>
      <c r="P916" s="783"/>
      <c r="Q916" s="784"/>
      <c r="R916" s="783"/>
      <c r="S916" s="785"/>
      <c r="T916" s="785"/>
    </row>
    <row r="917">
      <c r="A917" s="777"/>
      <c r="B917" s="778"/>
      <c r="C917" s="779"/>
      <c r="D917" s="780"/>
      <c r="E917" s="781" t="s">
        <v>71</v>
      </c>
      <c r="F917" s="778"/>
      <c r="G917" s="778"/>
      <c r="H917" s="778"/>
      <c r="I917" s="778"/>
      <c r="J917" s="778"/>
      <c r="K917" s="778"/>
      <c r="L917" s="782" t="s">
        <v>71</v>
      </c>
      <c r="M917" s="782" t="s">
        <v>71</v>
      </c>
      <c r="N917" s="782"/>
      <c r="O917" s="782"/>
      <c r="P917" s="783"/>
      <c r="Q917" s="784"/>
      <c r="R917" s="783"/>
      <c r="S917" s="785"/>
      <c r="T917" s="785"/>
    </row>
    <row r="918">
      <c r="A918" s="777"/>
      <c r="B918" s="778"/>
      <c r="C918" s="779"/>
      <c r="D918" s="780"/>
      <c r="E918" s="781" t="s">
        <v>71</v>
      </c>
      <c r="F918" s="778"/>
      <c r="G918" s="778"/>
      <c r="H918" s="778"/>
      <c r="I918" s="778"/>
      <c r="J918" s="778"/>
      <c r="K918" s="778"/>
      <c r="L918" s="782" t="s">
        <v>71</v>
      </c>
      <c r="M918" s="782" t="s">
        <v>71</v>
      </c>
      <c r="N918" s="782"/>
      <c r="O918" s="782"/>
      <c r="P918" s="783"/>
      <c r="Q918" s="784"/>
      <c r="R918" s="783"/>
      <c r="S918" s="785"/>
      <c r="T918" s="785"/>
    </row>
    <row r="919">
      <c r="A919" s="777"/>
      <c r="B919" s="778"/>
      <c r="C919" s="779"/>
      <c r="D919" s="780"/>
      <c r="E919" s="781" t="s">
        <v>71</v>
      </c>
      <c r="F919" s="778"/>
      <c r="G919" s="778"/>
      <c r="H919" s="778"/>
      <c r="I919" s="778"/>
      <c r="J919" s="778"/>
      <c r="K919" s="778"/>
      <c r="L919" s="782" t="s">
        <v>71</v>
      </c>
      <c r="M919" s="782" t="s">
        <v>71</v>
      </c>
      <c r="N919" s="782"/>
      <c r="O919" s="782"/>
      <c r="P919" s="783"/>
      <c r="Q919" s="784"/>
      <c r="R919" s="783"/>
      <c r="S919" s="785"/>
      <c r="T919" s="785"/>
    </row>
    <row r="920">
      <c r="A920" s="777"/>
      <c r="B920" s="778"/>
      <c r="C920" s="779"/>
      <c r="D920" s="780"/>
      <c r="E920" s="781" t="s">
        <v>71</v>
      </c>
      <c r="F920" s="778"/>
      <c r="G920" s="778"/>
      <c r="H920" s="778"/>
      <c r="I920" s="778"/>
      <c r="J920" s="778"/>
      <c r="K920" s="778"/>
      <c r="L920" s="782" t="s">
        <v>71</v>
      </c>
      <c r="M920" s="782" t="s">
        <v>71</v>
      </c>
      <c r="N920" s="782"/>
      <c r="O920" s="782"/>
      <c r="P920" s="783"/>
      <c r="Q920" s="784"/>
      <c r="R920" s="783"/>
      <c r="S920" s="785"/>
      <c r="T920" s="785"/>
    </row>
    <row r="921">
      <c r="A921" s="777"/>
      <c r="B921" s="778"/>
      <c r="C921" s="779"/>
      <c r="D921" s="780"/>
      <c r="E921" s="781" t="s">
        <v>71</v>
      </c>
      <c r="F921" s="778"/>
      <c r="G921" s="778"/>
      <c r="H921" s="778"/>
      <c r="I921" s="778"/>
      <c r="J921" s="778"/>
      <c r="K921" s="778"/>
      <c r="L921" s="782" t="s">
        <v>71</v>
      </c>
      <c r="M921" s="782" t="s">
        <v>71</v>
      </c>
      <c r="N921" s="782"/>
      <c r="O921" s="782"/>
      <c r="P921" s="783"/>
      <c r="Q921" s="784"/>
      <c r="R921" s="783"/>
      <c r="S921" s="785"/>
      <c r="T921" s="785"/>
    </row>
    <row r="922">
      <c r="A922" s="777"/>
      <c r="B922" s="778"/>
      <c r="C922" s="779"/>
      <c r="D922" s="780"/>
      <c r="E922" s="781" t="s">
        <v>71</v>
      </c>
      <c r="F922" s="778"/>
      <c r="G922" s="778"/>
      <c r="H922" s="778"/>
      <c r="I922" s="778"/>
      <c r="J922" s="778"/>
      <c r="K922" s="778"/>
      <c r="L922" s="782" t="s">
        <v>71</v>
      </c>
      <c r="M922" s="782" t="s">
        <v>71</v>
      </c>
      <c r="N922" s="782"/>
      <c r="O922" s="782"/>
      <c r="P922" s="783"/>
      <c r="Q922" s="784"/>
      <c r="R922" s="783"/>
      <c r="S922" s="785"/>
      <c r="T922" s="785"/>
    </row>
    <row r="923">
      <c r="A923" s="777"/>
      <c r="B923" s="778"/>
      <c r="C923" s="779"/>
      <c r="D923" s="780"/>
      <c r="E923" s="781" t="s">
        <v>71</v>
      </c>
      <c r="F923" s="778"/>
      <c r="G923" s="778"/>
      <c r="H923" s="778"/>
      <c r="I923" s="778"/>
      <c r="J923" s="778"/>
      <c r="K923" s="778"/>
      <c r="L923" s="782" t="s">
        <v>71</v>
      </c>
      <c r="M923" s="782" t="s">
        <v>71</v>
      </c>
      <c r="N923" s="782"/>
      <c r="O923" s="782"/>
      <c r="P923" s="783"/>
      <c r="Q923" s="784"/>
      <c r="R923" s="783"/>
      <c r="S923" s="785"/>
      <c r="T923" s="785"/>
    </row>
    <row r="924">
      <c r="A924" s="777"/>
      <c r="B924" s="778"/>
      <c r="C924" s="779"/>
      <c r="D924" s="780"/>
      <c r="E924" s="781" t="s">
        <v>71</v>
      </c>
      <c r="F924" s="778"/>
      <c r="G924" s="778"/>
      <c r="H924" s="778"/>
      <c r="I924" s="778"/>
      <c r="J924" s="778"/>
      <c r="K924" s="778"/>
      <c r="L924" s="782" t="s">
        <v>71</v>
      </c>
      <c r="M924" s="782" t="s">
        <v>71</v>
      </c>
      <c r="N924" s="782"/>
      <c r="O924" s="782"/>
      <c r="P924" s="783"/>
      <c r="Q924" s="784"/>
      <c r="R924" s="783"/>
      <c r="S924" s="785"/>
      <c r="T924" s="785"/>
    </row>
    <row r="925">
      <c r="A925" s="777"/>
      <c r="B925" s="778"/>
      <c r="C925" s="779"/>
      <c r="D925" s="780"/>
      <c r="E925" s="781" t="s">
        <v>71</v>
      </c>
      <c r="F925" s="778"/>
      <c r="G925" s="778"/>
      <c r="H925" s="778"/>
      <c r="I925" s="778"/>
      <c r="J925" s="778"/>
      <c r="K925" s="778"/>
      <c r="L925" s="782" t="s">
        <v>71</v>
      </c>
      <c r="M925" s="782" t="s">
        <v>71</v>
      </c>
      <c r="N925" s="782"/>
      <c r="O925" s="782"/>
      <c r="P925" s="783"/>
      <c r="Q925" s="784"/>
      <c r="R925" s="783"/>
      <c r="S925" s="785"/>
      <c r="T925" s="785"/>
    </row>
    <row r="926">
      <c r="A926" s="777"/>
      <c r="B926" s="778"/>
      <c r="C926" s="779"/>
      <c r="D926" s="780"/>
      <c r="E926" s="781" t="s">
        <v>71</v>
      </c>
      <c r="F926" s="778"/>
      <c r="G926" s="778"/>
      <c r="H926" s="778"/>
      <c r="I926" s="778"/>
      <c r="J926" s="778"/>
      <c r="K926" s="778"/>
      <c r="L926" s="782" t="s">
        <v>71</v>
      </c>
      <c r="M926" s="782" t="s">
        <v>71</v>
      </c>
      <c r="N926" s="782"/>
      <c r="O926" s="782"/>
      <c r="P926" s="783"/>
      <c r="Q926" s="784"/>
      <c r="R926" s="783"/>
      <c r="S926" s="785"/>
      <c r="T926" s="785"/>
    </row>
    <row r="927">
      <c r="A927" s="777"/>
      <c r="B927" s="778"/>
      <c r="C927" s="779"/>
      <c r="D927" s="780"/>
      <c r="E927" s="781" t="s">
        <v>71</v>
      </c>
      <c r="F927" s="778"/>
      <c r="G927" s="778"/>
      <c r="H927" s="778"/>
      <c r="I927" s="778"/>
      <c r="J927" s="778"/>
      <c r="K927" s="778"/>
      <c r="L927" s="782" t="s">
        <v>71</v>
      </c>
      <c r="M927" s="782" t="s">
        <v>71</v>
      </c>
      <c r="N927" s="782"/>
      <c r="O927" s="782"/>
      <c r="P927" s="783"/>
      <c r="Q927" s="784"/>
      <c r="R927" s="783"/>
      <c r="S927" s="785"/>
      <c r="T927" s="785"/>
    </row>
    <row r="928">
      <c r="A928" s="777"/>
      <c r="B928" s="778"/>
      <c r="C928" s="779"/>
      <c r="D928" s="780"/>
      <c r="E928" s="781" t="s">
        <v>71</v>
      </c>
      <c r="F928" s="778"/>
      <c r="G928" s="778"/>
      <c r="H928" s="778"/>
      <c r="I928" s="778"/>
      <c r="J928" s="778"/>
      <c r="K928" s="778"/>
      <c r="L928" s="782" t="s">
        <v>71</v>
      </c>
      <c r="M928" s="782" t="s">
        <v>71</v>
      </c>
      <c r="N928" s="782"/>
      <c r="O928" s="782"/>
      <c r="P928" s="783"/>
      <c r="Q928" s="784"/>
      <c r="R928" s="783"/>
      <c r="S928" s="785"/>
      <c r="T928" s="785"/>
    </row>
    <row r="929">
      <c r="A929" s="777"/>
      <c r="B929" s="778"/>
      <c r="C929" s="779"/>
      <c r="D929" s="780"/>
      <c r="E929" s="781" t="s">
        <v>71</v>
      </c>
      <c r="F929" s="778"/>
      <c r="G929" s="778"/>
      <c r="H929" s="778"/>
      <c r="I929" s="778"/>
      <c r="J929" s="778"/>
      <c r="K929" s="778"/>
      <c r="L929" s="782" t="s">
        <v>71</v>
      </c>
      <c r="M929" s="782" t="s">
        <v>71</v>
      </c>
      <c r="N929" s="782"/>
      <c r="O929" s="782"/>
      <c r="P929" s="783"/>
      <c r="Q929" s="784"/>
      <c r="R929" s="783"/>
      <c r="S929" s="785"/>
      <c r="T929" s="785"/>
    </row>
    <row r="930">
      <c r="A930" s="777"/>
      <c r="B930" s="778"/>
      <c r="C930" s="779"/>
      <c r="D930" s="780"/>
      <c r="E930" s="781" t="s">
        <v>71</v>
      </c>
      <c r="F930" s="778"/>
      <c r="G930" s="778"/>
      <c r="H930" s="778"/>
      <c r="I930" s="778"/>
      <c r="J930" s="778"/>
      <c r="K930" s="778"/>
      <c r="L930" s="782" t="s">
        <v>71</v>
      </c>
      <c r="M930" s="782" t="s">
        <v>71</v>
      </c>
      <c r="N930" s="782"/>
      <c r="O930" s="782"/>
      <c r="P930" s="783"/>
      <c r="Q930" s="784"/>
      <c r="R930" s="783"/>
      <c r="S930" s="785"/>
      <c r="T930" s="785"/>
    </row>
    <row r="931">
      <c r="A931" s="777"/>
      <c r="B931" s="778"/>
      <c r="C931" s="779"/>
      <c r="D931" s="780"/>
      <c r="E931" s="781" t="s">
        <v>71</v>
      </c>
      <c r="F931" s="778"/>
      <c r="G931" s="778"/>
      <c r="H931" s="778"/>
      <c r="I931" s="778"/>
      <c r="J931" s="778"/>
      <c r="K931" s="778"/>
      <c r="L931" s="782" t="s">
        <v>71</v>
      </c>
      <c r="M931" s="782" t="s">
        <v>71</v>
      </c>
      <c r="N931" s="782"/>
      <c r="O931" s="782"/>
      <c r="P931" s="783"/>
      <c r="Q931" s="784"/>
      <c r="R931" s="783"/>
      <c r="S931" s="785"/>
      <c r="T931" s="785"/>
    </row>
    <row r="932">
      <c r="A932" s="777"/>
      <c r="B932" s="778"/>
      <c r="C932" s="779"/>
      <c r="D932" s="780"/>
      <c r="E932" s="781" t="s">
        <v>71</v>
      </c>
      <c r="F932" s="778"/>
      <c r="G932" s="778"/>
      <c r="H932" s="778"/>
      <c r="I932" s="778"/>
      <c r="J932" s="778"/>
      <c r="K932" s="778"/>
      <c r="L932" s="782" t="s">
        <v>71</v>
      </c>
      <c r="M932" s="782" t="s">
        <v>71</v>
      </c>
      <c r="N932" s="782"/>
      <c r="O932" s="782"/>
      <c r="P932" s="783"/>
      <c r="Q932" s="784"/>
      <c r="R932" s="783"/>
      <c r="S932" s="785"/>
      <c r="T932" s="785"/>
    </row>
    <row r="933">
      <c r="A933" s="777"/>
      <c r="B933" s="778"/>
      <c r="C933" s="779"/>
      <c r="D933" s="780"/>
      <c r="E933" s="781" t="s">
        <v>71</v>
      </c>
      <c r="F933" s="778"/>
      <c r="G933" s="778"/>
      <c r="H933" s="778"/>
      <c r="I933" s="778"/>
      <c r="J933" s="778"/>
      <c r="K933" s="778"/>
      <c r="L933" s="782" t="s">
        <v>71</v>
      </c>
      <c r="M933" s="782" t="s">
        <v>71</v>
      </c>
      <c r="N933" s="782"/>
      <c r="O933" s="782"/>
      <c r="P933" s="783"/>
      <c r="Q933" s="784"/>
      <c r="R933" s="783"/>
      <c r="S933" s="785"/>
      <c r="T933" s="785"/>
    </row>
    <row r="934">
      <c r="A934" s="777"/>
      <c r="B934" s="778"/>
      <c r="C934" s="779"/>
      <c r="D934" s="780"/>
      <c r="E934" s="781" t="s">
        <v>71</v>
      </c>
      <c r="F934" s="778"/>
      <c r="G934" s="778"/>
      <c r="H934" s="778"/>
      <c r="I934" s="778"/>
      <c r="J934" s="778"/>
      <c r="K934" s="778"/>
      <c r="L934" s="782" t="s">
        <v>71</v>
      </c>
      <c r="M934" s="782" t="s">
        <v>71</v>
      </c>
      <c r="N934" s="782"/>
      <c r="O934" s="782"/>
      <c r="P934" s="783"/>
      <c r="Q934" s="784"/>
      <c r="R934" s="783"/>
      <c r="S934" s="785"/>
      <c r="T934" s="785"/>
    </row>
    <row r="935">
      <c r="A935" s="777"/>
      <c r="B935" s="778"/>
      <c r="C935" s="779"/>
      <c r="D935" s="780"/>
      <c r="E935" s="781" t="s">
        <v>71</v>
      </c>
      <c r="F935" s="778"/>
      <c r="G935" s="778"/>
      <c r="H935" s="778"/>
      <c r="I935" s="778"/>
      <c r="J935" s="778"/>
      <c r="K935" s="778"/>
      <c r="L935" s="782" t="s">
        <v>71</v>
      </c>
      <c r="M935" s="782" t="s">
        <v>71</v>
      </c>
      <c r="N935" s="782"/>
      <c r="O935" s="782"/>
      <c r="P935" s="783"/>
      <c r="Q935" s="784"/>
      <c r="R935" s="783"/>
      <c r="S935" s="785"/>
      <c r="T935" s="785"/>
    </row>
    <row r="936">
      <c r="A936" s="777"/>
      <c r="B936" s="778"/>
      <c r="C936" s="779"/>
      <c r="D936" s="780"/>
      <c r="E936" s="781" t="s">
        <v>71</v>
      </c>
      <c r="F936" s="778"/>
      <c r="G936" s="778"/>
      <c r="H936" s="778"/>
      <c r="I936" s="778"/>
      <c r="J936" s="778"/>
      <c r="K936" s="778"/>
      <c r="L936" s="782" t="s">
        <v>71</v>
      </c>
      <c r="M936" s="782" t="s">
        <v>71</v>
      </c>
      <c r="N936" s="782"/>
      <c r="O936" s="782"/>
      <c r="P936" s="783"/>
      <c r="Q936" s="784"/>
      <c r="R936" s="783"/>
      <c r="S936" s="785"/>
      <c r="T936" s="785"/>
    </row>
    <row r="937">
      <c r="A937" s="777"/>
      <c r="B937" s="778"/>
      <c r="C937" s="779"/>
      <c r="D937" s="780"/>
      <c r="E937" s="781" t="s">
        <v>71</v>
      </c>
      <c r="F937" s="778"/>
      <c r="G937" s="778"/>
      <c r="H937" s="778"/>
      <c r="I937" s="778"/>
      <c r="J937" s="778"/>
      <c r="K937" s="778"/>
      <c r="L937" s="782" t="s">
        <v>71</v>
      </c>
      <c r="M937" s="782" t="s">
        <v>71</v>
      </c>
      <c r="N937" s="782"/>
      <c r="O937" s="782"/>
      <c r="P937" s="783"/>
      <c r="Q937" s="784"/>
      <c r="R937" s="783"/>
      <c r="S937" s="785"/>
      <c r="T937" s="785"/>
    </row>
    <row r="938">
      <c r="A938" s="777"/>
      <c r="B938" s="778"/>
      <c r="C938" s="779"/>
      <c r="D938" s="780"/>
      <c r="E938" s="781" t="s">
        <v>71</v>
      </c>
      <c r="F938" s="778"/>
      <c r="G938" s="778"/>
      <c r="H938" s="778"/>
      <c r="I938" s="778"/>
      <c r="J938" s="778"/>
      <c r="K938" s="778"/>
      <c r="L938" s="782" t="s">
        <v>71</v>
      </c>
      <c r="M938" s="782" t="s">
        <v>71</v>
      </c>
      <c r="N938" s="782"/>
      <c r="O938" s="782"/>
      <c r="P938" s="783"/>
      <c r="Q938" s="784"/>
      <c r="R938" s="783"/>
      <c r="S938" s="785"/>
      <c r="T938" s="785"/>
    </row>
    <row r="939">
      <c r="A939" s="777"/>
      <c r="B939" s="778"/>
      <c r="C939" s="779"/>
      <c r="D939" s="780"/>
      <c r="E939" s="781" t="s">
        <v>71</v>
      </c>
      <c r="F939" s="778"/>
      <c r="G939" s="778"/>
      <c r="H939" s="778"/>
      <c r="I939" s="778"/>
      <c r="J939" s="778"/>
      <c r="K939" s="778"/>
      <c r="L939" s="782" t="s">
        <v>71</v>
      </c>
      <c r="M939" s="782" t="s">
        <v>71</v>
      </c>
      <c r="N939" s="782"/>
      <c r="O939" s="782"/>
      <c r="P939" s="783"/>
      <c r="Q939" s="784"/>
      <c r="R939" s="783"/>
      <c r="S939" s="785"/>
      <c r="T939" s="785"/>
    </row>
    <row r="940">
      <c r="A940" s="777"/>
      <c r="B940" s="778"/>
      <c r="C940" s="779"/>
      <c r="D940" s="780"/>
      <c r="E940" s="781" t="s">
        <v>71</v>
      </c>
      <c r="F940" s="778"/>
      <c r="G940" s="778"/>
      <c r="H940" s="778"/>
      <c r="I940" s="778"/>
      <c r="J940" s="778"/>
      <c r="K940" s="778"/>
      <c r="L940" s="782" t="s">
        <v>71</v>
      </c>
      <c r="M940" s="782" t="s">
        <v>71</v>
      </c>
      <c r="N940" s="782"/>
      <c r="O940" s="782"/>
      <c r="P940" s="783"/>
      <c r="Q940" s="784"/>
      <c r="R940" s="783"/>
      <c r="S940" s="785"/>
      <c r="T940" s="785"/>
    </row>
    <row r="941">
      <c r="A941" s="777"/>
      <c r="B941" s="778"/>
      <c r="C941" s="779"/>
      <c r="D941" s="780"/>
      <c r="E941" s="781" t="s">
        <v>71</v>
      </c>
      <c r="F941" s="778"/>
      <c r="G941" s="778"/>
      <c r="H941" s="778"/>
      <c r="I941" s="778"/>
      <c r="J941" s="778"/>
      <c r="K941" s="778"/>
      <c r="L941" s="782" t="s">
        <v>71</v>
      </c>
      <c r="M941" s="782" t="s">
        <v>71</v>
      </c>
      <c r="N941" s="782"/>
      <c r="O941" s="782"/>
      <c r="P941" s="783"/>
      <c r="Q941" s="784"/>
      <c r="R941" s="783"/>
      <c r="S941" s="785"/>
      <c r="T941" s="785"/>
    </row>
    <row r="942">
      <c r="A942" s="777"/>
      <c r="B942" s="778"/>
      <c r="C942" s="779"/>
      <c r="D942" s="780"/>
      <c r="E942" s="781" t="s">
        <v>71</v>
      </c>
      <c r="F942" s="778"/>
      <c r="G942" s="778"/>
      <c r="H942" s="778"/>
      <c r="I942" s="778"/>
      <c r="J942" s="778"/>
      <c r="K942" s="778"/>
      <c r="L942" s="782" t="s">
        <v>71</v>
      </c>
      <c r="M942" s="782" t="s">
        <v>71</v>
      </c>
      <c r="N942" s="782"/>
      <c r="O942" s="782"/>
      <c r="P942" s="783"/>
      <c r="Q942" s="784"/>
      <c r="R942" s="783"/>
      <c r="S942" s="785"/>
      <c r="T942" s="785"/>
    </row>
    <row r="943">
      <c r="A943" s="777"/>
      <c r="B943" s="778"/>
      <c r="C943" s="779"/>
      <c r="D943" s="780"/>
      <c r="E943" s="781" t="s">
        <v>71</v>
      </c>
      <c r="F943" s="778"/>
      <c r="G943" s="778"/>
      <c r="H943" s="778"/>
      <c r="I943" s="778"/>
      <c r="J943" s="778"/>
      <c r="K943" s="778"/>
      <c r="L943" s="782" t="s">
        <v>71</v>
      </c>
      <c r="M943" s="782" t="s">
        <v>71</v>
      </c>
      <c r="N943" s="782"/>
      <c r="O943" s="782"/>
      <c r="P943" s="783"/>
      <c r="Q943" s="784"/>
      <c r="R943" s="783"/>
      <c r="S943" s="785"/>
      <c r="T943" s="785"/>
    </row>
    <row r="944">
      <c r="A944" s="777"/>
      <c r="B944" s="778"/>
      <c r="C944" s="779"/>
      <c r="D944" s="780"/>
      <c r="E944" s="781" t="s">
        <v>71</v>
      </c>
      <c r="F944" s="778"/>
      <c r="G944" s="778"/>
      <c r="H944" s="778"/>
      <c r="I944" s="778"/>
      <c r="J944" s="778"/>
      <c r="K944" s="778"/>
      <c r="L944" s="782" t="s">
        <v>71</v>
      </c>
      <c r="M944" s="782" t="s">
        <v>71</v>
      </c>
      <c r="N944" s="782"/>
      <c r="O944" s="782"/>
      <c r="P944" s="783"/>
      <c r="Q944" s="784"/>
      <c r="R944" s="783"/>
      <c r="S944" s="785"/>
      <c r="T944" s="785"/>
    </row>
    <row r="945">
      <c r="A945" s="777"/>
      <c r="B945" s="778"/>
      <c r="C945" s="779"/>
      <c r="D945" s="780"/>
      <c r="E945" s="781" t="s">
        <v>71</v>
      </c>
      <c r="F945" s="778"/>
      <c r="G945" s="778"/>
      <c r="H945" s="778"/>
      <c r="I945" s="778"/>
      <c r="J945" s="778"/>
      <c r="K945" s="778"/>
      <c r="L945" s="782" t="s">
        <v>71</v>
      </c>
      <c r="M945" s="782" t="s">
        <v>71</v>
      </c>
      <c r="N945" s="782"/>
      <c r="O945" s="782"/>
      <c r="P945" s="783"/>
      <c r="Q945" s="784"/>
      <c r="R945" s="783"/>
      <c r="S945" s="785"/>
      <c r="T945" s="785"/>
    </row>
    <row r="946">
      <c r="A946" s="777"/>
      <c r="B946" s="778"/>
      <c r="C946" s="779"/>
      <c r="D946" s="780"/>
      <c r="E946" s="781" t="s">
        <v>71</v>
      </c>
      <c r="F946" s="778"/>
      <c r="G946" s="778"/>
      <c r="H946" s="778"/>
      <c r="I946" s="778"/>
      <c r="J946" s="778"/>
      <c r="K946" s="778"/>
      <c r="L946" s="782" t="s">
        <v>71</v>
      </c>
      <c r="M946" s="782" t="s">
        <v>71</v>
      </c>
      <c r="N946" s="782"/>
      <c r="O946" s="782"/>
      <c r="P946" s="783"/>
      <c r="Q946" s="784"/>
      <c r="R946" s="783"/>
      <c r="S946" s="785"/>
      <c r="T946" s="785"/>
    </row>
    <row r="947">
      <c r="A947" s="777"/>
      <c r="B947" s="778"/>
      <c r="C947" s="779"/>
      <c r="D947" s="780"/>
      <c r="E947" s="781" t="s">
        <v>71</v>
      </c>
      <c r="F947" s="778"/>
      <c r="G947" s="778"/>
      <c r="H947" s="778"/>
      <c r="I947" s="778"/>
      <c r="J947" s="778"/>
      <c r="K947" s="778"/>
      <c r="L947" s="782" t="s">
        <v>71</v>
      </c>
      <c r="M947" s="782" t="s">
        <v>71</v>
      </c>
      <c r="N947" s="782"/>
      <c r="O947" s="782"/>
      <c r="P947" s="783"/>
      <c r="Q947" s="784"/>
      <c r="R947" s="783"/>
      <c r="S947" s="785"/>
      <c r="T947" s="785"/>
    </row>
    <row r="948">
      <c r="A948" s="777"/>
      <c r="B948" s="778"/>
      <c r="C948" s="779"/>
      <c r="D948" s="780"/>
      <c r="E948" s="781" t="s">
        <v>71</v>
      </c>
      <c r="F948" s="778"/>
      <c r="G948" s="778"/>
      <c r="H948" s="778"/>
      <c r="I948" s="778"/>
      <c r="J948" s="778"/>
      <c r="K948" s="778"/>
      <c r="L948" s="782" t="s">
        <v>71</v>
      </c>
      <c r="M948" s="782" t="s">
        <v>71</v>
      </c>
      <c r="N948" s="782"/>
      <c r="O948" s="782"/>
      <c r="P948" s="783"/>
      <c r="Q948" s="784"/>
      <c r="R948" s="783"/>
      <c r="S948" s="785"/>
      <c r="T948" s="785"/>
    </row>
    <row r="949">
      <c r="A949" s="777"/>
      <c r="B949" s="778"/>
      <c r="C949" s="779"/>
      <c r="D949" s="780"/>
      <c r="E949" s="781" t="s">
        <v>71</v>
      </c>
      <c r="F949" s="778"/>
      <c r="G949" s="778"/>
      <c r="H949" s="778"/>
      <c r="I949" s="778"/>
      <c r="J949" s="778"/>
      <c r="K949" s="778"/>
      <c r="L949" s="782" t="s">
        <v>71</v>
      </c>
      <c r="M949" s="782" t="s">
        <v>71</v>
      </c>
      <c r="N949" s="782"/>
      <c r="O949" s="782"/>
      <c r="P949" s="783"/>
      <c r="Q949" s="784"/>
      <c r="R949" s="783"/>
      <c r="S949" s="785"/>
      <c r="T949" s="785"/>
    </row>
    <row r="950">
      <c r="A950" s="777"/>
      <c r="B950" s="778"/>
      <c r="C950" s="779"/>
      <c r="D950" s="780"/>
      <c r="E950" s="781" t="s">
        <v>71</v>
      </c>
      <c r="F950" s="778"/>
      <c r="G950" s="778"/>
      <c r="H950" s="778"/>
      <c r="I950" s="778"/>
      <c r="J950" s="778"/>
      <c r="K950" s="778"/>
      <c r="L950" s="782" t="s">
        <v>71</v>
      </c>
      <c r="M950" s="782" t="s">
        <v>71</v>
      </c>
      <c r="N950" s="782"/>
      <c r="O950" s="782"/>
      <c r="P950" s="783"/>
      <c r="Q950" s="784"/>
      <c r="R950" s="783"/>
      <c r="S950" s="785"/>
      <c r="T950" s="785"/>
    </row>
    <row r="951">
      <c r="A951" s="777"/>
      <c r="B951" s="778"/>
      <c r="C951" s="779"/>
      <c r="D951" s="780"/>
      <c r="E951" s="781" t="s">
        <v>71</v>
      </c>
      <c r="F951" s="778"/>
      <c r="G951" s="778"/>
      <c r="H951" s="778"/>
      <c r="I951" s="778"/>
      <c r="J951" s="778"/>
      <c r="K951" s="778"/>
      <c r="L951" s="782" t="s">
        <v>71</v>
      </c>
      <c r="M951" s="782" t="s">
        <v>71</v>
      </c>
      <c r="N951" s="782"/>
      <c r="O951" s="782"/>
      <c r="P951" s="783"/>
      <c r="Q951" s="784"/>
      <c r="R951" s="783"/>
      <c r="S951" s="785"/>
      <c r="T951" s="785"/>
    </row>
    <row r="952">
      <c r="A952" s="777"/>
      <c r="B952" s="778"/>
      <c r="C952" s="779"/>
      <c r="D952" s="780"/>
      <c r="E952" s="781" t="s">
        <v>71</v>
      </c>
      <c r="F952" s="778"/>
      <c r="G952" s="778"/>
      <c r="H952" s="778"/>
      <c r="I952" s="778"/>
      <c r="J952" s="778"/>
      <c r="K952" s="778"/>
      <c r="L952" s="782" t="s">
        <v>71</v>
      </c>
      <c r="M952" s="782" t="s">
        <v>71</v>
      </c>
      <c r="N952" s="782"/>
      <c r="O952" s="782"/>
      <c r="P952" s="783"/>
      <c r="Q952" s="784"/>
      <c r="R952" s="783"/>
      <c r="S952" s="785"/>
      <c r="T952" s="785"/>
    </row>
    <row r="953">
      <c r="A953" s="777"/>
      <c r="B953" s="778"/>
      <c r="C953" s="779"/>
      <c r="D953" s="780"/>
      <c r="E953" s="781" t="s">
        <v>71</v>
      </c>
      <c r="F953" s="778"/>
      <c r="G953" s="778"/>
      <c r="H953" s="778"/>
      <c r="I953" s="778"/>
      <c r="J953" s="778"/>
      <c r="K953" s="778"/>
      <c r="L953" s="782" t="s">
        <v>71</v>
      </c>
      <c r="M953" s="782" t="s">
        <v>71</v>
      </c>
      <c r="N953" s="782"/>
      <c r="O953" s="782"/>
      <c r="P953" s="783"/>
      <c r="Q953" s="784"/>
      <c r="R953" s="783"/>
      <c r="S953" s="785"/>
      <c r="T953" s="785"/>
    </row>
    <row r="954">
      <c r="A954" s="777"/>
      <c r="B954" s="778"/>
      <c r="C954" s="779"/>
      <c r="D954" s="780"/>
      <c r="E954" s="781" t="s">
        <v>71</v>
      </c>
      <c r="F954" s="778"/>
      <c r="G954" s="778"/>
      <c r="H954" s="778"/>
      <c r="I954" s="778"/>
      <c r="J954" s="778"/>
      <c r="K954" s="778"/>
      <c r="L954" s="782" t="s">
        <v>71</v>
      </c>
      <c r="M954" s="782" t="s">
        <v>71</v>
      </c>
      <c r="N954" s="782"/>
      <c r="O954" s="782"/>
      <c r="P954" s="783"/>
      <c r="Q954" s="784"/>
      <c r="R954" s="783"/>
      <c r="S954" s="785"/>
      <c r="T954" s="785"/>
    </row>
    <row r="955">
      <c r="A955" s="777"/>
      <c r="B955" s="778"/>
      <c r="C955" s="779"/>
      <c r="D955" s="780"/>
      <c r="E955" s="781" t="s">
        <v>71</v>
      </c>
      <c r="F955" s="778"/>
      <c r="G955" s="778"/>
      <c r="H955" s="778"/>
      <c r="I955" s="778"/>
      <c r="J955" s="778"/>
      <c r="K955" s="778"/>
      <c r="L955" s="782" t="s">
        <v>71</v>
      </c>
      <c r="M955" s="782" t="s">
        <v>71</v>
      </c>
      <c r="N955" s="782"/>
      <c r="O955" s="782"/>
      <c r="P955" s="783"/>
      <c r="Q955" s="784"/>
      <c r="R955" s="783"/>
      <c r="S955" s="785"/>
      <c r="T955" s="785"/>
    </row>
    <row r="956">
      <c r="A956" s="777"/>
      <c r="B956" s="778"/>
      <c r="C956" s="779"/>
      <c r="D956" s="780"/>
      <c r="E956" s="781" t="s">
        <v>71</v>
      </c>
      <c r="F956" s="778"/>
      <c r="G956" s="778"/>
      <c r="H956" s="778"/>
      <c r="I956" s="778"/>
      <c r="J956" s="778"/>
      <c r="K956" s="778"/>
      <c r="L956" s="782" t="s">
        <v>71</v>
      </c>
      <c r="M956" s="782" t="s">
        <v>71</v>
      </c>
      <c r="N956" s="782"/>
      <c r="O956" s="782"/>
      <c r="P956" s="783"/>
      <c r="Q956" s="784"/>
      <c r="R956" s="783"/>
      <c r="S956" s="785"/>
      <c r="T956" s="785"/>
    </row>
    <row r="957">
      <c r="A957" s="777"/>
      <c r="B957" s="778"/>
      <c r="C957" s="779"/>
      <c r="D957" s="780"/>
      <c r="E957" s="781" t="s">
        <v>71</v>
      </c>
      <c r="F957" s="778"/>
      <c r="G957" s="778"/>
      <c r="H957" s="778"/>
      <c r="I957" s="778"/>
      <c r="J957" s="778"/>
      <c r="K957" s="778"/>
      <c r="L957" s="782" t="s">
        <v>71</v>
      </c>
      <c r="M957" s="782" t="s">
        <v>71</v>
      </c>
      <c r="N957" s="782"/>
      <c r="O957" s="782"/>
      <c r="P957" s="783"/>
      <c r="Q957" s="784"/>
      <c r="R957" s="783"/>
      <c r="S957" s="785"/>
      <c r="T957" s="785"/>
    </row>
    <row r="958">
      <c r="A958" s="777"/>
      <c r="B958" s="778"/>
      <c r="C958" s="779"/>
      <c r="D958" s="780"/>
      <c r="E958" s="781" t="s">
        <v>71</v>
      </c>
      <c r="F958" s="778"/>
      <c r="G958" s="778"/>
      <c r="H958" s="778"/>
      <c r="I958" s="778"/>
      <c r="J958" s="778"/>
      <c r="K958" s="778"/>
      <c r="L958" s="782" t="s">
        <v>71</v>
      </c>
      <c r="M958" s="782" t="s">
        <v>71</v>
      </c>
      <c r="N958" s="782"/>
      <c r="O958" s="782"/>
      <c r="P958" s="783"/>
      <c r="Q958" s="784"/>
      <c r="R958" s="783"/>
      <c r="S958" s="785"/>
      <c r="T958" s="785"/>
    </row>
    <row r="959">
      <c r="A959" s="777"/>
      <c r="B959" s="778"/>
      <c r="C959" s="779"/>
      <c r="D959" s="780"/>
      <c r="E959" s="781" t="s">
        <v>71</v>
      </c>
      <c r="F959" s="778"/>
      <c r="G959" s="778"/>
      <c r="H959" s="778"/>
      <c r="I959" s="778"/>
      <c r="J959" s="778"/>
      <c r="K959" s="778"/>
      <c r="L959" s="782" t="s">
        <v>71</v>
      </c>
      <c r="M959" s="782" t="s">
        <v>71</v>
      </c>
      <c r="N959" s="782"/>
      <c r="O959" s="782"/>
      <c r="P959" s="783"/>
      <c r="Q959" s="784"/>
      <c r="R959" s="783"/>
      <c r="S959" s="785"/>
      <c r="T959" s="785"/>
    </row>
    <row r="960">
      <c r="A960" s="777"/>
      <c r="B960" s="778"/>
      <c r="C960" s="779"/>
      <c r="D960" s="780"/>
      <c r="E960" s="781" t="s">
        <v>71</v>
      </c>
      <c r="F960" s="778"/>
      <c r="G960" s="778"/>
      <c r="H960" s="778"/>
      <c r="I960" s="778"/>
      <c r="J960" s="778"/>
      <c r="K960" s="778"/>
      <c r="L960" s="782" t="s">
        <v>71</v>
      </c>
      <c r="M960" s="782" t="s">
        <v>71</v>
      </c>
      <c r="N960" s="782"/>
      <c r="O960" s="782"/>
      <c r="P960" s="783"/>
      <c r="Q960" s="784"/>
      <c r="R960" s="783"/>
      <c r="S960" s="785"/>
      <c r="T960" s="785"/>
    </row>
    <row r="961">
      <c r="A961" s="777"/>
      <c r="B961" s="778"/>
      <c r="C961" s="779"/>
      <c r="D961" s="780"/>
      <c r="E961" s="781" t="s">
        <v>71</v>
      </c>
      <c r="F961" s="778"/>
      <c r="G961" s="778"/>
      <c r="H961" s="778"/>
      <c r="I961" s="778"/>
      <c r="J961" s="778"/>
      <c r="K961" s="778"/>
      <c r="L961" s="782" t="s">
        <v>71</v>
      </c>
      <c r="M961" s="782" t="s">
        <v>71</v>
      </c>
      <c r="N961" s="782"/>
      <c r="O961" s="782"/>
      <c r="P961" s="783"/>
      <c r="Q961" s="784"/>
      <c r="R961" s="783"/>
      <c r="S961" s="785"/>
      <c r="T961" s="785"/>
    </row>
    <row r="962">
      <c r="A962" s="777"/>
      <c r="B962" s="778"/>
      <c r="C962" s="779"/>
      <c r="D962" s="780"/>
      <c r="E962" s="781" t="s">
        <v>71</v>
      </c>
      <c r="F962" s="778"/>
      <c r="G962" s="778"/>
      <c r="H962" s="778"/>
      <c r="I962" s="778"/>
      <c r="J962" s="778"/>
      <c r="K962" s="778"/>
      <c r="L962" s="782" t="s">
        <v>71</v>
      </c>
      <c r="M962" s="782" t="s">
        <v>71</v>
      </c>
      <c r="N962" s="782"/>
      <c r="O962" s="782"/>
      <c r="P962" s="783"/>
      <c r="Q962" s="784"/>
      <c r="R962" s="783"/>
      <c r="S962" s="785"/>
      <c r="T962" s="785"/>
    </row>
    <row r="963">
      <c r="A963" s="777"/>
      <c r="B963" s="778"/>
      <c r="C963" s="779"/>
      <c r="D963" s="780"/>
      <c r="E963" s="781" t="s">
        <v>71</v>
      </c>
      <c r="F963" s="778"/>
      <c r="G963" s="778"/>
      <c r="H963" s="778"/>
      <c r="I963" s="778"/>
      <c r="J963" s="778"/>
      <c r="K963" s="778"/>
      <c r="L963" s="782" t="s">
        <v>71</v>
      </c>
      <c r="M963" s="782" t="s">
        <v>71</v>
      </c>
      <c r="N963" s="782"/>
      <c r="O963" s="782"/>
      <c r="P963" s="783"/>
      <c r="Q963" s="784"/>
      <c r="R963" s="783"/>
      <c r="S963" s="785"/>
      <c r="T963" s="785"/>
    </row>
    <row r="964">
      <c r="A964" s="777"/>
      <c r="B964" s="778"/>
      <c r="C964" s="779"/>
      <c r="D964" s="780"/>
      <c r="E964" s="781" t="s">
        <v>71</v>
      </c>
      <c r="F964" s="778"/>
      <c r="G964" s="778"/>
      <c r="H964" s="778"/>
      <c r="I964" s="778"/>
      <c r="J964" s="778"/>
      <c r="K964" s="778"/>
      <c r="L964" s="782" t="s">
        <v>71</v>
      </c>
      <c r="M964" s="782" t="s">
        <v>71</v>
      </c>
      <c r="N964" s="782"/>
      <c r="O964" s="782"/>
      <c r="P964" s="783"/>
      <c r="Q964" s="784"/>
      <c r="R964" s="783"/>
      <c r="S964" s="785"/>
      <c r="T964" s="785"/>
    </row>
    <row r="965">
      <c r="A965" s="777"/>
      <c r="B965" s="778"/>
      <c r="C965" s="779"/>
      <c r="D965" s="780"/>
      <c r="E965" s="781" t="s">
        <v>71</v>
      </c>
      <c r="F965" s="778"/>
      <c r="G965" s="778"/>
      <c r="H965" s="778"/>
      <c r="I965" s="778"/>
      <c r="J965" s="778"/>
      <c r="K965" s="778"/>
      <c r="L965" s="782" t="s">
        <v>71</v>
      </c>
      <c r="M965" s="782" t="s">
        <v>71</v>
      </c>
      <c r="N965" s="782"/>
      <c r="O965" s="782"/>
      <c r="P965" s="783"/>
      <c r="Q965" s="784"/>
      <c r="R965" s="783"/>
      <c r="S965" s="785"/>
      <c r="T965" s="785"/>
    </row>
    <row r="966">
      <c r="A966" s="777"/>
      <c r="B966" s="778"/>
      <c r="C966" s="779"/>
      <c r="D966" s="780"/>
      <c r="E966" s="781" t="s">
        <v>71</v>
      </c>
      <c r="F966" s="778"/>
      <c r="G966" s="778"/>
      <c r="H966" s="778"/>
      <c r="I966" s="778"/>
      <c r="J966" s="778"/>
      <c r="K966" s="778"/>
      <c r="L966" s="782" t="s">
        <v>71</v>
      </c>
      <c r="M966" s="782" t="s">
        <v>71</v>
      </c>
      <c r="N966" s="782"/>
      <c r="O966" s="782"/>
      <c r="P966" s="783"/>
      <c r="Q966" s="784"/>
      <c r="R966" s="783"/>
      <c r="S966" s="785"/>
      <c r="T966" s="785"/>
    </row>
    <row r="967">
      <c r="A967" s="777"/>
      <c r="B967" s="778"/>
      <c r="C967" s="779"/>
      <c r="D967" s="780"/>
      <c r="E967" s="781" t="s">
        <v>71</v>
      </c>
      <c r="F967" s="778"/>
      <c r="G967" s="778"/>
      <c r="H967" s="778"/>
      <c r="I967" s="778"/>
      <c r="J967" s="778"/>
      <c r="K967" s="778"/>
      <c r="L967" s="782" t="s">
        <v>71</v>
      </c>
      <c r="M967" s="782" t="s">
        <v>71</v>
      </c>
      <c r="N967" s="782"/>
      <c r="O967" s="782"/>
      <c r="P967" s="783"/>
      <c r="Q967" s="784"/>
      <c r="R967" s="783"/>
      <c r="S967" s="785"/>
      <c r="T967" s="785"/>
    </row>
    <row r="968">
      <c r="A968" s="777"/>
      <c r="B968" s="778"/>
      <c r="C968" s="779"/>
      <c r="D968" s="780"/>
      <c r="E968" s="781" t="s">
        <v>71</v>
      </c>
      <c r="F968" s="778"/>
      <c r="G968" s="778"/>
      <c r="H968" s="778"/>
      <c r="I968" s="778"/>
      <c r="J968" s="778"/>
      <c r="K968" s="778"/>
      <c r="L968" s="782" t="s">
        <v>71</v>
      </c>
      <c r="M968" s="782" t="s">
        <v>71</v>
      </c>
      <c r="N968" s="782"/>
      <c r="O968" s="782"/>
      <c r="P968" s="783"/>
      <c r="Q968" s="784"/>
      <c r="R968" s="783"/>
      <c r="S968" s="785"/>
      <c r="T968" s="785"/>
    </row>
    <row r="969">
      <c r="A969" s="777"/>
      <c r="B969" s="778"/>
      <c r="C969" s="779"/>
      <c r="D969" s="780"/>
      <c r="E969" s="781" t="s">
        <v>71</v>
      </c>
      <c r="F969" s="778"/>
      <c r="G969" s="778"/>
      <c r="H969" s="778"/>
      <c r="I969" s="778"/>
      <c r="J969" s="778"/>
      <c r="K969" s="778"/>
      <c r="L969" s="782" t="s">
        <v>71</v>
      </c>
      <c r="M969" s="782" t="s">
        <v>71</v>
      </c>
      <c r="N969" s="782"/>
      <c r="O969" s="782"/>
      <c r="P969" s="783"/>
      <c r="Q969" s="784"/>
      <c r="R969" s="783"/>
      <c r="S969" s="785"/>
      <c r="T969" s="785"/>
    </row>
    <row r="970">
      <c r="A970" s="777"/>
      <c r="B970" s="778"/>
      <c r="C970" s="779"/>
      <c r="D970" s="780"/>
      <c r="E970" s="781" t="s">
        <v>71</v>
      </c>
      <c r="F970" s="778"/>
      <c r="G970" s="778"/>
      <c r="H970" s="778"/>
      <c r="I970" s="778"/>
      <c r="J970" s="778"/>
      <c r="K970" s="778"/>
      <c r="L970" s="782" t="s">
        <v>71</v>
      </c>
      <c r="M970" s="782" t="s">
        <v>71</v>
      </c>
      <c r="N970" s="782"/>
      <c r="O970" s="782"/>
      <c r="P970" s="783"/>
      <c r="Q970" s="784"/>
      <c r="R970" s="783"/>
      <c r="S970" s="785"/>
      <c r="T970" s="785"/>
    </row>
    <row r="971">
      <c r="A971" s="777"/>
      <c r="B971" s="778"/>
      <c r="C971" s="779"/>
      <c r="D971" s="780"/>
      <c r="E971" s="781" t="s">
        <v>71</v>
      </c>
      <c r="F971" s="778"/>
      <c r="G971" s="778"/>
      <c r="H971" s="778"/>
      <c r="I971" s="778"/>
      <c r="J971" s="778"/>
      <c r="K971" s="778"/>
      <c r="L971" s="782" t="s">
        <v>71</v>
      </c>
      <c r="M971" s="782" t="s">
        <v>71</v>
      </c>
      <c r="N971" s="782"/>
      <c r="O971" s="782"/>
      <c r="P971" s="783"/>
      <c r="Q971" s="784"/>
      <c r="R971" s="783"/>
      <c r="S971" s="785"/>
      <c r="T971" s="785"/>
    </row>
    <row r="972">
      <c r="A972" s="777"/>
      <c r="B972" s="778"/>
      <c r="C972" s="779"/>
      <c r="D972" s="780"/>
      <c r="E972" s="781" t="s">
        <v>71</v>
      </c>
      <c r="F972" s="778"/>
      <c r="G972" s="778"/>
      <c r="H972" s="778"/>
      <c r="I972" s="778"/>
      <c r="J972" s="778"/>
      <c r="K972" s="778"/>
      <c r="L972" s="782" t="s">
        <v>71</v>
      </c>
      <c r="M972" s="782" t="s">
        <v>71</v>
      </c>
      <c r="N972" s="782"/>
      <c r="O972" s="782"/>
      <c r="P972" s="783"/>
      <c r="Q972" s="784"/>
      <c r="R972" s="783"/>
      <c r="S972" s="785"/>
      <c r="T972" s="785"/>
    </row>
    <row r="973">
      <c r="A973" s="777"/>
      <c r="B973" s="778"/>
      <c r="C973" s="779"/>
      <c r="D973" s="780"/>
      <c r="E973" s="781" t="s">
        <v>71</v>
      </c>
      <c r="F973" s="778"/>
      <c r="G973" s="778"/>
      <c r="H973" s="778"/>
      <c r="I973" s="778"/>
      <c r="J973" s="778"/>
      <c r="K973" s="778"/>
      <c r="L973" s="782" t="s">
        <v>71</v>
      </c>
      <c r="M973" s="782" t="s">
        <v>71</v>
      </c>
      <c r="N973" s="782"/>
      <c r="O973" s="782"/>
      <c r="P973" s="783"/>
      <c r="Q973" s="784"/>
      <c r="R973" s="783"/>
      <c r="S973" s="785"/>
      <c r="T973" s="785"/>
    </row>
    <row r="974">
      <c r="A974" s="777"/>
      <c r="B974" s="778"/>
      <c r="C974" s="779"/>
      <c r="D974" s="780"/>
      <c r="E974" s="781" t="s">
        <v>71</v>
      </c>
      <c r="F974" s="778"/>
      <c r="G974" s="778"/>
      <c r="H974" s="778"/>
      <c r="I974" s="778"/>
      <c r="J974" s="778"/>
      <c r="K974" s="778"/>
      <c r="L974" s="782" t="s">
        <v>71</v>
      </c>
      <c r="M974" s="782" t="s">
        <v>71</v>
      </c>
      <c r="N974" s="782"/>
      <c r="O974" s="782"/>
      <c r="P974" s="783"/>
      <c r="Q974" s="784"/>
      <c r="R974" s="783"/>
      <c r="S974" s="785"/>
      <c r="T974" s="785"/>
    </row>
    <row r="975">
      <c r="A975" s="777"/>
      <c r="B975" s="778"/>
      <c r="C975" s="779"/>
      <c r="D975" s="780"/>
      <c r="E975" s="781" t="s">
        <v>71</v>
      </c>
      <c r="F975" s="778"/>
      <c r="G975" s="778"/>
      <c r="H975" s="778"/>
      <c r="I975" s="778"/>
      <c r="J975" s="778"/>
      <c r="K975" s="778"/>
      <c r="L975" s="782" t="s">
        <v>71</v>
      </c>
      <c r="M975" s="782" t="s">
        <v>71</v>
      </c>
      <c r="N975" s="782"/>
      <c r="O975" s="782"/>
      <c r="P975" s="783"/>
      <c r="Q975" s="784"/>
      <c r="R975" s="783"/>
      <c r="S975" s="785"/>
      <c r="T975" s="785"/>
    </row>
    <row r="976">
      <c r="A976" s="777"/>
      <c r="B976" s="778"/>
      <c r="C976" s="779"/>
      <c r="D976" s="780"/>
      <c r="E976" s="781" t="s">
        <v>71</v>
      </c>
      <c r="F976" s="778"/>
      <c r="G976" s="778"/>
      <c r="H976" s="778"/>
      <c r="I976" s="778"/>
      <c r="J976" s="778"/>
      <c r="K976" s="778"/>
      <c r="L976" s="782" t="s">
        <v>71</v>
      </c>
      <c r="M976" s="782" t="s">
        <v>71</v>
      </c>
      <c r="N976" s="782"/>
      <c r="O976" s="782"/>
      <c r="P976" s="783"/>
      <c r="Q976" s="784"/>
      <c r="R976" s="783"/>
      <c r="S976" s="785"/>
      <c r="T976" s="785"/>
    </row>
    <row r="977">
      <c r="A977" s="777"/>
      <c r="B977" s="778"/>
      <c r="C977" s="779"/>
      <c r="D977" s="780"/>
      <c r="E977" s="781" t="s">
        <v>71</v>
      </c>
      <c r="F977" s="778"/>
      <c r="G977" s="778"/>
      <c r="H977" s="778"/>
      <c r="I977" s="778"/>
      <c r="J977" s="778"/>
      <c r="K977" s="778"/>
      <c r="L977" s="782" t="s">
        <v>71</v>
      </c>
      <c r="M977" s="782" t="s">
        <v>71</v>
      </c>
      <c r="N977" s="782"/>
      <c r="O977" s="782"/>
      <c r="P977" s="783"/>
      <c r="Q977" s="784"/>
      <c r="R977" s="783"/>
      <c r="S977" s="785"/>
      <c r="T977" s="785"/>
    </row>
    <row r="978">
      <c r="A978" s="777"/>
      <c r="B978" s="778"/>
      <c r="C978" s="779"/>
      <c r="D978" s="780"/>
      <c r="E978" s="781" t="s">
        <v>71</v>
      </c>
      <c r="F978" s="778"/>
      <c r="G978" s="778"/>
      <c r="H978" s="778"/>
      <c r="I978" s="778"/>
      <c r="J978" s="778"/>
      <c r="K978" s="778"/>
      <c r="L978" s="782" t="s">
        <v>71</v>
      </c>
      <c r="M978" s="782" t="s">
        <v>71</v>
      </c>
      <c r="N978" s="782"/>
      <c r="O978" s="782"/>
      <c r="P978" s="783"/>
      <c r="Q978" s="784"/>
      <c r="R978" s="783"/>
      <c r="S978" s="785"/>
      <c r="T978" s="785"/>
    </row>
    <row r="979">
      <c r="A979" s="777"/>
      <c r="B979" s="778"/>
      <c r="C979" s="779"/>
      <c r="D979" s="780"/>
      <c r="E979" s="781" t="s">
        <v>71</v>
      </c>
      <c r="F979" s="778"/>
      <c r="G979" s="778"/>
      <c r="H979" s="778"/>
      <c r="I979" s="778"/>
      <c r="J979" s="778"/>
      <c r="K979" s="778"/>
      <c r="L979" s="782" t="s">
        <v>71</v>
      </c>
      <c r="M979" s="782" t="s">
        <v>71</v>
      </c>
      <c r="N979" s="782"/>
      <c r="O979" s="782"/>
      <c r="P979" s="783"/>
      <c r="Q979" s="784"/>
      <c r="R979" s="783"/>
      <c r="S979" s="785"/>
      <c r="T979" s="785"/>
    </row>
    <row r="980">
      <c r="A980" s="777"/>
      <c r="B980" s="778"/>
      <c r="C980" s="779"/>
      <c r="D980" s="780"/>
      <c r="E980" s="781" t="s">
        <v>71</v>
      </c>
      <c r="F980" s="778"/>
      <c r="G980" s="778"/>
      <c r="H980" s="778"/>
      <c r="I980" s="778"/>
      <c r="J980" s="778"/>
      <c r="K980" s="778"/>
      <c r="L980" s="782" t="s">
        <v>71</v>
      </c>
      <c r="M980" s="782" t="s">
        <v>71</v>
      </c>
      <c r="N980" s="782"/>
      <c r="O980" s="782"/>
      <c r="P980" s="783"/>
      <c r="Q980" s="784"/>
      <c r="R980" s="783"/>
      <c r="S980" s="785"/>
      <c r="T980" s="785"/>
    </row>
    <row r="981">
      <c r="A981" s="777"/>
      <c r="B981" s="778"/>
      <c r="C981" s="779"/>
      <c r="D981" s="780"/>
      <c r="E981" s="781" t="s">
        <v>71</v>
      </c>
      <c r="F981" s="778"/>
      <c r="G981" s="778"/>
      <c r="H981" s="778"/>
      <c r="I981" s="778"/>
      <c r="J981" s="778"/>
      <c r="K981" s="778"/>
      <c r="L981" s="782" t="s">
        <v>71</v>
      </c>
      <c r="M981" s="782" t="s">
        <v>71</v>
      </c>
      <c r="N981" s="782"/>
      <c r="O981" s="782"/>
      <c r="P981" s="783"/>
      <c r="Q981" s="784"/>
      <c r="R981" s="783"/>
      <c r="S981" s="785"/>
      <c r="T981" s="785"/>
    </row>
    <row r="982">
      <c r="A982" s="777"/>
      <c r="B982" s="778"/>
      <c r="C982" s="779"/>
      <c r="D982" s="780"/>
      <c r="E982" s="781" t="s">
        <v>71</v>
      </c>
      <c r="F982" s="778"/>
      <c r="G982" s="778"/>
      <c r="H982" s="778"/>
      <c r="I982" s="778"/>
      <c r="J982" s="778"/>
      <c r="K982" s="778"/>
      <c r="L982" s="782" t="s">
        <v>71</v>
      </c>
      <c r="M982" s="782" t="s">
        <v>71</v>
      </c>
      <c r="N982" s="782"/>
      <c r="O982" s="782"/>
      <c r="P982" s="783"/>
      <c r="Q982" s="784"/>
      <c r="R982" s="783"/>
      <c r="S982" s="785"/>
      <c r="T982" s="785"/>
    </row>
    <row r="983">
      <c r="A983" s="777"/>
      <c r="B983" s="778"/>
      <c r="C983" s="779"/>
      <c r="D983" s="780"/>
      <c r="E983" s="781" t="s">
        <v>71</v>
      </c>
      <c r="F983" s="778"/>
      <c r="G983" s="778"/>
      <c r="H983" s="778"/>
      <c r="I983" s="778"/>
      <c r="J983" s="778"/>
      <c r="K983" s="778"/>
      <c r="L983" s="782" t="s">
        <v>71</v>
      </c>
      <c r="M983" s="782" t="s">
        <v>71</v>
      </c>
      <c r="N983" s="782"/>
      <c r="O983" s="782"/>
      <c r="P983" s="783"/>
      <c r="Q983" s="784"/>
      <c r="R983" s="783"/>
      <c r="S983" s="785"/>
      <c r="T983" s="785"/>
    </row>
    <row r="984">
      <c r="A984" s="777"/>
      <c r="B984" s="778"/>
      <c r="C984" s="779"/>
      <c r="D984" s="780"/>
      <c r="E984" s="781" t="s">
        <v>71</v>
      </c>
      <c r="F984" s="778"/>
      <c r="G984" s="778"/>
      <c r="H984" s="778"/>
      <c r="I984" s="778"/>
      <c r="J984" s="778"/>
      <c r="K984" s="778"/>
      <c r="L984" s="782" t="s">
        <v>71</v>
      </c>
      <c r="M984" s="782" t="s">
        <v>71</v>
      </c>
      <c r="N984" s="782"/>
      <c r="O984" s="782"/>
      <c r="P984" s="783"/>
      <c r="Q984" s="784"/>
      <c r="R984" s="783"/>
      <c r="S984" s="785"/>
      <c r="T984" s="785"/>
    </row>
    <row r="985">
      <c r="A985" s="777"/>
      <c r="B985" s="778"/>
      <c r="C985" s="779"/>
      <c r="D985" s="780"/>
      <c r="E985" s="781" t="s">
        <v>71</v>
      </c>
      <c r="F985" s="778"/>
      <c r="G985" s="778"/>
      <c r="H985" s="778"/>
      <c r="I985" s="778"/>
      <c r="J985" s="778"/>
      <c r="K985" s="778"/>
      <c r="L985" s="782" t="s">
        <v>71</v>
      </c>
      <c r="M985" s="782" t="s">
        <v>71</v>
      </c>
      <c r="N985" s="782"/>
      <c r="O985" s="782"/>
      <c r="P985" s="783"/>
      <c r="Q985" s="784"/>
      <c r="R985" s="783"/>
      <c r="S985" s="785"/>
      <c r="T985" s="785"/>
    </row>
    <row r="986">
      <c r="A986" s="777"/>
      <c r="B986" s="778"/>
      <c r="C986" s="779"/>
      <c r="D986" s="780"/>
      <c r="E986" s="781" t="s">
        <v>71</v>
      </c>
      <c r="F986" s="778"/>
      <c r="G986" s="778"/>
      <c r="H986" s="778"/>
      <c r="I986" s="778"/>
      <c r="J986" s="778"/>
      <c r="K986" s="778"/>
      <c r="L986" s="782" t="s">
        <v>71</v>
      </c>
      <c r="M986" s="782" t="s">
        <v>71</v>
      </c>
      <c r="N986" s="782"/>
      <c r="O986" s="782"/>
      <c r="P986" s="783"/>
      <c r="Q986" s="784"/>
      <c r="R986" s="783"/>
      <c r="S986" s="785"/>
      <c r="T986" s="785"/>
    </row>
    <row r="987">
      <c r="A987" s="777"/>
      <c r="B987" s="778"/>
      <c r="C987" s="779"/>
      <c r="D987" s="780"/>
      <c r="E987" s="781" t="s">
        <v>71</v>
      </c>
      <c r="F987" s="778"/>
      <c r="G987" s="778"/>
      <c r="H987" s="778"/>
      <c r="I987" s="778"/>
      <c r="J987" s="778"/>
      <c r="K987" s="778"/>
      <c r="L987" s="782" t="s">
        <v>71</v>
      </c>
      <c r="M987" s="782" t="s">
        <v>71</v>
      </c>
      <c r="N987" s="782"/>
      <c r="O987" s="782"/>
      <c r="P987" s="783"/>
      <c r="Q987" s="784"/>
      <c r="R987" s="783"/>
      <c r="S987" s="785"/>
      <c r="T987" s="785"/>
    </row>
    <row r="988">
      <c r="A988" s="777"/>
      <c r="B988" s="778"/>
      <c r="C988" s="779"/>
      <c r="D988" s="780"/>
      <c r="E988" s="781" t="s">
        <v>71</v>
      </c>
      <c r="F988" s="778"/>
      <c r="G988" s="778"/>
      <c r="H988" s="778"/>
      <c r="I988" s="778"/>
      <c r="J988" s="778"/>
      <c r="K988" s="778"/>
      <c r="L988" s="782" t="s">
        <v>71</v>
      </c>
      <c r="M988" s="782" t="s">
        <v>71</v>
      </c>
      <c r="N988" s="782"/>
      <c r="O988" s="782"/>
      <c r="P988" s="783"/>
      <c r="Q988" s="784"/>
      <c r="R988" s="783"/>
      <c r="S988" s="785"/>
      <c r="T988" s="785"/>
    </row>
    <row r="989">
      <c r="A989" s="777"/>
      <c r="B989" s="778"/>
      <c r="C989" s="779"/>
      <c r="D989" s="780"/>
      <c r="E989" s="781" t="s">
        <v>71</v>
      </c>
      <c r="F989" s="778"/>
      <c r="G989" s="778"/>
      <c r="H989" s="778"/>
      <c r="I989" s="778"/>
      <c r="J989" s="778"/>
      <c r="K989" s="778"/>
      <c r="L989" s="782" t="s">
        <v>71</v>
      </c>
      <c r="M989" s="782" t="s">
        <v>71</v>
      </c>
      <c r="N989" s="782"/>
      <c r="O989" s="782"/>
      <c r="P989" s="783"/>
      <c r="Q989" s="784"/>
      <c r="R989" s="783"/>
      <c r="S989" s="785"/>
      <c r="T989" s="785"/>
    </row>
    <row r="990">
      <c r="A990" s="777"/>
      <c r="B990" s="778"/>
      <c r="C990" s="779"/>
      <c r="D990" s="780"/>
      <c r="E990" s="781" t="s">
        <v>71</v>
      </c>
      <c r="F990" s="778"/>
      <c r="G990" s="778"/>
      <c r="H990" s="778"/>
      <c r="I990" s="778"/>
      <c r="J990" s="778"/>
      <c r="K990" s="778"/>
      <c r="L990" s="782" t="s">
        <v>71</v>
      </c>
      <c r="M990" s="782" t="s">
        <v>71</v>
      </c>
      <c r="N990" s="782"/>
      <c r="O990" s="782"/>
      <c r="P990" s="783"/>
      <c r="Q990" s="784"/>
      <c r="R990" s="783"/>
      <c r="S990" s="785"/>
      <c r="T990" s="785"/>
    </row>
    <row r="991">
      <c r="A991" s="777"/>
      <c r="B991" s="778"/>
      <c r="C991" s="779"/>
      <c r="D991" s="780"/>
      <c r="E991" s="781" t="s">
        <v>71</v>
      </c>
      <c r="F991" s="778"/>
      <c r="G991" s="778"/>
      <c r="H991" s="778"/>
      <c r="I991" s="778"/>
      <c r="J991" s="778"/>
      <c r="K991" s="778"/>
      <c r="L991" s="782" t="s">
        <v>71</v>
      </c>
      <c r="M991" s="782" t="s">
        <v>71</v>
      </c>
      <c r="N991" s="782"/>
      <c r="O991" s="782"/>
      <c r="P991" s="783"/>
      <c r="Q991" s="784"/>
      <c r="R991" s="783"/>
      <c r="S991" s="785"/>
      <c r="T991" s="785"/>
    </row>
    <row r="992">
      <c r="A992" s="777"/>
      <c r="B992" s="778"/>
      <c r="C992" s="779"/>
      <c r="D992" s="780"/>
      <c r="E992" s="781" t="s">
        <v>71</v>
      </c>
      <c r="F992" s="778"/>
      <c r="G992" s="778"/>
      <c r="H992" s="778"/>
      <c r="I992" s="778"/>
      <c r="J992" s="778"/>
      <c r="K992" s="778"/>
      <c r="L992" s="782" t="s">
        <v>71</v>
      </c>
      <c r="M992" s="782" t="s">
        <v>71</v>
      </c>
      <c r="N992" s="782"/>
      <c r="O992" s="782"/>
      <c r="P992" s="783"/>
      <c r="Q992" s="784"/>
      <c r="R992" s="783"/>
      <c r="S992" s="785"/>
      <c r="T992" s="785"/>
    </row>
    <row r="993">
      <c r="A993" s="777"/>
      <c r="B993" s="778"/>
      <c r="C993" s="779"/>
      <c r="D993" s="780"/>
      <c r="E993" s="781" t="s">
        <v>71</v>
      </c>
      <c r="F993" s="778"/>
      <c r="G993" s="778"/>
      <c r="H993" s="778"/>
      <c r="I993" s="778"/>
      <c r="J993" s="778"/>
      <c r="K993" s="778"/>
      <c r="L993" s="782" t="s">
        <v>71</v>
      </c>
      <c r="M993" s="782" t="s">
        <v>71</v>
      </c>
      <c r="N993" s="782"/>
      <c r="O993" s="782"/>
      <c r="P993" s="783"/>
      <c r="Q993" s="784"/>
      <c r="R993" s="783"/>
      <c r="S993" s="785"/>
      <c r="T993" s="785"/>
    </row>
    <row r="994">
      <c r="A994" s="777"/>
      <c r="B994" s="778"/>
      <c r="C994" s="779"/>
      <c r="D994" s="780"/>
      <c r="E994" s="781" t="s">
        <v>71</v>
      </c>
      <c r="F994" s="778"/>
      <c r="G994" s="778"/>
      <c r="H994" s="778"/>
      <c r="I994" s="778"/>
      <c r="J994" s="778"/>
      <c r="K994" s="778"/>
      <c r="L994" s="782" t="s">
        <v>71</v>
      </c>
      <c r="M994" s="782" t="s">
        <v>71</v>
      </c>
      <c r="N994" s="782"/>
      <c r="O994" s="782"/>
      <c r="P994" s="783"/>
      <c r="Q994" s="784"/>
      <c r="R994" s="783"/>
      <c r="S994" s="785"/>
      <c r="T994" s="785"/>
    </row>
    <row r="995">
      <c r="A995" s="777"/>
      <c r="B995" s="778"/>
      <c r="C995" s="779"/>
      <c r="D995" s="780"/>
      <c r="E995" s="781" t="s">
        <v>71</v>
      </c>
      <c r="F995" s="778"/>
      <c r="G995" s="778"/>
      <c r="H995" s="778"/>
      <c r="I995" s="778"/>
      <c r="J995" s="778"/>
      <c r="K995" s="778"/>
      <c r="L995" s="782" t="s">
        <v>71</v>
      </c>
      <c r="M995" s="782" t="s">
        <v>71</v>
      </c>
      <c r="N995" s="782"/>
      <c r="O995" s="782"/>
      <c r="P995" s="783"/>
      <c r="Q995" s="784"/>
      <c r="R995" s="783"/>
      <c r="S995" s="785"/>
      <c r="T995" s="785"/>
    </row>
    <row r="996">
      <c r="A996" s="777"/>
      <c r="B996" s="778"/>
      <c r="C996" s="779"/>
      <c r="D996" s="780"/>
      <c r="E996" s="781" t="s">
        <v>71</v>
      </c>
      <c r="F996" s="778"/>
      <c r="G996" s="778"/>
      <c r="H996" s="778"/>
      <c r="I996" s="778"/>
      <c r="J996" s="778"/>
      <c r="K996" s="778"/>
      <c r="L996" s="782" t="s">
        <v>71</v>
      </c>
      <c r="M996" s="782" t="s">
        <v>71</v>
      </c>
      <c r="N996" s="782"/>
      <c r="O996" s="782"/>
      <c r="P996" s="783"/>
      <c r="Q996" s="784"/>
      <c r="R996" s="783"/>
      <c r="S996" s="785"/>
      <c r="T996" s="785"/>
    </row>
    <row r="997">
      <c r="A997" s="777"/>
      <c r="B997" s="778"/>
      <c r="C997" s="779"/>
      <c r="D997" s="780"/>
      <c r="E997" s="781" t="s">
        <v>71</v>
      </c>
      <c r="F997" s="778"/>
      <c r="G997" s="778"/>
      <c r="H997" s="778"/>
      <c r="I997" s="778"/>
      <c r="J997" s="778"/>
      <c r="K997" s="778"/>
      <c r="L997" s="782" t="s">
        <v>71</v>
      </c>
      <c r="M997" s="782" t="s">
        <v>71</v>
      </c>
      <c r="N997" s="782"/>
      <c r="O997" s="782"/>
      <c r="P997" s="783"/>
      <c r="Q997" s="784"/>
      <c r="R997" s="783"/>
      <c r="S997" s="785"/>
      <c r="T997" s="785"/>
    </row>
    <row r="998">
      <c r="A998" s="777"/>
      <c r="B998" s="778"/>
      <c r="C998" s="779"/>
      <c r="D998" s="780"/>
      <c r="E998" s="781" t="s">
        <v>71</v>
      </c>
      <c r="F998" s="778"/>
      <c r="G998" s="778"/>
      <c r="H998" s="778"/>
      <c r="I998" s="778"/>
      <c r="J998" s="778"/>
      <c r="K998" s="778"/>
      <c r="L998" s="782" t="s">
        <v>71</v>
      </c>
      <c r="M998" s="782" t="s">
        <v>71</v>
      </c>
      <c r="N998" s="782"/>
      <c r="O998" s="782"/>
      <c r="P998" s="783"/>
      <c r="Q998" s="784"/>
      <c r="R998" s="783"/>
      <c r="S998" s="785"/>
      <c r="T998" s="785"/>
    </row>
    <row r="999">
      <c r="A999" s="777"/>
      <c r="B999" s="778"/>
      <c r="C999" s="779"/>
      <c r="D999" s="780"/>
      <c r="E999" s="781" t="s">
        <v>71</v>
      </c>
      <c r="F999" s="778"/>
      <c r="G999" s="778"/>
      <c r="H999" s="778"/>
      <c r="I999" s="778"/>
      <c r="J999" s="778"/>
      <c r="K999" s="778"/>
      <c r="L999" s="782" t="s">
        <v>71</v>
      </c>
      <c r="M999" s="782" t="s">
        <v>71</v>
      </c>
      <c r="N999" s="782"/>
      <c r="O999" s="782"/>
      <c r="P999" s="783"/>
      <c r="Q999" s="784"/>
      <c r="R999" s="783"/>
      <c r="S999" s="785"/>
      <c r="T999" s="785"/>
    </row>
    <row r="1000">
      <c r="A1000" s="777"/>
      <c r="B1000" s="778"/>
      <c r="C1000" s="779"/>
      <c r="D1000" s="780"/>
      <c r="E1000" s="781" t="s">
        <v>71</v>
      </c>
      <c r="F1000" s="778"/>
      <c r="G1000" s="778"/>
      <c r="H1000" s="778"/>
      <c r="I1000" s="778"/>
      <c r="J1000" s="778"/>
      <c r="K1000" s="778"/>
      <c r="L1000" s="782" t="s">
        <v>71</v>
      </c>
      <c r="M1000" s="782" t="s">
        <v>71</v>
      </c>
      <c r="N1000" s="782"/>
      <c r="O1000" s="782"/>
      <c r="P1000" s="783"/>
      <c r="Q1000" s="784"/>
      <c r="R1000" s="783"/>
      <c r="S1000" s="785"/>
      <c r="T1000" s="785"/>
    </row>
    <row r="1001">
      <c r="A1001" s="777"/>
      <c r="B1001" s="778"/>
      <c r="C1001" s="779"/>
      <c r="D1001" s="780"/>
      <c r="E1001" s="781" t="s">
        <v>71</v>
      </c>
      <c r="F1001" s="778"/>
      <c r="G1001" s="778"/>
      <c r="H1001" s="778"/>
      <c r="I1001" s="778"/>
      <c r="J1001" s="778"/>
      <c r="K1001" s="778"/>
      <c r="L1001" s="782" t="s">
        <v>71</v>
      </c>
      <c r="M1001" s="782" t="s">
        <v>71</v>
      </c>
      <c r="N1001" s="782"/>
      <c r="O1001" s="782"/>
      <c r="P1001" s="783"/>
      <c r="Q1001" s="784"/>
      <c r="R1001" s="783"/>
      <c r="S1001" s="785"/>
      <c r="T1001" s="785"/>
    </row>
    <row r="1002">
      <c r="A1002" s="777"/>
      <c r="B1002" s="778"/>
      <c r="C1002" s="779"/>
      <c r="D1002" s="780"/>
      <c r="E1002" s="781" t="s">
        <v>71</v>
      </c>
      <c r="F1002" s="778"/>
      <c r="G1002" s="778"/>
      <c r="H1002" s="778"/>
      <c r="I1002" s="778"/>
      <c r="J1002" s="778"/>
      <c r="K1002" s="778"/>
      <c r="L1002" s="782" t="s">
        <v>71</v>
      </c>
      <c r="M1002" s="782" t="s">
        <v>71</v>
      </c>
      <c r="N1002" s="782"/>
      <c r="O1002" s="782"/>
      <c r="P1002" s="783"/>
      <c r="Q1002" s="784"/>
      <c r="R1002" s="783"/>
      <c r="S1002" s="785"/>
      <c r="T1002" s="785"/>
    </row>
    <row r="1003">
      <c r="A1003" s="777"/>
      <c r="B1003" s="778"/>
      <c r="C1003" s="779"/>
      <c r="D1003" s="780"/>
      <c r="E1003" s="781" t="s">
        <v>71</v>
      </c>
      <c r="F1003" s="778"/>
      <c r="G1003" s="778"/>
      <c r="H1003" s="778"/>
      <c r="I1003" s="778"/>
      <c r="J1003" s="778"/>
      <c r="K1003" s="778"/>
      <c r="L1003" s="782" t="s">
        <v>71</v>
      </c>
      <c r="M1003" s="782" t="s">
        <v>71</v>
      </c>
      <c r="N1003" s="782"/>
      <c r="O1003" s="782"/>
      <c r="P1003" s="783"/>
      <c r="Q1003" s="784"/>
      <c r="R1003" s="783"/>
      <c r="S1003" s="785"/>
      <c r="T1003" s="785"/>
    </row>
    <row r="1004">
      <c r="A1004" s="777"/>
      <c r="B1004" s="778"/>
      <c r="C1004" s="779"/>
      <c r="D1004" s="780"/>
      <c r="E1004" s="781" t="s">
        <v>71</v>
      </c>
      <c r="F1004" s="778"/>
      <c r="G1004" s="778"/>
      <c r="H1004" s="778"/>
      <c r="I1004" s="778"/>
      <c r="J1004" s="778"/>
      <c r="K1004" s="778"/>
      <c r="L1004" s="782" t="s">
        <v>71</v>
      </c>
      <c r="M1004" s="782" t="s">
        <v>71</v>
      </c>
      <c r="N1004" s="782"/>
      <c r="O1004" s="782"/>
      <c r="P1004" s="783"/>
      <c r="Q1004" s="784"/>
      <c r="R1004" s="783"/>
      <c r="S1004" s="785"/>
      <c r="T1004" s="785"/>
    </row>
    <row r="1005">
      <c r="A1005" s="777"/>
      <c r="B1005" s="778"/>
      <c r="C1005" s="779"/>
      <c r="D1005" s="780"/>
      <c r="E1005" s="781" t="s">
        <v>71</v>
      </c>
      <c r="F1005" s="778"/>
      <c r="G1005" s="778"/>
      <c r="H1005" s="778"/>
      <c r="I1005" s="778"/>
      <c r="J1005" s="778"/>
      <c r="K1005" s="778"/>
      <c r="L1005" s="782" t="s">
        <v>71</v>
      </c>
      <c r="M1005" s="782" t="s">
        <v>71</v>
      </c>
      <c r="N1005" s="782"/>
      <c r="O1005" s="782"/>
      <c r="P1005" s="783"/>
      <c r="Q1005" s="784"/>
      <c r="R1005" s="783"/>
      <c r="S1005" s="785"/>
      <c r="T1005" s="785"/>
    </row>
    <row r="1006">
      <c r="A1006" s="777"/>
      <c r="B1006" s="778"/>
      <c r="C1006" s="779"/>
      <c r="D1006" s="780"/>
      <c r="E1006" s="781" t="s">
        <v>71</v>
      </c>
      <c r="F1006" s="778"/>
      <c r="G1006" s="778"/>
      <c r="H1006" s="778"/>
      <c r="I1006" s="778"/>
      <c r="J1006" s="778"/>
      <c r="K1006" s="778"/>
      <c r="L1006" s="782" t="s">
        <v>71</v>
      </c>
      <c r="M1006" s="782" t="s">
        <v>71</v>
      </c>
      <c r="N1006" s="782"/>
      <c r="O1006" s="782"/>
      <c r="P1006" s="783"/>
      <c r="Q1006" s="784"/>
      <c r="R1006" s="783"/>
      <c r="S1006" s="785"/>
      <c r="T1006" s="785"/>
    </row>
    <row r="1007">
      <c r="A1007" s="777"/>
      <c r="B1007" s="778"/>
      <c r="C1007" s="779"/>
      <c r="D1007" s="780"/>
      <c r="E1007" s="781" t="s">
        <v>71</v>
      </c>
      <c r="F1007" s="778"/>
      <c r="G1007" s="778"/>
      <c r="H1007" s="778"/>
      <c r="I1007" s="778"/>
      <c r="J1007" s="778"/>
      <c r="K1007" s="778"/>
      <c r="L1007" s="782" t="s">
        <v>71</v>
      </c>
      <c r="M1007" s="782" t="s">
        <v>71</v>
      </c>
      <c r="N1007" s="782"/>
      <c r="O1007" s="782"/>
      <c r="P1007" s="783"/>
      <c r="Q1007" s="784"/>
      <c r="R1007" s="783"/>
      <c r="S1007" s="785"/>
      <c r="T1007" s="785"/>
    </row>
    <row r="1008">
      <c r="A1008" s="777"/>
      <c r="B1008" s="778"/>
      <c r="C1008" s="779"/>
      <c r="D1008" s="780"/>
      <c r="E1008" s="781" t="s">
        <v>71</v>
      </c>
      <c r="F1008" s="778"/>
      <c r="G1008" s="778"/>
      <c r="H1008" s="778"/>
      <c r="I1008" s="778"/>
      <c r="J1008" s="778"/>
      <c r="K1008" s="778"/>
      <c r="L1008" s="782" t="s">
        <v>71</v>
      </c>
      <c r="M1008" s="782" t="s">
        <v>71</v>
      </c>
      <c r="N1008" s="782"/>
      <c r="O1008" s="782"/>
      <c r="P1008" s="783"/>
      <c r="Q1008" s="784"/>
      <c r="R1008" s="783"/>
      <c r="S1008" s="785"/>
      <c r="T1008" s="785"/>
    </row>
    <row r="1009">
      <c r="A1009" s="777"/>
      <c r="B1009" s="778"/>
      <c r="C1009" s="779"/>
      <c r="D1009" s="780"/>
      <c r="E1009" s="781" t="s">
        <v>71</v>
      </c>
      <c r="F1009" s="778"/>
      <c r="G1009" s="778"/>
      <c r="H1009" s="778"/>
      <c r="I1009" s="778"/>
      <c r="J1009" s="778"/>
      <c r="K1009" s="778"/>
      <c r="L1009" s="782" t="s">
        <v>71</v>
      </c>
      <c r="M1009" s="782" t="s">
        <v>71</v>
      </c>
      <c r="N1009" s="782"/>
      <c r="O1009" s="782"/>
      <c r="P1009" s="783"/>
      <c r="Q1009" s="784"/>
      <c r="R1009" s="783"/>
      <c r="S1009" s="785"/>
      <c r="T1009" s="785"/>
    </row>
    <row r="1010">
      <c r="A1010" s="777"/>
      <c r="B1010" s="778"/>
      <c r="C1010" s="779"/>
      <c r="D1010" s="780"/>
      <c r="E1010" s="781" t="s">
        <v>71</v>
      </c>
      <c r="F1010" s="778"/>
      <c r="G1010" s="778"/>
      <c r="H1010" s="778"/>
      <c r="I1010" s="778"/>
      <c r="J1010" s="778"/>
      <c r="K1010" s="778"/>
      <c r="L1010" s="782" t="s">
        <v>71</v>
      </c>
      <c r="M1010" s="782" t="s">
        <v>71</v>
      </c>
      <c r="N1010" s="782"/>
      <c r="O1010" s="782"/>
      <c r="P1010" s="783"/>
      <c r="Q1010" s="784"/>
      <c r="R1010" s="783"/>
      <c r="S1010" s="785"/>
      <c r="T1010" s="785"/>
    </row>
    <row r="1011">
      <c r="A1011" s="777"/>
      <c r="B1011" s="778"/>
      <c r="C1011" s="779"/>
      <c r="D1011" s="780"/>
      <c r="E1011" s="781" t="s">
        <v>71</v>
      </c>
      <c r="F1011" s="778"/>
      <c r="G1011" s="778"/>
      <c r="H1011" s="778"/>
      <c r="I1011" s="778"/>
      <c r="J1011" s="778"/>
      <c r="K1011" s="778"/>
      <c r="L1011" s="782" t="s">
        <v>71</v>
      </c>
      <c r="M1011" s="782" t="s">
        <v>71</v>
      </c>
      <c r="N1011" s="782"/>
      <c r="O1011" s="782"/>
      <c r="P1011" s="783"/>
      <c r="Q1011" s="784"/>
      <c r="R1011" s="783"/>
      <c r="S1011" s="785"/>
      <c r="T1011" s="785"/>
    </row>
    <row r="1012">
      <c r="A1012" s="777"/>
      <c r="B1012" s="778"/>
      <c r="C1012" s="779"/>
      <c r="D1012" s="780"/>
      <c r="E1012" s="781" t="s">
        <v>71</v>
      </c>
      <c r="F1012" s="778"/>
      <c r="G1012" s="778"/>
      <c r="H1012" s="778"/>
      <c r="I1012" s="778"/>
      <c r="J1012" s="778"/>
      <c r="K1012" s="778"/>
      <c r="L1012" s="782" t="s">
        <v>71</v>
      </c>
      <c r="M1012" s="782" t="s">
        <v>71</v>
      </c>
      <c r="N1012" s="782"/>
      <c r="O1012" s="782"/>
      <c r="P1012" s="783"/>
      <c r="Q1012" s="784"/>
      <c r="R1012" s="783"/>
      <c r="S1012" s="785"/>
      <c r="T1012" s="785"/>
    </row>
    <row r="1013">
      <c r="A1013" s="777"/>
      <c r="B1013" s="778"/>
      <c r="C1013" s="779"/>
      <c r="D1013" s="780"/>
      <c r="E1013" s="781" t="s">
        <v>71</v>
      </c>
      <c r="F1013" s="778"/>
      <c r="G1013" s="778"/>
      <c r="H1013" s="778"/>
      <c r="I1013" s="778"/>
      <c r="J1013" s="778"/>
      <c r="K1013" s="778"/>
      <c r="L1013" s="782" t="s">
        <v>71</v>
      </c>
      <c r="M1013" s="782" t="s">
        <v>71</v>
      </c>
      <c r="N1013" s="782"/>
      <c r="O1013" s="782"/>
      <c r="P1013" s="783"/>
      <c r="Q1013" s="784"/>
      <c r="R1013" s="783"/>
      <c r="S1013" s="785"/>
      <c r="T1013" s="785"/>
    </row>
    <row r="1014">
      <c r="A1014" s="777"/>
      <c r="B1014" s="778"/>
      <c r="C1014" s="779"/>
      <c r="D1014" s="780"/>
      <c r="E1014" s="781" t="s">
        <v>71</v>
      </c>
      <c r="F1014" s="778"/>
      <c r="G1014" s="778"/>
      <c r="H1014" s="778"/>
      <c r="I1014" s="778"/>
      <c r="J1014" s="778"/>
      <c r="K1014" s="778"/>
      <c r="L1014" s="782" t="s">
        <v>71</v>
      </c>
      <c r="M1014" s="782" t="s">
        <v>71</v>
      </c>
      <c r="N1014" s="782"/>
      <c r="O1014" s="782"/>
      <c r="P1014" s="783"/>
      <c r="Q1014" s="784"/>
      <c r="R1014" s="783"/>
      <c r="S1014" s="785"/>
      <c r="T1014" s="785"/>
    </row>
    <row r="1015">
      <c r="A1015" s="777"/>
      <c r="B1015" s="778"/>
      <c r="C1015" s="779"/>
      <c r="D1015" s="780"/>
      <c r="E1015" s="781" t="s">
        <v>71</v>
      </c>
      <c r="F1015" s="778"/>
      <c r="G1015" s="778"/>
      <c r="H1015" s="778"/>
      <c r="I1015" s="778"/>
      <c r="J1015" s="778"/>
      <c r="K1015" s="778"/>
      <c r="L1015" s="782" t="s">
        <v>71</v>
      </c>
      <c r="M1015" s="782" t="s">
        <v>71</v>
      </c>
      <c r="N1015" s="782"/>
      <c r="O1015" s="782"/>
      <c r="P1015" s="783"/>
      <c r="Q1015" s="784"/>
      <c r="R1015" s="783"/>
      <c r="S1015" s="785"/>
      <c r="T1015" s="785"/>
    </row>
    <row r="1016">
      <c r="A1016" s="777"/>
      <c r="B1016" s="778"/>
      <c r="C1016" s="779"/>
      <c r="D1016" s="780"/>
      <c r="E1016" s="781" t="s">
        <v>71</v>
      </c>
      <c r="F1016" s="778"/>
      <c r="G1016" s="778"/>
      <c r="H1016" s="778"/>
      <c r="I1016" s="778"/>
      <c r="J1016" s="778"/>
      <c r="K1016" s="778"/>
      <c r="L1016" s="782" t="s">
        <v>71</v>
      </c>
      <c r="M1016" s="782" t="s">
        <v>71</v>
      </c>
      <c r="N1016" s="782"/>
      <c r="O1016" s="782"/>
      <c r="P1016" s="783"/>
      <c r="Q1016" s="784"/>
      <c r="R1016" s="783"/>
      <c r="S1016" s="785"/>
      <c r="T1016" s="785"/>
    </row>
    <row r="1017">
      <c r="A1017" s="777"/>
      <c r="B1017" s="778"/>
      <c r="C1017" s="779"/>
      <c r="D1017" s="780"/>
      <c r="E1017" s="781" t="s">
        <v>71</v>
      </c>
      <c r="F1017" s="778"/>
      <c r="G1017" s="778"/>
      <c r="H1017" s="778"/>
      <c r="I1017" s="778"/>
      <c r="J1017" s="778"/>
      <c r="K1017" s="778"/>
      <c r="L1017" s="782" t="s">
        <v>71</v>
      </c>
      <c r="M1017" s="782" t="s">
        <v>71</v>
      </c>
      <c r="N1017" s="782"/>
      <c r="O1017" s="782"/>
      <c r="P1017" s="783"/>
      <c r="Q1017" s="784"/>
      <c r="R1017" s="783"/>
      <c r="S1017" s="785"/>
      <c r="T1017" s="785"/>
    </row>
    <row r="1018">
      <c r="A1018" s="777"/>
      <c r="B1018" s="778"/>
      <c r="C1018" s="779"/>
      <c r="D1018" s="780"/>
      <c r="E1018" s="781" t="s">
        <v>71</v>
      </c>
      <c r="F1018" s="778"/>
      <c r="G1018" s="778"/>
      <c r="H1018" s="778"/>
      <c r="I1018" s="778"/>
      <c r="J1018" s="778"/>
      <c r="K1018" s="778"/>
      <c r="L1018" s="782" t="s">
        <v>71</v>
      </c>
      <c r="M1018" s="782" t="s">
        <v>71</v>
      </c>
      <c r="N1018" s="782"/>
      <c r="O1018" s="782"/>
      <c r="P1018" s="783"/>
      <c r="Q1018" s="784"/>
      <c r="R1018" s="783"/>
      <c r="S1018" s="785"/>
      <c r="T1018" s="785"/>
    </row>
    <row r="1019">
      <c r="A1019" s="777"/>
      <c r="B1019" s="778"/>
      <c r="C1019" s="779"/>
      <c r="D1019" s="780"/>
      <c r="E1019" s="781" t="s">
        <v>71</v>
      </c>
      <c r="F1019" s="778"/>
      <c r="G1019" s="778"/>
      <c r="H1019" s="778"/>
      <c r="I1019" s="778"/>
      <c r="J1019" s="778"/>
      <c r="K1019" s="778"/>
      <c r="L1019" s="782" t="s">
        <v>71</v>
      </c>
      <c r="M1019" s="782" t="s">
        <v>71</v>
      </c>
      <c r="N1019" s="782"/>
      <c r="O1019" s="782"/>
      <c r="P1019" s="783"/>
      <c r="Q1019" s="784"/>
      <c r="R1019" s="783"/>
      <c r="S1019" s="785"/>
      <c r="T1019" s="785"/>
    </row>
    <row r="1020">
      <c r="A1020" s="777"/>
      <c r="B1020" s="778"/>
      <c r="C1020" s="779"/>
      <c r="D1020" s="780"/>
      <c r="E1020" s="781" t="s">
        <v>71</v>
      </c>
      <c r="F1020" s="778"/>
      <c r="G1020" s="778"/>
      <c r="H1020" s="778"/>
      <c r="I1020" s="778"/>
      <c r="J1020" s="778"/>
      <c r="K1020" s="778"/>
      <c r="L1020" s="782" t="s">
        <v>71</v>
      </c>
      <c r="M1020" s="782" t="s">
        <v>71</v>
      </c>
      <c r="N1020" s="782"/>
      <c r="O1020" s="782"/>
      <c r="P1020" s="783"/>
      <c r="Q1020" s="784"/>
      <c r="R1020" s="783"/>
      <c r="S1020" s="785"/>
      <c r="T1020" s="785"/>
    </row>
    <row r="1021">
      <c r="A1021" s="777"/>
      <c r="B1021" s="778"/>
      <c r="C1021" s="779"/>
      <c r="D1021" s="780"/>
      <c r="E1021" s="781" t="s">
        <v>71</v>
      </c>
      <c r="F1021" s="778"/>
      <c r="G1021" s="778"/>
      <c r="H1021" s="778"/>
      <c r="I1021" s="778"/>
      <c r="J1021" s="778"/>
      <c r="K1021" s="778"/>
      <c r="L1021" s="782" t="s">
        <v>71</v>
      </c>
      <c r="M1021" s="782" t="s">
        <v>71</v>
      </c>
      <c r="N1021" s="782"/>
      <c r="O1021" s="782"/>
      <c r="P1021" s="783"/>
      <c r="Q1021" s="784"/>
      <c r="R1021" s="783"/>
      <c r="S1021" s="785"/>
      <c r="T1021" s="785"/>
    </row>
    <row r="1022">
      <c r="A1022" s="777"/>
      <c r="B1022" s="778"/>
      <c r="C1022" s="779"/>
      <c r="D1022" s="780"/>
      <c r="E1022" s="781" t="s">
        <v>71</v>
      </c>
      <c r="F1022" s="778"/>
      <c r="G1022" s="778"/>
      <c r="H1022" s="778"/>
      <c r="I1022" s="778"/>
      <c r="J1022" s="778"/>
      <c r="K1022" s="778"/>
      <c r="L1022" s="782" t="s">
        <v>71</v>
      </c>
      <c r="M1022" s="782" t="s">
        <v>71</v>
      </c>
      <c r="N1022" s="782"/>
      <c r="O1022" s="782"/>
      <c r="P1022" s="783"/>
      <c r="Q1022" s="784"/>
      <c r="R1022" s="783"/>
      <c r="S1022" s="785"/>
      <c r="T1022" s="785"/>
    </row>
    <row r="1023">
      <c r="A1023" s="777"/>
      <c r="B1023" s="778"/>
      <c r="C1023" s="779"/>
      <c r="D1023" s="780"/>
      <c r="E1023" s="781" t="s">
        <v>71</v>
      </c>
      <c r="F1023" s="778"/>
      <c r="G1023" s="778"/>
      <c r="H1023" s="778"/>
      <c r="I1023" s="778"/>
      <c r="J1023" s="778"/>
      <c r="K1023" s="778"/>
      <c r="L1023" s="782" t="s">
        <v>71</v>
      </c>
      <c r="M1023" s="782" t="s">
        <v>71</v>
      </c>
      <c r="N1023" s="782"/>
      <c r="O1023" s="782"/>
      <c r="P1023" s="783"/>
      <c r="Q1023" s="784"/>
      <c r="R1023" s="783"/>
      <c r="S1023" s="785"/>
      <c r="T1023" s="785"/>
    </row>
    <row r="1024">
      <c r="A1024" s="777"/>
      <c r="B1024" s="778"/>
      <c r="C1024" s="779"/>
      <c r="D1024" s="780"/>
      <c r="E1024" s="781" t="s">
        <v>71</v>
      </c>
      <c r="F1024" s="778"/>
      <c r="G1024" s="778"/>
      <c r="H1024" s="778"/>
      <c r="I1024" s="778"/>
      <c r="J1024" s="778"/>
      <c r="K1024" s="778"/>
      <c r="L1024" s="782" t="s">
        <v>71</v>
      </c>
      <c r="M1024" s="782" t="s">
        <v>71</v>
      </c>
      <c r="N1024" s="782"/>
      <c r="O1024" s="782"/>
      <c r="P1024" s="783"/>
      <c r="Q1024" s="784"/>
      <c r="R1024" s="783"/>
      <c r="S1024" s="785"/>
      <c r="T1024" s="785"/>
    </row>
    <row r="1025">
      <c r="A1025" s="777"/>
      <c r="B1025" s="778"/>
      <c r="C1025" s="779"/>
      <c r="D1025" s="780"/>
      <c r="E1025" s="781" t="s">
        <v>71</v>
      </c>
      <c r="F1025" s="778"/>
      <c r="G1025" s="778"/>
      <c r="H1025" s="778"/>
      <c r="I1025" s="778"/>
      <c r="J1025" s="778"/>
      <c r="K1025" s="778"/>
      <c r="L1025" s="782" t="s">
        <v>71</v>
      </c>
      <c r="M1025" s="782" t="s">
        <v>71</v>
      </c>
      <c r="N1025" s="782"/>
      <c r="O1025" s="782"/>
      <c r="P1025" s="783"/>
      <c r="Q1025" s="784"/>
      <c r="R1025" s="783"/>
      <c r="S1025" s="785"/>
      <c r="T1025" s="785"/>
    </row>
    <row r="1026">
      <c r="A1026" s="777"/>
      <c r="B1026" s="778"/>
      <c r="C1026" s="779"/>
      <c r="D1026" s="780"/>
      <c r="E1026" s="781" t="s">
        <v>71</v>
      </c>
      <c r="F1026" s="778"/>
      <c r="G1026" s="778"/>
      <c r="H1026" s="778"/>
      <c r="I1026" s="778"/>
      <c r="J1026" s="778"/>
      <c r="K1026" s="778"/>
      <c r="L1026" s="782" t="s">
        <v>71</v>
      </c>
      <c r="M1026" s="782" t="s">
        <v>71</v>
      </c>
      <c r="N1026" s="782"/>
      <c r="O1026" s="782"/>
      <c r="P1026" s="783"/>
      <c r="Q1026" s="784"/>
      <c r="R1026" s="783"/>
      <c r="S1026" s="785"/>
      <c r="T1026" s="785"/>
    </row>
    <row r="1027">
      <c r="A1027" s="777"/>
      <c r="B1027" s="778"/>
      <c r="C1027" s="779"/>
      <c r="D1027" s="780"/>
      <c r="E1027" s="781" t="s">
        <v>71</v>
      </c>
      <c r="F1027" s="778"/>
      <c r="G1027" s="778"/>
      <c r="H1027" s="778"/>
      <c r="I1027" s="778"/>
      <c r="J1027" s="778"/>
      <c r="K1027" s="778"/>
      <c r="L1027" s="782" t="s">
        <v>71</v>
      </c>
      <c r="M1027" s="782" t="s">
        <v>71</v>
      </c>
      <c r="N1027" s="782"/>
      <c r="O1027" s="782"/>
      <c r="P1027" s="783"/>
      <c r="Q1027" s="784"/>
      <c r="R1027" s="783"/>
      <c r="S1027" s="785"/>
      <c r="T1027" s="785"/>
    </row>
    <row r="1028">
      <c r="A1028" s="777"/>
      <c r="B1028" s="778"/>
      <c r="C1028" s="779"/>
      <c r="D1028" s="780"/>
      <c r="E1028" s="781" t="s">
        <v>71</v>
      </c>
      <c r="F1028" s="778"/>
      <c r="G1028" s="778"/>
      <c r="H1028" s="778"/>
      <c r="I1028" s="778"/>
      <c r="J1028" s="778"/>
      <c r="K1028" s="778"/>
      <c r="L1028" s="782" t="s">
        <v>71</v>
      </c>
      <c r="M1028" s="782" t="s">
        <v>71</v>
      </c>
      <c r="N1028" s="782"/>
      <c r="O1028" s="782"/>
      <c r="P1028" s="783"/>
      <c r="Q1028" s="784"/>
      <c r="R1028" s="783"/>
      <c r="S1028" s="785"/>
      <c r="T1028" s="785"/>
    </row>
    <row r="1029">
      <c r="A1029" s="777"/>
      <c r="B1029" s="778"/>
      <c r="C1029" s="779"/>
      <c r="D1029" s="780"/>
      <c r="E1029" s="781" t="s">
        <v>71</v>
      </c>
      <c r="F1029" s="778"/>
      <c r="G1029" s="778"/>
      <c r="H1029" s="778"/>
      <c r="I1029" s="778"/>
      <c r="J1029" s="778"/>
      <c r="K1029" s="778"/>
      <c r="L1029" s="782" t="s">
        <v>71</v>
      </c>
      <c r="M1029" s="782" t="s">
        <v>71</v>
      </c>
      <c r="N1029" s="782"/>
      <c r="O1029" s="782"/>
      <c r="P1029" s="783"/>
      <c r="Q1029" s="784"/>
      <c r="R1029" s="783"/>
      <c r="S1029" s="785"/>
      <c r="T1029" s="785"/>
    </row>
    <row r="1030">
      <c r="A1030" s="777"/>
      <c r="B1030" s="778"/>
      <c r="C1030" s="779"/>
      <c r="D1030" s="780"/>
      <c r="E1030" s="781" t="s">
        <v>71</v>
      </c>
      <c r="F1030" s="778"/>
      <c r="G1030" s="778"/>
      <c r="H1030" s="778"/>
      <c r="I1030" s="778"/>
      <c r="J1030" s="778"/>
      <c r="K1030" s="778"/>
      <c r="L1030" s="782" t="s">
        <v>71</v>
      </c>
      <c r="M1030" s="782" t="s">
        <v>71</v>
      </c>
      <c r="N1030" s="782"/>
      <c r="O1030" s="782"/>
      <c r="P1030" s="783"/>
      <c r="Q1030" s="784"/>
      <c r="R1030" s="783"/>
      <c r="S1030" s="785"/>
      <c r="T1030" s="785"/>
    </row>
    <row r="1031">
      <c r="A1031" s="777"/>
      <c r="B1031" s="778"/>
      <c r="C1031" s="779"/>
      <c r="D1031" s="780"/>
      <c r="E1031" s="781" t="s">
        <v>71</v>
      </c>
      <c r="F1031" s="778"/>
      <c r="G1031" s="778"/>
      <c r="H1031" s="778"/>
      <c r="I1031" s="778"/>
      <c r="J1031" s="778"/>
      <c r="K1031" s="778"/>
      <c r="L1031" s="782" t="s">
        <v>71</v>
      </c>
      <c r="M1031" s="782" t="s">
        <v>71</v>
      </c>
      <c r="N1031" s="782"/>
      <c r="O1031" s="782"/>
      <c r="P1031" s="783"/>
      <c r="Q1031" s="784"/>
      <c r="R1031" s="783"/>
      <c r="S1031" s="785"/>
      <c r="T1031" s="785"/>
    </row>
    <row r="1032">
      <c r="A1032" s="777"/>
      <c r="B1032" s="778"/>
      <c r="C1032" s="779"/>
      <c r="D1032" s="780"/>
      <c r="E1032" s="781" t="s">
        <v>71</v>
      </c>
      <c r="F1032" s="778"/>
      <c r="G1032" s="778"/>
      <c r="H1032" s="778"/>
      <c r="I1032" s="778"/>
      <c r="J1032" s="778"/>
      <c r="K1032" s="778"/>
      <c r="L1032" s="782" t="s">
        <v>71</v>
      </c>
      <c r="M1032" s="782" t="s">
        <v>71</v>
      </c>
      <c r="N1032" s="782"/>
      <c r="O1032" s="782"/>
      <c r="P1032" s="783"/>
      <c r="Q1032" s="784"/>
      <c r="R1032" s="783"/>
      <c r="S1032" s="785"/>
      <c r="T1032" s="785"/>
    </row>
    <row r="1033">
      <c r="A1033" s="777"/>
      <c r="B1033" s="778"/>
      <c r="C1033" s="779"/>
      <c r="D1033" s="780"/>
      <c r="E1033" s="781" t="s">
        <v>71</v>
      </c>
      <c r="F1033" s="778"/>
      <c r="G1033" s="778"/>
      <c r="H1033" s="778"/>
      <c r="I1033" s="778"/>
      <c r="J1033" s="778"/>
      <c r="K1033" s="778"/>
      <c r="L1033" s="782" t="s">
        <v>71</v>
      </c>
      <c r="M1033" s="782" t="s">
        <v>71</v>
      </c>
      <c r="N1033" s="782"/>
      <c r="O1033" s="782"/>
      <c r="P1033" s="783"/>
      <c r="Q1033" s="784"/>
      <c r="R1033" s="783"/>
      <c r="S1033" s="785"/>
      <c r="T1033" s="785"/>
    </row>
    <row r="1034">
      <c r="A1034" s="777"/>
      <c r="B1034" s="778"/>
      <c r="C1034" s="779"/>
      <c r="D1034" s="780"/>
      <c r="E1034" s="781" t="s">
        <v>71</v>
      </c>
      <c r="F1034" s="778"/>
      <c r="G1034" s="778"/>
      <c r="H1034" s="778"/>
      <c r="I1034" s="778"/>
      <c r="J1034" s="778"/>
      <c r="K1034" s="778"/>
      <c r="L1034" s="782" t="s">
        <v>71</v>
      </c>
      <c r="M1034" s="782" t="s">
        <v>71</v>
      </c>
      <c r="N1034" s="782"/>
      <c r="O1034" s="782"/>
      <c r="P1034" s="783"/>
      <c r="Q1034" s="784"/>
      <c r="R1034" s="783"/>
      <c r="S1034" s="785"/>
      <c r="T1034" s="785"/>
    </row>
    <row r="1035">
      <c r="A1035" s="777"/>
      <c r="B1035" s="778"/>
      <c r="C1035" s="779"/>
      <c r="D1035" s="780"/>
      <c r="E1035" s="781" t="s">
        <v>71</v>
      </c>
      <c r="F1035" s="778"/>
      <c r="G1035" s="778"/>
      <c r="H1035" s="778"/>
      <c r="I1035" s="778"/>
      <c r="J1035" s="778"/>
      <c r="K1035" s="778"/>
      <c r="L1035" s="782" t="s">
        <v>71</v>
      </c>
      <c r="M1035" s="782" t="s">
        <v>71</v>
      </c>
      <c r="N1035" s="782"/>
      <c r="O1035" s="782"/>
      <c r="P1035" s="783"/>
      <c r="Q1035" s="784"/>
      <c r="R1035" s="783"/>
      <c r="S1035" s="785"/>
      <c r="T1035" s="785"/>
    </row>
    <row r="1036">
      <c r="A1036" s="777"/>
      <c r="B1036" s="778"/>
      <c r="C1036" s="779"/>
      <c r="D1036" s="780"/>
      <c r="E1036" s="781" t="s">
        <v>71</v>
      </c>
      <c r="F1036" s="778"/>
      <c r="G1036" s="778"/>
      <c r="H1036" s="778"/>
      <c r="I1036" s="778"/>
      <c r="J1036" s="778"/>
      <c r="K1036" s="778"/>
      <c r="L1036" s="782" t="s">
        <v>71</v>
      </c>
      <c r="M1036" s="782" t="s">
        <v>71</v>
      </c>
      <c r="N1036" s="782"/>
      <c r="O1036" s="782"/>
      <c r="P1036" s="783"/>
      <c r="Q1036" s="784"/>
      <c r="R1036" s="783"/>
      <c r="S1036" s="785"/>
      <c r="T1036" s="785"/>
    </row>
    <row r="1037">
      <c r="A1037" s="777"/>
      <c r="B1037" s="778"/>
      <c r="C1037" s="779"/>
      <c r="D1037" s="780"/>
      <c r="E1037" s="781" t="s">
        <v>71</v>
      </c>
      <c r="F1037" s="778"/>
      <c r="G1037" s="778"/>
      <c r="H1037" s="778"/>
      <c r="I1037" s="778"/>
      <c r="J1037" s="778"/>
      <c r="K1037" s="778"/>
      <c r="L1037" s="782" t="s">
        <v>71</v>
      </c>
      <c r="M1037" s="782" t="s">
        <v>71</v>
      </c>
      <c r="N1037" s="782"/>
      <c r="O1037" s="782"/>
      <c r="P1037" s="783"/>
      <c r="Q1037" s="784"/>
      <c r="R1037" s="783"/>
      <c r="S1037" s="785"/>
      <c r="T1037" s="785"/>
    </row>
    <row r="1038">
      <c r="A1038" s="777"/>
      <c r="B1038" s="778"/>
      <c r="C1038" s="779"/>
      <c r="D1038" s="780"/>
      <c r="E1038" s="781" t="s">
        <v>71</v>
      </c>
      <c r="F1038" s="778"/>
      <c r="G1038" s="778"/>
      <c r="H1038" s="778"/>
      <c r="I1038" s="778"/>
      <c r="J1038" s="778"/>
      <c r="K1038" s="778"/>
      <c r="L1038" s="782" t="s">
        <v>71</v>
      </c>
      <c r="M1038" s="782" t="s">
        <v>71</v>
      </c>
      <c r="N1038" s="782"/>
      <c r="O1038" s="782"/>
      <c r="P1038" s="783"/>
      <c r="Q1038" s="784"/>
      <c r="R1038" s="783"/>
      <c r="S1038" s="785"/>
      <c r="T1038" s="785"/>
    </row>
    <row r="1039">
      <c r="A1039" s="777"/>
      <c r="B1039" s="778"/>
      <c r="C1039" s="779"/>
      <c r="D1039" s="780"/>
      <c r="E1039" s="781" t="s">
        <v>71</v>
      </c>
      <c r="F1039" s="778"/>
      <c r="G1039" s="778"/>
      <c r="H1039" s="778"/>
      <c r="I1039" s="778"/>
      <c r="J1039" s="778"/>
      <c r="K1039" s="778"/>
      <c r="L1039" s="782" t="s">
        <v>71</v>
      </c>
      <c r="M1039" s="782" t="s">
        <v>71</v>
      </c>
      <c r="N1039" s="782"/>
      <c r="O1039" s="782"/>
      <c r="P1039" s="783"/>
      <c r="Q1039" s="784"/>
      <c r="R1039" s="783"/>
      <c r="S1039" s="785"/>
      <c r="T1039" s="785"/>
    </row>
    <row r="1040">
      <c r="A1040" s="777"/>
      <c r="B1040" s="778"/>
      <c r="C1040" s="779"/>
      <c r="D1040" s="780"/>
      <c r="E1040" s="781" t="s">
        <v>71</v>
      </c>
      <c r="F1040" s="778"/>
      <c r="G1040" s="778"/>
      <c r="H1040" s="778"/>
      <c r="I1040" s="778"/>
      <c r="J1040" s="778"/>
      <c r="K1040" s="778"/>
      <c r="L1040" s="782" t="s">
        <v>71</v>
      </c>
      <c r="M1040" s="782" t="s">
        <v>71</v>
      </c>
      <c r="N1040" s="782"/>
      <c r="O1040" s="782"/>
      <c r="P1040" s="783"/>
      <c r="Q1040" s="784"/>
      <c r="R1040" s="783"/>
      <c r="S1040" s="785"/>
      <c r="T1040" s="785"/>
    </row>
    <row r="1041">
      <c r="A1041" s="777"/>
      <c r="B1041" s="778"/>
      <c r="C1041" s="779"/>
      <c r="D1041" s="780"/>
      <c r="E1041" s="781" t="s">
        <v>71</v>
      </c>
      <c r="F1041" s="778"/>
      <c r="G1041" s="778"/>
      <c r="H1041" s="778"/>
      <c r="I1041" s="778"/>
      <c r="J1041" s="778"/>
      <c r="K1041" s="778"/>
      <c r="L1041" s="782" t="s">
        <v>71</v>
      </c>
      <c r="M1041" s="782" t="s">
        <v>71</v>
      </c>
      <c r="N1041" s="782"/>
      <c r="O1041" s="782"/>
      <c r="P1041" s="783"/>
      <c r="Q1041" s="784"/>
      <c r="R1041" s="783"/>
      <c r="S1041" s="785"/>
      <c r="T1041" s="785"/>
    </row>
    <row r="1042">
      <c r="A1042" s="777"/>
      <c r="B1042" s="778"/>
      <c r="C1042" s="779"/>
      <c r="D1042" s="780"/>
      <c r="E1042" s="781" t="s">
        <v>71</v>
      </c>
      <c r="F1042" s="778"/>
      <c r="G1042" s="778"/>
      <c r="H1042" s="778"/>
      <c r="I1042" s="778"/>
      <c r="J1042" s="778"/>
      <c r="K1042" s="778"/>
      <c r="L1042" s="782" t="s">
        <v>71</v>
      </c>
      <c r="M1042" s="782" t="s">
        <v>71</v>
      </c>
      <c r="N1042" s="782"/>
      <c r="O1042" s="782"/>
      <c r="P1042" s="783"/>
      <c r="Q1042" s="784"/>
      <c r="R1042" s="783"/>
      <c r="S1042" s="785"/>
      <c r="T1042" s="785"/>
    </row>
    <row r="1043">
      <c r="A1043" s="777"/>
      <c r="B1043" s="778"/>
      <c r="C1043" s="779"/>
      <c r="D1043" s="780"/>
      <c r="E1043" s="781" t="s">
        <v>71</v>
      </c>
      <c r="F1043" s="778"/>
      <c r="G1043" s="778"/>
      <c r="H1043" s="778"/>
      <c r="I1043" s="778"/>
      <c r="J1043" s="778"/>
      <c r="K1043" s="778"/>
      <c r="L1043" s="782" t="s">
        <v>71</v>
      </c>
      <c r="M1043" s="782" t="s">
        <v>71</v>
      </c>
      <c r="N1043" s="782"/>
      <c r="O1043" s="782"/>
      <c r="P1043" s="783"/>
      <c r="Q1043" s="784"/>
      <c r="R1043" s="783"/>
      <c r="S1043" s="785"/>
      <c r="T1043" s="785"/>
    </row>
    <row r="1044">
      <c r="A1044" s="777"/>
      <c r="B1044" s="778"/>
      <c r="C1044" s="779"/>
      <c r="D1044" s="780"/>
      <c r="E1044" s="781" t="s">
        <v>71</v>
      </c>
      <c r="F1044" s="778"/>
      <c r="G1044" s="778"/>
      <c r="H1044" s="778"/>
      <c r="I1044" s="778"/>
      <c r="J1044" s="778"/>
      <c r="K1044" s="778"/>
      <c r="L1044" s="782" t="s">
        <v>71</v>
      </c>
      <c r="M1044" s="782" t="s">
        <v>71</v>
      </c>
      <c r="N1044" s="782"/>
      <c r="O1044" s="782"/>
      <c r="P1044" s="783"/>
      <c r="Q1044" s="784"/>
      <c r="R1044" s="783"/>
      <c r="S1044" s="785"/>
      <c r="T1044" s="785"/>
    </row>
    <row r="1045">
      <c r="A1045" s="777"/>
      <c r="B1045" s="778"/>
      <c r="C1045" s="779"/>
      <c r="D1045" s="780"/>
      <c r="E1045" s="781" t="s">
        <v>71</v>
      </c>
      <c r="F1045" s="778"/>
      <c r="G1045" s="778"/>
      <c r="H1045" s="778"/>
      <c r="I1045" s="778"/>
      <c r="J1045" s="778"/>
      <c r="K1045" s="778"/>
      <c r="L1045" s="782" t="s">
        <v>71</v>
      </c>
      <c r="M1045" s="782" t="s">
        <v>71</v>
      </c>
      <c r="N1045" s="782"/>
      <c r="O1045" s="782"/>
      <c r="P1045" s="783"/>
      <c r="Q1045" s="784"/>
      <c r="R1045" s="783"/>
      <c r="S1045" s="785"/>
      <c r="T1045" s="785"/>
    </row>
    <row r="1046">
      <c r="A1046" s="777"/>
      <c r="B1046" s="778"/>
      <c r="C1046" s="779"/>
      <c r="D1046" s="780"/>
      <c r="E1046" s="781" t="s">
        <v>71</v>
      </c>
      <c r="F1046" s="778"/>
      <c r="G1046" s="778"/>
      <c r="H1046" s="778"/>
      <c r="I1046" s="778"/>
      <c r="J1046" s="778"/>
      <c r="K1046" s="778"/>
      <c r="L1046" s="782" t="s">
        <v>71</v>
      </c>
      <c r="M1046" s="782" t="s">
        <v>71</v>
      </c>
      <c r="N1046" s="782"/>
      <c r="O1046" s="782"/>
      <c r="P1046" s="783"/>
      <c r="Q1046" s="784"/>
      <c r="R1046" s="783"/>
      <c r="S1046" s="785"/>
      <c r="T1046" s="785"/>
    </row>
    <row r="1047">
      <c r="A1047" s="777"/>
      <c r="B1047" s="778"/>
      <c r="C1047" s="779"/>
      <c r="D1047" s="780"/>
      <c r="E1047" s="781" t="s">
        <v>71</v>
      </c>
      <c r="F1047" s="778"/>
      <c r="G1047" s="778"/>
      <c r="H1047" s="778"/>
      <c r="I1047" s="778"/>
      <c r="J1047" s="778"/>
      <c r="K1047" s="778"/>
      <c r="L1047" s="782" t="s">
        <v>71</v>
      </c>
      <c r="M1047" s="782" t="s">
        <v>71</v>
      </c>
      <c r="N1047" s="782"/>
      <c r="O1047" s="782"/>
      <c r="P1047" s="783"/>
      <c r="Q1047" s="784"/>
      <c r="R1047" s="783"/>
      <c r="S1047" s="785"/>
      <c r="T1047" s="785"/>
    </row>
    <row r="1048">
      <c r="A1048" s="777"/>
      <c r="B1048" s="778"/>
      <c r="C1048" s="779"/>
      <c r="D1048" s="780"/>
      <c r="E1048" s="781" t="s">
        <v>71</v>
      </c>
      <c r="F1048" s="778"/>
      <c r="G1048" s="778"/>
      <c r="H1048" s="778"/>
      <c r="I1048" s="778"/>
      <c r="J1048" s="778"/>
      <c r="K1048" s="778"/>
      <c r="L1048" s="782" t="s">
        <v>71</v>
      </c>
      <c r="M1048" s="782" t="s">
        <v>71</v>
      </c>
      <c r="N1048" s="782"/>
      <c r="O1048" s="782"/>
      <c r="P1048" s="783"/>
      <c r="Q1048" s="784"/>
      <c r="R1048" s="783"/>
      <c r="S1048" s="785"/>
      <c r="T1048" s="785"/>
    </row>
    <row r="1049">
      <c r="A1049" s="777"/>
      <c r="B1049" s="778"/>
      <c r="C1049" s="779"/>
      <c r="D1049" s="780"/>
      <c r="E1049" s="781" t="s">
        <v>71</v>
      </c>
      <c r="F1049" s="778"/>
      <c r="G1049" s="778"/>
      <c r="H1049" s="778"/>
      <c r="I1049" s="778"/>
      <c r="J1049" s="778"/>
      <c r="K1049" s="778"/>
      <c r="L1049" s="782" t="s">
        <v>71</v>
      </c>
      <c r="M1049" s="782" t="s">
        <v>71</v>
      </c>
      <c r="N1049" s="782"/>
      <c r="O1049" s="782"/>
      <c r="P1049" s="783"/>
      <c r="Q1049" s="784"/>
      <c r="R1049" s="783"/>
      <c r="S1049" s="785"/>
      <c r="T1049" s="785"/>
    </row>
    <row r="1050">
      <c r="A1050" s="777"/>
      <c r="B1050" s="778"/>
      <c r="C1050" s="779"/>
      <c r="D1050" s="780"/>
      <c r="E1050" s="781" t="s">
        <v>71</v>
      </c>
      <c r="F1050" s="778"/>
      <c r="G1050" s="778"/>
      <c r="H1050" s="778"/>
      <c r="I1050" s="778"/>
      <c r="J1050" s="778"/>
      <c r="K1050" s="778"/>
      <c r="L1050" s="782" t="s">
        <v>71</v>
      </c>
      <c r="M1050" s="782" t="s">
        <v>71</v>
      </c>
      <c r="N1050" s="782"/>
      <c r="O1050" s="782"/>
      <c r="P1050" s="783"/>
      <c r="Q1050" s="784"/>
      <c r="R1050" s="783"/>
      <c r="S1050" s="785"/>
      <c r="T1050" s="785"/>
    </row>
    <row r="1051">
      <c r="A1051" s="777"/>
      <c r="B1051" s="778"/>
      <c r="C1051" s="779"/>
      <c r="D1051" s="780"/>
      <c r="E1051" s="781" t="s">
        <v>71</v>
      </c>
      <c r="F1051" s="778"/>
      <c r="G1051" s="778"/>
      <c r="H1051" s="778"/>
      <c r="I1051" s="778"/>
      <c r="J1051" s="778"/>
      <c r="K1051" s="778"/>
      <c r="L1051" s="782" t="s">
        <v>71</v>
      </c>
      <c r="M1051" s="782" t="s">
        <v>71</v>
      </c>
      <c r="N1051" s="782"/>
      <c r="O1051" s="782"/>
      <c r="P1051" s="783"/>
      <c r="Q1051" s="784"/>
      <c r="R1051" s="783"/>
      <c r="S1051" s="785"/>
      <c r="T1051" s="785"/>
    </row>
    <row r="1052">
      <c r="A1052" s="777"/>
      <c r="B1052" s="778"/>
      <c r="C1052" s="779"/>
      <c r="D1052" s="780"/>
      <c r="E1052" s="781" t="s">
        <v>71</v>
      </c>
      <c r="F1052" s="778"/>
      <c r="G1052" s="778"/>
      <c r="H1052" s="778"/>
      <c r="I1052" s="778"/>
      <c r="J1052" s="778"/>
      <c r="K1052" s="778"/>
      <c r="L1052" s="782" t="s">
        <v>71</v>
      </c>
      <c r="M1052" s="782" t="s">
        <v>71</v>
      </c>
      <c r="N1052" s="782"/>
      <c r="O1052" s="782"/>
      <c r="P1052" s="783"/>
      <c r="Q1052" s="784"/>
      <c r="R1052" s="783"/>
      <c r="S1052" s="785"/>
      <c r="T1052" s="785"/>
    </row>
    <row r="1053">
      <c r="A1053" s="777"/>
      <c r="B1053" s="778"/>
      <c r="C1053" s="779"/>
      <c r="D1053" s="780"/>
      <c r="E1053" s="781" t="s">
        <v>71</v>
      </c>
      <c r="F1053" s="778"/>
      <c r="G1053" s="778"/>
      <c r="H1053" s="778"/>
      <c r="I1053" s="778"/>
      <c r="J1053" s="778"/>
      <c r="K1053" s="778"/>
      <c r="L1053" s="782" t="s">
        <v>71</v>
      </c>
      <c r="M1053" s="782" t="s">
        <v>71</v>
      </c>
      <c r="N1053" s="782"/>
      <c r="O1053" s="782"/>
      <c r="P1053" s="783"/>
      <c r="Q1053" s="784"/>
      <c r="R1053" s="783"/>
      <c r="S1053" s="785"/>
      <c r="T1053" s="785"/>
    </row>
    <row r="1054">
      <c r="A1054" s="777"/>
      <c r="B1054" s="778"/>
      <c r="C1054" s="779"/>
      <c r="D1054" s="780"/>
      <c r="E1054" s="781" t="s">
        <v>71</v>
      </c>
      <c r="F1054" s="778"/>
      <c r="G1054" s="778"/>
      <c r="H1054" s="778"/>
      <c r="I1054" s="778"/>
      <c r="J1054" s="778"/>
      <c r="K1054" s="778"/>
      <c r="L1054" s="782" t="s">
        <v>71</v>
      </c>
      <c r="M1054" s="782" t="s">
        <v>71</v>
      </c>
      <c r="N1054" s="782"/>
      <c r="O1054" s="782"/>
      <c r="P1054" s="783"/>
      <c r="Q1054" s="784"/>
      <c r="R1054" s="783"/>
      <c r="S1054" s="785"/>
      <c r="T1054" s="785"/>
    </row>
    <row r="1055">
      <c r="A1055" s="777"/>
      <c r="B1055" s="778"/>
      <c r="C1055" s="779"/>
      <c r="D1055" s="780"/>
      <c r="E1055" s="781" t="s">
        <v>71</v>
      </c>
      <c r="F1055" s="778"/>
      <c r="G1055" s="778"/>
      <c r="H1055" s="778"/>
      <c r="I1055" s="778"/>
      <c r="J1055" s="778"/>
      <c r="K1055" s="778"/>
      <c r="L1055" s="782" t="s">
        <v>71</v>
      </c>
      <c r="M1055" s="782" t="s">
        <v>71</v>
      </c>
      <c r="N1055" s="782"/>
      <c r="O1055" s="782"/>
      <c r="P1055" s="783"/>
      <c r="Q1055" s="784"/>
      <c r="R1055" s="783"/>
      <c r="S1055" s="785"/>
      <c r="T1055" s="785"/>
    </row>
    <row r="1056">
      <c r="A1056" s="777"/>
      <c r="B1056" s="778"/>
      <c r="C1056" s="779"/>
      <c r="D1056" s="780"/>
      <c r="E1056" s="781" t="s">
        <v>71</v>
      </c>
      <c r="F1056" s="778"/>
      <c r="G1056" s="778"/>
      <c r="H1056" s="778"/>
      <c r="I1056" s="778"/>
      <c r="J1056" s="778"/>
      <c r="K1056" s="778"/>
      <c r="L1056" s="782" t="s">
        <v>71</v>
      </c>
      <c r="M1056" s="782" t="s">
        <v>71</v>
      </c>
      <c r="N1056" s="782"/>
      <c r="O1056" s="782"/>
      <c r="P1056" s="783"/>
      <c r="Q1056" s="784"/>
      <c r="R1056" s="783"/>
      <c r="S1056" s="785"/>
      <c r="T1056" s="785"/>
    </row>
    <row r="1057">
      <c r="A1057" s="777"/>
      <c r="B1057" s="778"/>
      <c r="C1057" s="779"/>
      <c r="D1057" s="780"/>
      <c r="E1057" s="781" t="s">
        <v>71</v>
      </c>
      <c r="F1057" s="778"/>
      <c r="G1057" s="778"/>
      <c r="H1057" s="778"/>
      <c r="I1057" s="778"/>
      <c r="J1057" s="778"/>
      <c r="K1057" s="778"/>
      <c r="L1057" s="782" t="s">
        <v>71</v>
      </c>
      <c r="M1057" s="782" t="s">
        <v>71</v>
      </c>
      <c r="N1057" s="782"/>
      <c r="O1057" s="782"/>
      <c r="P1057" s="783"/>
      <c r="Q1057" s="784"/>
      <c r="R1057" s="783"/>
      <c r="S1057" s="785"/>
      <c r="T1057" s="785"/>
    </row>
    <row r="1058">
      <c r="A1058" s="777"/>
      <c r="B1058" s="778"/>
      <c r="C1058" s="779"/>
      <c r="D1058" s="780"/>
      <c r="E1058" s="781" t="s">
        <v>71</v>
      </c>
      <c r="F1058" s="778"/>
      <c r="G1058" s="778"/>
      <c r="H1058" s="778"/>
      <c r="I1058" s="778"/>
      <c r="J1058" s="778"/>
      <c r="K1058" s="778"/>
      <c r="L1058" s="782" t="s">
        <v>71</v>
      </c>
      <c r="M1058" s="782" t="s">
        <v>71</v>
      </c>
      <c r="N1058" s="782"/>
      <c r="O1058" s="782"/>
      <c r="P1058" s="783"/>
      <c r="Q1058" s="784"/>
      <c r="R1058" s="783"/>
      <c r="S1058" s="785"/>
      <c r="T1058" s="785"/>
    </row>
    <row r="1059">
      <c r="A1059" s="777"/>
      <c r="B1059" s="778"/>
      <c r="C1059" s="779"/>
      <c r="D1059" s="780"/>
      <c r="E1059" s="781" t="s">
        <v>71</v>
      </c>
      <c r="F1059" s="778"/>
      <c r="G1059" s="778"/>
      <c r="H1059" s="778"/>
      <c r="I1059" s="778"/>
      <c r="J1059" s="778"/>
      <c r="K1059" s="778"/>
      <c r="L1059" s="782" t="s">
        <v>71</v>
      </c>
      <c r="M1059" s="782" t="s">
        <v>71</v>
      </c>
      <c r="N1059" s="782"/>
      <c r="O1059" s="782"/>
      <c r="P1059" s="783"/>
      <c r="Q1059" s="784"/>
      <c r="R1059" s="783"/>
      <c r="S1059" s="785"/>
      <c r="T1059" s="785"/>
    </row>
    <row r="1060">
      <c r="A1060" s="777"/>
      <c r="B1060" s="778"/>
      <c r="C1060" s="779"/>
      <c r="D1060" s="780"/>
      <c r="E1060" s="781" t="s">
        <v>71</v>
      </c>
      <c r="F1060" s="778"/>
      <c r="G1060" s="778"/>
      <c r="H1060" s="778"/>
      <c r="I1060" s="778"/>
      <c r="J1060" s="778"/>
      <c r="K1060" s="778"/>
      <c r="L1060" s="782" t="s">
        <v>71</v>
      </c>
      <c r="M1060" s="782" t="s">
        <v>71</v>
      </c>
      <c r="N1060" s="782"/>
      <c r="O1060" s="782"/>
      <c r="P1060" s="783"/>
      <c r="Q1060" s="784"/>
      <c r="R1060" s="783"/>
      <c r="S1060" s="785"/>
      <c r="T1060" s="785"/>
    </row>
    <row r="1061">
      <c r="A1061" s="777"/>
      <c r="B1061" s="778"/>
      <c r="C1061" s="779"/>
      <c r="D1061" s="780"/>
      <c r="E1061" s="781" t="s">
        <v>71</v>
      </c>
      <c r="F1061" s="778"/>
      <c r="G1061" s="778"/>
      <c r="H1061" s="778"/>
      <c r="I1061" s="778"/>
      <c r="J1061" s="778"/>
      <c r="K1061" s="778"/>
      <c r="L1061" s="782" t="s">
        <v>71</v>
      </c>
      <c r="M1061" s="782" t="s">
        <v>71</v>
      </c>
      <c r="N1061" s="782"/>
      <c r="O1061" s="782"/>
      <c r="P1061" s="783"/>
      <c r="Q1061" s="784"/>
      <c r="R1061" s="783"/>
      <c r="S1061" s="785"/>
      <c r="T1061" s="785"/>
    </row>
    <row r="1062">
      <c r="A1062" s="777"/>
      <c r="B1062" s="778"/>
      <c r="C1062" s="779"/>
      <c r="D1062" s="780"/>
      <c r="E1062" s="781" t="s">
        <v>71</v>
      </c>
      <c r="F1062" s="778"/>
      <c r="G1062" s="778"/>
      <c r="H1062" s="778"/>
      <c r="I1062" s="778"/>
      <c r="J1062" s="778"/>
      <c r="K1062" s="778"/>
      <c r="L1062" s="782" t="s">
        <v>71</v>
      </c>
      <c r="M1062" s="782" t="s">
        <v>71</v>
      </c>
      <c r="N1062" s="782"/>
      <c r="O1062" s="782"/>
      <c r="P1062" s="783"/>
      <c r="Q1062" s="784"/>
      <c r="R1062" s="783"/>
      <c r="S1062" s="785"/>
      <c r="T1062" s="785"/>
    </row>
    <row r="1063">
      <c r="A1063" s="777"/>
      <c r="B1063" s="778"/>
      <c r="C1063" s="779"/>
      <c r="D1063" s="780"/>
      <c r="E1063" s="781" t="s">
        <v>71</v>
      </c>
      <c r="F1063" s="778"/>
      <c r="G1063" s="778"/>
      <c r="H1063" s="778"/>
      <c r="I1063" s="778"/>
      <c r="J1063" s="778"/>
      <c r="K1063" s="778"/>
      <c r="L1063" s="782" t="s">
        <v>71</v>
      </c>
      <c r="M1063" s="782" t="s">
        <v>71</v>
      </c>
      <c r="N1063" s="782"/>
      <c r="O1063" s="782"/>
      <c r="P1063" s="783"/>
      <c r="Q1063" s="784"/>
      <c r="R1063" s="783"/>
      <c r="S1063" s="785"/>
      <c r="T1063" s="785"/>
    </row>
    <row r="1064">
      <c r="A1064" s="777"/>
      <c r="B1064" s="778"/>
      <c r="C1064" s="779"/>
      <c r="D1064" s="780"/>
      <c r="E1064" s="781" t="s">
        <v>71</v>
      </c>
      <c r="F1064" s="778"/>
      <c r="G1064" s="778"/>
      <c r="H1064" s="778"/>
      <c r="I1064" s="778"/>
      <c r="J1064" s="778"/>
      <c r="K1064" s="778"/>
      <c r="L1064" s="782" t="s">
        <v>71</v>
      </c>
      <c r="M1064" s="782" t="s">
        <v>71</v>
      </c>
      <c r="N1064" s="782"/>
      <c r="O1064" s="782"/>
      <c r="P1064" s="783"/>
      <c r="Q1064" s="784"/>
      <c r="R1064" s="783"/>
      <c r="S1064" s="785"/>
      <c r="T1064" s="785"/>
    </row>
    <row r="1065">
      <c r="A1065" s="777"/>
      <c r="B1065" s="778"/>
      <c r="C1065" s="779"/>
      <c r="D1065" s="780"/>
      <c r="E1065" s="781" t="s">
        <v>71</v>
      </c>
      <c r="F1065" s="778"/>
      <c r="G1065" s="778"/>
      <c r="H1065" s="778"/>
      <c r="I1065" s="778"/>
      <c r="J1065" s="778"/>
      <c r="K1065" s="778"/>
      <c r="L1065" s="782" t="s">
        <v>71</v>
      </c>
      <c r="M1065" s="782" t="s">
        <v>71</v>
      </c>
      <c r="N1065" s="782"/>
      <c r="O1065" s="782"/>
      <c r="P1065" s="783"/>
      <c r="Q1065" s="784"/>
      <c r="R1065" s="783"/>
      <c r="S1065" s="785"/>
      <c r="T1065" s="785"/>
    </row>
    <row r="1066">
      <c r="A1066" s="777"/>
      <c r="B1066" s="778"/>
      <c r="C1066" s="779"/>
      <c r="D1066" s="780"/>
      <c r="E1066" s="781" t="s">
        <v>71</v>
      </c>
      <c r="F1066" s="778"/>
      <c r="G1066" s="778"/>
      <c r="H1066" s="778"/>
      <c r="I1066" s="778"/>
      <c r="J1066" s="778"/>
      <c r="K1066" s="778"/>
      <c r="L1066" s="782" t="s">
        <v>71</v>
      </c>
      <c r="M1066" s="782" t="s">
        <v>71</v>
      </c>
      <c r="N1066" s="782"/>
      <c r="O1066" s="782"/>
      <c r="P1066" s="783"/>
      <c r="Q1066" s="784"/>
      <c r="R1066" s="783"/>
      <c r="S1066" s="785"/>
      <c r="T1066" s="785"/>
    </row>
    <row r="1067">
      <c r="A1067" s="777"/>
      <c r="B1067" s="778"/>
      <c r="C1067" s="779"/>
      <c r="D1067" s="780"/>
      <c r="E1067" s="781" t="s">
        <v>71</v>
      </c>
      <c r="F1067" s="778"/>
      <c r="G1067" s="778"/>
      <c r="H1067" s="778"/>
      <c r="I1067" s="778"/>
      <c r="J1067" s="778"/>
      <c r="K1067" s="778"/>
      <c r="L1067" s="782" t="s">
        <v>71</v>
      </c>
      <c r="M1067" s="782" t="s">
        <v>71</v>
      </c>
      <c r="N1067" s="782"/>
      <c r="O1067" s="782"/>
      <c r="P1067" s="783"/>
      <c r="Q1067" s="784"/>
      <c r="R1067" s="783"/>
      <c r="S1067" s="785"/>
      <c r="T1067" s="785"/>
    </row>
    <row r="1068">
      <c r="A1068" s="777"/>
      <c r="B1068" s="778"/>
      <c r="C1068" s="779"/>
      <c r="D1068" s="780"/>
      <c r="E1068" s="781" t="s">
        <v>71</v>
      </c>
      <c r="F1068" s="778"/>
      <c r="G1068" s="778"/>
      <c r="H1068" s="778"/>
      <c r="I1068" s="778"/>
      <c r="J1068" s="778"/>
      <c r="K1068" s="778"/>
      <c r="L1068" s="782" t="s">
        <v>71</v>
      </c>
      <c r="M1068" s="782" t="s">
        <v>71</v>
      </c>
      <c r="N1068" s="782"/>
      <c r="O1068" s="782"/>
      <c r="P1068" s="783"/>
      <c r="Q1068" s="784"/>
      <c r="R1068" s="783"/>
      <c r="S1068" s="785"/>
      <c r="T1068" s="785"/>
    </row>
    <row r="1069">
      <c r="A1069" s="777"/>
      <c r="B1069" s="778"/>
      <c r="C1069" s="779"/>
      <c r="D1069" s="780"/>
      <c r="E1069" s="781" t="s">
        <v>71</v>
      </c>
      <c r="F1069" s="778"/>
      <c r="G1069" s="778"/>
      <c r="H1069" s="778"/>
      <c r="I1069" s="778"/>
      <c r="J1069" s="778"/>
      <c r="K1069" s="778"/>
      <c r="L1069" s="782" t="s">
        <v>71</v>
      </c>
      <c r="M1069" s="782" t="s">
        <v>71</v>
      </c>
      <c r="N1069" s="782"/>
      <c r="O1069" s="782"/>
      <c r="P1069" s="783"/>
      <c r="Q1069" s="784"/>
      <c r="R1069" s="783"/>
      <c r="S1069" s="785"/>
      <c r="T1069" s="785"/>
    </row>
    <row r="1070">
      <c r="A1070" s="777"/>
      <c r="B1070" s="778"/>
      <c r="C1070" s="779"/>
      <c r="D1070" s="780"/>
      <c r="E1070" s="781" t="s">
        <v>71</v>
      </c>
      <c r="F1070" s="778"/>
      <c r="G1070" s="778"/>
      <c r="H1070" s="778"/>
      <c r="I1070" s="778"/>
      <c r="J1070" s="778"/>
      <c r="K1070" s="778"/>
      <c r="L1070" s="782" t="s">
        <v>71</v>
      </c>
      <c r="M1070" s="782" t="s">
        <v>71</v>
      </c>
      <c r="N1070" s="782"/>
      <c r="O1070" s="782"/>
      <c r="P1070" s="783"/>
      <c r="Q1070" s="784"/>
      <c r="R1070" s="783"/>
      <c r="S1070" s="785"/>
      <c r="T1070" s="785"/>
    </row>
    <row r="1071">
      <c r="A1071" s="777"/>
      <c r="B1071" s="778"/>
      <c r="C1071" s="779"/>
      <c r="D1071" s="780"/>
      <c r="E1071" s="781" t="s">
        <v>71</v>
      </c>
      <c r="F1071" s="778"/>
      <c r="G1071" s="778"/>
      <c r="H1071" s="778"/>
      <c r="I1071" s="778"/>
      <c r="J1071" s="778"/>
      <c r="K1071" s="778"/>
      <c r="L1071" s="782" t="s">
        <v>71</v>
      </c>
      <c r="M1071" s="782" t="s">
        <v>71</v>
      </c>
      <c r="N1071" s="782"/>
      <c r="O1071" s="782"/>
      <c r="P1071" s="783"/>
      <c r="Q1071" s="784"/>
      <c r="R1071" s="783"/>
      <c r="S1071" s="785"/>
      <c r="T1071" s="785"/>
    </row>
    <row r="1072">
      <c r="A1072" s="777"/>
      <c r="B1072" s="778"/>
      <c r="C1072" s="779"/>
      <c r="D1072" s="780"/>
      <c r="E1072" s="781" t="s">
        <v>71</v>
      </c>
      <c r="F1072" s="778"/>
      <c r="G1072" s="778"/>
      <c r="H1072" s="778"/>
      <c r="I1072" s="778"/>
      <c r="J1072" s="778"/>
      <c r="K1072" s="778"/>
      <c r="L1072" s="782" t="s">
        <v>71</v>
      </c>
      <c r="M1072" s="782" t="s">
        <v>71</v>
      </c>
      <c r="N1072" s="782"/>
      <c r="O1072" s="782"/>
      <c r="P1072" s="783"/>
      <c r="Q1072" s="784"/>
      <c r="R1072" s="783"/>
      <c r="S1072" s="785"/>
      <c r="T1072" s="785"/>
    </row>
    <row r="1073">
      <c r="A1073" s="777"/>
      <c r="B1073" s="778"/>
      <c r="C1073" s="779"/>
      <c r="D1073" s="780"/>
      <c r="E1073" s="781" t="s">
        <v>71</v>
      </c>
      <c r="F1073" s="778"/>
      <c r="G1073" s="778"/>
      <c r="H1073" s="778"/>
      <c r="I1073" s="778"/>
      <c r="J1073" s="778"/>
      <c r="K1073" s="778"/>
      <c r="L1073" s="782" t="s">
        <v>71</v>
      </c>
      <c r="M1073" s="782" t="s">
        <v>71</v>
      </c>
      <c r="N1073" s="782"/>
      <c r="O1073" s="782"/>
      <c r="P1073" s="783"/>
      <c r="Q1073" s="784"/>
      <c r="R1073" s="783"/>
      <c r="S1073" s="785"/>
      <c r="T1073" s="785"/>
    </row>
    <row r="1074">
      <c r="A1074" s="777"/>
      <c r="B1074" s="778"/>
      <c r="C1074" s="779"/>
      <c r="D1074" s="780"/>
      <c r="E1074" s="781" t="s">
        <v>71</v>
      </c>
      <c r="F1074" s="778"/>
      <c r="G1074" s="778"/>
      <c r="H1074" s="778"/>
      <c r="I1074" s="778"/>
      <c r="J1074" s="778"/>
      <c r="K1074" s="778"/>
      <c r="L1074" s="782" t="s">
        <v>71</v>
      </c>
      <c r="M1074" s="782" t="s">
        <v>71</v>
      </c>
      <c r="N1074" s="782"/>
      <c r="O1074" s="782"/>
      <c r="P1074" s="783"/>
      <c r="Q1074" s="784"/>
      <c r="R1074" s="783"/>
      <c r="S1074" s="785"/>
      <c r="T1074" s="785"/>
    </row>
    <row r="1075">
      <c r="A1075" s="777"/>
      <c r="B1075" s="778"/>
      <c r="C1075" s="779"/>
      <c r="D1075" s="780"/>
      <c r="E1075" s="781" t="s">
        <v>71</v>
      </c>
      <c r="F1075" s="778"/>
      <c r="G1075" s="778"/>
      <c r="H1075" s="778"/>
      <c r="I1075" s="778"/>
      <c r="J1075" s="778"/>
      <c r="K1075" s="778"/>
      <c r="L1075" s="782" t="s">
        <v>71</v>
      </c>
      <c r="M1075" s="782" t="s">
        <v>71</v>
      </c>
      <c r="N1075" s="782"/>
      <c r="O1075" s="782"/>
      <c r="P1075" s="783"/>
      <c r="Q1075" s="784"/>
      <c r="R1075" s="783"/>
      <c r="S1075" s="785"/>
      <c r="T1075" s="785"/>
    </row>
    <row r="1076">
      <c r="A1076" s="777"/>
      <c r="B1076" s="778"/>
      <c r="C1076" s="779"/>
      <c r="D1076" s="780"/>
      <c r="E1076" s="781" t="s">
        <v>71</v>
      </c>
      <c r="F1076" s="778"/>
      <c r="G1076" s="778"/>
      <c r="H1076" s="778"/>
      <c r="I1076" s="778"/>
      <c r="J1076" s="778"/>
      <c r="K1076" s="778"/>
      <c r="L1076" s="782" t="s">
        <v>71</v>
      </c>
      <c r="M1076" s="782" t="s">
        <v>71</v>
      </c>
      <c r="N1076" s="782"/>
      <c r="O1076" s="782"/>
      <c r="P1076" s="783"/>
      <c r="Q1076" s="784"/>
      <c r="R1076" s="783"/>
      <c r="S1076" s="785"/>
      <c r="T1076" s="785"/>
    </row>
    <row r="1077">
      <c r="A1077" s="777"/>
      <c r="B1077" s="778"/>
      <c r="C1077" s="779"/>
      <c r="D1077" s="780"/>
      <c r="E1077" s="781" t="s">
        <v>71</v>
      </c>
      <c r="F1077" s="778"/>
      <c r="G1077" s="778"/>
      <c r="H1077" s="778"/>
      <c r="I1077" s="778"/>
      <c r="J1077" s="778"/>
      <c r="K1077" s="778"/>
      <c r="L1077" s="782" t="s">
        <v>71</v>
      </c>
      <c r="M1077" s="782" t="s">
        <v>71</v>
      </c>
      <c r="N1077" s="782"/>
      <c r="O1077" s="782"/>
      <c r="P1077" s="783"/>
      <c r="Q1077" s="784"/>
      <c r="R1077" s="783"/>
      <c r="S1077" s="785"/>
      <c r="T1077" s="785"/>
    </row>
    <row r="1078">
      <c r="A1078" s="777"/>
      <c r="B1078" s="778"/>
      <c r="C1078" s="779"/>
      <c r="D1078" s="780"/>
      <c r="E1078" s="781" t="s">
        <v>71</v>
      </c>
      <c r="F1078" s="778"/>
      <c r="G1078" s="778"/>
      <c r="H1078" s="778"/>
      <c r="I1078" s="778"/>
      <c r="J1078" s="778"/>
      <c r="K1078" s="778"/>
      <c r="L1078" s="782" t="s">
        <v>71</v>
      </c>
      <c r="M1078" s="782" t="s">
        <v>71</v>
      </c>
      <c r="N1078" s="782"/>
      <c r="O1078" s="782"/>
      <c r="P1078" s="783"/>
      <c r="Q1078" s="784"/>
      <c r="R1078" s="783"/>
      <c r="S1078" s="785"/>
      <c r="T1078" s="785"/>
    </row>
    <row r="1079">
      <c r="A1079" s="777"/>
      <c r="B1079" s="778"/>
      <c r="C1079" s="779"/>
      <c r="D1079" s="780"/>
      <c r="E1079" s="781" t="s">
        <v>71</v>
      </c>
      <c r="F1079" s="778"/>
      <c r="G1079" s="778"/>
      <c r="H1079" s="778"/>
      <c r="I1079" s="778"/>
      <c r="J1079" s="778"/>
      <c r="K1079" s="778"/>
      <c r="L1079" s="782" t="s">
        <v>71</v>
      </c>
      <c r="M1079" s="782" t="s">
        <v>71</v>
      </c>
      <c r="N1079" s="782"/>
      <c r="O1079" s="782"/>
      <c r="P1079" s="783"/>
      <c r="Q1079" s="784"/>
      <c r="R1079" s="783"/>
      <c r="S1079" s="785"/>
      <c r="T1079" s="785"/>
    </row>
    <row r="1080">
      <c r="A1080" s="777"/>
      <c r="B1080" s="778"/>
      <c r="C1080" s="779"/>
      <c r="D1080" s="780"/>
      <c r="E1080" s="781" t="s">
        <v>71</v>
      </c>
      <c r="F1080" s="778"/>
      <c r="G1080" s="778"/>
      <c r="H1080" s="778"/>
      <c r="I1080" s="778"/>
      <c r="J1080" s="778"/>
      <c r="K1080" s="778"/>
      <c r="L1080" s="782" t="s">
        <v>71</v>
      </c>
      <c r="M1080" s="782" t="s">
        <v>71</v>
      </c>
      <c r="N1080" s="782"/>
      <c r="O1080" s="782"/>
      <c r="P1080" s="783"/>
      <c r="Q1080" s="784"/>
      <c r="R1080" s="783"/>
      <c r="S1080" s="785"/>
      <c r="T1080" s="785"/>
    </row>
    <row r="1081">
      <c r="A1081" s="777"/>
      <c r="B1081" s="778"/>
      <c r="C1081" s="779"/>
      <c r="D1081" s="780"/>
      <c r="E1081" s="781" t="s">
        <v>71</v>
      </c>
      <c r="F1081" s="778"/>
      <c r="G1081" s="778"/>
      <c r="H1081" s="778"/>
      <c r="I1081" s="778"/>
      <c r="J1081" s="778"/>
      <c r="K1081" s="778"/>
      <c r="L1081" s="782" t="s">
        <v>71</v>
      </c>
      <c r="M1081" s="782" t="s">
        <v>71</v>
      </c>
      <c r="N1081" s="782"/>
      <c r="O1081" s="782"/>
      <c r="P1081" s="783"/>
      <c r="Q1081" s="784"/>
      <c r="R1081" s="783"/>
      <c r="S1081" s="785"/>
      <c r="T1081" s="785"/>
    </row>
    <row r="1082">
      <c r="A1082" s="777"/>
      <c r="B1082" s="778"/>
      <c r="C1082" s="779"/>
      <c r="D1082" s="780"/>
      <c r="E1082" s="781" t="s">
        <v>71</v>
      </c>
      <c r="F1082" s="778"/>
      <c r="G1082" s="778"/>
      <c r="H1082" s="778"/>
      <c r="I1082" s="778"/>
      <c r="J1082" s="778"/>
      <c r="K1082" s="778"/>
      <c r="L1082" s="782" t="s">
        <v>71</v>
      </c>
      <c r="M1082" s="782" t="s">
        <v>71</v>
      </c>
      <c r="N1082" s="782"/>
      <c r="O1082" s="782"/>
      <c r="P1082" s="783"/>
      <c r="Q1082" s="784"/>
      <c r="R1082" s="783"/>
      <c r="S1082" s="785"/>
      <c r="T1082" s="785"/>
    </row>
    <row r="1083">
      <c r="A1083" s="777"/>
      <c r="B1083" s="778"/>
      <c r="C1083" s="779"/>
      <c r="D1083" s="780"/>
      <c r="E1083" s="781" t="s">
        <v>71</v>
      </c>
      <c r="F1083" s="778"/>
      <c r="G1083" s="778"/>
      <c r="H1083" s="778"/>
      <c r="I1083" s="778"/>
      <c r="J1083" s="778"/>
      <c r="K1083" s="778"/>
      <c r="L1083" s="782" t="s">
        <v>71</v>
      </c>
      <c r="M1083" s="782" t="s">
        <v>71</v>
      </c>
      <c r="N1083" s="782"/>
      <c r="O1083" s="782"/>
      <c r="P1083" s="783"/>
      <c r="Q1083" s="784"/>
      <c r="R1083" s="783"/>
      <c r="S1083" s="785"/>
      <c r="T1083" s="785"/>
    </row>
    <row r="1084">
      <c r="A1084" s="777"/>
      <c r="B1084" s="778"/>
      <c r="C1084" s="779"/>
      <c r="D1084" s="780"/>
      <c r="E1084" s="781" t="s">
        <v>71</v>
      </c>
      <c r="F1084" s="778"/>
      <c r="G1084" s="778"/>
      <c r="H1084" s="778"/>
      <c r="I1084" s="778"/>
      <c r="J1084" s="778"/>
      <c r="K1084" s="778"/>
      <c r="L1084" s="782" t="s">
        <v>71</v>
      </c>
      <c r="M1084" s="782" t="s">
        <v>71</v>
      </c>
      <c r="N1084" s="782"/>
      <c r="O1084" s="782"/>
      <c r="P1084" s="783"/>
      <c r="Q1084" s="784"/>
      <c r="R1084" s="783"/>
      <c r="S1084" s="785"/>
      <c r="T1084" s="785"/>
    </row>
    <row r="1085">
      <c r="A1085" s="777"/>
      <c r="B1085" s="778"/>
      <c r="C1085" s="779"/>
      <c r="D1085" s="780"/>
      <c r="E1085" s="781" t="s">
        <v>71</v>
      </c>
      <c r="F1085" s="778"/>
      <c r="G1085" s="778"/>
      <c r="H1085" s="778"/>
      <c r="I1085" s="778"/>
      <c r="J1085" s="778"/>
      <c r="K1085" s="778"/>
      <c r="L1085" s="782" t="s">
        <v>71</v>
      </c>
      <c r="M1085" s="782" t="s">
        <v>71</v>
      </c>
      <c r="N1085" s="782"/>
      <c r="O1085" s="782"/>
      <c r="P1085" s="783"/>
      <c r="Q1085" s="784"/>
      <c r="R1085" s="783"/>
      <c r="S1085" s="785"/>
      <c r="T1085" s="785"/>
    </row>
    <row r="1086">
      <c r="A1086" s="777"/>
      <c r="B1086" s="778"/>
      <c r="C1086" s="779"/>
      <c r="D1086" s="780"/>
      <c r="E1086" s="781" t="s">
        <v>71</v>
      </c>
      <c r="F1086" s="778"/>
      <c r="G1086" s="778"/>
      <c r="H1086" s="778"/>
      <c r="I1086" s="778"/>
      <c r="J1086" s="778"/>
      <c r="K1086" s="778"/>
      <c r="L1086" s="782" t="s">
        <v>71</v>
      </c>
      <c r="M1086" s="782" t="s">
        <v>71</v>
      </c>
      <c r="N1086" s="782"/>
      <c r="O1086" s="782"/>
      <c r="P1086" s="783"/>
      <c r="Q1086" s="784"/>
      <c r="R1086" s="783"/>
      <c r="S1086" s="785"/>
      <c r="T1086" s="785"/>
    </row>
    <row r="1087">
      <c r="A1087" s="777"/>
      <c r="B1087" s="778"/>
      <c r="C1087" s="779"/>
      <c r="D1087" s="780"/>
      <c r="E1087" s="781" t="s">
        <v>71</v>
      </c>
      <c r="F1087" s="778"/>
      <c r="G1087" s="778"/>
      <c r="H1087" s="778"/>
      <c r="I1087" s="778"/>
      <c r="J1087" s="778"/>
      <c r="K1087" s="778"/>
      <c r="L1087" s="782" t="s">
        <v>71</v>
      </c>
      <c r="M1087" s="782" t="s">
        <v>71</v>
      </c>
      <c r="N1087" s="782"/>
      <c r="O1087" s="782"/>
      <c r="P1087" s="783"/>
      <c r="Q1087" s="784"/>
      <c r="R1087" s="783"/>
      <c r="S1087" s="785"/>
      <c r="T1087" s="785"/>
    </row>
    <row r="1088">
      <c r="A1088" s="777"/>
      <c r="B1088" s="778"/>
      <c r="C1088" s="779"/>
      <c r="D1088" s="780"/>
      <c r="E1088" s="781" t="s">
        <v>71</v>
      </c>
      <c r="F1088" s="778"/>
      <c r="G1088" s="778"/>
      <c r="H1088" s="778"/>
      <c r="I1088" s="778"/>
      <c r="J1088" s="778"/>
      <c r="K1088" s="778"/>
      <c r="L1088" s="782" t="s">
        <v>71</v>
      </c>
      <c r="M1088" s="782" t="s">
        <v>71</v>
      </c>
      <c r="N1088" s="782"/>
      <c r="O1088" s="782"/>
      <c r="P1088" s="783"/>
      <c r="Q1088" s="784"/>
      <c r="R1088" s="783"/>
      <c r="S1088" s="785"/>
      <c r="T1088" s="785"/>
    </row>
    <row r="1089">
      <c r="A1089" s="777"/>
      <c r="B1089" s="778"/>
      <c r="C1089" s="779"/>
      <c r="D1089" s="780"/>
      <c r="E1089" s="781" t="s">
        <v>71</v>
      </c>
      <c r="F1089" s="778"/>
      <c r="G1089" s="778"/>
      <c r="H1089" s="778"/>
      <c r="I1089" s="778"/>
      <c r="J1089" s="778"/>
      <c r="K1089" s="778"/>
      <c r="L1089" s="782" t="s">
        <v>71</v>
      </c>
      <c r="M1089" s="782" t="s">
        <v>71</v>
      </c>
      <c r="N1089" s="782"/>
      <c r="O1089" s="782"/>
      <c r="P1089" s="783"/>
      <c r="Q1089" s="784"/>
      <c r="R1089" s="783"/>
      <c r="S1089" s="785"/>
      <c r="T1089" s="785"/>
    </row>
    <row r="1090">
      <c r="A1090" s="777"/>
      <c r="B1090" s="778"/>
      <c r="C1090" s="779"/>
      <c r="D1090" s="780"/>
      <c r="E1090" s="781" t="s">
        <v>71</v>
      </c>
      <c r="F1090" s="778"/>
      <c r="G1090" s="778"/>
      <c r="H1090" s="778"/>
      <c r="I1090" s="778"/>
      <c r="J1090" s="778"/>
      <c r="K1090" s="778"/>
      <c r="L1090" s="782" t="s">
        <v>71</v>
      </c>
      <c r="M1090" s="782" t="s">
        <v>71</v>
      </c>
      <c r="N1090" s="782"/>
      <c r="O1090" s="782"/>
      <c r="P1090" s="783"/>
      <c r="Q1090" s="784"/>
      <c r="R1090" s="783"/>
      <c r="S1090" s="785"/>
      <c r="T1090" s="785"/>
    </row>
    <row r="1091">
      <c r="A1091" s="777"/>
      <c r="B1091" s="778"/>
      <c r="C1091" s="779"/>
      <c r="D1091" s="780"/>
      <c r="E1091" s="781" t="s">
        <v>71</v>
      </c>
      <c r="F1091" s="778"/>
      <c r="G1091" s="778"/>
      <c r="H1091" s="778"/>
      <c r="I1091" s="778"/>
      <c r="J1091" s="778"/>
      <c r="K1091" s="778"/>
      <c r="L1091" s="782" t="s">
        <v>71</v>
      </c>
      <c r="M1091" s="782" t="s">
        <v>71</v>
      </c>
      <c r="N1091" s="782"/>
      <c r="O1091" s="782"/>
      <c r="P1091" s="783"/>
      <c r="Q1091" s="784"/>
      <c r="R1091" s="783"/>
      <c r="S1091" s="785"/>
      <c r="T1091" s="785"/>
    </row>
    <row r="1092">
      <c r="A1092" s="777"/>
      <c r="B1092" s="778"/>
      <c r="C1092" s="779"/>
      <c r="D1092" s="780"/>
      <c r="E1092" s="781" t="s">
        <v>71</v>
      </c>
      <c r="F1092" s="778"/>
      <c r="G1092" s="778"/>
      <c r="H1092" s="778"/>
      <c r="I1092" s="778"/>
      <c r="J1092" s="778"/>
      <c r="K1092" s="778"/>
      <c r="L1092" s="782" t="s">
        <v>71</v>
      </c>
      <c r="M1092" s="782" t="s">
        <v>71</v>
      </c>
      <c r="N1092" s="782"/>
      <c r="O1092" s="782"/>
      <c r="P1092" s="783"/>
      <c r="Q1092" s="784"/>
      <c r="R1092" s="783"/>
      <c r="S1092" s="785"/>
      <c r="T1092" s="785"/>
    </row>
    <row r="1093">
      <c r="A1093" s="777"/>
      <c r="B1093" s="778"/>
      <c r="C1093" s="779"/>
      <c r="D1093" s="780"/>
      <c r="E1093" s="781" t="s">
        <v>71</v>
      </c>
      <c r="F1093" s="778"/>
      <c r="G1093" s="778"/>
      <c r="H1093" s="778"/>
      <c r="I1093" s="778"/>
      <c r="J1093" s="778"/>
      <c r="K1093" s="778"/>
      <c r="L1093" s="782" t="s">
        <v>71</v>
      </c>
      <c r="M1093" s="782" t="s">
        <v>71</v>
      </c>
      <c r="N1093" s="782"/>
      <c r="O1093" s="782"/>
      <c r="P1093" s="783"/>
      <c r="Q1093" s="784"/>
      <c r="R1093" s="783"/>
      <c r="S1093" s="785"/>
      <c r="T1093" s="785"/>
    </row>
    <row r="1094">
      <c r="A1094" s="777"/>
      <c r="B1094" s="778"/>
      <c r="C1094" s="779"/>
      <c r="D1094" s="780"/>
      <c r="E1094" s="781" t="s">
        <v>71</v>
      </c>
      <c r="F1094" s="778"/>
      <c r="G1094" s="778"/>
      <c r="H1094" s="778"/>
      <c r="I1094" s="778"/>
      <c r="J1094" s="778"/>
      <c r="K1094" s="778"/>
      <c r="L1094" s="782" t="s">
        <v>71</v>
      </c>
      <c r="M1094" s="782" t="s">
        <v>71</v>
      </c>
      <c r="N1094" s="782"/>
      <c r="O1094" s="782"/>
      <c r="P1094" s="783"/>
      <c r="Q1094" s="784"/>
      <c r="R1094" s="783"/>
      <c r="S1094" s="785"/>
      <c r="T1094" s="785"/>
    </row>
    <row r="1095">
      <c r="A1095" s="777"/>
      <c r="B1095" s="778"/>
      <c r="C1095" s="779"/>
      <c r="D1095" s="780"/>
      <c r="E1095" s="781" t="s">
        <v>71</v>
      </c>
      <c r="F1095" s="778"/>
      <c r="G1095" s="778"/>
      <c r="H1095" s="778"/>
      <c r="I1095" s="778"/>
      <c r="J1095" s="778"/>
      <c r="K1095" s="778"/>
      <c r="L1095" s="782" t="s">
        <v>71</v>
      </c>
      <c r="M1095" s="782" t="s">
        <v>71</v>
      </c>
      <c r="N1095" s="782"/>
      <c r="O1095" s="782"/>
      <c r="P1095" s="783"/>
      <c r="Q1095" s="784"/>
      <c r="R1095" s="783"/>
      <c r="S1095" s="785"/>
      <c r="T1095" s="785"/>
    </row>
    <row r="1096">
      <c r="A1096" s="777"/>
      <c r="B1096" s="778"/>
      <c r="C1096" s="779"/>
      <c r="D1096" s="780"/>
      <c r="E1096" s="781" t="s">
        <v>71</v>
      </c>
      <c r="F1096" s="778"/>
      <c r="G1096" s="778"/>
      <c r="H1096" s="778"/>
      <c r="I1096" s="778"/>
      <c r="J1096" s="778"/>
      <c r="K1096" s="778"/>
      <c r="L1096" s="782" t="s">
        <v>71</v>
      </c>
      <c r="M1096" s="782" t="s">
        <v>71</v>
      </c>
      <c r="N1096" s="782"/>
      <c r="O1096" s="782"/>
      <c r="P1096" s="783"/>
      <c r="Q1096" s="784"/>
      <c r="R1096" s="783"/>
      <c r="S1096" s="785"/>
      <c r="T1096" s="785"/>
    </row>
    <row r="1097">
      <c r="A1097" s="777"/>
      <c r="B1097" s="778"/>
      <c r="C1097" s="779"/>
      <c r="D1097" s="780"/>
      <c r="E1097" s="781" t="s">
        <v>71</v>
      </c>
      <c r="F1097" s="778"/>
      <c r="G1097" s="778"/>
      <c r="H1097" s="778"/>
      <c r="I1097" s="778"/>
      <c r="J1097" s="778"/>
      <c r="K1097" s="778"/>
      <c r="L1097" s="782" t="s">
        <v>71</v>
      </c>
      <c r="M1097" s="782" t="s">
        <v>71</v>
      </c>
      <c r="N1097" s="782"/>
      <c r="O1097" s="782"/>
      <c r="P1097" s="783"/>
      <c r="Q1097" s="784"/>
      <c r="R1097" s="783"/>
      <c r="S1097" s="785"/>
      <c r="T1097" s="785"/>
    </row>
    <row r="1098">
      <c r="A1098" s="777"/>
      <c r="B1098" s="778"/>
      <c r="C1098" s="779"/>
      <c r="D1098" s="780"/>
      <c r="E1098" s="781" t="s">
        <v>71</v>
      </c>
      <c r="F1098" s="778"/>
      <c r="G1098" s="778"/>
      <c r="H1098" s="778"/>
      <c r="I1098" s="778"/>
      <c r="J1098" s="778"/>
      <c r="K1098" s="778"/>
      <c r="L1098" s="782" t="s">
        <v>71</v>
      </c>
      <c r="M1098" s="782" t="s">
        <v>71</v>
      </c>
      <c r="N1098" s="782"/>
      <c r="O1098" s="782"/>
      <c r="P1098" s="783"/>
      <c r="Q1098" s="784"/>
      <c r="R1098" s="783"/>
      <c r="S1098" s="785"/>
      <c r="T1098" s="785"/>
    </row>
    <row r="1099">
      <c r="A1099" s="777"/>
      <c r="B1099" s="778"/>
      <c r="C1099" s="779"/>
      <c r="D1099" s="780"/>
      <c r="E1099" s="781" t="s">
        <v>71</v>
      </c>
      <c r="F1099" s="778"/>
      <c r="G1099" s="778"/>
      <c r="H1099" s="778"/>
      <c r="I1099" s="778"/>
      <c r="J1099" s="778"/>
      <c r="K1099" s="778"/>
      <c r="L1099" s="782" t="s">
        <v>71</v>
      </c>
      <c r="M1099" s="782" t="s">
        <v>71</v>
      </c>
      <c r="N1099" s="782"/>
      <c r="O1099" s="782"/>
      <c r="P1099" s="783"/>
      <c r="Q1099" s="784"/>
      <c r="R1099" s="783"/>
      <c r="S1099" s="785"/>
      <c r="T1099" s="785"/>
    </row>
    <row r="1100">
      <c r="A1100" s="777"/>
      <c r="B1100" s="778"/>
      <c r="C1100" s="779"/>
      <c r="D1100" s="780"/>
      <c r="E1100" s="781" t="s">
        <v>71</v>
      </c>
      <c r="F1100" s="778"/>
      <c r="G1100" s="778"/>
      <c r="H1100" s="778"/>
      <c r="I1100" s="778"/>
      <c r="J1100" s="778"/>
      <c r="K1100" s="778"/>
      <c r="L1100" s="782" t="s">
        <v>71</v>
      </c>
      <c r="M1100" s="782" t="s">
        <v>71</v>
      </c>
      <c r="N1100" s="782"/>
      <c r="O1100" s="782"/>
      <c r="P1100" s="783"/>
      <c r="Q1100" s="784"/>
      <c r="R1100" s="783"/>
      <c r="S1100" s="785"/>
      <c r="T1100" s="785"/>
    </row>
    <row r="1101">
      <c r="A1101" s="777"/>
      <c r="B1101" s="778"/>
      <c r="C1101" s="779"/>
      <c r="D1101" s="780"/>
      <c r="E1101" s="781" t="s">
        <v>71</v>
      </c>
      <c r="F1101" s="778"/>
      <c r="G1101" s="778"/>
      <c r="H1101" s="778"/>
      <c r="I1101" s="778"/>
      <c r="J1101" s="778"/>
      <c r="K1101" s="778"/>
      <c r="L1101" s="782" t="s">
        <v>71</v>
      </c>
      <c r="M1101" s="782" t="s">
        <v>71</v>
      </c>
      <c r="N1101" s="782"/>
      <c r="O1101" s="782"/>
      <c r="P1101" s="783"/>
      <c r="Q1101" s="784"/>
      <c r="R1101" s="783"/>
      <c r="S1101" s="785"/>
      <c r="T1101" s="785"/>
    </row>
    <row r="1102">
      <c r="A1102" s="777"/>
      <c r="B1102" s="778"/>
      <c r="C1102" s="779"/>
      <c r="D1102" s="780"/>
      <c r="E1102" s="781" t="s">
        <v>71</v>
      </c>
      <c r="F1102" s="778"/>
      <c r="G1102" s="778"/>
      <c r="H1102" s="778"/>
      <c r="I1102" s="778"/>
      <c r="J1102" s="778"/>
      <c r="K1102" s="778"/>
      <c r="L1102" s="782" t="s">
        <v>71</v>
      </c>
      <c r="M1102" s="782" t="s">
        <v>71</v>
      </c>
      <c r="N1102" s="782"/>
      <c r="O1102" s="782"/>
      <c r="P1102" s="783"/>
      <c r="Q1102" s="784"/>
      <c r="R1102" s="783"/>
      <c r="S1102" s="785"/>
      <c r="T1102" s="785"/>
    </row>
    <row r="1103">
      <c r="A1103" s="777"/>
      <c r="B1103" s="778"/>
      <c r="C1103" s="779"/>
      <c r="D1103" s="780"/>
      <c r="E1103" s="781" t="s">
        <v>71</v>
      </c>
      <c r="F1103" s="778"/>
      <c r="G1103" s="778"/>
      <c r="H1103" s="778"/>
      <c r="I1103" s="778"/>
      <c r="J1103" s="778"/>
      <c r="K1103" s="778"/>
      <c r="L1103" s="782" t="s">
        <v>71</v>
      </c>
      <c r="M1103" s="782" t="s">
        <v>71</v>
      </c>
      <c r="N1103" s="782"/>
      <c r="O1103" s="782"/>
      <c r="P1103" s="783"/>
      <c r="Q1103" s="784"/>
      <c r="R1103" s="783"/>
      <c r="S1103" s="785"/>
      <c r="T1103" s="785"/>
    </row>
    <row r="1104">
      <c r="A1104" s="777"/>
      <c r="B1104" s="778"/>
      <c r="C1104" s="779"/>
      <c r="D1104" s="780"/>
      <c r="E1104" s="781" t="s">
        <v>71</v>
      </c>
      <c r="F1104" s="778"/>
      <c r="G1104" s="778"/>
      <c r="H1104" s="778"/>
      <c r="I1104" s="778"/>
      <c r="J1104" s="778"/>
      <c r="K1104" s="778"/>
      <c r="L1104" s="782" t="s">
        <v>71</v>
      </c>
      <c r="M1104" s="782" t="s">
        <v>71</v>
      </c>
      <c r="N1104" s="782"/>
      <c r="O1104" s="782"/>
      <c r="P1104" s="783"/>
      <c r="Q1104" s="784"/>
      <c r="R1104" s="783"/>
      <c r="S1104" s="785"/>
      <c r="T1104" s="785"/>
    </row>
    <row r="1105">
      <c r="A1105" s="777"/>
      <c r="B1105" s="778"/>
      <c r="C1105" s="779"/>
      <c r="D1105" s="780"/>
      <c r="E1105" s="781" t="s">
        <v>71</v>
      </c>
      <c r="F1105" s="778"/>
      <c r="G1105" s="778"/>
      <c r="H1105" s="778"/>
      <c r="I1105" s="778"/>
      <c r="J1105" s="778"/>
      <c r="K1105" s="778"/>
      <c r="L1105" s="782" t="s">
        <v>71</v>
      </c>
      <c r="M1105" s="782" t="s">
        <v>71</v>
      </c>
      <c r="N1105" s="782"/>
      <c r="O1105" s="782"/>
      <c r="P1105" s="783"/>
      <c r="Q1105" s="784"/>
      <c r="R1105" s="783"/>
      <c r="S1105" s="785"/>
      <c r="T1105" s="785"/>
    </row>
    <row r="1106">
      <c r="A1106" s="777"/>
      <c r="B1106" s="778"/>
      <c r="C1106" s="779"/>
      <c r="D1106" s="780"/>
      <c r="E1106" s="781" t="s">
        <v>71</v>
      </c>
      <c r="F1106" s="778"/>
      <c r="G1106" s="778"/>
      <c r="H1106" s="778"/>
      <c r="I1106" s="778"/>
      <c r="J1106" s="778"/>
      <c r="K1106" s="778"/>
      <c r="L1106" s="782" t="s">
        <v>71</v>
      </c>
      <c r="M1106" s="782" t="s">
        <v>71</v>
      </c>
      <c r="N1106" s="782"/>
      <c r="O1106" s="782"/>
      <c r="P1106" s="783"/>
      <c r="Q1106" s="784"/>
      <c r="R1106" s="783"/>
      <c r="S1106" s="785"/>
      <c r="T1106" s="785"/>
    </row>
    <row r="1107">
      <c r="A1107" s="777"/>
      <c r="B1107" s="778"/>
      <c r="C1107" s="779"/>
      <c r="D1107" s="780"/>
      <c r="E1107" s="781" t="s">
        <v>71</v>
      </c>
      <c r="F1107" s="778"/>
      <c r="G1107" s="778"/>
      <c r="H1107" s="778"/>
      <c r="I1107" s="778"/>
      <c r="J1107" s="778"/>
      <c r="K1107" s="778"/>
      <c r="L1107" s="782" t="s">
        <v>71</v>
      </c>
      <c r="M1107" s="782" t="s">
        <v>71</v>
      </c>
      <c r="N1107" s="782"/>
      <c r="O1107" s="782"/>
      <c r="P1107" s="783"/>
      <c r="Q1107" s="784"/>
      <c r="R1107" s="783"/>
      <c r="S1107" s="785"/>
      <c r="T1107" s="785"/>
    </row>
    <row r="1108">
      <c r="A1108" s="777"/>
      <c r="B1108" s="778"/>
      <c r="C1108" s="779"/>
      <c r="D1108" s="780"/>
      <c r="E1108" s="781" t="s">
        <v>71</v>
      </c>
      <c r="F1108" s="778"/>
      <c r="G1108" s="778"/>
      <c r="H1108" s="778"/>
      <c r="I1108" s="778"/>
      <c r="J1108" s="778"/>
      <c r="K1108" s="778"/>
      <c r="L1108" s="782" t="s">
        <v>71</v>
      </c>
      <c r="M1108" s="782" t="s">
        <v>71</v>
      </c>
      <c r="N1108" s="782"/>
      <c r="O1108" s="782"/>
      <c r="P1108" s="783"/>
      <c r="Q1108" s="784"/>
      <c r="R1108" s="783"/>
      <c r="S1108" s="785"/>
      <c r="T1108" s="785"/>
    </row>
    <row r="1109">
      <c r="A1109" s="777"/>
      <c r="B1109" s="778"/>
      <c r="C1109" s="779"/>
      <c r="D1109" s="780"/>
      <c r="E1109" s="781" t="s">
        <v>71</v>
      </c>
      <c r="F1109" s="778"/>
      <c r="G1109" s="778"/>
      <c r="H1109" s="778"/>
      <c r="I1109" s="778"/>
      <c r="J1109" s="778"/>
      <c r="K1109" s="778"/>
      <c r="L1109" s="782" t="s">
        <v>71</v>
      </c>
      <c r="M1109" s="782" t="s">
        <v>71</v>
      </c>
      <c r="N1109" s="782"/>
      <c r="O1109" s="782"/>
      <c r="P1109" s="783"/>
      <c r="Q1109" s="784"/>
      <c r="R1109" s="783"/>
      <c r="S1109" s="785"/>
      <c r="T1109" s="785"/>
    </row>
    <row r="1110">
      <c r="A1110" s="777"/>
      <c r="B1110" s="778"/>
      <c r="C1110" s="779"/>
      <c r="D1110" s="780"/>
      <c r="E1110" s="781" t="s">
        <v>71</v>
      </c>
      <c r="F1110" s="778"/>
      <c r="G1110" s="778"/>
      <c r="H1110" s="778"/>
      <c r="I1110" s="778"/>
      <c r="J1110" s="778"/>
      <c r="K1110" s="778"/>
      <c r="L1110" s="782" t="s">
        <v>71</v>
      </c>
      <c r="M1110" s="782" t="s">
        <v>71</v>
      </c>
      <c r="N1110" s="782"/>
      <c r="O1110" s="782"/>
      <c r="P1110" s="783"/>
      <c r="Q1110" s="784"/>
      <c r="R1110" s="783"/>
      <c r="S1110" s="785"/>
      <c r="T1110" s="785"/>
    </row>
    <row r="1111">
      <c r="A1111" s="777"/>
      <c r="B1111" s="778"/>
      <c r="C1111" s="779"/>
      <c r="D1111" s="780"/>
      <c r="E1111" s="781" t="s">
        <v>71</v>
      </c>
      <c r="F1111" s="778"/>
      <c r="G1111" s="778"/>
      <c r="H1111" s="778"/>
      <c r="I1111" s="778"/>
      <c r="J1111" s="778"/>
      <c r="K1111" s="778"/>
      <c r="L1111" s="782" t="s">
        <v>71</v>
      </c>
      <c r="M1111" s="782" t="s">
        <v>71</v>
      </c>
      <c r="N1111" s="782"/>
      <c r="O1111" s="782"/>
      <c r="P1111" s="783"/>
      <c r="Q1111" s="784"/>
      <c r="R1111" s="783"/>
      <c r="S1111" s="785"/>
      <c r="T1111" s="785"/>
    </row>
    <row r="1112">
      <c r="A1112" s="777"/>
      <c r="B1112" s="778"/>
      <c r="C1112" s="779"/>
      <c r="D1112" s="780"/>
      <c r="E1112" s="781" t="s">
        <v>71</v>
      </c>
      <c r="F1112" s="778"/>
      <c r="G1112" s="778"/>
      <c r="H1112" s="778"/>
      <c r="I1112" s="778"/>
      <c r="J1112" s="778"/>
      <c r="K1112" s="778"/>
      <c r="L1112" s="782" t="s">
        <v>71</v>
      </c>
      <c r="M1112" s="782" t="s">
        <v>71</v>
      </c>
      <c r="N1112" s="782"/>
      <c r="O1112" s="782"/>
      <c r="P1112" s="783"/>
      <c r="Q1112" s="784"/>
      <c r="R1112" s="783"/>
      <c r="S1112" s="785"/>
      <c r="T1112" s="785"/>
    </row>
    <row r="1113">
      <c r="A1113" s="777"/>
      <c r="B1113" s="778"/>
      <c r="C1113" s="779"/>
      <c r="D1113" s="780"/>
      <c r="E1113" s="781" t="s">
        <v>71</v>
      </c>
      <c r="F1113" s="778"/>
      <c r="G1113" s="778"/>
      <c r="H1113" s="778"/>
      <c r="I1113" s="778"/>
      <c r="J1113" s="778"/>
      <c r="K1113" s="778"/>
      <c r="L1113" s="782" t="s">
        <v>71</v>
      </c>
      <c r="M1113" s="782" t="s">
        <v>71</v>
      </c>
      <c r="N1113" s="782"/>
      <c r="O1113" s="782"/>
      <c r="P1113" s="783"/>
      <c r="Q1113" s="784"/>
      <c r="R1113" s="783"/>
      <c r="S1113" s="785"/>
      <c r="T1113" s="785"/>
    </row>
    <row r="1114">
      <c r="A1114" s="777"/>
      <c r="B1114" s="778"/>
      <c r="C1114" s="779"/>
      <c r="D1114" s="780"/>
      <c r="E1114" s="781" t="s">
        <v>71</v>
      </c>
      <c r="F1114" s="778"/>
      <c r="G1114" s="778"/>
      <c r="H1114" s="778"/>
      <c r="I1114" s="778"/>
      <c r="J1114" s="778"/>
      <c r="K1114" s="778"/>
      <c r="L1114" s="782" t="s">
        <v>71</v>
      </c>
      <c r="M1114" s="782" t="s">
        <v>71</v>
      </c>
      <c r="N1114" s="782"/>
      <c r="O1114" s="782"/>
      <c r="P1114" s="783"/>
      <c r="Q1114" s="784"/>
      <c r="R1114" s="783"/>
      <c r="S1114" s="785"/>
      <c r="T1114" s="785"/>
    </row>
    <row r="1115">
      <c r="A1115" s="777"/>
      <c r="B1115" s="778"/>
      <c r="C1115" s="779"/>
      <c r="D1115" s="780"/>
      <c r="E1115" s="781" t="s">
        <v>71</v>
      </c>
      <c r="F1115" s="778"/>
      <c r="G1115" s="778"/>
      <c r="H1115" s="778"/>
      <c r="I1115" s="778"/>
      <c r="J1115" s="778"/>
      <c r="K1115" s="778"/>
      <c r="L1115" s="782" t="s">
        <v>71</v>
      </c>
      <c r="M1115" s="782" t="s">
        <v>71</v>
      </c>
      <c r="N1115" s="782"/>
      <c r="O1115" s="782"/>
      <c r="P1115" s="783"/>
      <c r="Q1115" s="784"/>
      <c r="R1115" s="783"/>
      <c r="S1115" s="785"/>
      <c r="T1115" s="785"/>
    </row>
    <row r="1116">
      <c r="A1116" s="777"/>
      <c r="B1116" s="778"/>
      <c r="C1116" s="779"/>
      <c r="D1116" s="780"/>
      <c r="E1116" s="781" t="s">
        <v>71</v>
      </c>
      <c r="F1116" s="778"/>
      <c r="G1116" s="778"/>
      <c r="H1116" s="778"/>
      <c r="I1116" s="778"/>
      <c r="J1116" s="778"/>
      <c r="K1116" s="778"/>
      <c r="L1116" s="782" t="s">
        <v>71</v>
      </c>
      <c r="M1116" s="782" t="s">
        <v>71</v>
      </c>
      <c r="N1116" s="782"/>
      <c r="O1116" s="782"/>
      <c r="P1116" s="783"/>
      <c r="Q1116" s="784"/>
      <c r="R1116" s="783"/>
      <c r="S1116" s="785"/>
      <c r="T1116" s="785"/>
    </row>
    <row r="1117">
      <c r="A1117" s="777"/>
      <c r="B1117" s="778"/>
      <c r="C1117" s="779"/>
      <c r="D1117" s="780"/>
      <c r="E1117" s="781" t="s">
        <v>71</v>
      </c>
      <c r="F1117" s="778"/>
      <c r="G1117" s="778"/>
      <c r="H1117" s="778"/>
      <c r="I1117" s="778"/>
      <c r="J1117" s="778"/>
      <c r="K1117" s="778"/>
      <c r="L1117" s="782" t="s">
        <v>71</v>
      </c>
      <c r="M1117" s="782" t="s">
        <v>71</v>
      </c>
      <c r="N1117" s="782"/>
      <c r="O1117" s="782"/>
      <c r="P1117" s="783"/>
      <c r="Q1117" s="784"/>
      <c r="R1117" s="783"/>
      <c r="S1117" s="785"/>
      <c r="T1117" s="785"/>
    </row>
    <row r="1118">
      <c r="A1118" s="777"/>
      <c r="B1118" s="778"/>
      <c r="C1118" s="779"/>
      <c r="D1118" s="780"/>
      <c r="E1118" s="781" t="s">
        <v>71</v>
      </c>
      <c r="F1118" s="778"/>
      <c r="G1118" s="778"/>
      <c r="H1118" s="778"/>
      <c r="I1118" s="778"/>
      <c r="J1118" s="778"/>
      <c r="K1118" s="778"/>
      <c r="L1118" s="782" t="s">
        <v>71</v>
      </c>
      <c r="M1118" s="782" t="s">
        <v>71</v>
      </c>
      <c r="N1118" s="782"/>
      <c r="O1118" s="782"/>
      <c r="P1118" s="783"/>
      <c r="Q1118" s="784"/>
      <c r="R1118" s="783"/>
      <c r="S1118" s="785"/>
      <c r="T1118" s="785"/>
    </row>
    <row r="1119">
      <c r="A1119" s="777"/>
      <c r="B1119" s="778"/>
      <c r="C1119" s="779"/>
      <c r="D1119" s="780"/>
      <c r="E1119" s="781" t="s">
        <v>71</v>
      </c>
      <c r="F1119" s="778"/>
      <c r="G1119" s="778"/>
      <c r="H1119" s="778"/>
      <c r="I1119" s="778"/>
      <c r="J1119" s="778"/>
      <c r="K1119" s="778"/>
      <c r="L1119" s="782" t="s">
        <v>71</v>
      </c>
      <c r="M1119" s="782" t="s">
        <v>71</v>
      </c>
      <c r="N1119" s="782"/>
      <c r="O1119" s="782"/>
      <c r="P1119" s="783"/>
      <c r="Q1119" s="784"/>
      <c r="R1119" s="783"/>
      <c r="S1119" s="785"/>
      <c r="T1119" s="785"/>
    </row>
    <row r="1120">
      <c r="A1120" s="777"/>
      <c r="B1120" s="778"/>
      <c r="C1120" s="779"/>
      <c r="D1120" s="780"/>
      <c r="E1120" s="781" t="s">
        <v>71</v>
      </c>
      <c r="F1120" s="778"/>
      <c r="G1120" s="778"/>
      <c r="H1120" s="778"/>
      <c r="I1120" s="778"/>
      <c r="J1120" s="778"/>
      <c r="K1120" s="778"/>
      <c r="L1120" s="782" t="s">
        <v>71</v>
      </c>
      <c r="M1120" s="782" t="s">
        <v>71</v>
      </c>
      <c r="N1120" s="782"/>
      <c r="O1120" s="782"/>
      <c r="P1120" s="783"/>
      <c r="Q1120" s="784"/>
      <c r="R1120" s="783"/>
      <c r="S1120" s="785"/>
      <c r="T1120" s="785"/>
    </row>
    <row r="1121">
      <c r="A1121" s="777"/>
      <c r="B1121" s="778"/>
      <c r="C1121" s="779"/>
      <c r="D1121" s="780"/>
      <c r="E1121" s="781" t="s">
        <v>71</v>
      </c>
      <c r="F1121" s="778"/>
      <c r="G1121" s="778"/>
      <c r="H1121" s="778"/>
      <c r="I1121" s="778"/>
      <c r="J1121" s="778"/>
      <c r="K1121" s="778"/>
      <c r="L1121" s="782" t="s">
        <v>71</v>
      </c>
      <c r="M1121" s="782" t="s">
        <v>71</v>
      </c>
      <c r="N1121" s="782"/>
      <c r="O1121" s="782"/>
      <c r="P1121" s="783"/>
      <c r="Q1121" s="784"/>
      <c r="R1121" s="783"/>
      <c r="S1121" s="785"/>
      <c r="T1121" s="785"/>
    </row>
    <row r="1122">
      <c r="A1122" s="777"/>
      <c r="B1122" s="778"/>
      <c r="C1122" s="779"/>
      <c r="D1122" s="780"/>
      <c r="E1122" s="781" t="s">
        <v>71</v>
      </c>
      <c r="F1122" s="778"/>
      <c r="G1122" s="778"/>
      <c r="H1122" s="778"/>
      <c r="I1122" s="778"/>
      <c r="J1122" s="778"/>
      <c r="K1122" s="778"/>
      <c r="L1122" s="782" t="s">
        <v>71</v>
      </c>
      <c r="M1122" s="782" t="s">
        <v>71</v>
      </c>
      <c r="N1122" s="782"/>
      <c r="O1122" s="782"/>
      <c r="P1122" s="783"/>
      <c r="Q1122" s="784"/>
      <c r="R1122" s="783"/>
      <c r="S1122" s="785"/>
      <c r="T1122" s="785"/>
    </row>
    <row r="1123">
      <c r="A1123" s="777"/>
      <c r="B1123" s="778"/>
      <c r="C1123" s="779"/>
      <c r="D1123" s="780"/>
      <c r="E1123" s="781" t="s">
        <v>71</v>
      </c>
      <c r="F1123" s="778"/>
      <c r="G1123" s="778"/>
      <c r="H1123" s="778"/>
      <c r="I1123" s="778"/>
      <c r="J1123" s="778"/>
      <c r="K1123" s="778"/>
      <c r="L1123" s="782" t="s">
        <v>71</v>
      </c>
      <c r="M1123" s="782" t="s">
        <v>71</v>
      </c>
      <c r="N1123" s="782"/>
      <c r="O1123" s="782"/>
      <c r="P1123" s="783"/>
      <c r="Q1123" s="784"/>
      <c r="R1123" s="783"/>
      <c r="S1123" s="785"/>
      <c r="T1123" s="785"/>
    </row>
    <row r="1124">
      <c r="A1124" s="777"/>
      <c r="B1124" s="778"/>
      <c r="C1124" s="779"/>
      <c r="D1124" s="780"/>
      <c r="E1124" s="781" t="s">
        <v>71</v>
      </c>
      <c r="F1124" s="778"/>
      <c r="G1124" s="778"/>
      <c r="H1124" s="778"/>
      <c r="I1124" s="778"/>
      <c r="J1124" s="778"/>
      <c r="K1124" s="778"/>
      <c r="L1124" s="782" t="s">
        <v>71</v>
      </c>
      <c r="M1124" s="782" t="s">
        <v>71</v>
      </c>
      <c r="N1124" s="782"/>
      <c r="O1124" s="782"/>
      <c r="P1124" s="783"/>
      <c r="Q1124" s="784"/>
      <c r="R1124" s="783"/>
      <c r="S1124" s="785"/>
      <c r="T1124" s="785"/>
    </row>
    <row r="1125">
      <c r="A1125" s="777"/>
      <c r="B1125" s="778"/>
      <c r="C1125" s="779"/>
      <c r="D1125" s="780"/>
      <c r="E1125" s="781" t="s">
        <v>71</v>
      </c>
      <c r="F1125" s="778"/>
      <c r="G1125" s="778"/>
      <c r="H1125" s="778"/>
      <c r="I1125" s="778"/>
      <c r="J1125" s="778"/>
      <c r="K1125" s="778"/>
      <c r="L1125" s="782" t="s">
        <v>71</v>
      </c>
      <c r="M1125" s="782" t="s">
        <v>71</v>
      </c>
      <c r="N1125" s="782"/>
      <c r="O1125" s="782"/>
      <c r="P1125" s="783"/>
      <c r="Q1125" s="784"/>
      <c r="R1125" s="783"/>
      <c r="S1125" s="785"/>
      <c r="T1125" s="785"/>
    </row>
    <row r="1126">
      <c r="A1126" s="777"/>
      <c r="B1126" s="778"/>
      <c r="C1126" s="779"/>
      <c r="D1126" s="780"/>
      <c r="E1126" s="781" t="s">
        <v>71</v>
      </c>
      <c r="F1126" s="778"/>
      <c r="G1126" s="778"/>
      <c r="H1126" s="778"/>
      <c r="I1126" s="778"/>
      <c r="J1126" s="778"/>
      <c r="K1126" s="778"/>
      <c r="L1126" s="782" t="s">
        <v>71</v>
      </c>
      <c r="M1126" s="782" t="s">
        <v>71</v>
      </c>
      <c r="N1126" s="782"/>
      <c r="O1126" s="782"/>
      <c r="P1126" s="783"/>
      <c r="Q1126" s="784"/>
      <c r="R1126" s="783"/>
      <c r="S1126" s="785"/>
      <c r="T1126" s="785"/>
    </row>
    <row r="1127">
      <c r="A1127" s="777"/>
      <c r="B1127" s="778"/>
      <c r="C1127" s="779"/>
      <c r="D1127" s="780"/>
      <c r="E1127" s="781" t="s">
        <v>71</v>
      </c>
      <c r="F1127" s="778"/>
      <c r="G1127" s="778"/>
      <c r="H1127" s="778"/>
      <c r="I1127" s="778"/>
      <c r="J1127" s="778"/>
      <c r="K1127" s="778"/>
      <c r="L1127" s="782" t="s">
        <v>71</v>
      </c>
      <c r="M1127" s="782" t="s">
        <v>71</v>
      </c>
      <c r="N1127" s="782"/>
      <c r="O1127" s="782"/>
      <c r="P1127" s="783"/>
      <c r="Q1127" s="784"/>
      <c r="R1127" s="783"/>
      <c r="S1127" s="785"/>
      <c r="T1127" s="785"/>
    </row>
    <row r="1128">
      <c r="A1128" s="777"/>
      <c r="B1128" s="778"/>
      <c r="C1128" s="779"/>
      <c r="D1128" s="780"/>
      <c r="E1128" s="781" t="s">
        <v>71</v>
      </c>
      <c r="F1128" s="778"/>
      <c r="G1128" s="778"/>
      <c r="H1128" s="778"/>
      <c r="I1128" s="778"/>
      <c r="J1128" s="778"/>
      <c r="K1128" s="778"/>
      <c r="L1128" s="782" t="s">
        <v>71</v>
      </c>
      <c r="M1128" s="782" t="s">
        <v>71</v>
      </c>
      <c r="N1128" s="782"/>
      <c r="O1128" s="782"/>
      <c r="P1128" s="783"/>
      <c r="Q1128" s="784"/>
      <c r="R1128" s="783"/>
      <c r="S1128" s="785"/>
      <c r="T1128" s="785"/>
    </row>
    <row r="1129">
      <c r="A1129" s="777"/>
      <c r="B1129" s="778"/>
      <c r="C1129" s="779"/>
      <c r="D1129" s="780"/>
      <c r="E1129" s="781" t="s">
        <v>71</v>
      </c>
      <c r="F1129" s="778"/>
      <c r="G1129" s="778"/>
      <c r="H1129" s="778"/>
      <c r="I1129" s="778"/>
      <c r="J1129" s="778"/>
      <c r="K1129" s="778"/>
      <c r="L1129" s="782" t="s">
        <v>71</v>
      </c>
      <c r="M1129" s="782" t="s">
        <v>71</v>
      </c>
      <c r="N1129" s="782"/>
      <c r="O1129" s="782"/>
      <c r="P1129" s="783"/>
      <c r="Q1129" s="784"/>
      <c r="R1129" s="783"/>
      <c r="S1129" s="785"/>
      <c r="T1129" s="785"/>
    </row>
    <row r="1130">
      <c r="A1130" s="777"/>
      <c r="B1130" s="778"/>
      <c r="C1130" s="779"/>
      <c r="D1130" s="780"/>
      <c r="E1130" s="781" t="s">
        <v>71</v>
      </c>
      <c r="F1130" s="778"/>
      <c r="G1130" s="778"/>
      <c r="H1130" s="778"/>
      <c r="I1130" s="778"/>
      <c r="J1130" s="778"/>
      <c r="K1130" s="778"/>
      <c r="L1130" s="782" t="s">
        <v>71</v>
      </c>
      <c r="M1130" s="782" t="s">
        <v>71</v>
      </c>
      <c r="N1130" s="782"/>
      <c r="O1130" s="782"/>
      <c r="P1130" s="783"/>
      <c r="Q1130" s="784"/>
      <c r="R1130" s="783"/>
      <c r="S1130" s="785"/>
      <c r="T1130" s="785"/>
    </row>
    <row r="1131">
      <c r="A1131" s="777"/>
      <c r="B1131" s="778"/>
      <c r="C1131" s="779"/>
      <c r="D1131" s="780"/>
      <c r="E1131" s="781" t="s">
        <v>71</v>
      </c>
      <c r="F1131" s="778"/>
      <c r="G1131" s="778"/>
      <c r="H1131" s="778"/>
      <c r="I1131" s="778"/>
      <c r="J1131" s="778"/>
      <c r="K1131" s="778"/>
      <c r="L1131" s="782" t="s">
        <v>71</v>
      </c>
      <c r="M1131" s="782" t="s">
        <v>71</v>
      </c>
      <c r="N1131" s="782"/>
      <c r="O1131" s="782"/>
      <c r="P1131" s="783"/>
      <c r="Q1131" s="784"/>
      <c r="R1131" s="783"/>
      <c r="S1131" s="785"/>
      <c r="T1131" s="785"/>
    </row>
    <row r="1132">
      <c r="A1132" s="777"/>
      <c r="B1132" s="778"/>
      <c r="C1132" s="779"/>
      <c r="D1132" s="780"/>
      <c r="E1132" s="781" t="s">
        <v>71</v>
      </c>
      <c r="F1132" s="778"/>
      <c r="G1132" s="778"/>
      <c r="H1132" s="778"/>
      <c r="I1132" s="778"/>
      <c r="J1132" s="778"/>
      <c r="K1132" s="778"/>
      <c r="L1132" s="782" t="s">
        <v>71</v>
      </c>
      <c r="M1132" s="782" t="s">
        <v>71</v>
      </c>
      <c r="N1132" s="782"/>
      <c r="O1132" s="782"/>
      <c r="P1132" s="783"/>
      <c r="Q1132" s="784"/>
      <c r="R1132" s="783"/>
      <c r="S1132" s="785"/>
      <c r="T1132" s="785"/>
    </row>
    <row r="1133">
      <c r="A1133" s="777"/>
      <c r="B1133" s="778"/>
      <c r="C1133" s="779"/>
      <c r="D1133" s="780"/>
      <c r="E1133" s="781" t="s">
        <v>71</v>
      </c>
      <c r="F1133" s="778"/>
      <c r="G1133" s="778"/>
      <c r="H1133" s="778"/>
      <c r="I1133" s="778"/>
      <c r="J1133" s="778"/>
      <c r="K1133" s="778"/>
      <c r="L1133" s="782" t="s">
        <v>71</v>
      </c>
      <c r="M1133" s="782" t="s">
        <v>71</v>
      </c>
      <c r="N1133" s="782"/>
      <c r="O1133" s="782"/>
      <c r="P1133" s="783"/>
      <c r="Q1133" s="784"/>
      <c r="R1133" s="783"/>
      <c r="S1133" s="785"/>
      <c r="T1133" s="785"/>
    </row>
    <row r="1134">
      <c r="A1134" s="777"/>
      <c r="B1134" s="778"/>
      <c r="C1134" s="779"/>
      <c r="D1134" s="780"/>
      <c r="E1134" s="781" t="s">
        <v>71</v>
      </c>
      <c r="F1134" s="778"/>
      <c r="G1134" s="778"/>
      <c r="H1134" s="778"/>
      <c r="I1134" s="778"/>
      <c r="J1134" s="778"/>
      <c r="K1134" s="778"/>
      <c r="L1134" s="782" t="s">
        <v>71</v>
      </c>
      <c r="M1134" s="782" t="s">
        <v>71</v>
      </c>
      <c r="N1134" s="782"/>
      <c r="O1134" s="782"/>
      <c r="P1134" s="783"/>
      <c r="Q1134" s="784"/>
      <c r="R1134" s="783"/>
      <c r="S1134" s="785"/>
      <c r="T1134" s="785"/>
    </row>
    <row r="1135">
      <c r="A1135" s="777"/>
      <c r="B1135" s="778"/>
      <c r="C1135" s="779"/>
      <c r="D1135" s="780"/>
      <c r="E1135" s="781" t="s">
        <v>71</v>
      </c>
      <c r="F1135" s="778"/>
      <c r="G1135" s="778"/>
      <c r="H1135" s="778"/>
      <c r="I1135" s="778"/>
      <c r="J1135" s="778"/>
      <c r="K1135" s="778"/>
      <c r="L1135" s="782" t="s">
        <v>71</v>
      </c>
      <c r="M1135" s="782" t="s">
        <v>71</v>
      </c>
      <c r="N1135" s="782"/>
      <c r="O1135" s="782"/>
      <c r="P1135" s="783"/>
      <c r="Q1135" s="784"/>
      <c r="R1135" s="783"/>
      <c r="S1135" s="785"/>
      <c r="T1135" s="785"/>
    </row>
    <row r="1136">
      <c r="A1136" s="777"/>
      <c r="B1136" s="778"/>
      <c r="C1136" s="779"/>
      <c r="D1136" s="780"/>
      <c r="E1136" s="781" t="s">
        <v>71</v>
      </c>
      <c r="F1136" s="778"/>
      <c r="G1136" s="778"/>
      <c r="H1136" s="778"/>
      <c r="I1136" s="778"/>
      <c r="J1136" s="778"/>
      <c r="K1136" s="778"/>
      <c r="L1136" s="782" t="s">
        <v>71</v>
      </c>
      <c r="M1136" s="782" t="s">
        <v>71</v>
      </c>
      <c r="N1136" s="782"/>
      <c r="O1136" s="782"/>
      <c r="P1136" s="783"/>
      <c r="Q1136" s="784"/>
      <c r="R1136" s="783"/>
      <c r="S1136" s="785"/>
      <c r="T1136" s="785"/>
    </row>
    <row r="1137">
      <c r="A1137" s="777"/>
      <c r="B1137" s="778"/>
      <c r="C1137" s="779"/>
      <c r="D1137" s="780"/>
      <c r="E1137" s="781" t="s">
        <v>71</v>
      </c>
      <c r="F1137" s="778"/>
      <c r="G1137" s="778"/>
      <c r="H1137" s="778"/>
      <c r="I1137" s="778"/>
      <c r="J1137" s="778"/>
      <c r="K1137" s="778"/>
      <c r="L1137" s="782" t="s">
        <v>71</v>
      </c>
      <c r="M1137" s="782" t="s">
        <v>71</v>
      </c>
      <c r="N1137" s="782"/>
      <c r="O1137" s="782"/>
      <c r="P1137" s="783"/>
      <c r="Q1137" s="784"/>
      <c r="R1137" s="783"/>
      <c r="S1137" s="785"/>
      <c r="T1137" s="785"/>
    </row>
    <row r="1138">
      <c r="A1138" s="777"/>
      <c r="B1138" s="778"/>
      <c r="C1138" s="779"/>
      <c r="D1138" s="780"/>
      <c r="E1138" s="781" t="s">
        <v>71</v>
      </c>
      <c r="F1138" s="778"/>
      <c r="G1138" s="778"/>
      <c r="H1138" s="778"/>
      <c r="I1138" s="778"/>
      <c r="J1138" s="778"/>
      <c r="K1138" s="778"/>
      <c r="L1138" s="782" t="s">
        <v>71</v>
      </c>
      <c r="M1138" s="782" t="s">
        <v>71</v>
      </c>
      <c r="N1138" s="782"/>
      <c r="O1138" s="782"/>
      <c r="P1138" s="783"/>
      <c r="Q1138" s="784"/>
      <c r="R1138" s="783"/>
      <c r="S1138" s="785"/>
      <c r="T1138" s="785"/>
    </row>
    <row r="1139">
      <c r="A1139" s="777"/>
      <c r="B1139" s="778"/>
      <c r="C1139" s="779"/>
      <c r="D1139" s="780"/>
      <c r="E1139" s="781" t="s">
        <v>71</v>
      </c>
      <c r="F1139" s="778"/>
      <c r="G1139" s="778"/>
      <c r="H1139" s="778"/>
      <c r="I1139" s="778"/>
      <c r="J1139" s="778"/>
      <c r="K1139" s="778"/>
      <c r="L1139" s="782" t="s">
        <v>71</v>
      </c>
      <c r="M1139" s="782" t="s">
        <v>71</v>
      </c>
      <c r="N1139" s="782"/>
      <c r="O1139" s="782"/>
      <c r="P1139" s="783"/>
      <c r="Q1139" s="784"/>
      <c r="R1139" s="783"/>
      <c r="S1139" s="785"/>
      <c r="T1139" s="785"/>
    </row>
    <row r="1140">
      <c r="A1140" s="777"/>
      <c r="B1140" s="778"/>
      <c r="C1140" s="779"/>
      <c r="D1140" s="780"/>
      <c r="E1140" s="781" t="s">
        <v>71</v>
      </c>
      <c r="F1140" s="778"/>
      <c r="G1140" s="778"/>
      <c r="H1140" s="778"/>
      <c r="I1140" s="778"/>
      <c r="J1140" s="778"/>
      <c r="K1140" s="778"/>
      <c r="L1140" s="782" t="s">
        <v>71</v>
      </c>
      <c r="M1140" s="782" t="s">
        <v>71</v>
      </c>
      <c r="N1140" s="782"/>
      <c r="O1140" s="782"/>
      <c r="P1140" s="783"/>
      <c r="Q1140" s="784"/>
      <c r="R1140" s="783"/>
      <c r="S1140" s="785"/>
      <c r="T1140" s="785"/>
    </row>
    <row r="1141">
      <c r="A1141" s="777"/>
      <c r="B1141" s="778"/>
      <c r="C1141" s="779"/>
      <c r="D1141" s="780"/>
      <c r="E1141" s="781" t="s">
        <v>71</v>
      </c>
      <c r="F1141" s="778"/>
      <c r="G1141" s="778"/>
      <c r="H1141" s="778"/>
      <c r="I1141" s="778"/>
      <c r="J1141" s="778"/>
      <c r="K1141" s="778"/>
      <c r="L1141" s="782" t="s">
        <v>71</v>
      </c>
      <c r="M1141" s="782" t="s">
        <v>71</v>
      </c>
      <c r="N1141" s="782"/>
      <c r="O1141" s="782"/>
      <c r="P1141" s="783"/>
      <c r="Q1141" s="784"/>
      <c r="R1141" s="783"/>
      <c r="S1141" s="785"/>
      <c r="T1141" s="785"/>
    </row>
    <row r="1142">
      <c r="A1142" s="777"/>
      <c r="B1142" s="778"/>
      <c r="C1142" s="779"/>
      <c r="D1142" s="780"/>
      <c r="E1142" s="781" t="s">
        <v>71</v>
      </c>
      <c r="F1142" s="778"/>
      <c r="G1142" s="778"/>
      <c r="H1142" s="778"/>
      <c r="I1142" s="778"/>
      <c r="J1142" s="778"/>
      <c r="K1142" s="778"/>
      <c r="L1142" s="782" t="s">
        <v>71</v>
      </c>
      <c r="M1142" s="782" t="s">
        <v>71</v>
      </c>
      <c r="N1142" s="782"/>
      <c r="O1142" s="782"/>
      <c r="P1142" s="783"/>
      <c r="Q1142" s="784"/>
      <c r="R1142" s="783"/>
      <c r="S1142" s="785"/>
      <c r="T1142" s="785"/>
    </row>
    <row r="1143">
      <c r="A1143" s="777"/>
      <c r="B1143" s="778"/>
      <c r="C1143" s="779"/>
      <c r="D1143" s="780"/>
      <c r="E1143" s="781" t="s">
        <v>71</v>
      </c>
      <c r="F1143" s="778"/>
      <c r="G1143" s="778"/>
      <c r="H1143" s="778"/>
      <c r="I1143" s="778"/>
      <c r="J1143" s="778"/>
      <c r="K1143" s="778"/>
      <c r="L1143" s="782" t="s">
        <v>71</v>
      </c>
      <c r="M1143" s="782" t="s">
        <v>71</v>
      </c>
      <c r="N1143" s="782"/>
      <c r="O1143" s="782"/>
      <c r="P1143" s="783"/>
      <c r="Q1143" s="784"/>
      <c r="R1143" s="783"/>
      <c r="S1143" s="785"/>
      <c r="T1143" s="785"/>
    </row>
    <row r="1144">
      <c r="A1144" s="777"/>
      <c r="B1144" s="778"/>
      <c r="C1144" s="779"/>
      <c r="D1144" s="780"/>
      <c r="E1144" s="781" t="s">
        <v>71</v>
      </c>
      <c r="F1144" s="778"/>
      <c r="G1144" s="778"/>
      <c r="H1144" s="778"/>
      <c r="I1144" s="778"/>
      <c r="J1144" s="778"/>
      <c r="K1144" s="778"/>
      <c r="L1144" s="782" t="s">
        <v>71</v>
      </c>
      <c r="M1144" s="782" t="s">
        <v>71</v>
      </c>
      <c r="N1144" s="782"/>
      <c r="O1144" s="782"/>
      <c r="P1144" s="783"/>
      <c r="Q1144" s="784"/>
      <c r="R1144" s="783"/>
      <c r="S1144" s="785"/>
      <c r="T1144" s="785"/>
    </row>
    <row r="1145">
      <c r="A1145" s="777"/>
      <c r="B1145" s="778"/>
      <c r="C1145" s="779"/>
      <c r="D1145" s="780"/>
      <c r="E1145" s="781" t="s">
        <v>71</v>
      </c>
      <c r="F1145" s="778"/>
      <c r="G1145" s="778"/>
      <c r="H1145" s="778"/>
      <c r="I1145" s="778"/>
      <c r="J1145" s="778"/>
      <c r="K1145" s="778"/>
      <c r="L1145" s="782" t="s">
        <v>71</v>
      </c>
      <c r="M1145" s="782" t="s">
        <v>71</v>
      </c>
      <c r="N1145" s="782"/>
      <c r="O1145" s="782"/>
      <c r="P1145" s="783"/>
      <c r="Q1145" s="784"/>
      <c r="R1145" s="783"/>
      <c r="S1145" s="785"/>
      <c r="T1145" s="785"/>
    </row>
    <row r="1146">
      <c r="A1146" s="777"/>
      <c r="B1146" s="778"/>
      <c r="C1146" s="779"/>
      <c r="D1146" s="780"/>
      <c r="E1146" s="781" t="s">
        <v>71</v>
      </c>
      <c r="F1146" s="778"/>
      <c r="G1146" s="778"/>
      <c r="H1146" s="778"/>
      <c r="I1146" s="778"/>
      <c r="J1146" s="778"/>
      <c r="K1146" s="778"/>
      <c r="L1146" s="782" t="s">
        <v>71</v>
      </c>
      <c r="M1146" s="782" t="s">
        <v>71</v>
      </c>
      <c r="N1146" s="782"/>
      <c r="O1146" s="782"/>
      <c r="P1146" s="783"/>
      <c r="Q1146" s="784"/>
      <c r="R1146" s="783"/>
      <c r="S1146" s="785"/>
      <c r="T1146" s="785"/>
    </row>
    <row r="1147">
      <c r="A1147" s="777"/>
      <c r="B1147" s="778"/>
      <c r="C1147" s="779"/>
      <c r="D1147" s="780"/>
      <c r="E1147" s="781" t="s">
        <v>71</v>
      </c>
      <c r="F1147" s="778"/>
      <c r="G1147" s="778"/>
      <c r="H1147" s="778"/>
      <c r="I1147" s="778"/>
      <c r="J1147" s="778"/>
      <c r="K1147" s="778"/>
      <c r="L1147" s="782" t="s">
        <v>71</v>
      </c>
      <c r="M1147" s="782" t="s">
        <v>71</v>
      </c>
      <c r="N1147" s="782"/>
      <c r="O1147" s="782"/>
      <c r="P1147" s="783"/>
      <c r="Q1147" s="784"/>
      <c r="R1147" s="783"/>
      <c r="S1147" s="785"/>
      <c r="T1147" s="785"/>
    </row>
    <row r="1148">
      <c r="A1148" s="777"/>
      <c r="B1148" s="778"/>
      <c r="C1148" s="779"/>
      <c r="D1148" s="780"/>
      <c r="E1148" s="781" t="s">
        <v>71</v>
      </c>
      <c r="F1148" s="778"/>
      <c r="G1148" s="778"/>
      <c r="H1148" s="778"/>
      <c r="I1148" s="778"/>
      <c r="J1148" s="778"/>
      <c r="K1148" s="778"/>
      <c r="L1148" s="782" t="s">
        <v>71</v>
      </c>
      <c r="M1148" s="782" t="s">
        <v>71</v>
      </c>
      <c r="N1148" s="782"/>
      <c r="O1148" s="782"/>
      <c r="P1148" s="783"/>
      <c r="Q1148" s="784"/>
      <c r="R1148" s="783"/>
      <c r="S1148" s="785"/>
      <c r="T1148" s="785"/>
    </row>
    <row r="1149">
      <c r="A1149" s="777"/>
      <c r="B1149" s="778"/>
      <c r="C1149" s="779"/>
      <c r="D1149" s="780"/>
      <c r="E1149" s="781" t="s">
        <v>71</v>
      </c>
      <c r="F1149" s="778"/>
      <c r="G1149" s="778"/>
      <c r="H1149" s="778"/>
      <c r="I1149" s="778"/>
      <c r="J1149" s="778"/>
      <c r="K1149" s="778"/>
      <c r="L1149" s="782" t="s">
        <v>71</v>
      </c>
      <c r="M1149" s="782" t="s">
        <v>71</v>
      </c>
      <c r="N1149" s="782"/>
      <c r="O1149" s="782"/>
      <c r="P1149" s="783"/>
      <c r="Q1149" s="784"/>
      <c r="R1149" s="783"/>
      <c r="S1149" s="785"/>
      <c r="T1149" s="785"/>
    </row>
    <row r="1150">
      <c r="A1150" s="777"/>
      <c r="B1150" s="778"/>
      <c r="C1150" s="779"/>
      <c r="D1150" s="780"/>
      <c r="E1150" s="781" t="s">
        <v>71</v>
      </c>
      <c r="F1150" s="778"/>
      <c r="G1150" s="778"/>
      <c r="H1150" s="778"/>
      <c r="I1150" s="778"/>
      <c r="J1150" s="778"/>
      <c r="K1150" s="778"/>
      <c r="L1150" s="782" t="s">
        <v>71</v>
      </c>
      <c r="M1150" s="782" t="s">
        <v>71</v>
      </c>
      <c r="N1150" s="782"/>
      <c r="O1150" s="782"/>
      <c r="P1150" s="783"/>
      <c r="Q1150" s="784"/>
      <c r="R1150" s="783"/>
      <c r="S1150" s="785"/>
      <c r="T1150" s="785"/>
    </row>
    <row r="1151">
      <c r="A1151" s="777"/>
      <c r="B1151" s="778"/>
      <c r="C1151" s="779"/>
      <c r="D1151" s="780"/>
      <c r="E1151" s="781" t="s">
        <v>71</v>
      </c>
      <c r="F1151" s="778"/>
      <c r="G1151" s="778"/>
      <c r="H1151" s="778"/>
      <c r="I1151" s="778"/>
      <c r="J1151" s="778"/>
      <c r="K1151" s="778"/>
      <c r="L1151" s="782" t="s">
        <v>71</v>
      </c>
      <c r="M1151" s="782" t="s">
        <v>71</v>
      </c>
      <c r="N1151" s="782"/>
      <c r="O1151" s="782"/>
      <c r="P1151" s="783"/>
      <c r="Q1151" s="784"/>
      <c r="R1151" s="783"/>
      <c r="S1151" s="785"/>
      <c r="T1151" s="785"/>
    </row>
    <row r="1152">
      <c r="A1152" s="777"/>
      <c r="B1152" s="778"/>
      <c r="C1152" s="779"/>
      <c r="D1152" s="780"/>
      <c r="E1152" s="781" t="s">
        <v>71</v>
      </c>
      <c r="F1152" s="778"/>
      <c r="G1152" s="778"/>
      <c r="H1152" s="778"/>
      <c r="I1152" s="778"/>
      <c r="J1152" s="778"/>
      <c r="K1152" s="778"/>
      <c r="L1152" s="782" t="s">
        <v>71</v>
      </c>
      <c r="M1152" s="782" t="s">
        <v>71</v>
      </c>
      <c r="N1152" s="782"/>
      <c r="O1152" s="782"/>
      <c r="P1152" s="783"/>
      <c r="Q1152" s="784"/>
      <c r="R1152" s="783"/>
      <c r="S1152" s="785"/>
      <c r="T1152" s="785"/>
    </row>
    <row r="1153">
      <c r="A1153" s="777"/>
      <c r="B1153" s="778"/>
      <c r="C1153" s="779"/>
      <c r="D1153" s="780"/>
      <c r="E1153" s="781" t="s">
        <v>71</v>
      </c>
      <c r="F1153" s="778"/>
      <c r="G1153" s="778"/>
      <c r="H1153" s="778"/>
      <c r="I1153" s="778"/>
      <c r="J1153" s="778"/>
      <c r="K1153" s="778"/>
      <c r="L1153" s="782" t="s">
        <v>71</v>
      </c>
      <c r="M1153" s="782" t="s">
        <v>71</v>
      </c>
      <c r="N1153" s="782"/>
      <c r="O1153" s="782"/>
      <c r="P1153" s="783"/>
      <c r="Q1153" s="784"/>
      <c r="R1153" s="783"/>
      <c r="S1153" s="785"/>
      <c r="T1153" s="785"/>
    </row>
    <row r="1154">
      <c r="A1154" s="777"/>
      <c r="B1154" s="778"/>
      <c r="C1154" s="779"/>
      <c r="D1154" s="780"/>
      <c r="E1154" s="781" t="s">
        <v>71</v>
      </c>
      <c r="F1154" s="778"/>
      <c r="G1154" s="778"/>
      <c r="H1154" s="778"/>
      <c r="I1154" s="778"/>
      <c r="J1154" s="778"/>
      <c r="K1154" s="778"/>
      <c r="L1154" s="782" t="s">
        <v>71</v>
      </c>
      <c r="M1154" s="782" t="s">
        <v>71</v>
      </c>
      <c r="N1154" s="782"/>
      <c r="O1154" s="782"/>
      <c r="P1154" s="783"/>
      <c r="Q1154" s="784"/>
      <c r="R1154" s="783"/>
      <c r="S1154" s="785"/>
      <c r="T1154" s="785"/>
    </row>
    <row r="1155">
      <c r="A1155" s="777"/>
      <c r="B1155" s="778"/>
      <c r="C1155" s="779"/>
      <c r="D1155" s="780"/>
      <c r="E1155" s="781" t="s">
        <v>71</v>
      </c>
      <c r="F1155" s="778"/>
      <c r="G1155" s="778"/>
      <c r="H1155" s="778"/>
      <c r="I1155" s="778"/>
      <c r="J1155" s="778"/>
      <c r="K1155" s="778"/>
      <c r="L1155" s="782" t="s">
        <v>71</v>
      </c>
      <c r="M1155" s="782" t="s">
        <v>71</v>
      </c>
      <c r="N1155" s="782"/>
      <c r="O1155" s="782"/>
      <c r="P1155" s="783"/>
      <c r="Q1155" s="784"/>
      <c r="R1155" s="783"/>
      <c r="S1155" s="785"/>
      <c r="T1155" s="785"/>
    </row>
    <row r="1156">
      <c r="A1156" s="777"/>
      <c r="B1156" s="778"/>
      <c r="C1156" s="779"/>
      <c r="D1156" s="780"/>
      <c r="E1156" s="781" t="s">
        <v>71</v>
      </c>
      <c r="F1156" s="778"/>
      <c r="G1156" s="778"/>
      <c r="H1156" s="778"/>
      <c r="I1156" s="778"/>
      <c r="J1156" s="778"/>
      <c r="K1156" s="778"/>
      <c r="L1156" s="782" t="s">
        <v>71</v>
      </c>
      <c r="M1156" s="782" t="s">
        <v>71</v>
      </c>
      <c r="N1156" s="782"/>
      <c r="O1156" s="782"/>
      <c r="P1156" s="783"/>
      <c r="Q1156" s="784"/>
      <c r="R1156" s="783"/>
      <c r="S1156" s="785"/>
      <c r="T1156" s="785"/>
    </row>
    <row r="1157">
      <c r="A1157" s="777"/>
      <c r="B1157" s="778"/>
      <c r="C1157" s="779"/>
      <c r="D1157" s="780"/>
      <c r="E1157" s="781" t="s">
        <v>71</v>
      </c>
      <c r="F1157" s="778"/>
      <c r="G1157" s="778"/>
      <c r="H1157" s="778"/>
      <c r="I1157" s="778"/>
      <c r="J1157" s="778"/>
      <c r="K1157" s="778"/>
      <c r="L1157" s="782" t="s">
        <v>71</v>
      </c>
      <c r="M1157" s="782" t="s">
        <v>71</v>
      </c>
      <c r="N1157" s="782"/>
      <c r="O1157" s="782"/>
      <c r="P1157" s="783"/>
      <c r="Q1157" s="784"/>
      <c r="R1157" s="783"/>
      <c r="S1157" s="785"/>
      <c r="T1157" s="785"/>
    </row>
    <row r="1158">
      <c r="A1158" s="777"/>
      <c r="B1158" s="778"/>
      <c r="C1158" s="779"/>
      <c r="D1158" s="780"/>
      <c r="E1158" s="781" t="s">
        <v>71</v>
      </c>
      <c r="F1158" s="778"/>
      <c r="G1158" s="778"/>
      <c r="H1158" s="778"/>
      <c r="I1158" s="778"/>
      <c r="J1158" s="778"/>
      <c r="K1158" s="778"/>
      <c r="L1158" s="782" t="s">
        <v>71</v>
      </c>
      <c r="M1158" s="782" t="s">
        <v>71</v>
      </c>
      <c r="N1158" s="782"/>
      <c r="O1158" s="782"/>
      <c r="P1158" s="783"/>
      <c r="Q1158" s="784"/>
      <c r="R1158" s="783"/>
      <c r="S1158" s="785"/>
      <c r="T1158" s="785"/>
    </row>
    <row r="1159">
      <c r="A1159" s="777"/>
      <c r="B1159" s="778"/>
      <c r="C1159" s="779"/>
      <c r="D1159" s="780"/>
      <c r="E1159" s="781" t="s">
        <v>71</v>
      </c>
      <c r="F1159" s="778"/>
      <c r="G1159" s="778"/>
      <c r="H1159" s="778"/>
      <c r="I1159" s="778"/>
      <c r="J1159" s="778"/>
      <c r="K1159" s="778"/>
      <c r="L1159" s="782" t="s">
        <v>71</v>
      </c>
      <c r="M1159" s="782" t="s">
        <v>71</v>
      </c>
      <c r="N1159" s="782"/>
      <c r="O1159" s="782"/>
      <c r="P1159" s="783"/>
      <c r="Q1159" s="784"/>
      <c r="R1159" s="783"/>
      <c r="S1159" s="785"/>
      <c r="T1159" s="785"/>
    </row>
    <row r="1160">
      <c r="A1160" s="777"/>
      <c r="B1160" s="778"/>
      <c r="C1160" s="779"/>
      <c r="D1160" s="780"/>
      <c r="E1160" s="781" t="s">
        <v>71</v>
      </c>
      <c r="F1160" s="778"/>
      <c r="G1160" s="778"/>
      <c r="H1160" s="778"/>
      <c r="I1160" s="778"/>
      <c r="J1160" s="778"/>
      <c r="K1160" s="778"/>
      <c r="L1160" s="782" t="s">
        <v>71</v>
      </c>
      <c r="M1160" s="782" t="s">
        <v>71</v>
      </c>
      <c r="N1160" s="782"/>
      <c r="O1160" s="782"/>
      <c r="P1160" s="783"/>
      <c r="Q1160" s="784"/>
      <c r="R1160" s="783"/>
      <c r="S1160" s="785"/>
      <c r="T1160" s="785"/>
    </row>
    <row r="1161">
      <c r="A1161" s="777"/>
      <c r="B1161" s="778"/>
      <c r="C1161" s="779"/>
      <c r="D1161" s="780"/>
      <c r="E1161" s="781" t="s">
        <v>71</v>
      </c>
      <c r="F1161" s="778"/>
      <c r="G1161" s="778"/>
      <c r="H1161" s="778"/>
      <c r="I1161" s="778"/>
      <c r="J1161" s="778"/>
      <c r="K1161" s="778"/>
      <c r="L1161" s="782" t="s">
        <v>71</v>
      </c>
      <c r="M1161" s="782" t="s">
        <v>71</v>
      </c>
      <c r="N1161" s="782"/>
      <c r="O1161" s="782"/>
      <c r="P1161" s="783"/>
      <c r="Q1161" s="784"/>
      <c r="R1161" s="783"/>
      <c r="S1161" s="785"/>
      <c r="T1161" s="785"/>
    </row>
    <row r="1162">
      <c r="A1162" s="777"/>
      <c r="B1162" s="778"/>
      <c r="C1162" s="779"/>
      <c r="D1162" s="780"/>
      <c r="E1162" s="781" t="s">
        <v>71</v>
      </c>
      <c r="F1162" s="778"/>
      <c r="G1162" s="778"/>
      <c r="H1162" s="778"/>
      <c r="I1162" s="778"/>
      <c r="J1162" s="778"/>
      <c r="K1162" s="778"/>
      <c r="L1162" s="782" t="s">
        <v>71</v>
      </c>
      <c r="M1162" s="782" t="s">
        <v>71</v>
      </c>
      <c r="N1162" s="782"/>
      <c r="O1162" s="782"/>
      <c r="P1162" s="783"/>
      <c r="Q1162" s="784"/>
      <c r="R1162" s="783"/>
      <c r="S1162" s="785"/>
      <c r="T1162" s="785"/>
    </row>
    <row r="1163">
      <c r="A1163" s="777"/>
      <c r="B1163" s="778"/>
      <c r="C1163" s="779"/>
      <c r="D1163" s="780"/>
      <c r="E1163" s="781" t="s">
        <v>71</v>
      </c>
      <c r="F1163" s="778"/>
      <c r="G1163" s="778"/>
      <c r="H1163" s="778"/>
      <c r="I1163" s="778"/>
      <c r="J1163" s="778"/>
      <c r="K1163" s="778"/>
      <c r="L1163" s="782" t="s">
        <v>71</v>
      </c>
      <c r="M1163" s="782" t="s">
        <v>71</v>
      </c>
      <c r="N1163" s="782"/>
      <c r="O1163" s="782"/>
      <c r="P1163" s="783"/>
      <c r="Q1163" s="784"/>
      <c r="R1163" s="783"/>
      <c r="S1163" s="785"/>
      <c r="T1163" s="785"/>
    </row>
    <row r="1164">
      <c r="A1164" s="777"/>
      <c r="B1164" s="778"/>
      <c r="C1164" s="779"/>
      <c r="D1164" s="780"/>
      <c r="E1164" s="781" t="s">
        <v>71</v>
      </c>
      <c r="F1164" s="778"/>
      <c r="G1164" s="778"/>
      <c r="H1164" s="778"/>
      <c r="I1164" s="778"/>
      <c r="J1164" s="778"/>
      <c r="K1164" s="778"/>
      <c r="L1164" s="782" t="s">
        <v>71</v>
      </c>
      <c r="M1164" s="782" t="s">
        <v>71</v>
      </c>
      <c r="N1164" s="782"/>
      <c r="O1164" s="782"/>
      <c r="P1164" s="783"/>
      <c r="Q1164" s="784"/>
      <c r="R1164" s="783"/>
      <c r="S1164" s="785"/>
      <c r="T1164" s="785"/>
    </row>
    <row r="1165">
      <c r="A1165" s="777"/>
      <c r="B1165" s="778"/>
      <c r="C1165" s="779"/>
      <c r="D1165" s="780"/>
      <c r="E1165" s="781" t="s">
        <v>71</v>
      </c>
      <c r="F1165" s="778"/>
      <c r="G1165" s="778"/>
      <c r="H1165" s="778"/>
      <c r="I1165" s="778"/>
      <c r="J1165" s="778"/>
      <c r="K1165" s="778"/>
      <c r="L1165" s="782" t="s">
        <v>71</v>
      </c>
      <c r="M1165" s="782" t="s">
        <v>71</v>
      </c>
      <c r="N1165" s="782"/>
      <c r="O1165" s="782"/>
      <c r="P1165" s="783"/>
      <c r="Q1165" s="784"/>
      <c r="R1165" s="783"/>
      <c r="S1165" s="785"/>
      <c r="T1165" s="785"/>
    </row>
    <row r="1166">
      <c r="A1166" s="777"/>
      <c r="B1166" s="778"/>
      <c r="C1166" s="779"/>
      <c r="D1166" s="780"/>
      <c r="E1166" s="781" t="s">
        <v>71</v>
      </c>
      <c r="F1166" s="778"/>
      <c r="G1166" s="778"/>
      <c r="H1166" s="778"/>
      <c r="I1166" s="778"/>
      <c r="J1166" s="778"/>
      <c r="K1166" s="778"/>
      <c r="L1166" s="782" t="s">
        <v>71</v>
      </c>
      <c r="M1166" s="782" t="s">
        <v>71</v>
      </c>
      <c r="N1166" s="782"/>
      <c r="O1166" s="782"/>
      <c r="P1166" s="783"/>
      <c r="Q1166" s="784"/>
      <c r="R1166" s="783"/>
      <c r="S1166" s="785"/>
      <c r="T1166" s="785"/>
    </row>
    <row r="1167">
      <c r="A1167" s="777"/>
      <c r="B1167" s="778"/>
      <c r="C1167" s="779"/>
      <c r="D1167" s="780"/>
      <c r="E1167" s="781" t="s">
        <v>71</v>
      </c>
      <c r="F1167" s="778"/>
      <c r="G1167" s="778"/>
      <c r="H1167" s="778"/>
      <c r="I1167" s="778"/>
      <c r="J1167" s="778"/>
      <c r="K1167" s="778"/>
      <c r="L1167" s="782" t="s">
        <v>71</v>
      </c>
      <c r="M1167" s="782" t="s">
        <v>71</v>
      </c>
      <c r="N1167" s="782"/>
      <c r="O1167" s="782"/>
      <c r="P1167" s="783"/>
      <c r="Q1167" s="784"/>
      <c r="R1167" s="783"/>
      <c r="S1167" s="785"/>
      <c r="T1167" s="785"/>
    </row>
    <row r="1168">
      <c r="A1168" s="777"/>
      <c r="B1168" s="778"/>
      <c r="C1168" s="779"/>
      <c r="D1168" s="780"/>
      <c r="E1168" s="781" t="s">
        <v>71</v>
      </c>
      <c r="F1168" s="778"/>
      <c r="G1168" s="778"/>
      <c r="H1168" s="778"/>
      <c r="I1168" s="778"/>
      <c r="J1168" s="778"/>
      <c r="K1168" s="778"/>
      <c r="L1168" s="782" t="s">
        <v>71</v>
      </c>
      <c r="M1168" s="782" t="s">
        <v>71</v>
      </c>
      <c r="N1168" s="782"/>
      <c r="O1168" s="782"/>
      <c r="P1168" s="783"/>
      <c r="Q1168" s="784"/>
      <c r="R1168" s="783"/>
      <c r="S1168" s="785"/>
      <c r="T1168" s="785"/>
    </row>
    <row r="1169">
      <c r="A1169" s="777"/>
      <c r="B1169" s="778"/>
      <c r="C1169" s="779"/>
      <c r="D1169" s="780"/>
      <c r="E1169" s="781" t="s">
        <v>71</v>
      </c>
      <c r="F1169" s="778"/>
      <c r="G1169" s="778"/>
      <c r="H1169" s="778"/>
      <c r="I1169" s="778"/>
      <c r="J1169" s="778"/>
      <c r="K1169" s="778"/>
      <c r="L1169" s="782" t="s">
        <v>71</v>
      </c>
      <c r="M1169" s="782" t="s">
        <v>71</v>
      </c>
      <c r="N1169" s="782"/>
      <c r="O1169" s="782"/>
      <c r="P1169" s="783"/>
      <c r="Q1169" s="784"/>
      <c r="R1169" s="783"/>
      <c r="S1169" s="785"/>
      <c r="T1169" s="785"/>
    </row>
    <row r="1170">
      <c r="A1170" s="777"/>
      <c r="B1170" s="778"/>
      <c r="C1170" s="779"/>
      <c r="D1170" s="780"/>
      <c r="E1170" s="781" t="s">
        <v>71</v>
      </c>
      <c r="F1170" s="778"/>
      <c r="G1170" s="778"/>
      <c r="H1170" s="778"/>
      <c r="I1170" s="778"/>
      <c r="J1170" s="778"/>
      <c r="K1170" s="778"/>
      <c r="L1170" s="782" t="s">
        <v>71</v>
      </c>
      <c r="M1170" s="782" t="s">
        <v>71</v>
      </c>
      <c r="N1170" s="782"/>
      <c r="O1170" s="782"/>
      <c r="P1170" s="783"/>
      <c r="Q1170" s="784"/>
      <c r="R1170" s="783"/>
      <c r="S1170" s="785"/>
      <c r="T1170" s="785"/>
    </row>
    <row r="1171">
      <c r="A1171" s="777"/>
      <c r="B1171" s="778"/>
      <c r="C1171" s="779"/>
      <c r="D1171" s="780"/>
      <c r="E1171" s="781" t="s">
        <v>71</v>
      </c>
      <c r="F1171" s="778"/>
      <c r="G1171" s="778"/>
      <c r="H1171" s="778"/>
      <c r="I1171" s="778"/>
      <c r="J1171" s="778"/>
      <c r="K1171" s="778"/>
      <c r="L1171" s="782" t="s">
        <v>71</v>
      </c>
      <c r="M1171" s="782" t="s">
        <v>71</v>
      </c>
      <c r="N1171" s="782"/>
      <c r="O1171" s="782"/>
      <c r="P1171" s="783"/>
      <c r="Q1171" s="784"/>
      <c r="R1171" s="783"/>
      <c r="S1171" s="785"/>
      <c r="T1171" s="785"/>
    </row>
    <row r="1172">
      <c r="A1172" s="777"/>
      <c r="B1172" s="778"/>
      <c r="C1172" s="779"/>
      <c r="D1172" s="780"/>
      <c r="E1172" s="781" t="s">
        <v>71</v>
      </c>
      <c r="F1172" s="778"/>
      <c r="G1172" s="778"/>
      <c r="H1172" s="778"/>
      <c r="I1172" s="778"/>
      <c r="J1172" s="778"/>
      <c r="K1172" s="778"/>
      <c r="L1172" s="782" t="s">
        <v>71</v>
      </c>
      <c r="M1172" s="782" t="s">
        <v>71</v>
      </c>
      <c r="N1172" s="782"/>
      <c r="O1172" s="782"/>
      <c r="P1172" s="783"/>
      <c r="Q1172" s="784"/>
      <c r="R1172" s="783"/>
      <c r="S1172" s="785"/>
      <c r="T1172" s="785"/>
    </row>
    <row r="1173">
      <c r="A1173" s="777"/>
      <c r="B1173" s="778"/>
      <c r="C1173" s="779"/>
      <c r="D1173" s="780"/>
      <c r="E1173" s="781" t="s">
        <v>71</v>
      </c>
      <c r="F1173" s="778"/>
      <c r="G1173" s="778"/>
      <c r="H1173" s="778"/>
      <c r="I1173" s="778"/>
      <c r="J1173" s="778"/>
      <c r="K1173" s="778"/>
      <c r="L1173" s="782" t="s">
        <v>71</v>
      </c>
      <c r="M1173" s="782" t="s">
        <v>71</v>
      </c>
      <c r="N1173" s="782"/>
      <c r="O1173" s="782"/>
      <c r="P1173" s="783"/>
      <c r="Q1173" s="784"/>
      <c r="R1173" s="783"/>
      <c r="S1173" s="785"/>
      <c r="T1173" s="785"/>
    </row>
    <row r="1174">
      <c r="A1174" s="777"/>
      <c r="B1174" s="778"/>
      <c r="C1174" s="779"/>
      <c r="D1174" s="780"/>
      <c r="E1174" s="781" t="s">
        <v>71</v>
      </c>
      <c r="F1174" s="778"/>
      <c r="G1174" s="778"/>
      <c r="H1174" s="778"/>
      <c r="I1174" s="778"/>
      <c r="J1174" s="778"/>
      <c r="K1174" s="778"/>
      <c r="L1174" s="782" t="s">
        <v>71</v>
      </c>
      <c r="M1174" s="782" t="s">
        <v>71</v>
      </c>
      <c r="N1174" s="782"/>
      <c r="O1174" s="782"/>
      <c r="P1174" s="783"/>
      <c r="Q1174" s="784"/>
      <c r="R1174" s="783"/>
      <c r="S1174" s="785"/>
      <c r="T1174" s="785"/>
    </row>
    <row r="1175">
      <c r="A1175" s="777"/>
      <c r="B1175" s="778"/>
      <c r="C1175" s="779"/>
      <c r="D1175" s="780"/>
      <c r="E1175" s="781" t="s">
        <v>71</v>
      </c>
      <c r="F1175" s="778"/>
      <c r="G1175" s="778"/>
      <c r="H1175" s="778"/>
      <c r="I1175" s="778"/>
      <c r="J1175" s="778"/>
      <c r="K1175" s="778"/>
      <c r="L1175" s="782" t="s">
        <v>71</v>
      </c>
      <c r="M1175" s="782" t="s">
        <v>71</v>
      </c>
      <c r="N1175" s="782"/>
      <c r="O1175" s="782"/>
      <c r="P1175" s="783"/>
      <c r="Q1175" s="784"/>
      <c r="R1175" s="783"/>
      <c r="S1175" s="785"/>
      <c r="T1175" s="785"/>
    </row>
    <row r="1176">
      <c r="A1176" s="777"/>
      <c r="B1176" s="778"/>
      <c r="C1176" s="779"/>
      <c r="D1176" s="780"/>
      <c r="E1176" s="781" t="s">
        <v>71</v>
      </c>
      <c r="F1176" s="778"/>
      <c r="G1176" s="778"/>
      <c r="H1176" s="778"/>
      <c r="I1176" s="778"/>
      <c r="J1176" s="778"/>
      <c r="K1176" s="778"/>
      <c r="L1176" s="782" t="s">
        <v>71</v>
      </c>
      <c r="M1176" s="782" t="s">
        <v>71</v>
      </c>
      <c r="N1176" s="782"/>
      <c r="O1176" s="782"/>
      <c r="P1176" s="783"/>
      <c r="Q1176" s="784"/>
      <c r="R1176" s="783"/>
      <c r="S1176" s="785"/>
      <c r="T1176" s="785"/>
    </row>
    <row r="1177">
      <c r="A1177" s="777"/>
      <c r="B1177" s="778"/>
      <c r="C1177" s="779"/>
      <c r="D1177" s="780"/>
      <c r="E1177" s="781" t="s">
        <v>71</v>
      </c>
      <c r="F1177" s="778"/>
      <c r="G1177" s="778"/>
      <c r="H1177" s="778"/>
      <c r="I1177" s="778"/>
      <c r="J1177" s="778"/>
      <c r="K1177" s="778"/>
      <c r="L1177" s="782" t="s">
        <v>71</v>
      </c>
      <c r="M1177" s="782" t="s">
        <v>71</v>
      </c>
      <c r="N1177" s="782"/>
      <c r="O1177" s="782"/>
      <c r="P1177" s="783"/>
      <c r="Q1177" s="784"/>
      <c r="R1177" s="783"/>
      <c r="S1177" s="785"/>
      <c r="T1177" s="785"/>
    </row>
    <row r="1178">
      <c r="A1178" s="777"/>
      <c r="B1178" s="778"/>
      <c r="C1178" s="779"/>
      <c r="D1178" s="780"/>
      <c r="E1178" s="781" t="s">
        <v>71</v>
      </c>
      <c r="F1178" s="778"/>
      <c r="G1178" s="778"/>
      <c r="H1178" s="778"/>
      <c r="I1178" s="778"/>
      <c r="J1178" s="778"/>
      <c r="K1178" s="778"/>
      <c r="L1178" s="782" t="s">
        <v>71</v>
      </c>
      <c r="M1178" s="782" t="s">
        <v>71</v>
      </c>
      <c r="N1178" s="782"/>
      <c r="O1178" s="782"/>
      <c r="P1178" s="783"/>
      <c r="Q1178" s="784"/>
      <c r="R1178" s="783"/>
      <c r="S1178" s="785"/>
      <c r="T1178" s="785"/>
    </row>
    <row r="1179">
      <c r="A1179" s="777"/>
      <c r="B1179" s="778"/>
      <c r="C1179" s="779"/>
      <c r="D1179" s="780"/>
      <c r="E1179" s="781" t="s">
        <v>71</v>
      </c>
      <c r="F1179" s="778"/>
      <c r="G1179" s="778"/>
      <c r="H1179" s="778"/>
      <c r="I1179" s="778"/>
      <c r="J1179" s="778"/>
      <c r="K1179" s="778"/>
      <c r="L1179" s="782" t="s">
        <v>71</v>
      </c>
      <c r="M1179" s="782" t="s">
        <v>71</v>
      </c>
      <c r="N1179" s="782"/>
      <c r="O1179" s="782"/>
      <c r="P1179" s="783"/>
      <c r="Q1179" s="784"/>
      <c r="R1179" s="783"/>
      <c r="S1179" s="785"/>
      <c r="T1179" s="785"/>
    </row>
    <row r="1180">
      <c r="A1180" s="777"/>
      <c r="B1180" s="778"/>
      <c r="C1180" s="779"/>
      <c r="D1180" s="780"/>
      <c r="E1180" s="781" t="s">
        <v>71</v>
      </c>
      <c r="F1180" s="778"/>
      <c r="G1180" s="778"/>
      <c r="H1180" s="778"/>
      <c r="I1180" s="778"/>
      <c r="J1180" s="778"/>
      <c r="K1180" s="778"/>
      <c r="L1180" s="782" t="s">
        <v>71</v>
      </c>
      <c r="M1180" s="782" t="s">
        <v>71</v>
      </c>
      <c r="N1180" s="782"/>
      <c r="O1180" s="782"/>
      <c r="P1180" s="783"/>
      <c r="Q1180" s="784"/>
      <c r="R1180" s="783"/>
      <c r="S1180" s="785"/>
      <c r="T1180" s="785"/>
    </row>
    <row r="1181">
      <c r="A1181" s="777"/>
      <c r="B1181" s="778"/>
      <c r="C1181" s="779"/>
      <c r="D1181" s="780"/>
      <c r="E1181" s="781" t="s">
        <v>71</v>
      </c>
      <c r="F1181" s="778"/>
      <c r="G1181" s="778"/>
      <c r="H1181" s="778"/>
      <c r="I1181" s="778"/>
      <c r="J1181" s="778"/>
      <c r="K1181" s="778"/>
      <c r="L1181" s="782" t="s">
        <v>71</v>
      </c>
      <c r="M1181" s="782" t="s">
        <v>71</v>
      </c>
      <c r="N1181" s="782"/>
      <c r="O1181" s="782"/>
      <c r="P1181" s="783"/>
      <c r="Q1181" s="784"/>
      <c r="R1181" s="783"/>
      <c r="S1181" s="785"/>
      <c r="T1181" s="785"/>
    </row>
    <row r="1182">
      <c r="A1182" s="777"/>
      <c r="B1182" s="778"/>
      <c r="C1182" s="779"/>
      <c r="D1182" s="780"/>
      <c r="E1182" s="781" t="s">
        <v>71</v>
      </c>
      <c r="F1182" s="778"/>
      <c r="G1182" s="778"/>
      <c r="H1182" s="778"/>
      <c r="I1182" s="778"/>
      <c r="J1182" s="778"/>
      <c r="K1182" s="778"/>
      <c r="L1182" s="782" t="s">
        <v>71</v>
      </c>
      <c r="M1182" s="782" t="s">
        <v>71</v>
      </c>
      <c r="N1182" s="782"/>
      <c r="O1182" s="782"/>
      <c r="P1182" s="783"/>
      <c r="Q1182" s="784"/>
      <c r="R1182" s="783"/>
      <c r="S1182" s="785"/>
      <c r="T1182" s="785"/>
    </row>
    <row r="1183">
      <c r="A1183" s="777"/>
      <c r="B1183" s="778"/>
      <c r="C1183" s="779"/>
      <c r="D1183" s="780"/>
      <c r="E1183" s="781" t="s">
        <v>71</v>
      </c>
      <c r="F1183" s="778"/>
      <c r="G1183" s="778"/>
      <c r="H1183" s="778"/>
      <c r="I1183" s="778"/>
      <c r="J1183" s="778"/>
      <c r="K1183" s="778"/>
      <c r="L1183" s="782" t="s">
        <v>71</v>
      </c>
      <c r="M1183" s="782" t="s">
        <v>71</v>
      </c>
      <c r="N1183" s="782"/>
      <c r="O1183" s="782"/>
      <c r="P1183" s="783"/>
      <c r="Q1183" s="784"/>
      <c r="R1183" s="783"/>
      <c r="S1183" s="785"/>
      <c r="T1183" s="785"/>
    </row>
    <row r="1184">
      <c r="A1184" s="777"/>
      <c r="B1184" s="778"/>
      <c r="C1184" s="779"/>
      <c r="D1184" s="780"/>
      <c r="E1184" s="781" t="s">
        <v>71</v>
      </c>
      <c r="F1184" s="778"/>
      <c r="G1184" s="778"/>
      <c r="H1184" s="778"/>
      <c r="I1184" s="778"/>
      <c r="J1184" s="778"/>
      <c r="K1184" s="778"/>
      <c r="L1184" s="782" t="s">
        <v>71</v>
      </c>
      <c r="M1184" s="782" t="s">
        <v>71</v>
      </c>
      <c r="N1184" s="782"/>
      <c r="O1184" s="782"/>
      <c r="P1184" s="783"/>
      <c r="Q1184" s="784"/>
      <c r="R1184" s="783"/>
      <c r="S1184" s="785"/>
      <c r="T1184" s="785"/>
    </row>
    <row r="1185">
      <c r="A1185" s="777"/>
      <c r="B1185" s="778"/>
      <c r="C1185" s="779"/>
      <c r="D1185" s="780"/>
      <c r="E1185" s="781" t="s">
        <v>71</v>
      </c>
      <c r="F1185" s="778"/>
      <c r="G1185" s="778"/>
      <c r="H1185" s="778"/>
      <c r="I1185" s="778"/>
      <c r="J1185" s="778"/>
      <c r="K1185" s="778"/>
      <c r="L1185" s="782" t="s">
        <v>71</v>
      </c>
      <c r="M1185" s="782" t="s">
        <v>71</v>
      </c>
      <c r="N1185" s="782"/>
      <c r="O1185" s="782"/>
      <c r="P1185" s="783"/>
      <c r="Q1185" s="784"/>
      <c r="R1185" s="783"/>
      <c r="S1185" s="785"/>
      <c r="T1185" s="785"/>
    </row>
    <row r="1186">
      <c r="A1186" s="777"/>
      <c r="B1186" s="778"/>
      <c r="C1186" s="779"/>
      <c r="D1186" s="780"/>
      <c r="E1186" s="781" t="s">
        <v>71</v>
      </c>
      <c r="F1186" s="778"/>
      <c r="G1186" s="778"/>
      <c r="H1186" s="778"/>
      <c r="I1186" s="778"/>
      <c r="J1186" s="778"/>
      <c r="K1186" s="778"/>
      <c r="L1186" s="782" t="s">
        <v>71</v>
      </c>
      <c r="M1186" s="782" t="s">
        <v>71</v>
      </c>
      <c r="N1186" s="782"/>
      <c r="O1186" s="782"/>
      <c r="P1186" s="783"/>
      <c r="Q1186" s="784"/>
      <c r="R1186" s="783"/>
      <c r="S1186" s="785"/>
      <c r="T1186" s="785"/>
    </row>
    <row r="1187">
      <c r="A1187" s="777"/>
      <c r="B1187" s="778"/>
      <c r="C1187" s="779"/>
      <c r="D1187" s="780"/>
      <c r="E1187" s="781" t="s">
        <v>71</v>
      </c>
      <c r="F1187" s="778"/>
      <c r="G1187" s="778"/>
      <c r="H1187" s="778"/>
      <c r="I1187" s="778"/>
      <c r="J1187" s="778"/>
      <c r="K1187" s="778"/>
      <c r="L1187" s="782" t="s">
        <v>71</v>
      </c>
      <c r="M1187" s="782" t="s">
        <v>71</v>
      </c>
      <c r="N1187" s="782"/>
      <c r="O1187" s="782"/>
      <c r="P1187" s="783"/>
      <c r="Q1187" s="784"/>
      <c r="R1187" s="783"/>
      <c r="S1187" s="785"/>
      <c r="T1187" s="785"/>
    </row>
    <row r="1188">
      <c r="A1188" s="777"/>
      <c r="B1188" s="778"/>
      <c r="C1188" s="779"/>
      <c r="D1188" s="780"/>
      <c r="E1188" s="781" t="s">
        <v>71</v>
      </c>
      <c r="F1188" s="778"/>
      <c r="G1188" s="778"/>
      <c r="H1188" s="778"/>
      <c r="I1188" s="778"/>
      <c r="J1188" s="778"/>
      <c r="K1188" s="778"/>
      <c r="L1188" s="782" t="s">
        <v>71</v>
      </c>
      <c r="M1188" s="782" t="s">
        <v>71</v>
      </c>
      <c r="N1188" s="782"/>
      <c r="O1188" s="782"/>
      <c r="P1188" s="783"/>
      <c r="Q1188" s="784"/>
      <c r="R1188" s="783"/>
      <c r="S1188" s="785"/>
      <c r="T1188" s="785"/>
    </row>
    <row r="1189">
      <c r="A1189" s="777"/>
      <c r="B1189" s="778"/>
      <c r="C1189" s="779"/>
      <c r="D1189" s="780"/>
      <c r="E1189" s="781" t="s">
        <v>71</v>
      </c>
      <c r="F1189" s="778"/>
      <c r="G1189" s="778"/>
      <c r="H1189" s="778"/>
      <c r="I1189" s="778"/>
      <c r="J1189" s="778"/>
      <c r="K1189" s="778"/>
      <c r="L1189" s="782" t="s">
        <v>71</v>
      </c>
      <c r="M1189" s="782" t="s">
        <v>71</v>
      </c>
      <c r="N1189" s="782"/>
      <c r="O1189" s="782"/>
      <c r="P1189" s="783"/>
      <c r="Q1189" s="784"/>
      <c r="R1189" s="783"/>
      <c r="S1189" s="785"/>
      <c r="T1189" s="785"/>
    </row>
    <row r="1190">
      <c r="A1190" s="777"/>
      <c r="B1190" s="778"/>
      <c r="C1190" s="779"/>
      <c r="D1190" s="780"/>
      <c r="E1190" s="781" t="s">
        <v>71</v>
      </c>
      <c r="F1190" s="778"/>
      <c r="G1190" s="778"/>
      <c r="H1190" s="778"/>
      <c r="I1190" s="778"/>
      <c r="J1190" s="778"/>
      <c r="K1190" s="778"/>
      <c r="L1190" s="782" t="s">
        <v>71</v>
      </c>
      <c r="M1190" s="782" t="s">
        <v>71</v>
      </c>
      <c r="N1190" s="782"/>
      <c r="O1190" s="782"/>
      <c r="P1190" s="783"/>
      <c r="Q1190" s="784"/>
      <c r="R1190" s="783"/>
      <c r="S1190" s="785"/>
      <c r="T1190" s="785"/>
    </row>
    <row r="1191">
      <c r="A1191" s="777"/>
      <c r="B1191" s="778"/>
      <c r="C1191" s="779"/>
      <c r="D1191" s="780"/>
      <c r="E1191" s="781" t="s">
        <v>71</v>
      </c>
      <c r="F1191" s="778"/>
      <c r="G1191" s="778"/>
      <c r="H1191" s="778"/>
      <c r="I1191" s="778"/>
      <c r="J1191" s="778"/>
      <c r="K1191" s="778"/>
      <c r="L1191" s="782" t="s">
        <v>71</v>
      </c>
      <c r="M1191" s="782" t="s">
        <v>71</v>
      </c>
      <c r="N1191" s="782"/>
      <c r="O1191" s="782"/>
      <c r="P1191" s="783"/>
      <c r="Q1191" s="784"/>
      <c r="R1191" s="783"/>
      <c r="S1191" s="785"/>
      <c r="T1191" s="785"/>
    </row>
    <row r="1192">
      <c r="A1192" s="777"/>
      <c r="B1192" s="778"/>
      <c r="C1192" s="779"/>
      <c r="D1192" s="780"/>
      <c r="E1192" s="781" t="s">
        <v>71</v>
      </c>
      <c r="F1192" s="778"/>
      <c r="G1192" s="778"/>
      <c r="H1192" s="778"/>
      <c r="I1192" s="778"/>
      <c r="J1192" s="778"/>
      <c r="K1192" s="778"/>
      <c r="L1192" s="782" t="s">
        <v>71</v>
      </c>
      <c r="M1192" s="782" t="s">
        <v>71</v>
      </c>
      <c r="N1192" s="782"/>
      <c r="O1192" s="782"/>
      <c r="P1192" s="783"/>
      <c r="Q1192" s="784"/>
      <c r="R1192" s="783"/>
      <c r="S1192" s="785"/>
      <c r="T1192" s="785"/>
    </row>
    <row r="1193">
      <c r="A1193" s="777"/>
      <c r="B1193" s="778"/>
      <c r="C1193" s="779"/>
      <c r="D1193" s="780"/>
      <c r="E1193" s="781" t="s">
        <v>71</v>
      </c>
      <c r="F1193" s="778"/>
      <c r="G1193" s="778"/>
      <c r="H1193" s="778"/>
      <c r="I1193" s="778"/>
      <c r="J1193" s="778"/>
      <c r="K1193" s="778"/>
      <c r="L1193" s="782" t="s">
        <v>71</v>
      </c>
      <c r="M1193" s="782" t="s">
        <v>71</v>
      </c>
      <c r="N1193" s="782"/>
      <c r="O1193" s="782"/>
      <c r="P1193" s="783"/>
      <c r="Q1193" s="784"/>
      <c r="R1193" s="783"/>
      <c r="S1193" s="785"/>
      <c r="T1193" s="785"/>
    </row>
    <row r="1194">
      <c r="A1194" s="777"/>
      <c r="B1194" s="778"/>
      <c r="C1194" s="779"/>
      <c r="D1194" s="780"/>
      <c r="E1194" s="781" t="s">
        <v>71</v>
      </c>
      <c r="F1194" s="778"/>
      <c r="G1194" s="778"/>
      <c r="H1194" s="778"/>
      <c r="I1194" s="778"/>
      <c r="J1194" s="778"/>
      <c r="K1194" s="778"/>
      <c r="L1194" s="782" t="s">
        <v>71</v>
      </c>
      <c r="M1194" s="782" t="s">
        <v>71</v>
      </c>
      <c r="N1194" s="782"/>
      <c r="O1194" s="782"/>
      <c r="P1194" s="783"/>
      <c r="Q1194" s="784"/>
      <c r="R1194" s="783"/>
      <c r="S1194" s="785"/>
      <c r="T1194" s="785"/>
    </row>
    <row r="1195">
      <c r="A1195" s="777"/>
      <c r="B1195" s="778"/>
      <c r="C1195" s="779"/>
      <c r="D1195" s="780"/>
      <c r="E1195" s="781" t="s">
        <v>71</v>
      </c>
      <c r="F1195" s="778"/>
      <c r="G1195" s="778"/>
      <c r="H1195" s="778"/>
      <c r="I1195" s="778"/>
      <c r="J1195" s="778"/>
      <c r="K1195" s="778"/>
      <c r="L1195" s="782" t="s">
        <v>71</v>
      </c>
      <c r="M1195" s="782" t="s">
        <v>71</v>
      </c>
      <c r="N1195" s="782"/>
      <c r="O1195" s="782"/>
      <c r="P1195" s="783"/>
      <c r="Q1195" s="784"/>
      <c r="R1195" s="783"/>
      <c r="S1195" s="785"/>
      <c r="T1195" s="785"/>
    </row>
    <row r="1196">
      <c r="A1196" s="777"/>
      <c r="B1196" s="778"/>
      <c r="C1196" s="779"/>
      <c r="D1196" s="780"/>
      <c r="E1196" s="781" t="s">
        <v>71</v>
      </c>
      <c r="F1196" s="778"/>
      <c r="G1196" s="778"/>
      <c r="H1196" s="778"/>
      <c r="I1196" s="778"/>
      <c r="J1196" s="778"/>
      <c r="K1196" s="778"/>
      <c r="L1196" s="782" t="s">
        <v>71</v>
      </c>
      <c r="M1196" s="782" t="s">
        <v>71</v>
      </c>
      <c r="N1196" s="782"/>
      <c r="O1196" s="782"/>
      <c r="P1196" s="783"/>
      <c r="Q1196" s="784"/>
      <c r="R1196" s="783"/>
      <c r="S1196" s="785"/>
      <c r="T1196" s="785"/>
    </row>
    <row r="1197">
      <c r="A1197" s="777"/>
      <c r="B1197" s="778"/>
      <c r="C1197" s="779"/>
      <c r="D1197" s="780"/>
      <c r="E1197" s="781" t="s">
        <v>71</v>
      </c>
      <c r="F1197" s="778"/>
      <c r="G1197" s="778"/>
      <c r="H1197" s="778"/>
      <c r="I1197" s="778"/>
      <c r="J1197" s="778"/>
      <c r="K1197" s="778"/>
      <c r="L1197" s="782" t="s">
        <v>71</v>
      </c>
      <c r="M1197" s="782" t="s">
        <v>71</v>
      </c>
      <c r="N1197" s="782"/>
      <c r="O1197" s="782"/>
      <c r="P1197" s="783"/>
      <c r="Q1197" s="784"/>
      <c r="R1197" s="783"/>
      <c r="S1197" s="785"/>
      <c r="T1197" s="785"/>
    </row>
    <row r="1198">
      <c r="A1198" s="777"/>
      <c r="B1198" s="778"/>
      <c r="C1198" s="779"/>
      <c r="D1198" s="780"/>
      <c r="E1198" s="781" t="s">
        <v>71</v>
      </c>
      <c r="F1198" s="778"/>
      <c r="G1198" s="778"/>
      <c r="H1198" s="778"/>
      <c r="I1198" s="778"/>
      <c r="J1198" s="778"/>
      <c r="K1198" s="778"/>
      <c r="L1198" s="782" t="s">
        <v>71</v>
      </c>
      <c r="M1198" s="782" t="s">
        <v>71</v>
      </c>
      <c r="N1198" s="782"/>
      <c r="O1198" s="782"/>
      <c r="P1198" s="783"/>
      <c r="Q1198" s="784"/>
      <c r="R1198" s="783"/>
      <c r="S1198" s="785"/>
      <c r="T1198" s="785"/>
    </row>
    <row r="1199">
      <c r="A1199" s="777"/>
      <c r="B1199" s="778"/>
      <c r="C1199" s="779"/>
      <c r="D1199" s="780"/>
      <c r="E1199" s="781" t="s">
        <v>71</v>
      </c>
      <c r="F1199" s="778"/>
      <c r="G1199" s="778"/>
      <c r="H1199" s="778"/>
      <c r="I1199" s="778"/>
      <c r="J1199" s="778"/>
      <c r="K1199" s="778"/>
      <c r="L1199" s="782" t="s">
        <v>71</v>
      </c>
      <c r="M1199" s="782" t="s">
        <v>71</v>
      </c>
      <c r="N1199" s="782"/>
      <c r="O1199" s="782"/>
      <c r="P1199" s="783"/>
      <c r="Q1199" s="784"/>
      <c r="R1199" s="783"/>
      <c r="S1199" s="785"/>
      <c r="T1199" s="785"/>
    </row>
    <row r="1200">
      <c r="A1200" s="777"/>
      <c r="B1200" s="778"/>
      <c r="C1200" s="779"/>
      <c r="D1200" s="780"/>
      <c r="E1200" s="781" t="s">
        <v>71</v>
      </c>
      <c r="F1200" s="778"/>
      <c r="G1200" s="778"/>
      <c r="H1200" s="778"/>
      <c r="I1200" s="778"/>
      <c r="J1200" s="778"/>
      <c r="K1200" s="778"/>
      <c r="L1200" s="782" t="s">
        <v>71</v>
      </c>
      <c r="M1200" s="782" t="s">
        <v>71</v>
      </c>
      <c r="N1200" s="782"/>
      <c r="O1200" s="782"/>
      <c r="P1200" s="783"/>
      <c r="Q1200" s="784"/>
      <c r="R1200" s="783"/>
      <c r="S1200" s="785"/>
      <c r="T1200" s="785"/>
    </row>
    <row r="1201">
      <c r="A1201" s="777"/>
      <c r="B1201" s="778"/>
      <c r="C1201" s="779"/>
      <c r="D1201" s="780"/>
      <c r="E1201" s="781" t="s">
        <v>71</v>
      </c>
      <c r="F1201" s="778"/>
      <c r="G1201" s="778"/>
      <c r="H1201" s="778"/>
      <c r="I1201" s="778"/>
      <c r="J1201" s="778"/>
      <c r="K1201" s="778"/>
      <c r="L1201" s="782" t="s">
        <v>71</v>
      </c>
      <c r="M1201" s="782" t="s">
        <v>71</v>
      </c>
      <c r="N1201" s="782"/>
      <c r="O1201" s="782"/>
      <c r="P1201" s="783"/>
      <c r="Q1201" s="784"/>
      <c r="R1201" s="783"/>
      <c r="S1201" s="785"/>
      <c r="T1201" s="785"/>
    </row>
    <row r="1202">
      <c r="A1202" s="777"/>
      <c r="B1202" s="778"/>
      <c r="C1202" s="779"/>
      <c r="D1202" s="780"/>
      <c r="E1202" s="781" t="s">
        <v>71</v>
      </c>
      <c r="F1202" s="778"/>
      <c r="G1202" s="778"/>
      <c r="H1202" s="778"/>
      <c r="I1202" s="778"/>
      <c r="J1202" s="778"/>
      <c r="K1202" s="778"/>
      <c r="L1202" s="782" t="s">
        <v>71</v>
      </c>
      <c r="M1202" s="782" t="s">
        <v>71</v>
      </c>
      <c r="N1202" s="782"/>
      <c r="O1202" s="782"/>
      <c r="P1202" s="783"/>
      <c r="Q1202" s="784"/>
      <c r="R1202" s="783"/>
      <c r="S1202" s="785"/>
      <c r="T1202" s="785"/>
    </row>
    <row r="1203">
      <c r="A1203" s="777"/>
      <c r="B1203" s="778"/>
      <c r="C1203" s="779"/>
      <c r="D1203" s="780"/>
      <c r="E1203" s="781" t="s">
        <v>71</v>
      </c>
      <c r="F1203" s="778"/>
      <c r="G1203" s="778"/>
      <c r="H1203" s="778"/>
      <c r="I1203" s="778"/>
      <c r="J1203" s="778"/>
      <c r="K1203" s="778"/>
      <c r="L1203" s="782" t="s">
        <v>71</v>
      </c>
      <c r="M1203" s="782" t="s">
        <v>71</v>
      </c>
      <c r="N1203" s="782"/>
      <c r="O1203" s="782"/>
      <c r="P1203" s="783"/>
      <c r="Q1203" s="784"/>
      <c r="R1203" s="783"/>
      <c r="S1203" s="785"/>
      <c r="T1203" s="785"/>
    </row>
    <row r="1204">
      <c r="A1204" s="777"/>
      <c r="B1204" s="778"/>
      <c r="C1204" s="779"/>
      <c r="D1204" s="780"/>
      <c r="E1204" s="781" t="s">
        <v>71</v>
      </c>
      <c r="F1204" s="778"/>
      <c r="G1204" s="778"/>
      <c r="H1204" s="778"/>
      <c r="I1204" s="778"/>
      <c r="J1204" s="778"/>
      <c r="K1204" s="778"/>
      <c r="L1204" s="782" t="s">
        <v>71</v>
      </c>
      <c r="M1204" s="782" t="s">
        <v>71</v>
      </c>
      <c r="N1204" s="782"/>
      <c r="O1204" s="782"/>
      <c r="P1204" s="783"/>
      <c r="Q1204" s="784"/>
      <c r="R1204" s="783"/>
      <c r="S1204" s="785"/>
      <c r="T1204" s="785"/>
    </row>
    <row r="1205">
      <c r="A1205" s="777"/>
      <c r="B1205" s="778"/>
      <c r="C1205" s="779"/>
      <c r="D1205" s="780"/>
      <c r="E1205" s="781" t="s">
        <v>71</v>
      </c>
      <c r="F1205" s="778"/>
      <c r="G1205" s="778"/>
      <c r="H1205" s="778"/>
      <c r="I1205" s="778"/>
      <c r="J1205" s="778"/>
      <c r="K1205" s="778"/>
      <c r="L1205" s="782" t="s">
        <v>71</v>
      </c>
      <c r="M1205" s="782" t="s">
        <v>71</v>
      </c>
      <c r="N1205" s="782"/>
      <c r="O1205" s="782"/>
      <c r="P1205" s="783"/>
      <c r="Q1205" s="784"/>
      <c r="R1205" s="783"/>
      <c r="S1205" s="785"/>
      <c r="T1205" s="785"/>
    </row>
    <row r="1206">
      <c r="A1206" s="777"/>
      <c r="B1206" s="778"/>
      <c r="C1206" s="779"/>
      <c r="D1206" s="780"/>
      <c r="E1206" s="781" t="s">
        <v>71</v>
      </c>
      <c r="F1206" s="778"/>
      <c r="G1206" s="778"/>
      <c r="H1206" s="778"/>
      <c r="I1206" s="778"/>
      <c r="J1206" s="778"/>
      <c r="K1206" s="778"/>
      <c r="L1206" s="782" t="s">
        <v>71</v>
      </c>
      <c r="M1206" s="782" t="s">
        <v>71</v>
      </c>
      <c r="N1206" s="782"/>
      <c r="O1206" s="782"/>
      <c r="P1206" s="783"/>
      <c r="Q1206" s="784"/>
      <c r="R1206" s="783"/>
      <c r="S1206" s="785"/>
      <c r="T1206" s="785"/>
    </row>
    <row r="1207">
      <c r="A1207" s="777"/>
      <c r="B1207" s="778"/>
      <c r="C1207" s="779"/>
      <c r="D1207" s="780"/>
      <c r="E1207" s="781" t="s">
        <v>71</v>
      </c>
      <c r="F1207" s="778"/>
      <c r="G1207" s="778"/>
      <c r="H1207" s="778"/>
      <c r="I1207" s="778"/>
      <c r="J1207" s="778"/>
      <c r="K1207" s="778"/>
      <c r="L1207" s="782" t="s">
        <v>71</v>
      </c>
      <c r="M1207" s="782" t="s">
        <v>71</v>
      </c>
      <c r="N1207" s="782"/>
      <c r="O1207" s="782"/>
      <c r="P1207" s="783"/>
      <c r="Q1207" s="784"/>
      <c r="R1207" s="783"/>
      <c r="S1207" s="785"/>
      <c r="T1207" s="785"/>
    </row>
    <row r="1208">
      <c r="A1208" s="777"/>
      <c r="B1208" s="778"/>
      <c r="C1208" s="779"/>
      <c r="D1208" s="780"/>
      <c r="E1208" s="781" t="s">
        <v>71</v>
      </c>
      <c r="F1208" s="778"/>
      <c r="G1208" s="778"/>
      <c r="H1208" s="778"/>
      <c r="I1208" s="778"/>
      <c r="J1208" s="778"/>
      <c r="K1208" s="778"/>
      <c r="L1208" s="782" t="s">
        <v>71</v>
      </c>
      <c r="M1208" s="782" t="s">
        <v>71</v>
      </c>
      <c r="N1208" s="782"/>
      <c r="O1208" s="782"/>
      <c r="P1208" s="783"/>
      <c r="Q1208" s="784"/>
      <c r="R1208" s="783"/>
      <c r="S1208" s="785"/>
      <c r="T1208" s="785"/>
    </row>
    <row r="1209">
      <c r="A1209" s="777"/>
      <c r="B1209" s="778"/>
      <c r="C1209" s="779"/>
      <c r="D1209" s="780"/>
      <c r="E1209" s="781" t="s">
        <v>71</v>
      </c>
      <c r="F1209" s="778"/>
      <c r="G1209" s="778"/>
      <c r="H1209" s="778"/>
      <c r="I1209" s="778"/>
      <c r="J1209" s="778"/>
      <c r="K1209" s="778"/>
      <c r="L1209" s="782" t="s">
        <v>71</v>
      </c>
      <c r="M1209" s="782" t="s">
        <v>71</v>
      </c>
      <c r="N1209" s="782"/>
      <c r="O1209" s="782"/>
      <c r="P1209" s="783"/>
      <c r="Q1209" s="784"/>
      <c r="R1209" s="783"/>
      <c r="S1209" s="785"/>
      <c r="T1209" s="785"/>
    </row>
    <row r="1210">
      <c r="A1210" s="777"/>
      <c r="B1210" s="778"/>
      <c r="C1210" s="779"/>
      <c r="D1210" s="780"/>
      <c r="E1210" s="781" t="s">
        <v>71</v>
      </c>
      <c r="F1210" s="778"/>
      <c r="G1210" s="778"/>
      <c r="H1210" s="778"/>
      <c r="I1210" s="778"/>
      <c r="J1210" s="778"/>
      <c r="K1210" s="778"/>
      <c r="L1210" s="782" t="s">
        <v>71</v>
      </c>
      <c r="M1210" s="782" t="s">
        <v>71</v>
      </c>
      <c r="N1210" s="782"/>
      <c r="O1210" s="782"/>
      <c r="P1210" s="783"/>
      <c r="Q1210" s="784"/>
      <c r="R1210" s="783"/>
      <c r="S1210" s="785"/>
      <c r="T1210" s="785"/>
    </row>
    <row r="1211">
      <c r="A1211" s="777"/>
      <c r="B1211" s="778"/>
      <c r="C1211" s="779"/>
      <c r="D1211" s="780"/>
      <c r="E1211" s="781" t="s">
        <v>71</v>
      </c>
      <c r="F1211" s="778"/>
      <c r="G1211" s="778"/>
      <c r="H1211" s="778"/>
      <c r="I1211" s="778"/>
      <c r="J1211" s="778"/>
      <c r="K1211" s="778"/>
      <c r="L1211" s="782" t="s">
        <v>71</v>
      </c>
      <c r="M1211" s="782" t="s">
        <v>71</v>
      </c>
      <c r="N1211" s="782"/>
      <c r="O1211" s="782"/>
      <c r="P1211" s="783"/>
      <c r="Q1211" s="784"/>
      <c r="R1211" s="783"/>
      <c r="S1211" s="785"/>
      <c r="T1211" s="785"/>
    </row>
    <row r="1212">
      <c r="A1212" s="777"/>
      <c r="B1212" s="778"/>
      <c r="C1212" s="779"/>
      <c r="D1212" s="780"/>
      <c r="E1212" s="781" t="s">
        <v>71</v>
      </c>
      <c r="F1212" s="778"/>
      <c r="G1212" s="778"/>
      <c r="H1212" s="778"/>
      <c r="I1212" s="778"/>
      <c r="J1212" s="778"/>
      <c r="K1212" s="778"/>
      <c r="L1212" s="782" t="s">
        <v>71</v>
      </c>
      <c r="M1212" s="782" t="s">
        <v>71</v>
      </c>
      <c r="N1212" s="782"/>
      <c r="O1212" s="782"/>
      <c r="P1212" s="783"/>
      <c r="Q1212" s="784"/>
      <c r="R1212" s="783"/>
      <c r="S1212" s="785"/>
      <c r="T1212" s="785"/>
    </row>
    <row r="1213">
      <c r="A1213" s="777"/>
      <c r="B1213" s="778"/>
      <c r="C1213" s="779"/>
      <c r="D1213" s="780"/>
      <c r="E1213" s="781" t="s">
        <v>71</v>
      </c>
      <c r="F1213" s="778"/>
      <c r="G1213" s="778"/>
      <c r="H1213" s="778"/>
      <c r="I1213" s="778"/>
      <c r="J1213" s="778"/>
      <c r="K1213" s="778"/>
      <c r="L1213" s="782" t="s">
        <v>71</v>
      </c>
      <c r="M1213" s="782" t="s">
        <v>71</v>
      </c>
      <c r="N1213" s="782"/>
      <c r="O1213" s="782"/>
      <c r="P1213" s="783"/>
      <c r="Q1213" s="784"/>
      <c r="R1213" s="783"/>
      <c r="S1213" s="785"/>
      <c r="T1213" s="785"/>
    </row>
    <row r="1214">
      <c r="A1214" s="777"/>
      <c r="B1214" s="778"/>
      <c r="C1214" s="779"/>
      <c r="D1214" s="780"/>
      <c r="E1214" s="781" t="s">
        <v>71</v>
      </c>
      <c r="F1214" s="778"/>
      <c r="G1214" s="778"/>
      <c r="H1214" s="778"/>
      <c r="I1214" s="778"/>
      <c r="J1214" s="778"/>
      <c r="K1214" s="778"/>
      <c r="L1214" s="782" t="s">
        <v>71</v>
      </c>
      <c r="M1214" s="782" t="s">
        <v>71</v>
      </c>
      <c r="N1214" s="782"/>
      <c r="O1214" s="782"/>
      <c r="P1214" s="783"/>
      <c r="Q1214" s="784"/>
      <c r="R1214" s="783"/>
      <c r="S1214" s="785"/>
      <c r="T1214" s="785"/>
    </row>
    <row r="1215">
      <c r="A1215" s="777"/>
      <c r="B1215" s="778"/>
      <c r="C1215" s="779"/>
      <c r="D1215" s="780"/>
      <c r="E1215" s="781" t="s">
        <v>71</v>
      </c>
      <c r="F1215" s="778"/>
      <c r="G1215" s="778"/>
      <c r="H1215" s="778"/>
      <c r="I1215" s="778"/>
      <c r="J1215" s="778"/>
      <c r="K1215" s="778"/>
      <c r="L1215" s="782" t="s">
        <v>71</v>
      </c>
      <c r="M1215" s="782" t="s">
        <v>71</v>
      </c>
      <c r="N1215" s="782"/>
      <c r="O1215" s="782"/>
      <c r="P1215" s="783"/>
      <c r="Q1215" s="784"/>
      <c r="R1215" s="783"/>
      <c r="S1215" s="785"/>
      <c r="T1215" s="785"/>
    </row>
    <row r="1216">
      <c r="A1216" s="777"/>
      <c r="B1216" s="778"/>
      <c r="C1216" s="779"/>
      <c r="D1216" s="780"/>
      <c r="E1216" s="781" t="s">
        <v>71</v>
      </c>
      <c r="F1216" s="778"/>
      <c r="G1216" s="778"/>
      <c r="H1216" s="778"/>
      <c r="I1216" s="778"/>
      <c r="J1216" s="778"/>
      <c r="K1216" s="778"/>
      <c r="L1216" s="782" t="s">
        <v>71</v>
      </c>
      <c r="M1216" s="782" t="s">
        <v>71</v>
      </c>
      <c r="N1216" s="782"/>
      <c r="O1216" s="782"/>
      <c r="P1216" s="783"/>
      <c r="Q1216" s="784"/>
      <c r="R1216" s="783"/>
      <c r="S1216" s="785"/>
      <c r="T1216" s="785"/>
    </row>
    <row r="1217">
      <c r="A1217" s="777"/>
      <c r="B1217" s="778"/>
      <c r="C1217" s="779"/>
      <c r="D1217" s="780"/>
      <c r="E1217" s="781" t="s">
        <v>71</v>
      </c>
      <c r="F1217" s="778"/>
      <c r="G1217" s="778"/>
      <c r="H1217" s="778"/>
      <c r="I1217" s="778"/>
      <c r="J1217" s="778"/>
      <c r="K1217" s="778"/>
      <c r="L1217" s="782" t="s">
        <v>71</v>
      </c>
      <c r="M1217" s="782" t="s">
        <v>71</v>
      </c>
      <c r="N1217" s="782"/>
      <c r="O1217" s="782"/>
      <c r="P1217" s="783"/>
      <c r="Q1217" s="784"/>
      <c r="R1217" s="783"/>
      <c r="S1217" s="785"/>
      <c r="T1217" s="785"/>
    </row>
    <row r="1218">
      <c r="A1218" s="777"/>
      <c r="B1218" s="778"/>
      <c r="C1218" s="779"/>
      <c r="D1218" s="780"/>
      <c r="E1218" s="781" t="s">
        <v>71</v>
      </c>
      <c r="F1218" s="778"/>
      <c r="G1218" s="778"/>
      <c r="H1218" s="778"/>
      <c r="I1218" s="778"/>
      <c r="J1218" s="778"/>
      <c r="K1218" s="778"/>
      <c r="L1218" s="782" t="s">
        <v>71</v>
      </c>
      <c r="M1218" s="782" t="s">
        <v>71</v>
      </c>
      <c r="N1218" s="782"/>
      <c r="O1218" s="782"/>
      <c r="P1218" s="783"/>
      <c r="Q1218" s="784"/>
      <c r="R1218" s="783"/>
      <c r="S1218" s="785"/>
      <c r="T1218" s="785"/>
    </row>
    <row r="1219">
      <c r="A1219" s="777"/>
      <c r="B1219" s="778"/>
      <c r="C1219" s="779"/>
      <c r="D1219" s="780"/>
      <c r="E1219" s="781" t="s">
        <v>71</v>
      </c>
      <c r="F1219" s="778"/>
      <c r="G1219" s="778"/>
      <c r="H1219" s="778"/>
      <c r="I1219" s="778"/>
      <c r="J1219" s="778"/>
      <c r="K1219" s="778"/>
      <c r="L1219" s="782" t="s">
        <v>71</v>
      </c>
      <c r="M1219" s="782" t="s">
        <v>71</v>
      </c>
      <c r="N1219" s="782"/>
      <c r="O1219" s="782"/>
      <c r="P1219" s="783"/>
      <c r="Q1219" s="784"/>
      <c r="R1219" s="783"/>
      <c r="S1219" s="785"/>
      <c r="T1219" s="785"/>
    </row>
    <row r="1220">
      <c r="A1220" s="777"/>
      <c r="B1220" s="778"/>
      <c r="C1220" s="779"/>
      <c r="D1220" s="780"/>
      <c r="E1220" s="781" t="s">
        <v>71</v>
      </c>
      <c r="F1220" s="778"/>
      <c r="G1220" s="778"/>
      <c r="H1220" s="778"/>
      <c r="I1220" s="778"/>
      <c r="J1220" s="778"/>
      <c r="K1220" s="778"/>
      <c r="L1220" s="782" t="s">
        <v>71</v>
      </c>
      <c r="M1220" s="782" t="s">
        <v>71</v>
      </c>
      <c r="N1220" s="782"/>
      <c r="O1220" s="782"/>
      <c r="P1220" s="783"/>
      <c r="Q1220" s="784"/>
      <c r="R1220" s="783"/>
      <c r="S1220" s="785"/>
      <c r="T1220" s="785"/>
    </row>
    <row r="1221">
      <c r="A1221" s="777"/>
      <c r="B1221" s="778"/>
      <c r="C1221" s="779"/>
      <c r="D1221" s="780"/>
      <c r="E1221" s="781" t="s">
        <v>71</v>
      </c>
      <c r="F1221" s="778"/>
      <c r="G1221" s="778"/>
      <c r="H1221" s="778"/>
      <c r="I1221" s="778"/>
      <c r="J1221" s="778"/>
      <c r="K1221" s="778"/>
      <c r="L1221" s="782" t="s">
        <v>71</v>
      </c>
      <c r="M1221" s="782" t="s">
        <v>71</v>
      </c>
      <c r="N1221" s="782"/>
      <c r="O1221" s="782"/>
      <c r="P1221" s="783"/>
      <c r="Q1221" s="784"/>
      <c r="R1221" s="783"/>
      <c r="S1221" s="785"/>
      <c r="T1221" s="785"/>
    </row>
    <row r="1222">
      <c r="A1222" s="777"/>
      <c r="B1222" s="778"/>
      <c r="C1222" s="779"/>
      <c r="D1222" s="780"/>
      <c r="E1222" s="781" t="s">
        <v>71</v>
      </c>
      <c r="F1222" s="778"/>
      <c r="G1222" s="778"/>
      <c r="H1222" s="778"/>
      <c r="I1222" s="778"/>
      <c r="J1222" s="778"/>
      <c r="K1222" s="778"/>
      <c r="L1222" s="782" t="s">
        <v>71</v>
      </c>
      <c r="M1222" s="782" t="s">
        <v>71</v>
      </c>
      <c r="N1222" s="782"/>
      <c r="O1222" s="782"/>
      <c r="P1222" s="783"/>
      <c r="Q1222" s="784"/>
      <c r="R1222" s="783"/>
      <c r="S1222" s="785"/>
      <c r="T1222" s="785"/>
    </row>
    <row r="1223">
      <c r="A1223" s="777"/>
      <c r="B1223" s="778"/>
      <c r="C1223" s="779"/>
      <c r="D1223" s="780"/>
      <c r="E1223" s="781" t="s">
        <v>71</v>
      </c>
      <c r="F1223" s="778"/>
      <c r="G1223" s="778"/>
      <c r="H1223" s="778"/>
      <c r="I1223" s="778"/>
      <c r="J1223" s="778"/>
      <c r="K1223" s="778"/>
      <c r="L1223" s="782" t="s">
        <v>71</v>
      </c>
      <c r="M1223" s="782" t="s">
        <v>71</v>
      </c>
      <c r="N1223" s="782"/>
      <c r="O1223" s="782"/>
      <c r="P1223" s="783"/>
      <c r="Q1223" s="784"/>
      <c r="R1223" s="783"/>
      <c r="S1223" s="785"/>
      <c r="T1223" s="785"/>
    </row>
    <row r="1224">
      <c r="A1224" s="777"/>
      <c r="B1224" s="778"/>
      <c r="C1224" s="779"/>
      <c r="D1224" s="780"/>
      <c r="E1224" s="781" t="s">
        <v>71</v>
      </c>
      <c r="F1224" s="778"/>
      <c r="G1224" s="778"/>
      <c r="H1224" s="778"/>
      <c r="I1224" s="778"/>
      <c r="J1224" s="778"/>
      <c r="K1224" s="778"/>
      <c r="L1224" s="782" t="s">
        <v>71</v>
      </c>
      <c r="M1224" s="782" t="s">
        <v>71</v>
      </c>
      <c r="N1224" s="782"/>
      <c r="O1224" s="782"/>
      <c r="P1224" s="783"/>
      <c r="Q1224" s="784"/>
      <c r="R1224" s="783"/>
      <c r="S1224" s="785"/>
      <c r="T1224" s="785"/>
    </row>
    <row r="1225">
      <c r="A1225" s="777"/>
      <c r="B1225" s="778"/>
      <c r="C1225" s="779"/>
      <c r="D1225" s="780"/>
      <c r="E1225" s="781" t="s">
        <v>71</v>
      </c>
      <c r="F1225" s="778"/>
      <c r="G1225" s="778"/>
      <c r="H1225" s="778"/>
      <c r="I1225" s="778"/>
      <c r="J1225" s="778"/>
      <c r="K1225" s="778"/>
      <c r="L1225" s="782" t="s">
        <v>71</v>
      </c>
      <c r="M1225" s="782" t="s">
        <v>71</v>
      </c>
      <c r="N1225" s="782"/>
      <c r="O1225" s="782"/>
      <c r="P1225" s="783"/>
      <c r="Q1225" s="784"/>
      <c r="R1225" s="783"/>
      <c r="S1225" s="785"/>
      <c r="T1225" s="785"/>
    </row>
    <row r="1226">
      <c r="A1226" s="777"/>
      <c r="B1226" s="778"/>
      <c r="C1226" s="779"/>
      <c r="D1226" s="780"/>
      <c r="E1226" s="781" t="s">
        <v>71</v>
      </c>
      <c r="F1226" s="778"/>
      <c r="G1226" s="778"/>
      <c r="H1226" s="778"/>
      <c r="I1226" s="778"/>
      <c r="J1226" s="778"/>
      <c r="K1226" s="778"/>
      <c r="L1226" s="782" t="s">
        <v>71</v>
      </c>
      <c r="M1226" s="782" t="s">
        <v>71</v>
      </c>
      <c r="N1226" s="782"/>
      <c r="O1226" s="782"/>
      <c r="P1226" s="783"/>
      <c r="Q1226" s="784"/>
      <c r="R1226" s="783"/>
      <c r="S1226" s="785"/>
      <c r="T1226" s="785"/>
    </row>
    <row r="1227">
      <c r="A1227" s="777"/>
      <c r="B1227" s="778"/>
      <c r="C1227" s="779"/>
      <c r="D1227" s="780"/>
      <c r="E1227" s="781" t="s">
        <v>71</v>
      </c>
      <c r="F1227" s="778"/>
      <c r="G1227" s="778"/>
      <c r="H1227" s="778"/>
      <c r="I1227" s="778"/>
      <c r="J1227" s="778"/>
      <c r="K1227" s="778"/>
      <c r="L1227" s="782" t="s">
        <v>71</v>
      </c>
      <c r="M1227" s="782" t="s">
        <v>71</v>
      </c>
      <c r="N1227" s="782"/>
      <c r="O1227" s="782"/>
      <c r="P1227" s="783"/>
      <c r="Q1227" s="784"/>
      <c r="R1227" s="783"/>
      <c r="S1227" s="785"/>
      <c r="T1227" s="785"/>
    </row>
    <row r="1228">
      <c r="A1228" s="777"/>
      <c r="B1228" s="778"/>
      <c r="C1228" s="779"/>
      <c r="D1228" s="780"/>
      <c r="E1228" s="781" t="s">
        <v>71</v>
      </c>
      <c r="F1228" s="778"/>
      <c r="G1228" s="778"/>
      <c r="H1228" s="778"/>
      <c r="I1228" s="778"/>
      <c r="J1228" s="778"/>
      <c r="K1228" s="778"/>
      <c r="L1228" s="782" t="s">
        <v>71</v>
      </c>
      <c r="M1228" s="782" t="s">
        <v>71</v>
      </c>
      <c r="N1228" s="782"/>
      <c r="O1228" s="782"/>
      <c r="P1228" s="783"/>
      <c r="Q1228" s="784"/>
      <c r="R1228" s="783"/>
      <c r="S1228" s="785"/>
      <c r="T1228" s="785"/>
    </row>
    <row r="1229">
      <c r="A1229" s="777"/>
      <c r="B1229" s="778"/>
      <c r="C1229" s="779"/>
      <c r="D1229" s="780"/>
      <c r="E1229" s="781" t="s">
        <v>71</v>
      </c>
      <c r="F1229" s="778"/>
      <c r="G1229" s="778"/>
      <c r="H1229" s="778"/>
      <c r="I1229" s="778"/>
      <c r="J1229" s="778"/>
      <c r="K1229" s="778"/>
      <c r="L1229" s="782" t="s">
        <v>71</v>
      </c>
      <c r="M1229" s="782" t="s">
        <v>71</v>
      </c>
      <c r="N1229" s="782"/>
      <c r="O1229" s="782"/>
      <c r="P1229" s="783"/>
      <c r="Q1229" s="784"/>
      <c r="R1229" s="783"/>
      <c r="S1229" s="785"/>
      <c r="T1229" s="785"/>
    </row>
    <row r="1230">
      <c r="A1230" s="777"/>
      <c r="B1230" s="778"/>
      <c r="C1230" s="779"/>
      <c r="D1230" s="780"/>
      <c r="E1230" s="781" t="s">
        <v>71</v>
      </c>
      <c r="F1230" s="778"/>
      <c r="G1230" s="778"/>
      <c r="H1230" s="778"/>
      <c r="I1230" s="778"/>
      <c r="J1230" s="778"/>
      <c r="K1230" s="778"/>
      <c r="L1230" s="782" t="s">
        <v>71</v>
      </c>
      <c r="M1230" s="782" t="s">
        <v>71</v>
      </c>
      <c r="N1230" s="782"/>
      <c r="O1230" s="782"/>
      <c r="P1230" s="783"/>
      <c r="Q1230" s="784"/>
      <c r="R1230" s="783"/>
      <c r="S1230" s="785"/>
      <c r="T1230" s="785"/>
    </row>
    <row r="1231">
      <c r="A1231" s="777"/>
      <c r="B1231" s="778"/>
      <c r="C1231" s="779"/>
      <c r="D1231" s="780"/>
      <c r="E1231" s="781" t="s">
        <v>71</v>
      </c>
      <c r="F1231" s="778"/>
      <c r="G1231" s="778"/>
      <c r="H1231" s="778"/>
      <c r="I1231" s="778"/>
      <c r="J1231" s="778"/>
      <c r="K1231" s="778"/>
      <c r="L1231" s="782" t="s">
        <v>71</v>
      </c>
      <c r="M1231" s="782" t="s">
        <v>71</v>
      </c>
      <c r="N1231" s="782"/>
      <c r="O1231" s="782"/>
      <c r="P1231" s="783"/>
      <c r="Q1231" s="784"/>
      <c r="R1231" s="783"/>
      <c r="S1231" s="785"/>
      <c r="T1231" s="785"/>
    </row>
    <row r="1232">
      <c r="A1232" s="777"/>
      <c r="B1232" s="778"/>
      <c r="C1232" s="779"/>
      <c r="D1232" s="780"/>
      <c r="E1232" s="781" t="s">
        <v>71</v>
      </c>
      <c r="F1232" s="778"/>
      <c r="G1232" s="778"/>
      <c r="H1232" s="778"/>
      <c r="I1232" s="778"/>
      <c r="J1232" s="778"/>
      <c r="K1232" s="778"/>
      <c r="L1232" s="782" t="s">
        <v>71</v>
      </c>
      <c r="M1232" s="782" t="s">
        <v>71</v>
      </c>
      <c r="N1232" s="782"/>
      <c r="O1232" s="782"/>
      <c r="P1232" s="783"/>
      <c r="Q1232" s="784"/>
      <c r="R1232" s="783"/>
      <c r="S1232" s="785"/>
      <c r="T1232" s="785"/>
    </row>
    <row r="1233">
      <c r="A1233" s="777"/>
      <c r="B1233" s="778"/>
      <c r="C1233" s="779"/>
      <c r="D1233" s="780"/>
      <c r="E1233" s="781" t="s">
        <v>71</v>
      </c>
      <c r="F1233" s="778"/>
      <c r="G1233" s="778"/>
      <c r="H1233" s="778"/>
      <c r="I1233" s="778"/>
      <c r="J1233" s="778"/>
      <c r="K1233" s="778"/>
      <c r="L1233" s="782" t="s">
        <v>71</v>
      </c>
      <c r="M1233" s="782" t="s">
        <v>71</v>
      </c>
      <c r="N1233" s="782"/>
      <c r="O1233" s="782"/>
      <c r="P1233" s="783"/>
      <c r="Q1233" s="784"/>
      <c r="R1233" s="783"/>
      <c r="S1233" s="785"/>
      <c r="T1233" s="785"/>
    </row>
    <row r="1234">
      <c r="A1234" s="777"/>
      <c r="B1234" s="778"/>
      <c r="C1234" s="779"/>
      <c r="D1234" s="780"/>
      <c r="E1234" s="781" t="s">
        <v>71</v>
      </c>
      <c r="F1234" s="778"/>
      <c r="G1234" s="778"/>
      <c r="H1234" s="778"/>
      <c r="I1234" s="778"/>
      <c r="J1234" s="778"/>
      <c r="K1234" s="778"/>
      <c r="L1234" s="782" t="s">
        <v>71</v>
      </c>
      <c r="M1234" s="782" t="s">
        <v>71</v>
      </c>
      <c r="N1234" s="782"/>
      <c r="O1234" s="782"/>
      <c r="P1234" s="783"/>
      <c r="Q1234" s="784"/>
      <c r="R1234" s="783"/>
      <c r="S1234" s="785"/>
      <c r="T1234" s="785"/>
    </row>
    <row r="1235">
      <c r="A1235" s="777"/>
      <c r="B1235" s="778"/>
      <c r="C1235" s="779"/>
      <c r="D1235" s="780"/>
      <c r="E1235" s="781" t="s">
        <v>71</v>
      </c>
      <c r="F1235" s="778"/>
      <c r="G1235" s="778"/>
      <c r="H1235" s="778"/>
      <c r="I1235" s="778"/>
      <c r="J1235" s="778"/>
      <c r="K1235" s="778"/>
      <c r="L1235" s="782" t="s">
        <v>71</v>
      </c>
      <c r="M1235" s="782" t="s">
        <v>71</v>
      </c>
      <c r="N1235" s="782"/>
      <c r="O1235" s="782"/>
      <c r="P1235" s="783"/>
      <c r="Q1235" s="784"/>
      <c r="R1235" s="783"/>
      <c r="S1235" s="785"/>
      <c r="T1235" s="785"/>
    </row>
    <row r="1236">
      <c r="A1236" s="777"/>
      <c r="B1236" s="778"/>
      <c r="C1236" s="779"/>
      <c r="D1236" s="780"/>
      <c r="E1236" s="781" t="s">
        <v>71</v>
      </c>
      <c r="F1236" s="778"/>
      <c r="G1236" s="778"/>
      <c r="H1236" s="778"/>
      <c r="I1236" s="778"/>
      <c r="J1236" s="778"/>
      <c r="K1236" s="778"/>
      <c r="L1236" s="782" t="s">
        <v>71</v>
      </c>
      <c r="M1236" s="782" t="s">
        <v>71</v>
      </c>
      <c r="N1236" s="782"/>
      <c r="O1236" s="782"/>
      <c r="P1236" s="783"/>
      <c r="Q1236" s="784"/>
      <c r="R1236" s="783"/>
      <c r="S1236" s="785"/>
      <c r="T1236" s="785"/>
    </row>
    <row r="1237">
      <c r="A1237" s="777"/>
      <c r="B1237" s="778"/>
      <c r="C1237" s="779"/>
      <c r="D1237" s="780"/>
      <c r="E1237" s="781" t="s">
        <v>71</v>
      </c>
      <c r="F1237" s="778"/>
      <c r="G1237" s="778"/>
      <c r="H1237" s="778"/>
      <c r="I1237" s="778"/>
      <c r="J1237" s="778"/>
      <c r="K1237" s="778"/>
      <c r="L1237" s="782" t="s">
        <v>71</v>
      </c>
      <c r="M1237" s="782" t="s">
        <v>71</v>
      </c>
      <c r="N1237" s="782"/>
      <c r="O1237" s="782"/>
      <c r="P1237" s="783"/>
      <c r="Q1237" s="784"/>
      <c r="R1237" s="783"/>
      <c r="S1237" s="785"/>
      <c r="T1237" s="785"/>
    </row>
    <row r="1238">
      <c r="A1238" s="777"/>
      <c r="B1238" s="778"/>
      <c r="C1238" s="779"/>
      <c r="D1238" s="780"/>
      <c r="E1238" s="781" t="s">
        <v>71</v>
      </c>
      <c r="F1238" s="778"/>
      <c r="G1238" s="778"/>
      <c r="H1238" s="778"/>
      <c r="I1238" s="778"/>
      <c r="J1238" s="778"/>
      <c r="K1238" s="778"/>
      <c r="L1238" s="782" t="s">
        <v>71</v>
      </c>
      <c r="M1238" s="782" t="s">
        <v>71</v>
      </c>
      <c r="N1238" s="782"/>
      <c r="O1238" s="782"/>
      <c r="P1238" s="783"/>
      <c r="Q1238" s="784"/>
      <c r="R1238" s="783"/>
      <c r="S1238" s="785"/>
      <c r="T1238" s="785"/>
    </row>
    <row r="1239">
      <c r="A1239" s="777"/>
      <c r="B1239" s="778"/>
      <c r="C1239" s="779"/>
      <c r="D1239" s="780"/>
      <c r="E1239" s="781" t="s">
        <v>71</v>
      </c>
      <c r="F1239" s="778"/>
      <c r="G1239" s="778"/>
      <c r="H1239" s="778"/>
      <c r="I1239" s="778"/>
      <c r="J1239" s="778"/>
      <c r="K1239" s="778"/>
      <c r="L1239" s="782" t="s">
        <v>71</v>
      </c>
      <c r="M1239" s="782" t="s">
        <v>71</v>
      </c>
      <c r="N1239" s="782"/>
      <c r="O1239" s="782"/>
      <c r="P1239" s="783"/>
      <c r="Q1239" s="784"/>
      <c r="R1239" s="783"/>
      <c r="S1239" s="785"/>
      <c r="T1239" s="785"/>
    </row>
    <row r="1240">
      <c r="A1240" s="777"/>
      <c r="B1240" s="778"/>
      <c r="C1240" s="779"/>
      <c r="D1240" s="780"/>
      <c r="E1240" s="781" t="s">
        <v>71</v>
      </c>
      <c r="F1240" s="778"/>
      <c r="G1240" s="778"/>
      <c r="H1240" s="778"/>
      <c r="I1240" s="778"/>
      <c r="J1240" s="778"/>
      <c r="K1240" s="778"/>
      <c r="L1240" s="782" t="s">
        <v>71</v>
      </c>
      <c r="M1240" s="782" t="s">
        <v>71</v>
      </c>
      <c r="N1240" s="782"/>
      <c r="O1240" s="782"/>
      <c r="P1240" s="783"/>
      <c r="Q1240" s="784"/>
      <c r="R1240" s="783"/>
      <c r="S1240" s="785"/>
      <c r="T1240" s="785"/>
    </row>
    <row r="1241">
      <c r="A1241" s="777"/>
      <c r="B1241" s="778"/>
      <c r="C1241" s="779"/>
      <c r="D1241" s="780"/>
      <c r="E1241" s="781" t="s">
        <v>71</v>
      </c>
      <c r="F1241" s="778"/>
      <c r="G1241" s="778"/>
      <c r="H1241" s="778"/>
      <c r="I1241" s="778"/>
      <c r="J1241" s="778"/>
      <c r="K1241" s="778"/>
      <c r="L1241" s="782" t="s">
        <v>71</v>
      </c>
      <c r="M1241" s="782" t="s">
        <v>71</v>
      </c>
      <c r="N1241" s="782"/>
      <c r="O1241" s="782"/>
      <c r="P1241" s="783"/>
      <c r="Q1241" s="784"/>
      <c r="R1241" s="783"/>
      <c r="S1241" s="785"/>
      <c r="T1241" s="785"/>
    </row>
    <row r="1242">
      <c r="A1242" s="777"/>
      <c r="B1242" s="778"/>
      <c r="C1242" s="779"/>
      <c r="D1242" s="780"/>
      <c r="E1242" s="781" t="s">
        <v>71</v>
      </c>
      <c r="F1242" s="778"/>
      <c r="G1242" s="778"/>
      <c r="H1242" s="778"/>
      <c r="I1242" s="778"/>
      <c r="J1242" s="778"/>
      <c r="K1242" s="778"/>
      <c r="L1242" s="782" t="s">
        <v>71</v>
      </c>
      <c r="M1242" s="782" t="s">
        <v>71</v>
      </c>
      <c r="N1242" s="782"/>
      <c r="O1242" s="782"/>
      <c r="P1242" s="783"/>
      <c r="Q1242" s="784"/>
      <c r="R1242" s="783"/>
      <c r="S1242" s="785"/>
      <c r="T1242" s="785"/>
    </row>
    <row r="1243">
      <c r="A1243" s="777"/>
      <c r="B1243" s="778"/>
      <c r="C1243" s="779"/>
      <c r="D1243" s="780"/>
      <c r="E1243" s="781" t="s">
        <v>71</v>
      </c>
      <c r="F1243" s="778"/>
      <c r="G1243" s="778"/>
      <c r="H1243" s="778"/>
      <c r="I1243" s="778"/>
      <c r="J1243" s="778"/>
      <c r="K1243" s="778"/>
      <c r="L1243" s="782" t="s">
        <v>71</v>
      </c>
      <c r="M1243" s="782" t="s">
        <v>71</v>
      </c>
      <c r="N1243" s="782"/>
      <c r="O1243" s="782"/>
      <c r="P1243" s="783"/>
      <c r="Q1243" s="784"/>
      <c r="R1243" s="783"/>
      <c r="S1243" s="785"/>
      <c r="T1243" s="785"/>
    </row>
    <row r="1244">
      <c r="A1244" s="777"/>
      <c r="B1244" s="778"/>
      <c r="C1244" s="779"/>
      <c r="D1244" s="780"/>
      <c r="E1244" s="781" t="s">
        <v>71</v>
      </c>
      <c r="F1244" s="778"/>
      <c r="G1244" s="778"/>
      <c r="H1244" s="778"/>
      <c r="I1244" s="778"/>
      <c r="J1244" s="778"/>
      <c r="K1244" s="778"/>
      <c r="L1244" s="782" t="s">
        <v>71</v>
      </c>
      <c r="M1244" s="782" t="s">
        <v>71</v>
      </c>
      <c r="N1244" s="782"/>
      <c r="O1244" s="782"/>
      <c r="P1244" s="783"/>
      <c r="Q1244" s="784"/>
      <c r="R1244" s="783"/>
      <c r="S1244" s="785"/>
      <c r="T1244" s="785"/>
    </row>
    <row r="1245">
      <c r="A1245" s="777"/>
      <c r="B1245" s="778"/>
      <c r="C1245" s="779"/>
      <c r="D1245" s="780"/>
      <c r="E1245" s="781" t="s">
        <v>71</v>
      </c>
      <c r="F1245" s="778"/>
      <c r="G1245" s="778"/>
      <c r="H1245" s="778"/>
      <c r="I1245" s="778"/>
      <c r="J1245" s="778"/>
      <c r="K1245" s="778"/>
      <c r="L1245" s="782" t="s">
        <v>71</v>
      </c>
      <c r="M1245" s="782" t="s">
        <v>71</v>
      </c>
      <c r="N1245" s="782"/>
      <c r="O1245" s="782"/>
      <c r="P1245" s="783"/>
      <c r="Q1245" s="784"/>
      <c r="R1245" s="783"/>
      <c r="S1245" s="785"/>
      <c r="T1245" s="785"/>
    </row>
    <row r="1246">
      <c r="A1246" s="777"/>
      <c r="B1246" s="778"/>
      <c r="C1246" s="779"/>
      <c r="D1246" s="780"/>
      <c r="E1246" s="781" t="s">
        <v>71</v>
      </c>
      <c r="F1246" s="778"/>
      <c r="G1246" s="778"/>
      <c r="H1246" s="778"/>
      <c r="I1246" s="778"/>
      <c r="J1246" s="778"/>
      <c r="K1246" s="778"/>
      <c r="L1246" s="782" t="s">
        <v>71</v>
      </c>
      <c r="M1246" s="782" t="s">
        <v>71</v>
      </c>
      <c r="N1246" s="782"/>
      <c r="O1246" s="782"/>
      <c r="P1246" s="783"/>
      <c r="Q1246" s="784"/>
      <c r="R1246" s="783"/>
      <c r="S1246" s="785"/>
      <c r="T1246" s="785"/>
    </row>
    <row r="1247">
      <c r="A1247" s="777"/>
      <c r="B1247" s="778"/>
      <c r="C1247" s="779"/>
      <c r="D1247" s="780"/>
      <c r="E1247" s="781" t="s">
        <v>71</v>
      </c>
      <c r="F1247" s="778"/>
      <c r="G1247" s="778"/>
      <c r="H1247" s="778"/>
      <c r="I1247" s="778"/>
      <c r="J1247" s="778"/>
      <c r="K1247" s="778"/>
      <c r="L1247" s="782" t="s">
        <v>71</v>
      </c>
      <c r="M1247" s="782" t="s">
        <v>71</v>
      </c>
      <c r="N1247" s="782"/>
      <c r="O1247" s="782"/>
      <c r="P1247" s="783"/>
      <c r="Q1247" s="784"/>
      <c r="R1247" s="783"/>
      <c r="S1247" s="785"/>
      <c r="T1247" s="785"/>
    </row>
    <row r="1248">
      <c r="A1248" s="777"/>
      <c r="B1248" s="778"/>
      <c r="C1248" s="779"/>
      <c r="D1248" s="780"/>
      <c r="E1248" s="781" t="s">
        <v>71</v>
      </c>
      <c r="F1248" s="778"/>
      <c r="G1248" s="778"/>
      <c r="H1248" s="778"/>
      <c r="I1248" s="778"/>
      <c r="J1248" s="778"/>
      <c r="K1248" s="778"/>
      <c r="L1248" s="782" t="s">
        <v>71</v>
      </c>
      <c r="M1248" s="782" t="s">
        <v>71</v>
      </c>
      <c r="N1248" s="782"/>
      <c r="O1248" s="782"/>
      <c r="P1248" s="783"/>
      <c r="Q1248" s="784"/>
      <c r="R1248" s="783"/>
      <c r="S1248" s="785"/>
      <c r="T1248" s="785"/>
    </row>
    <row r="1249">
      <c r="A1249" s="777"/>
      <c r="B1249" s="778"/>
      <c r="C1249" s="779"/>
      <c r="D1249" s="780"/>
      <c r="E1249" s="781" t="s">
        <v>71</v>
      </c>
      <c r="F1249" s="778"/>
      <c r="G1249" s="778"/>
      <c r="H1249" s="778"/>
      <c r="I1249" s="778"/>
      <c r="J1249" s="778"/>
      <c r="K1249" s="778"/>
      <c r="L1249" s="782" t="s">
        <v>71</v>
      </c>
      <c r="M1249" s="782" t="s">
        <v>71</v>
      </c>
      <c r="N1249" s="782"/>
      <c r="O1249" s="782"/>
      <c r="P1249" s="783"/>
      <c r="Q1249" s="784"/>
      <c r="R1249" s="783"/>
      <c r="S1249" s="785"/>
      <c r="T1249" s="785"/>
    </row>
    <row r="1250">
      <c r="A1250" s="777"/>
      <c r="B1250" s="778"/>
      <c r="C1250" s="779"/>
      <c r="D1250" s="780"/>
      <c r="E1250" s="781" t="s">
        <v>71</v>
      </c>
      <c r="F1250" s="778"/>
      <c r="G1250" s="778"/>
      <c r="H1250" s="778"/>
      <c r="I1250" s="778"/>
      <c r="J1250" s="778"/>
      <c r="K1250" s="778"/>
      <c r="L1250" s="782" t="s">
        <v>71</v>
      </c>
      <c r="M1250" s="782" t="s">
        <v>71</v>
      </c>
      <c r="N1250" s="782"/>
      <c r="O1250" s="782"/>
      <c r="P1250" s="783"/>
      <c r="Q1250" s="784"/>
      <c r="R1250" s="783"/>
      <c r="S1250" s="785"/>
      <c r="T1250" s="785"/>
    </row>
    <row r="1251">
      <c r="A1251" s="777"/>
      <c r="B1251" s="778"/>
      <c r="C1251" s="779"/>
      <c r="D1251" s="780"/>
      <c r="E1251" s="781" t="s">
        <v>71</v>
      </c>
      <c r="F1251" s="778"/>
      <c r="G1251" s="778"/>
      <c r="H1251" s="778"/>
      <c r="I1251" s="778"/>
      <c r="J1251" s="778"/>
      <c r="K1251" s="778"/>
      <c r="L1251" s="782" t="s">
        <v>71</v>
      </c>
      <c r="M1251" s="782" t="s">
        <v>71</v>
      </c>
      <c r="N1251" s="782"/>
      <c r="O1251" s="782"/>
      <c r="P1251" s="783"/>
      <c r="Q1251" s="784"/>
      <c r="R1251" s="783"/>
      <c r="S1251" s="785"/>
      <c r="T1251" s="785"/>
    </row>
    <row r="1252">
      <c r="A1252" s="777"/>
      <c r="B1252" s="778"/>
      <c r="C1252" s="779"/>
      <c r="D1252" s="780"/>
      <c r="E1252" s="781" t="s">
        <v>71</v>
      </c>
      <c r="F1252" s="778"/>
      <c r="G1252" s="778"/>
      <c r="H1252" s="778"/>
      <c r="I1252" s="778"/>
      <c r="J1252" s="778"/>
      <c r="K1252" s="778"/>
      <c r="L1252" s="782" t="s">
        <v>71</v>
      </c>
      <c r="M1252" s="782" t="s">
        <v>71</v>
      </c>
      <c r="N1252" s="782"/>
      <c r="O1252" s="782"/>
      <c r="P1252" s="783"/>
      <c r="Q1252" s="784"/>
      <c r="R1252" s="783"/>
      <c r="S1252" s="785"/>
      <c r="T1252" s="785"/>
    </row>
    <row r="1253">
      <c r="A1253" s="777"/>
      <c r="B1253" s="778"/>
      <c r="C1253" s="779"/>
      <c r="D1253" s="780"/>
      <c r="E1253" s="781" t="s">
        <v>71</v>
      </c>
      <c r="F1253" s="778"/>
      <c r="G1253" s="778"/>
      <c r="H1253" s="778"/>
      <c r="I1253" s="778"/>
      <c r="J1253" s="778"/>
      <c r="K1253" s="778"/>
      <c r="L1253" s="782" t="s">
        <v>71</v>
      </c>
      <c r="M1253" s="782" t="s">
        <v>71</v>
      </c>
      <c r="N1253" s="782"/>
      <c r="O1253" s="782"/>
      <c r="P1253" s="783"/>
      <c r="Q1253" s="784"/>
      <c r="R1253" s="783"/>
      <c r="S1253" s="785"/>
      <c r="T1253" s="785"/>
    </row>
    <row r="1254">
      <c r="A1254" s="777"/>
      <c r="B1254" s="778"/>
      <c r="C1254" s="779"/>
      <c r="D1254" s="780"/>
      <c r="E1254" s="781" t="s">
        <v>71</v>
      </c>
      <c r="F1254" s="778"/>
      <c r="G1254" s="778"/>
      <c r="H1254" s="778"/>
      <c r="I1254" s="778"/>
      <c r="J1254" s="778"/>
      <c r="K1254" s="778"/>
      <c r="L1254" s="782" t="s">
        <v>71</v>
      </c>
      <c r="M1254" s="782" t="s">
        <v>71</v>
      </c>
      <c r="N1254" s="782"/>
      <c r="O1254" s="782"/>
      <c r="P1254" s="783"/>
      <c r="Q1254" s="784"/>
      <c r="R1254" s="783"/>
      <c r="S1254" s="785"/>
      <c r="T1254" s="785"/>
    </row>
    <row r="1255">
      <c r="A1255" s="777"/>
      <c r="B1255" s="778"/>
      <c r="C1255" s="779"/>
      <c r="D1255" s="780"/>
      <c r="E1255" s="781" t="s">
        <v>71</v>
      </c>
      <c r="F1255" s="778"/>
      <c r="G1255" s="778"/>
      <c r="H1255" s="778"/>
      <c r="I1255" s="778"/>
      <c r="J1255" s="778"/>
      <c r="K1255" s="778"/>
      <c r="L1255" s="782" t="s">
        <v>71</v>
      </c>
      <c r="M1255" s="782" t="s">
        <v>71</v>
      </c>
      <c r="N1255" s="782"/>
      <c r="O1255" s="782"/>
      <c r="P1255" s="783"/>
      <c r="Q1255" s="784"/>
      <c r="R1255" s="783"/>
      <c r="S1255" s="785"/>
      <c r="T1255" s="785"/>
    </row>
    <row r="1256">
      <c r="A1256" s="777"/>
      <c r="B1256" s="778"/>
      <c r="C1256" s="779"/>
      <c r="D1256" s="780"/>
      <c r="E1256" s="781" t="s">
        <v>71</v>
      </c>
      <c r="F1256" s="778"/>
      <c r="G1256" s="778"/>
      <c r="H1256" s="778"/>
      <c r="I1256" s="778"/>
      <c r="J1256" s="778"/>
      <c r="K1256" s="778"/>
      <c r="L1256" s="782" t="s">
        <v>71</v>
      </c>
      <c r="M1256" s="782" t="s">
        <v>71</v>
      </c>
      <c r="N1256" s="782"/>
      <c r="O1256" s="782"/>
      <c r="P1256" s="783"/>
      <c r="Q1256" s="784"/>
      <c r="R1256" s="783"/>
      <c r="S1256" s="785"/>
      <c r="T1256" s="785"/>
    </row>
    <row r="1257">
      <c r="A1257" s="777"/>
      <c r="B1257" s="778"/>
      <c r="C1257" s="779"/>
      <c r="D1257" s="780"/>
      <c r="E1257" s="781" t="s">
        <v>71</v>
      </c>
      <c r="F1257" s="778"/>
      <c r="G1257" s="778"/>
      <c r="H1257" s="778"/>
      <c r="I1257" s="778"/>
      <c r="J1257" s="778"/>
      <c r="K1257" s="778"/>
      <c r="L1257" s="782" t="s">
        <v>71</v>
      </c>
      <c r="M1257" s="782" t="s">
        <v>71</v>
      </c>
      <c r="N1257" s="782"/>
      <c r="O1257" s="782"/>
      <c r="P1257" s="783"/>
      <c r="Q1257" s="784"/>
      <c r="R1257" s="783"/>
      <c r="S1257" s="785"/>
      <c r="T1257" s="785"/>
    </row>
    <row r="1258">
      <c r="A1258" s="777"/>
      <c r="B1258" s="778"/>
      <c r="C1258" s="779"/>
      <c r="D1258" s="780"/>
      <c r="E1258" s="781" t="s">
        <v>71</v>
      </c>
      <c r="F1258" s="778"/>
      <c r="G1258" s="778"/>
      <c r="H1258" s="778"/>
      <c r="I1258" s="778"/>
      <c r="J1258" s="778"/>
      <c r="K1258" s="778"/>
      <c r="L1258" s="782" t="s">
        <v>71</v>
      </c>
      <c r="M1258" s="782" t="s">
        <v>71</v>
      </c>
      <c r="N1258" s="782"/>
      <c r="O1258" s="782"/>
      <c r="P1258" s="783"/>
      <c r="Q1258" s="784"/>
      <c r="R1258" s="783"/>
      <c r="S1258" s="785"/>
      <c r="T1258" s="785"/>
    </row>
    <row r="1259">
      <c r="A1259" s="777"/>
      <c r="B1259" s="778"/>
      <c r="C1259" s="779"/>
      <c r="D1259" s="780"/>
      <c r="E1259" s="781" t="s">
        <v>71</v>
      </c>
      <c r="F1259" s="778"/>
      <c r="G1259" s="778"/>
      <c r="H1259" s="778"/>
      <c r="I1259" s="778"/>
      <c r="J1259" s="778"/>
      <c r="K1259" s="778"/>
      <c r="L1259" s="782" t="s">
        <v>71</v>
      </c>
      <c r="M1259" s="782" t="s">
        <v>71</v>
      </c>
      <c r="N1259" s="782"/>
      <c r="O1259" s="782"/>
      <c r="P1259" s="783"/>
      <c r="Q1259" s="784"/>
      <c r="R1259" s="783"/>
      <c r="S1259" s="785"/>
      <c r="T1259" s="785"/>
    </row>
    <row r="1260">
      <c r="A1260" s="777"/>
      <c r="B1260" s="778"/>
      <c r="C1260" s="779"/>
      <c r="D1260" s="780"/>
      <c r="E1260" s="781" t="s">
        <v>71</v>
      </c>
      <c r="F1260" s="778"/>
      <c r="G1260" s="778"/>
      <c r="H1260" s="778"/>
      <c r="I1260" s="778"/>
      <c r="J1260" s="778"/>
      <c r="K1260" s="778"/>
      <c r="L1260" s="782" t="s">
        <v>71</v>
      </c>
      <c r="M1260" s="782" t="s">
        <v>71</v>
      </c>
      <c r="N1260" s="782"/>
      <c r="O1260" s="782"/>
      <c r="P1260" s="783"/>
      <c r="Q1260" s="784"/>
      <c r="R1260" s="783"/>
      <c r="S1260" s="785"/>
      <c r="T1260" s="785"/>
    </row>
    <row r="1261">
      <c r="A1261" s="777"/>
      <c r="B1261" s="778"/>
      <c r="C1261" s="779"/>
      <c r="D1261" s="780"/>
      <c r="E1261" s="781" t="s">
        <v>71</v>
      </c>
      <c r="F1261" s="778"/>
      <c r="G1261" s="778"/>
      <c r="H1261" s="778"/>
      <c r="I1261" s="778"/>
      <c r="J1261" s="778"/>
      <c r="K1261" s="778"/>
      <c r="L1261" s="782" t="s">
        <v>71</v>
      </c>
      <c r="M1261" s="782" t="s">
        <v>71</v>
      </c>
      <c r="N1261" s="782"/>
      <c r="O1261" s="782"/>
      <c r="P1261" s="783"/>
      <c r="Q1261" s="784"/>
      <c r="R1261" s="783"/>
      <c r="S1261" s="785"/>
      <c r="T1261" s="785"/>
    </row>
    <row r="1262">
      <c r="A1262" s="777"/>
      <c r="B1262" s="778"/>
      <c r="C1262" s="779"/>
      <c r="D1262" s="780"/>
      <c r="E1262" s="781" t="s">
        <v>71</v>
      </c>
      <c r="F1262" s="778"/>
      <c r="G1262" s="778"/>
      <c r="H1262" s="778"/>
      <c r="I1262" s="778"/>
      <c r="J1262" s="778"/>
      <c r="K1262" s="778"/>
      <c r="L1262" s="782" t="s">
        <v>71</v>
      </c>
      <c r="M1262" s="782" t="s">
        <v>71</v>
      </c>
      <c r="N1262" s="782"/>
      <c r="O1262" s="782"/>
      <c r="P1262" s="783"/>
      <c r="Q1262" s="784"/>
      <c r="R1262" s="783"/>
      <c r="S1262" s="785"/>
      <c r="T1262" s="785"/>
    </row>
    <row r="1263">
      <c r="A1263" s="777"/>
      <c r="B1263" s="778"/>
      <c r="C1263" s="779"/>
      <c r="D1263" s="780"/>
      <c r="E1263" s="781" t="s">
        <v>71</v>
      </c>
      <c r="F1263" s="778"/>
      <c r="G1263" s="778"/>
      <c r="H1263" s="778"/>
      <c r="I1263" s="778"/>
      <c r="J1263" s="778"/>
      <c r="K1263" s="778"/>
      <c r="L1263" s="782" t="s">
        <v>71</v>
      </c>
      <c r="M1263" s="782" t="s">
        <v>71</v>
      </c>
      <c r="N1263" s="782"/>
      <c r="O1263" s="782"/>
      <c r="P1263" s="783"/>
      <c r="Q1263" s="784"/>
      <c r="R1263" s="783"/>
      <c r="S1263" s="785"/>
      <c r="T1263" s="785"/>
    </row>
    <row r="1264">
      <c r="A1264" s="777"/>
      <c r="B1264" s="778"/>
      <c r="C1264" s="779"/>
      <c r="D1264" s="780"/>
      <c r="E1264" s="781" t="s">
        <v>71</v>
      </c>
      <c r="F1264" s="778"/>
      <c r="G1264" s="778"/>
      <c r="H1264" s="778"/>
      <c r="I1264" s="778"/>
      <c r="J1264" s="778"/>
      <c r="K1264" s="778"/>
      <c r="L1264" s="782" t="s">
        <v>71</v>
      </c>
      <c r="M1264" s="782" t="s">
        <v>71</v>
      </c>
      <c r="N1264" s="782"/>
      <c r="O1264" s="782"/>
      <c r="P1264" s="783"/>
      <c r="Q1264" s="784"/>
      <c r="R1264" s="783"/>
      <c r="S1264" s="785"/>
      <c r="T1264" s="785"/>
    </row>
    <row r="1265">
      <c r="A1265" s="777"/>
      <c r="B1265" s="778"/>
      <c r="C1265" s="779"/>
      <c r="D1265" s="780"/>
      <c r="E1265" s="781" t="s">
        <v>71</v>
      </c>
      <c r="F1265" s="778"/>
      <c r="G1265" s="778"/>
      <c r="H1265" s="778"/>
      <c r="I1265" s="778"/>
      <c r="J1265" s="778"/>
      <c r="K1265" s="778"/>
      <c r="L1265" s="782" t="s">
        <v>71</v>
      </c>
      <c r="M1265" s="782" t="s">
        <v>71</v>
      </c>
      <c r="N1265" s="782"/>
      <c r="O1265" s="782"/>
      <c r="P1265" s="783"/>
      <c r="Q1265" s="784"/>
      <c r="R1265" s="783"/>
      <c r="S1265" s="785"/>
      <c r="T1265" s="785"/>
    </row>
    <row r="1266">
      <c r="A1266" s="777"/>
      <c r="B1266" s="778"/>
      <c r="C1266" s="779"/>
      <c r="D1266" s="780"/>
      <c r="E1266" s="781" t="s">
        <v>71</v>
      </c>
      <c r="F1266" s="778"/>
      <c r="G1266" s="778"/>
      <c r="H1266" s="778"/>
      <c r="I1266" s="778"/>
      <c r="J1266" s="778"/>
      <c r="K1266" s="778"/>
      <c r="L1266" s="782" t="s">
        <v>71</v>
      </c>
      <c r="M1266" s="782" t="s">
        <v>71</v>
      </c>
      <c r="N1266" s="782"/>
      <c r="O1266" s="782"/>
      <c r="P1266" s="783"/>
      <c r="Q1266" s="784"/>
      <c r="R1266" s="783"/>
      <c r="S1266" s="785"/>
      <c r="T1266" s="785"/>
    </row>
    <row r="1267">
      <c r="A1267" s="777"/>
      <c r="B1267" s="778"/>
      <c r="C1267" s="779"/>
      <c r="D1267" s="780"/>
      <c r="E1267" s="781" t="s">
        <v>71</v>
      </c>
      <c r="F1267" s="778"/>
      <c r="G1267" s="778"/>
      <c r="H1267" s="778"/>
      <c r="I1267" s="778"/>
      <c r="J1267" s="778"/>
      <c r="K1267" s="778"/>
      <c r="L1267" s="782" t="s">
        <v>71</v>
      </c>
      <c r="M1267" s="782" t="s">
        <v>71</v>
      </c>
      <c r="N1267" s="782"/>
      <c r="O1267" s="782"/>
      <c r="P1267" s="783"/>
      <c r="Q1267" s="784"/>
      <c r="R1267" s="783"/>
      <c r="S1267" s="785"/>
      <c r="T1267" s="785"/>
    </row>
    <row r="1268">
      <c r="A1268" s="777"/>
      <c r="B1268" s="778"/>
      <c r="C1268" s="779"/>
      <c r="D1268" s="780"/>
      <c r="E1268" s="781" t="s">
        <v>71</v>
      </c>
      <c r="F1268" s="778"/>
      <c r="G1268" s="778"/>
      <c r="H1268" s="778"/>
      <c r="I1268" s="778"/>
      <c r="J1268" s="778"/>
      <c r="K1268" s="778"/>
      <c r="L1268" s="782" t="s">
        <v>71</v>
      </c>
      <c r="M1268" s="782" t="s">
        <v>71</v>
      </c>
      <c r="N1268" s="782"/>
      <c r="O1268" s="782"/>
      <c r="P1268" s="783"/>
      <c r="Q1268" s="784"/>
      <c r="R1268" s="783"/>
      <c r="S1268" s="785"/>
      <c r="T1268" s="785"/>
    </row>
    <row r="1269">
      <c r="A1269" s="777"/>
      <c r="B1269" s="778"/>
      <c r="C1269" s="779"/>
      <c r="D1269" s="780"/>
      <c r="E1269" s="781" t="s">
        <v>71</v>
      </c>
      <c r="F1269" s="778"/>
      <c r="G1269" s="778"/>
      <c r="H1269" s="778"/>
      <c r="I1269" s="778"/>
      <c r="J1269" s="778"/>
      <c r="K1269" s="778"/>
      <c r="L1269" s="782" t="s">
        <v>71</v>
      </c>
      <c r="M1269" s="782" t="s">
        <v>71</v>
      </c>
      <c r="N1269" s="782"/>
      <c r="O1269" s="782"/>
      <c r="P1269" s="783"/>
      <c r="Q1269" s="784"/>
      <c r="R1269" s="783"/>
      <c r="S1269" s="785"/>
      <c r="T1269" s="785"/>
    </row>
    <row r="1270">
      <c r="A1270" s="777"/>
      <c r="B1270" s="778"/>
      <c r="C1270" s="779"/>
      <c r="D1270" s="780"/>
      <c r="E1270" s="781" t="s">
        <v>71</v>
      </c>
      <c r="F1270" s="778"/>
      <c r="G1270" s="778"/>
      <c r="H1270" s="778"/>
      <c r="I1270" s="778"/>
      <c r="J1270" s="778"/>
      <c r="K1270" s="778"/>
      <c r="L1270" s="782" t="s">
        <v>71</v>
      </c>
      <c r="M1270" s="782" t="s">
        <v>71</v>
      </c>
      <c r="N1270" s="782"/>
      <c r="O1270" s="782"/>
      <c r="P1270" s="783"/>
      <c r="Q1270" s="784"/>
      <c r="R1270" s="783"/>
      <c r="S1270" s="785"/>
      <c r="T1270" s="785"/>
    </row>
    <row r="1271">
      <c r="A1271" s="777"/>
      <c r="B1271" s="778"/>
      <c r="C1271" s="779"/>
      <c r="D1271" s="780"/>
      <c r="E1271" s="781" t="s">
        <v>71</v>
      </c>
      <c r="F1271" s="778"/>
      <c r="G1271" s="778"/>
      <c r="H1271" s="778"/>
      <c r="I1271" s="778"/>
      <c r="J1271" s="778"/>
      <c r="K1271" s="778"/>
      <c r="L1271" s="782" t="s">
        <v>71</v>
      </c>
      <c r="M1271" s="782" t="s">
        <v>71</v>
      </c>
      <c r="N1271" s="782"/>
      <c r="O1271" s="782"/>
      <c r="P1271" s="783"/>
      <c r="Q1271" s="784"/>
      <c r="R1271" s="783"/>
      <c r="S1271" s="785"/>
      <c r="T1271" s="785"/>
    </row>
    <row r="1272">
      <c r="A1272" s="777"/>
      <c r="B1272" s="778"/>
      <c r="C1272" s="779"/>
      <c r="D1272" s="780"/>
      <c r="E1272" s="781" t="s">
        <v>71</v>
      </c>
      <c r="F1272" s="778"/>
      <c r="G1272" s="778"/>
      <c r="H1272" s="778"/>
      <c r="I1272" s="778"/>
      <c r="J1272" s="778"/>
      <c r="K1272" s="778"/>
      <c r="L1272" s="782" t="s">
        <v>71</v>
      </c>
      <c r="M1272" s="782" t="s">
        <v>71</v>
      </c>
      <c r="N1272" s="782"/>
      <c r="O1272" s="782"/>
      <c r="P1272" s="783"/>
      <c r="Q1272" s="784"/>
      <c r="R1272" s="783"/>
      <c r="S1272" s="785"/>
      <c r="T1272" s="785"/>
    </row>
    <row r="1273">
      <c r="A1273" s="777"/>
      <c r="B1273" s="778"/>
      <c r="C1273" s="779"/>
      <c r="D1273" s="780"/>
      <c r="E1273" s="781" t="s">
        <v>71</v>
      </c>
      <c r="F1273" s="778"/>
      <c r="G1273" s="778"/>
      <c r="H1273" s="778"/>
      <c r="I1273" s="778"/>
      <c r="J1273" s="778"/>
      <c r="K1273" s="778"/>
      <c r="L1273" s="782" t="s">
        <v>71</v>
      </c>
      <c r="M1273" s="782" t="s">
        <v>71</v>
      </c>
      <c r="N1273" s="782"/>
      <c r="O1273" s="782"/>
      <c r="P1273" s="783"/>
      <c r="Q1273" s="784"/>
      <c r="R1273" s="783"/>
      <c r="S1273" s="785"/>
      <c r="T1273" s="785"/>
    </row>
    <row r="1274">
      <c r="A1274" s="777"/>
      <c r="B1274" s="778"/>
      <c r="C1274" s="779"/>
      <c r="D1274" s="780"/>
      <c r="E1274" s="781" t="s">
        <v>71</v>
      </c>
      <c r="F1274" s="778"/>
      <c r="G1274" s="778"/>
      <c r="H1274" s="778"/>
      <c r="I1274" s="778"/>
      <c r="J1274" s="778"/>
      <c r="K1274" s="778"/>
      <c r="L1274" s="782" t="s">
        <v>71</v>
      </c>
      <c r="M1274" s="782" t="s">
        <v>71</v>
      </c>
      <c r="N1274" s="782"/>
      <c r="O1274" s="782"/>
      <c r="P1274" s="783"/>
      <c r="Q1274" s="784"/>
      <c r="R1274" s="783"/>
      <c r="S1274" s="785"/>
      <c r="T1274" s="785"/>
    </row>
    <row r="1275">
      <c r="A1275" s="777"/>
      <c r="B1275" s="778"/>
      <c r="C1275" s="779"/>
      <c r="D1275" s="780"/>
      <c r="E1275" s="781" t="s">
        <v>71</v>
      </c>
      <c r="F1275" s="778"/>
      <c r="G1275" s="778"/>
      <c r="H1275" s="778"/>
      <c r="I1275" s="778"/>
      <c r="J1275" s="778"/>
      <c r="K1275" s="778"/>
      <c r="L1275" s="782" t="s">
        <v>71</v>
      </c>
      <c r="M1275" s="782" t="s">
        <v>71</v>
      </c>
      <c r="N1275" s="782"/>
      <c r="O1275" s="782"/>
      <c r="P1275" s="783"/>
      <c r="Q1275" s="784"/>
      <c r="R1275" s="783"/>
      <c r="S1275" s="785"/>
      <c r="T1275" s="785"/>
    </row>
    <row r="1276">
      <c r="A1276" s="777"/>
      <c r="B1276" s="778"/>
      <c r="C1276" s="779"/>
      <c r="D1276" s="780"/>
      <c r="E1276" s="781" t="s">
        <v>71</v>
      </c>
      <c r="F1276" s="778"/>
      <c r="G1276" s="778"/>
      <c r="H1276" s="778"/>
      <c r="I1276" s="778"/>
      <c r="J1276" s="778"/>
      <c r="K1276" s="778"/>
      <c r="L1276" s="782" t="s">
        <v>71</v>
      </c>
      <c r="M1276" s="782" t="s">
        <v>71</v>
      </c>
      <c r="N1276" s="782"/>
      <c r="O1276" s="782"/>
      <c r="P1276" s="783"/>
      <c r="Q1276" s="784"/>
      <c r="R1276" s="783"/>
      <c r="S1276" s="785"/>
      <c r="T1276" s="785"/>
    </row>
    <row r="1277">
      <c r="A1277" s="777"/>
      <c r="B1277" s="778"/>
      <c r="C1277" s="779"/>
      <c r="D1277" s="780"/>
      <c r="E1277" s="781" t="s">
        <v>71</v>
      </c>
      <c r="F1277" s="778"/>
      <c r="G1277" s="778"/>
      <c r="H1277" s="778"/>
      <c r="I1277" s="778"/>
      <c r="J1277" s="778"/>
      <c r="K1277" s="778"/>
      <c r="L1277" s="782" t="s">
        <v>71</v>
      </c>
      <c r="M1277" s="782" t="s">
        <v>71</v>
      </c>
      <c r="N1277" s="782"/>
      <c r="O1277" s="782"/>
      <c r="P1277" s="783"/>
      <c r="Q1277" s="784"/>
      <c r="R1277" s="783"/>
      <c r="S1277" s="785"/>
      <c r="T1277" s="785"/>
    </row>
    <row r="1278">
      <c r="A1278" s="777"/>
      <c r="B1278" s="778"/>
      <c r="C1278" s="779"/>
      <c r="D1278" s="780"/>
      <c r="E1278" s="781" t="s">
        <v>71</v>
      </c>
      <c r="F1278" s="778"/>
      <c r="G1278" s="778"/>
      <c r="H1278" s="778"/>
      <c r="I1278" s="778"/>
      <c r="J1278" s="778"/>
      <c r="K1278" s="778"/>
      <c r="L1278" s="782" t="s">
        <v>71</v>
      </c>
      <c r="M1278" s="782" t="s">
        <v>71</v>
      </c>
      <c r="N1278" s="782"/>
      <c r="O1278" s="782"/>
      <c r="P1278" s="783"/>
      <c r="Q1278" s="784"/>
      <c r="R1278" s="783"/>
      <c r="S1278" s="785"/>
      <c r="T1278" s="785"/>
    </row>
    <row r="1279">
      <c r="A1279" s="777"/>
      <c r="B1279" s="778"/>
      <c r="C1279" s="779"/>
      <c r="D1279" s="780"/>
      <c r="E1279" s="781" t="s">
        <v>71</v>
      </c>
      <c r="F1279" s="778"/>
      <c r="G1279" s="778"/>
      <c r="H1279" s="778"/>
      <c r="I1279" s="778"/>
      <c r="J1279" s="778"/>
      <c r="K1279" s="778"/>
      <c r="L1279" s="782" t="s">
        <v>71</v>
      </c>
      <c r="M1279" s="782" t="s">
        <v>71</v>
      </c>
      <c r="N1279" s="782"/>
      <c r="O1279" s="782"/>
      <c r="P1279" s="783"/>
      <c r="Q1279" s="784"/>
      <c r="R1279" s="783"/>
      <c r="S1279" s="785"/>
      <c r="T1279" s="785"/>
    </row>
    <row r="1280">
      <c r="A1280" s="777"/>
      <c r="B1280" s="778"/>
      <c r="C1280" s="779"/>
      <c r="D1280" s="780"/>
      <c r="E1280" s="781" t="s">
        <v>71</v>
      </c>
      <c r="F1280" s="778"/>
      <c r="G1280" s="778"/>
      <c r="H1280" s="778"/>
      <c r="I1280" s="778"/>
      <c r="J1280" s="778"/>
      <c r="K1280" s="778"/>
      <c r="L1280" s="782" t="s">
        <v>71</v>
      </c>
      <c r="M1280" s="782" t="s">
        <v>71</v>
      </c>
      <c r="N1280" s="782"/>
      <c r="O1280" s="782"/>
      <c r="P1280" s="783"/>
      <c r="Q1280" s="784"/>
      <c r="R1280" s="783"/>
      <c r="S1280" s="785"/>
      <c r="T1280" s="785"/>
    </row>
    <row r="1281">
      <c r="A1281" s="777"/>
      <c r="B1281" s="778"/>
      <c r="C1281" s="779"/>
      <c r="D1281" s="780"/>
      <c r="E1281" s="781" t="s">
        <v>71</v>
      </c>
      <c r="F1281" s="778"/>
      <c r="G1281" s="778"/>
      <c r="H1281" s="778"/>
      <c r="I1281" s="778"/>
      <c r="J1281" s="778"/>
      <c r="K1281" s="778"/>
      <c r="L1281" s="782" t="s">
        <v>71</v>
      </c>
      <c r="M1281" s="782" t="s">
        <v>71</v>
      </c>
      <c r="N1281" s="782"/>
      <c r="O1281" s="782"/>
      <c r="P1281" s="783"/>
      <c r="Q1281" s="784"/>
      <c r="R1281" s="783"/>
      <c r="S1281" s="785"/>
      <c r="T1281" s="785"/>
    </row>
    <row r="1282">
      <c r="A1282" s="777"/>
      <c r="B1282" s="778"/>
      <c r="C1282" s="779"/>
      <c r="D1282" s="780"/>
      <c r="E1282" s="781" t="s">
        <v>71</v>
      </c>
      <c r="F1282" s="778"/>
      <c r="G1282" s="778"/>
      <c r="H1282" s="778"/>
      <c r="I1282" s="778"/>
      <c r="J1282" s="778"/>
      <c r="K1282" s="778"/>
      <c r="L1282" s="782" t="s">
        <v>71</v>
      </c>
      <c r="M1282" s="782" t="s">
        <v>71</v>
      </c>
      <c r="N1282" s="782"/>
      <c r="O1282" s="782"/>
      <c r="P1282" s="783"/>
      <c r="Q1282" s="784"/>
      <c r="R1282" s="783"/>
      <c r="S1282" s="785"/>
      <c r="T1282" s="785"/>
    </row>
    <row r="1283">
      <c r="A1283" s="777"/>
      <c r="B1283" s="778"/>
      <c r="C1283" s="779"/>
      <c r="D1283" s="780"/>
      <c r="E1283" s="781" t="s">
        <v>71</v>
      </c>
      <c r="F1283" s="778"/>
      <c r="G1283" s="778"/>
      <c r="H1283" s="778"/>
      <c r="I1283" s="778"/>
      <c r="J1283" s="778"/>
      <c r="K1283" s="778"/>
      <c r="L1283" s="782" t="s">
        <v>71</v>
      </c>
      <c r="M1283" s="782" t="s">
        <v>71</v>
      </c>
      <c r="N1283" s="782"/>
      <c r="O1283" s="782"/>
      <c r="P1283" s="783"/>
      <c r="Q1283" s="784"/>
      <c r="R1283" s="783"/>
      <c r="S1283" s="785"/>
      <c r="T1283" s="785"/>
    </row>
    <row r="1284">
      <c r="A1284" s="777"/>
      <c r="B1284" s="778"/>
      <c r="C1284" s="779"/>
      <c r="D1284" s="780"/>
      <c r="E1284" s="781" t="s">
        <v>71</v>
      </c>
      <c r="F1284" s="778"/>
      <c r="G1284" s="778"/>
      <c r="H1284" s="778"/>
      <c r="I1284" s="778"/>
      <c r="J1284" s="778"/>
      <c r="K1284" s="778"/>
      <c r="L1284" s="782" t="s">
        <v>71</v>
      </c>
      <c r="M1284" s="782" t="s">
        <v>71</v>
      </c>
      <c r="N1284" s="782"/>
      <c r="O1284" s="782"/>
      <c r="P1284" s="783"/>
      <c r="Q1284" s="784"/>
      <c r="R1284" s="783"/>
      <c r="S1284" s="785"/>
      <c r="T1284" s="785"/>
    </row>
    <row r="1285">
      <c r="A1285" s="777"/>
      <c r="B1285" s="778"/>
      <c r="C1285" s="779"/>
      <c r="D1285" s="780"/>
      <c r="E1285" s="781" t="s">
        <v>71</v>
      </c>
      <c r="F1285" s="778"/>
      <c r="G1285" s="778"/>
      <c r="H1285" s="778"/>
      <c r="I1285" s="778"/>
      <c r="J1285" s="778"/>
      <c r="K1285" s="778"/>
      <c r="L1285" s="782" t="s">
        <v>71</v>
      </c>
      <c r="M1285" s="782" t="s">
        <v>71</v>
      </c>
      <c r="N1285" s="782"/>
      <c r="O1285" s="782"/>
      <c r="P1285" s="783"/>
      <c r="Q1285" s="784"/>
      <c r="R1285" s="783"/>
      <c r="S1285" s="785"/>
      <c r="T1285" s="785"/>
    </row>
    <row r="1286">
      <c r="A1286" s="777"/>
      <c r="B1286" s="778"/>
      <c r="C1286" s="779"/>
      <c r="D1286" s="780"/>
      <c r="E1286" s="781" t="s">
        <v>71</v>
      </c>
      <c r="F1286" s="778"/>
      <c r="G1286" s="778"/>
      <c r="H1286" s="778"/>
      <c r="I1286" s="778"/>
      <c r="J1286" s="778"/>
      <c r="K1286" s="778"/>
      <c r="L1286" s="782" t="s">
        <v>71</v>
      </c>
      <c r="M1286" s="782" t="s">
        <v>71</v>
      </c>
      <c r="N1286" s="782"/>
      <c r="O1286" s="782"/>
      <c r="P1286" s="783"/>
      <c r="Q1286" s="784"/>
      <c r="R1286" s="783"/>
      <c r="S1286" s="785"/>
      <c r="T1286" s="785"/>
    </row>
    <row r="1287">
      <c r="A1287" s="777"/>
      <c r="B1287" s="778"/>
      <c r="C1287" s="779"/>
      <c r="D1287" s="780"/>
      <c r="E1287" s="781" t="s">
        <v>71</v>
      </c>
      <c r="F1287" s="778"/>
      <c r="G1287" s="778"/>
      <c r="H1287" s="778"/>
      <c r="I1287" s="778"/>
      <c r="J1287" s="778"/>
      <c r="K1287" s="778"/>
      <c r="L1287" s="782" t="s">
        <v>71</v>
      </c>
      <c r="M1287" s="782" t="s">
        <v>71</v>
      </c>
      <c r="N1287" s="782"/>
      <c r="O1287" s="782"/>
      <c r="P1287" s="783"/>
      <c r="Q1287" s="784"/>
      <c r="R1287" s="783"/>
      <c r="S1287" s="785"/>
      <c r="T1287" s="785"/>
    </row>
    <row r="1288">
      <c r="A1288" s="777"/>
      <c r="B1288" s="778"/>
      <c r="C1288" s="779"/>
      <c r="D1288" s="780"/>
      <c r="E1288" s="781" t="s">
        <v>71</v>
      </c>
      <c r="F1288" s="778"/>
      <c r="G1288" s="778"/>
      <c r="H1288" s="778"/>
      <c r="I1288" s="778"/>
      <c r="J1288" s="778"/>
      <c r="K1288" s="778"/>
      <c r="L1288" s="782" t="s">
        <v>71</v>
      </c>
      <c r="M1288" s="782" t="s">
        <v>71</v>
      </c>
      <c r="N1288" s="782"/>
      <c r="O1288" s="782"/>
      <c r="P1288" s="783"/>
      <c r="Q1288" s="784"/>
      <c r="R1288" s="783"/>
      <c r="S1288" s="785"/>
      <c r="T1288" s="785"/>
    </row>
    <row r="1289">
      <c r="A1289" s="777"/>
      <c r="B1289" s="778"/>
      <c r="C1289" s="779"/>
      <c r="D1289" s="780"/>
      <c r="E1289" s="781" t="s">
        <v>71</v>
      </c>
      <c r="F1289" s="778"/>
      <c r="G1289" s="778"/>
      <c r="H1289" s="778"/>
      <c r="I1289" s="778"/>
      <c r="J1289" s="778"/>
      <c r="K1289" s="778"/>
      <c r="L1289" s="782" t="s">
        <v>71</v>
      </c>
      <c r="M1289" s="782" t="s">
        <v>71</v>
      </c>
      <c r="N1289" s="782"/>
      <c r="O1289" s="782"/>
      <c r="P1289" s="783"/>
      <c r="Q1289" s="784"/>
      <c r="R1289" s="783"/>
      <c r="S1289" s="785"/>
      <c r="T1289" s="785"/>
    </row>
    <row r="1290">
      <c r="A1290" s="777"/>
      <c r="B1290" s="778"/>
      <c r="C1290" s="779"/>
      <c r="D1290" s="780"/>
      <c r="E1290" s="781" t="s">
        <v>71</v>
      </c>
      <c r="F1290" s="778"/>
      <c r="G1290" s="778"/>
      <c r="H1290" s="778"/>
      <c r="I1290" s="778"/>
      <c r="J1290" s="778"/>
      <c r="K1290" s="778"/>
      <c r="L1290" s="782" t="s">
        <v>71</v>
      </c>
      <c r="M1290" s="782" t="s">
        <v>71</v>
      </c>
      <c r="N1290" s="782"/>
      <c r="O1290" s="782"/>
      <c r="P1290" s="783"/>
      <c r="Q1290" s="784"/>
      <c r="R1290" s="783"/>
      <c r="S1290" s="785"/>
      <c r="T1290" s="785"/>
    </row>
    <row r="1291">
      <c r="A1291" s="777"/>
      <c r="B1291" s="778"/>
      <c r="C1291" s="779"/>
      <c r="D1291" s="780"/>
      <c r="E1291" s="781" t="s">
        <v>71</v>
      </c>
      <c r="F1291" s="778"/>
      <c r="G1291" s="778"/>
      <c r="H1291" s="778"/>
      <c r="I1291" s="778"/>
      <c r="J1291" s="778"/>
      <c r="K1291" s="778"/>
      <c r="L1291" s="782" t="s">
        <v>71</v>
      </c>
      <c r="M1291" s="782" t="s">
        <v>71</v>
      </c>
      <c r="N1291" s="782"/>
      <c r="O1291" s="782"/>
      <c r="P1291" s="783"/>
      <c r="Q1291" s="784"/>
      <c r="R1291" s="783"/>
      <c r="S1291" s="785"/>
      <c r="T1291" s="785"/>
    </row>
    <row r="1292">
      <c r="A1292" s="777"/>
      <c r="B1292" s="778"/>
      <c r="C1292" s="779"/>
      <c r="D1292" s="780"/>
      <c r="E1292" s="781" t="s">
        <v>71</v>
      </c>
      <c r="F1292" s="778"/>
      <c r="G1292" s="778"/>
      <c r="H1292" s="778"/>
      <c r="I1292" s="778"/>
      <c r="J1292" s="778"/>
      <c r="K1292" s="778"/>
      <c r="L1292" s="782" t="s">
        <v>71</v>
      </c>
      <c r="M1292" s="782" t="s">
        <v>71</v>
      </c>
      <c r="N1292" s="782"/>
      <c r="O1292" s="782"/>
      <c r="P1292" s="783"/>
      <c r="Q1292" s="784"/>
      <c r="R1292" s="783"/>
      <c r="S1292" s="785"/>
      <c r="T1292" s="785"/>
    </row>
    <row r="1293">
      <c r="A1293" s="777"/>
      <c r="B1293" s="778"/>
      <c r="C1293" s="779"/>
      <c r="D1293" s="780"/>
      <c r="E1293" s="781" t="s">
        <v>71</v>
      </c>
      <c r="F1293" s="778"/>
      <c r="G1293" s="778"/>
      <c r="H1293" s="778"/>
      <c r="I1293" s="778"/>
      <c r="J1293" s="778"/>
      <c r="K1293" s="778"/>
      <c r="L1293" s="782" t="s">
        <v>71</v>
      </c>
      <c r="M1293" s="782" t="s">
        <v>71</v>
      </c>
      <c r="N1293" s="782"/>
      <c r="O1293" s="782"/>
      <c r="P1293" s="783"/>
      <c r="Q1293" s="784"/>
      <c r="R1293" s="783"/>
      <c r="S1293" s="785"/>
      <c r="T1293" s="785"/>
    </row>
    <row r="1294">
      <c r="A1294" s="777"/>
      <c r="B1294" s="778"/>
      <c r="C1294" s="779"/>
      <c r="D1294" s="780"/>
      <c r="E1294" s="781" t="s">
        <v>71</v>
      </c>
      <c r="F1294" s="778"/>
      <c r="G1294" s="778"/>
      <c r="H1294" s="778"/>
      <c r="I1294" s="778"/>
      <c r="J1294" s="778"/>
      <c r="K1294" s="778"/>
      <c r="L1294" s="782" t="s">
        <v>71</v>
      </c>
      <c r="M1294" s="782" t="s">
        <v>71</v>
      </c>
      <c r="N1294" s="782"/>
      <c r="O1294" s="782"/>
      <c r="P1294" s="783"/>
      <c r="Q1294" s="784"/>
      <c r="R1294" s="783"/>
      <c r="S1294" s="785"/>
      <c r="T1294" s="785"/>
    </row>
    <row r="1295">
      <c r="A1295" s="777"/>
      <c r="B1295" s="778"/>
      <c r="C1295" s="779"/>
      <c r="D1295" s="780"/>
      <c r="E1295" s="781" t="s">
        <v>71</v>
      </c>
      <c r="F1295" s="778"/>
      <c r="G1295" s="778"/>
      <c r="H1295" s="778"/>
      <c r="I1295" s="778"/>
      <c r="J1295" s="778"/>
      <c r="K1295" s="778"/>
      <c r="L1295" s="782" t="s">
        <v>71</v>
      </c>
      <c r="M1295" s="782" t="s">
        <v>71</v>
      </c>
      <c r="N1295" s="782"/>
      <c r="O1295" s="782"/>
      <c r="P1295" s="783"/>
      <c r="Q1295" s="784"/>
      <c r="R1295" s="783"/>
      <c r="S1295" s="785"/>
      <c r="T1295" s="785"/>
    </row>
    <row r="1296">
      <c r="A1296" s="777"/>
      <c r="B1296" s="778"/>
      <c r="C1296" s="779"/>
      <c r="D1296" s="780"/>
      <c r="E1296" s="781" t="s">
        <v>71</v>
      </c>
      <c r="F1296" s="778"/>
      <c r="G1296" s="778"/>
      <c r="H1296" s="778"/>
      <c r="I1296" s="778"/>
      <c r="J1296" s="778"/>
      <c r="K1296" s="778"/>
      <c r="L1296" s="782" t="s">
        <v>71</v>
      </c>
      <c r="M1296" s="782" t="s">
        <v>71</v>
      </c>
      <c r="N1296" s="782"/>
      <c r="O1296" s="782"/>
      <c r="P1296" s="783"/>
      <c r="Q1296" s="784"/>
      <c r="R1296" s="783"/>
      <c r="S1296" s="785"/>
      <c r="T1296" s="785"/>
    </row>
    <row r="1297">
      <c r="A1297" s="777"/>
      <c r="B1297" s="778"/>
      <c r="C1297" s="779"/>
      <c r="D1297" s="780"/>
      <c r="E1297" s="781" t="s">
        <v>71</v>
      </c>
      <c r="F1297" s="778"/>
      <c r="G1297" s="778"/>
      <c r="H1297" s="778"/>
      <c r="I1297" s="778"/>
      <c r="J1297" s="778"/>
      <c r="K1297" s="778"/>
      <c r="L1297" s="782" t="s">
        <v>71</v>
      </c>
      <c r="M1297" s="782" t="s">
        <v>71</v>
      </c>
      <c r="N1297" s="782"/>
      <c r="O1297" s="782"/>
      <c r="P1297" s="783"/>
      <c r="Q1297" s="784"/>
      <c r="R1297" s="783"/>
      <c r="S1297" s="785"/>
      <c r="T1297" s="785"/>
    </row>
    <row r="1298">
      <c r="A1298" s="777"/>
      <c r="B1298" s="778"/>
      <c r="C1298" s="779"/>
      <c r="D1298" s="780"/>
      <c r="E1298" s="781" t="s">
        <v>71</v>
      </c>
      <c r="F1298" s="778"/>
      <c r="G1298" s="778"/>
      <c r="H1298" s="778"/>
      <c r="I1298" s="778"/>
      <c r="J1298" s="778"/>
      <c r="K1298" s="778"/>
      <c r="L1298" s="782" t="s">
        <v>71</v>
      </c>
      <c r="M1298" s="782" t="s">
        <v>71</v>
      </c>
      <c r="N1298" s="782"/>
      <c r="O1298" s="782"/>
      <c r="P1298" s="783"/>
      <c r="Q1298" s="784"/>
      <c r="R1298" s="783"/>
      <c r="S1298" s="785"/>
      <c r="T1298" s="785"/>
    </row>
    <row r="1299">
      <c r="A1299" s="777"/>
      <c r="B1299" s="778"/>
      <c r="C1299" s="779"/>
      <c r="D1299" s="780"/>
      <c r="E1299" s="781" t="s">
        <v>71</v>
      </c>
      <c r="F1299" s="778"/>
      <c r="G1299" s="778"/>
      <c r="H1299" s="778"/>
      <c r="I1299" s="778"/>
      <c r="J1299" s="778"/>
      <c r="K1299" s="778"/>
      <c r="L1299" s="782" t="s">
        <v>71</v>
      </c>
      <c r="M1299" s="782" t="s">
        <v>71</v>
      </c>
      <c r="N1299" s="782"/>
      <c r="O1299" s="782"/>
      <c r="P1299" s="783"/>
      <c r="Q1299" s="784"/>
      <c r="R1299" s="783"/>
      <c r="S1299" s="785"/>
      <c r="T1299" s="785"/>
    </row>
    <row r="1300">
      <c r="A1300" s="777"/>
      <c r="B1300" s="778"/>
      <c r="C1300" s="779"/>
      <c r="D1300" s="780"/>
      <c r="E1300" s="781" t="s">
        <v>71</v>
      </c>
      <c r="F1300" s="778"/>
      <c r="G1300" s="778"/>
      <c r="H1300" s="778"/>
      <c r="I1300" s="778"/>
      <c r="J1300" s="778"/>
      <c r="K1300" s="778"/>
      <c r="L1300" s="782" t="s">
        <v>71</v>
      </c>
      <c r="M1300" s="782" t="s">
        <v>71</v>
      </c>
      <c r="N1300" s="782"/>
      <c r="O1300" s="782"/>
      <c r="P1300" s="783"/>
      <c r="Q1300" s="784"/>
      <c r="R1300" s="783"/>
      <c r="S1300" s="785"/>
      <c r="T1300" s="785"/>
    </row>
    <row r="1301">
      <c r="A1301" s="777"/>
      <c r="B1301" s="778"/>
      <c r="C1301" s="779"/>
      <c r="D1301" s="780"/>
      <c r="E1301" s="781" t="s">
        <v>71</v>
      </c>
      <c r="F1301" s="778"/>
      <c r="G1301" s="778"/>
      <c r="H1301" s="778"/>
      <c r="I1301" s="778"/>
      <c r="J1301" s="778"/>
      <c r="K1301" s="778"/>
      <c r="L1301" s="782" t="s">
        <v>71</v>
      </c>
      <c r="M1301" s="782" t="s">
        <v>71</v>
      </c>
      <c r="N1301" s="782"/>
      <c r="O1301" s="782"/>
      <c r="P1301" s="783"/>
      <c r="Q1301" s="784"/>
      <c r="R1301" s="783"/>
      <c r="S1301" s="785"/>
      <c r="T1301" s="785"/>
    </row>
    <row r="1302">
      <c r="A1302" s="777"/>
      <c r="B1302" s="778"/>
      <c r="C1302" s="779"/>
      <c r="D1302" s="780"/>
      <c r="E1302" s="781" t="s">
        <v>71</v>
      </c>
      <c r="F1302" s="778"/>
      <c r="G1302" s="778"/>
      <c r="H1302" s="778"/>
      <c r="I1302" s="778"/>
      <c r="J1302" s="778"/>
      <c r="K1302" s="778"/>
      <c r="L1302" s="782" t="s">
        <v>71</v>
      </c>
      <c r="M1302" s="782" t="s">
        <v>71</v>
      </c>
      <c r="N1302" s="782"/>
      <c r="O1302" s="782"/>
      <c r="P1302" s="783"/>
      <c r="Q1302" s="784"/>
      <c r="R1302" s="783"/>
      <c r="S1302" s="785"/>
      <c r="T1302" s="785"/>
    </row>
    <row r="1303">
      <c r="A1303" s="777"/>
      <c r="B1303" s="778"/>
      <c r="C1303" s="779"/>
      <c r="D1303" s="780"/>
      <c r="E1303" s="781" t="s">
        <v>71</v>
      </c>
      <c r="F1303" s="778"/>
      <c r="G1303" s="778"/>
      <c r="H1303" s="778"/>
      <c r="I1303" s="778"/>
      <c r="J1303" s="778"/>
      <c r="K1303" s="778"/>
      <c r="L1303" s="782" t="s">
        <v>71</v>
      </c>
      <c r="M1303" s="782" t="s">
        <v>71</v>
      </c>
      <c r="N1303" s="782"/>
      <c r="O1303" s="782"/>
      <c r="P1303" s="783"/>
      <c r="Q1303" s="784"/>
      <c r="R1303" s="783"/>
      <c r="S1303" s="785"/>
      <c r="T1303" s="785"/>
    </row>
    <row r="1304">
      <c r="A1304" s="777"/>
      <c r="B1304" s="778"/>
      <c r="C1304" s="779"/>
      <c r="D1304" s="780"/>
      <c r="E1304" s="781" t="s">
        <v>71</v>
      </c>
      <c r="F1304" s="778"/>
      <c r="G1304" s="778"/>
      <c r="H1304" s="778"/>
      <c r="I1304" s="778"/>
      <c r="J1304" s="778"/>
      <c r="K1304" s="778"/>
      <c r="L1304" s="782" t="s">
        <v>71</v>
      </c>
      <c r="M1304" s="782" t="s">
        <v>71</v>
      </c>
      <c r="N1304" s="782"/>
      <c r="O1304" s="782"/>
      <c r="P1304" s="783"/>
      <c r="Q1304" s="784"/>
      <c r="R1304" s="783"/>
      <c r="S1304" s="785"/>
      <c r="T1304" s="785"/>
    </row>
    <row r="1305">
      <c r="A1305" s="777"/>
      <c r="B1305" s="778"/>
      <c r="C1305" s="779"/>
      <c r="D1305" s="780"/>
      <c r="E1305" s="781" t="s">
        <v>71</v>
      </c>
      <c r="F1305" s="778"/>
      <c r="G1305" s="778"/>
      <c r="H1305" s="778"/>
      <c r="I1305" s="778"/>
      <c r="J1305" s="778"/>
      <c r="K1305" s="778"/>
      <c r="L1305" s="782" t="s">
        <v>71</v>
      </c>
      <c r="M1305" s="782" t="s">
        <v>71</v>
      </c>
      <c r="N1305" s="782"/>
      <c r="O1305" s="782"/>
      <c r="P1305" s="783"/>
      <c r="Q1305" s="784"/>
      <c r="R1305" s="783"/>
      <c r="S1305" s="785"/>
      <c r="T1305" s="785"/>
    </row>
    <row r="1306">
      <c r="A1306" s="777"/>
      <c r="B1306" s="778"/>
      <c r="C1306" s="779"/>
      <c r="D1306" s="780"/>
      <c r="E1306" s="781" t="s">
        <v>71</v>
      </c>
      <c r="F1306" s="778"/>
      <c r="G1306" s="778"/>
      <c r="H1306" s="778"/>
      <c r="I1306" s="778"/>
      <c r="J1306" s="778"/>
      <c r="K1306" s="778"/>
      <c r="L1306" s="782" t="s">
        <v>71</v>
      </c>
      <c r="M1306" s="782" t="s">
        <v>71</v>
      </c>
      <c r="N1306" s="782"/>
      <c r="O1306" s="782"/>
      <c r="P1306" s="783"/>
      <c r="Q1306" s="784"/>
      <c r="R1306" s="783"/>
      <c r="S1306" s="785"/>
      <c r="T1306" s="785"/>
    </row>
    <row r="1307">
      <c r="A1307" s="777"/>
      <c r="B1307" s="778"/>
      <c r="C1307" s="779"/>
      <c r="D1307" s="780"/>
      <c r="E1307" s="781" t="s">
        <v>71</v>
      </c>
      <c r="F1307" s="778"/>
      <c r="G1307" s="778"/>
      <c r="H1307" s="778"/>
      <c r="I1307" s="778"/>
      <c r="J1307" s="778"/>
      <c r="K1307" s="778"/>
      <c r="L1307" s="782" t="s">
        <v>71</v>
      </c>
      <c r="M1307" s="782" t="s">
        <v>71</v>
      </c>
      <c r="N1307" s="782"/>
      <c r="O1307" s="782"/>
      <c r="P1307" s="783"/>
      <c r="Q1307" s="784"/>
      <c r="R1307" s="783"/>
      <c r="S1307" s="785"/>
      <c r="T1307" s="785"/>
    </row>
    <row r="1308">
      <c r="A1308" s="777"/>
      <c r="B1308" s="778"/>
      <c r="C1308" s="779"/>
      <c r="D1308" s="780"/>
      <c r="E1308" s="781" t="s">
        <v>71</v>
      </c>
      <c r="F1308" s="778"/>
      <c r="G1308" s="778"/>
      <c r="H1308" s="778"/>
      <c r="I1308" s="778"/>
      <c r="J1308" s="778"/>
      <c r="K1308" s="778"/>
      <c r="L1308" s="782" t="s">
        <v>71</v>
      </c>
      <c r="M1308" s="782" t="s">
        <v>71</v>
      </c>
      <c r="N1308" s="782"/>
      <c r="O1308" s="782"/>
      <c r="P1308" s="783"/>
      <c r="Q1308" s="784"/>
      <c r="R1308" s="783"/>
      <c r="S1308" s="785"/>
      <c r="T1308" s="785"/>
    </row>
    <row r="1309">
      <c r="A1309" s="777"/>
      <c r="B1309" s="778"/>
      <c r="C1309" s="779"/>
      <c r="D1309" s="780"/>
      <c r="E1309" s="781" t="s">
        <v>71</v>
      </c>
      <c r="F1309" s="778"/>
      <c r="G1309" s="778"/>
      <c r="H1309" s="778"/>
      <c r="I1309" s="778"/>
      <c r="J1309" s="778"/>
      <c r="K1309" s="778"/>
      <c r="L1309" s="782" t="s">
        <v>71</v>
      </c>
      <c r="M1309" s="782" t="s">
        <v>71</v>
      </c>
      <c r="N1309" s="782"/>
      <c r="O1309" s="782"/>
      <c r="P1309" s="783"/>
      <c r="Q1309" s="784"/>
      <c r="R1309" s="783"/>
      <c r="S1309" s="785"/>
      <c r="T1309" s="785"/>
    </row>
    <row r="1310">
      <c r="A1310" s="777"/>
      <c r="B1310" s="778"/>
      <c r="C1310" s="779"/>
      <c r="D1310" s="780"/>
      <c r="E1310" s="781" t="s">
        <v>71</v>
      </c>
      <c r="F1310" s="778"/>
      <c r="G1310" s="778"/>
      <c r="H1310" s="778"/>
      <c r="I1310" s="778"/>
      <c r="J1310" s="778"/>
      <c r="K1310" s="778"/>
      <c r="L1310" s="782" t="s">
        <v>71</v>
      </c>
      <c r="M1310" s="782" t="s">
        <v>71</v>
      </c>
      <c r="N1310" s="782"/>
      <c r="O1310" s="782"/>
      <c r="P1310" s="783"/>
      <c r="Q1310" s="784"/>
      <c r="R1310" s="783"/>
      <c r="S1310" s="785"/>
      <c r="T1310" s="785"/>
    </row>
    <row r="1311">
      <c r="A1311" s="777"/>
      <c r="B1311" s="778"/>
      <c r="C1311" s="779"/>
      <c r="D1311" s="780"/>
      <c r="E1311" s="781" t="s">
        <v>71</v>
      </c>
      <c r="F1311" s="778"/>
      <c r="G1311" s="778"/>
      <c r="H1311" s="778"/>
      <c r="I1311" s="778"/>
      <c r="J1311" s="778"/>
      <c r="K1311" s="778"/>
      <c r="L1311" s="782" t="s">
        <v>71</v>
      </c>
      <c r="M1311" s="782" t="s">
        <v>71</v>
      </c>
      <c r="N1311" s="782"/>
      <c r="O1311" s="782"/>
      <c r="P1311" s="783"/>
      <c r="Q1311" s="784"/>
      <c r="R1311" s="783"/>
      <c r="S1311" s="785"/>
      <c r="T1311" s="785"/>
    </row>
    <row r="1312">
      <c r="A1312" s="777"/>
      <c r="B1312" s="778"/>
      <c r="C1312" s="779"/>
      <c r="D1312" s="780"/>
      <c r="E1312" s="781" t="s">
        <v>71</v>
      </c>
      <c r="F1312" s="778"/>
      <c r="G1312" s="778"/>
      <c r="H1312" s="778"/>
      <c r="I1312" s="778"/>
      <c r="J1312" s="778"/>
      <c r="K1312" s="778"/>
      <c r="L1312" s="782" t="s">
        <v>71</v>
      </c>
      <c r="M1312" s="782" t="s">
        <v>71</v>
      </c>
      <c r="N1312" s="782"/>
      <c r="O1312" s="782"/>
      <c r="P1312" s="783"/>
      <c r="Q1312" s="784"/>
      <c r="R1312" s="783"/>
      <c r="S1312" s="785"/>
      <c r="T1312" s="785"/>
    </row>
    <row r="1313">
      <c r="A1313" s="777"/>
      <c r="B1313" s="778"/>
      <c r="C1313" s="779"/>
      <c r="D1313" s="780"/>
      <c r="E1313" s="781" t="s">
        <v>71</v>
      </c>
      <c r="F1313" s="778"/>
      <c r="G1313" s="778"/>
      <c r="H1313" s="778"/>
      <c r="I1313" s="778"/>
      <c r="J1313" s="778"/>
      <c r="K1313" s="778"/>
      <c r="L1313" s="782" t="s">
        <v>71</v>
      </c>
      <c r="M1313" s="782" t="s">
        <v>71</v>
      </c>
      <c r="N1313" s="782"/>
      <c r="O1313" s="782"/>
      <c r="P1313" s="783"/>
      <c r="Q1313" s="784"/>
      <c r="R1313" s="783"/>
      <c r="S1313" s="785"/>
      <c r="T1313" s="785"/>
    </row>
    <row r="1314">
      <c r="A1314" s="777"/>
      <c r="B1314" s="778"/>
      <c r="C1314" s="779"/>
      <c r="D1314" s="780"/>
      <c r="E1314" s="781" t="s">
        <v>71</v>
      </c>
      <c r="F1314" s="778"/>
      <c r="G1314" s="778"/>
      <c r="H1314" s="778"/>
      <c r="I1314" s="778"/>
      <c r="J1314" s="778"/>
      <c r="K1314" s="778"/>
      <c r="L1314" s="782" t="s">
        <v>71</v>
      </c>
      <c r="M1314" s="782" t="s">
        <v>71</v>
      </c>
      <c r="N1314" s="782"/>
      <c r="O1314" s="782"/>
      <c r="P1314" s="783"/>
      <c r="Q1314" s="784"/>
      <c r="R1314" s="783"/>
      <c r="S1314" s="785"/>
      <c r="T1314" s="785"/>
    </row>
    <row r="1315">
      <c r="A1315" s="777"/>
      <c r="B1315" s="778"/>
      <c r="C1315" s="779"/>
      <c r="D1315" s="780"/>
      <c r="E1315" s="781" t="s">
        <v>71</v>
      </c>
      <c r="F1315" s="778"/>
      <c r="G1315" s="778"/>
      <c r="H1315" s="778"/>
      <c r="I1315" s="778"/>
      <c r="J1315" s="778"/>
      <c r="K1315" s="778"/>
      <c r="L1315" s="782" t="s">
        <v>71</v>
      </c>
      <c r="M1315" s="782" t="s">
        <v>71</v>
      </c>
      <c r="N1315" s="782"/>
      <c r="O1315" s="782"/>
      <c r="P1315" s="783"/>
      <c r="Q1315" s="784"/>
      <c r="R1315" s="783"/>
      <c r="S1315" s="785"/>
      <c r="T1315" s="785"/>
    </row>
    <row r="1316">
      <c r="A1316" s="777"/>
      <c r="B1316" s="778"/>
      <c r="C1316" s="779"/>
      <c r="D1316" s="780"/>
      <c r="E1316" s="781" t="s">
        <v>71</v>
      </c>
      <c r="F1316" s="778"/>
      <c r="G1316" s="778"/>
      <c r="H1316" s="778"/>
      <c r="I1316" s="778"/>
      <c r="J1316" s="778"/>
      <c r="K1316" s="778"/>
      <c r="L1316" s="782" t="s">
        <v>71</v>
      </c>
      <c r="M1316" s="782" t="s">
        <v>71</v>
      </c>
      <c r="N1316" s="782"/>
      <c r="O1316" s="782"/>
      <c r="P1316" s="783"/>
      <c r="Q1316" s="784"/>
      <c r="R1316" s="783"/>
      <c r="S1316" s="785"/>
      <c r="T1316" s="785"/>
    </row>
    <row r="1317">
      <c r="A1317" s="777"/>
      <c r="B1317" s="778"/>
      <c r="C1317" s="779"/>
      <c r="D1317" s="780"/>
      <c r="E1317" s="781" t="s">
        <v>71</v>
      </c>
      <c r="F1317" s="778"/>
      <c r="G1317" s="778"/>
      <c r="H1317" s="778"/>
      <c r="I1317" s="778"/>
      <c r="J1317" s="778"/>
      <c r="K1317" s="778"/>
      <c r="L1317" s="782" t="s">
        <v>71</v>
      </c>
      <c r="M1317" s="782" t="s">
        <v>71</v>
      </c>
      <c r="N1317" s="782"/>
      <c r="O1317" s="782"/>
      <c r="P1317" s="783"/>
      <c r="Q1317" s="784"/>
      <c r="R1317" s="783"/>
      <c r="S1317" s="785"/>
      <c r="T1317" s="785"/>
    </row>
    <row r="1318">
      <c r="A1318" s="777"/>
      <c r="B1318" s="778"/>
      <c r="C1318" s="779"/>
      <c r="D1318" s="780"/>
      <c r="E1318" s="781" t="s">
        <v>71</v>
      </c>
      <c r="F1318" s="778"/>
      <c r="G1318" s="778"/>
      <c r="H1318" s="778"/>
      <c r="I1318" s="778"/>
      <c r="J1318" s="778"/>
      <c r="K1318" s="778"/>
      <c r="L1318" s="782" t="s">
        <v>71</v>
      </c>
      <c r="M1318" s="782" t="s">
        <v>71</v>
      </c>
      <c r="N1318" s="782"/>
      <c r="O1318" s="782"/>
      <c r="P1318" s="783"/>
      <c r="Q1318" s="784"/>
      <c r="R1318" s="783"/>
      <c r="S1318" s="785"/>
      <c r="T1318" s="785"/>
    </row>
    <row r="1319">
      <c r="A1319" s="777"/>
      <c r="B1319" s="778"/>
      <c r="C1319" s="779"/>
      <c r="D1319" s="780"/>
      <c r="E1319" s="781" t="s">
        <v>71</v>
      </c>
      <c r="F1319" s="778"/>
      <c r="G1319" s="778"/>
      <c r="H1319" s="778"/>
      <c r="I1319" s="778"/>
      <c r="J1319" s="778"/>
      <c r="K1319" s="778"/>
      <c r="L1319" s="782" t="s">
        <v>71</v>
      </c>
      <c r="M1319" s="782" t="s">
        <v>71</v>
      </c>
      <c r="N1319" s="782"/>
      <c r="O1319" s="782"/>
      <c r="P1319" s="783"/>
      <c r="Q1319" s="784"/>
      <c r="R1319" s="783"/>
      <c r="S1319" s="785"/>
      <c r="T1319" s="785"/>
    </row>
    <row r="1320">
      <c r="A1320" s="777"/>
      <c r="B1320" s="778"/>
      <c r="C1320" s="779"/>
      <c r="D1320" s="780"/>
      <c r="E1320" s="781" t="s">
        <v>71</v>
      </c>
      <c r="F1320" s="778"/>
      <c r="G1320" s="778"/>
      <c r="H1320" s="778"/>
      <c r="I1320" s="778"/>
      <c r="J1320" s="778"/>
      <c r="K1320" s="778"/>
      <c r="L1320" s="782" t="s">
        <v>71</v>
      </c>
      <c r="M1320" s="782" t="s">
        <v>71</v>
      </c>
      <c r="N1320" s="782"/>
      <c r="O1320" s="782"/>
      <c r="P1320" s="783"/>
      <c r="Q1320" s="784"/>
      <c r="R1320" s="783"/>
      <c r="S1320" s="785"/>
      <c r="T1320" s="785"/>
    </row>
    <row r="1321">
      <c r="A1321" s="777"/>
      <c r="B1321" s="778"/>
      <c r="C1321" s="779"/>
      <c r="D1321" s="780"/>
      <c r="E1321" s="781" t="s">
        <v>71</v>
      </c>
      <c r="F1321" s="778"/>
      <c r="G1321" s="778"/>
      <c r="H1321" s="778"/>
      <c r="I1321" s="778"/>
      <c r="J1321" s="778"/>
      <c r="K1321" s="778"/>
      <c r="L1321" s="782" t="s">
        <v>71</v>
      </c>
      <c r="M1321" s="782" t="s">
        <v>71</v>
      </c>
      <c r="N1321" s="782"/>
      <c r="O1321" s="782"/>
      <c r="P1321" s="783"/>
      <c r="Q1321" s="784"/>
      <c r="R1321" s="783"/>
      <c r="S1321" s="785"/>
      <c r="T1321" s="785"/>
    </row>
    <row r="1322">
      <c r="A1322" s="777"/>
      <c r="B1322" s="778"/>
      <c r="C1322" s="779"/>
      <c r="D1322" s="780"/>
      <c r="E1322" s="781" t="s">
        <v>71</v>
      </c>
      <c r="F1322" s="778"/>
      <c r="G1322" s="778"/>
      <c r="H1322" s="778"/>
      <c r="I1322" s="778"/>
      <c r="J1322" s="778"/>
      <c r="K1322" s="778"/>
      <c r="L1322" s="782" t="s">
        <v>71</v>
      </c>
      <c r="M1322" s="782" t="s">
        <v>71</v>
      </c>
      <c r="N1322" s="782"/>
      <c r="O1322" s="782"/>
      <c r="P1322" s="783"/>
      <c r="Q1322" s="784"/>
      <c r="R1322" s="783"/>
      <c r="S1322" s="785"/>
      <c r="T1322" s="785"/>
    </row>
    <row r="1323">
      <c r="A1323" s="777"/>
      <c r="B1323" s="778"/>
      <c r="C1323" s="779"/>
      <c r="D1323" s="780"/>
      <c r="E1323" s="781" t="s">
        <v>71</v>
      </c>
      <c r="F1323" s="778"/>
      <c r="G1323" s="778"/>
      <c r="H1323" s="778"/>
      <c r="I1323" s="778"/>
      <c r="J1323" s="778"/>
      <c r="K1323" s="778"/>
      <c r="L1323" s="782" t="s">
        <v>71</v>
      </c>
      <c r="M1323" s="782" t="s">
        <v>71</v>
      </c>
      <c r="N1323" s="782"/>
      <c r="O1323" s="782"/>
      <c r="P1323" s="783"/>
      <c r="Q1323" s="784"/>
      <c r="R1323" s="783"/>
      <c r="S1323" s="785"/>
      <c r="T1323" s="785"/>
    </row>
    <row r="1324">
      <c r="A1324" s="777"/>
      <c r="B1324" s="778"/>
      <c r="C1324" s="779"/>
      <c r="D1324" s="780"/>
      <c r="E1324" s="781" t="s">
        <v>71</v>
      </c>
      <c r="F1324" s="778"/>
      <c r="G1324" s="778"/>
      <c r="H1324" s="778"/>
      <c r="I1324" s="778"/>
      <c r="J1324" s="778"/>
      <c r="K1324" s="778"/>
      <c r="L1324" s="782" t="s">
        <v>71</v>
      </c>
      <c r="M1324" s="782" t="s">
        <v>71</v>
      </c>
      <c r="N1324" s="782"/>
      <c r="O1324" s="782"/>
      <c r="P1324" s="783"/>
      <c r="Q1324" s="784"/>
      <c r="R1324" s="783"/>
      <c r="S1324" s="785"/>
      <c r="T1324" s="785"/>
    </row>
    <row r="1325">
      <c r="A1325" s="777"/>
      <c r="B1325" s="778"/>
      <c r="C1325" s="779"/>
      <c r="D1325" s="780"/>
      <c r="E1325" s="781" t="s">
        <v>71</v>
      </c>
      <c r="F1325" s="778"/>
      <c r="G1325" s="778"/>
      <c r="H1325" s="778"/>
      <c r="I1325" s="778"/>
      <c r="J1325" s="778"/>
      <c r="K1325" s="778"/>
      <c r="L1325" s="782" t="s">
        <v>71</v>
      </c>
      <c r="M1325" s="782" t="s">
        <v>71</v>
      </c>
      <c r="N1325" s="782"/>
      <c r="O1325" s="782"/>
      <c r="P1325" s="783"/>
      <c r="Q1325" s="784"/>
      <c r="R1325" s="783"/>
      <c r="S1325" s="785"/>
      <c r="T1325" s="785"/>
    </row>
    <row r="1326">
      <c r="A1326" s="777"/>
      <c r="B1326" s="778"/>
      <c r="C1326" s="779"/>
      <c r="D1326" s="780"/>
      <c r="E1326" s="781" t="s">
        <v>71</v>
      </c>
      <c r="F1326" s="778"/>
      <c r="G1326" s="778"/>
      <c r="H1326" s="778"/>
      <c r="I1326" s="778"/>
      <c r="J1326" s="778"/>
      <c r="K1326" s="778"/>
      <c r="L1326" s="782" t="s">
        <v>71</v>
      </c>
      <c r="M1326" s="782" t="s">
        <v>71</v>
      </c>
      <c r="N1326" s="782"/>
      <c r="O1326" s="782"/>
      <c r="P1326" s="783"/>
      <c r="Q1326" s="784"/>
      <c r="R1326" s="783"/>
      <c r="S1326" s="785"/>
      <c r="T1326" s="785"/>
    </row>
    <row r="1327">
      <c r="A1327" s="777"/>
      <c r="B1327" s="778"/>
      <c r="C1327" s="779"/>
      <c r="D1327" s="780"/>
      <c r="E1327" s="781" t="s">
        <v>71</v>
      </c>
      <c r="F1327" s="778"/>
      <c r="G1327" s="778"/>
      <c r="H1327" s="778"/>
      <c r="I1327" s="778"/>
      <c r="J1327" s="778"/>
      <c r="K1327" s="778"/>
      <c r="L1327" s="782" t="s">
        <v>71</v>
      </c>
      <c r="M1327" s="782" t="s">
        <v>71</v>
      </c>
      <c r="N1327" s="782"/>
      <c r="O1327" s="782"/>
      <c r="P1327" s="783"/>
      <c r="Q1327" s="784"/>
      <c r="R1327" s="783"/>
      <c r="S1327" s="785"/>
      <c r="T1327" s="785"/>
    </row>
    <row r="1328">
      <c r="A1328" s="777"/>
      <c r="B1328" s="778"/>
      <c r="C1328" s="779"/>
      <c r="D1328" s="780"/>
      <c r="E1328" s="781" t="s">
        <v>71</v>
      </c>
      <c r="F1328" s="778"/>
      <c r="G1328" s="778"/>
      <c r="H1328" s="778"/>
      <c r="I1328" s="778"/>
      <c r="J1328" s="778"/>
      <c r="K1328" s="778"/>
      <c r="L1328" s="782" t="s">
        <v>71</v>
      </c>
      <c r="M1328" s="782" t="s">
        <v>71</v>
      </c>
      <c r="N1328" s="782"/>
      <c r="O1328" s="782"/>
      <c r="P1328" s="783"/>
      <c r="Q1328" s="784"/>
      <c r="R1328" s="783"/>
      <c r="S1328" s="785"/>
      <c r="T1328" s="785"/>
    </row>
    <row r="1329">
      <c r="A1329" s="777"/>
      <c r="B1329" s="778"/>
      <c r="C1329" s="779"/>
      <c r="D1329" s="780"/>
      <c r="E1329" s="781" t="s">
        <v>71</v>
      </c>
      <c r="F1329" s="778"/>
      <c r="G1329" s="778"/>
      <c r="H1329" s="778"/>
      <c r="I1329" s="778"/>
      <c r="J1329" s="778"/>
      <c r="K1329" s="778"/>
      <c r="L1329" s="782" t="s">
        <v>71</v>
      </c>
      <c r="M1329" s="782" t="s">
        <v>71</v>
      </c>
      <c r="N1329" s="782"/>
      <c r="O1329" s="782"/>
      <c r="P1329" s="783"/>
      <c r="Q1329" s="784"/>
      <c r="R1329" s="783"/>
      <c r="S1329" s="785"/>
      <c r="T1329" s="785"/>
    </row>
    <row r="1330">
      <c r="A1330" s="777"/>
      <c r="B1330" s="778"/>
      <c r="C1330" s="779"/>
      <c r="D1330" s="780"/>
      <c r="E1330" s="781" t="s">
        <v>71</v>
      </c>
      <c r="F1330" s="778"/>
      <c r="G1330" s="778"/>
      <c r="H1330" s="778"/>
      <c r="I1330" s="778"/>
      <c r="J1330" s="778"/>
      <c r="K1330" s="778"/>
      <c r="L1330" s="782" t="s">
        <v>71</v>
      </c>
      <c r="M1330" s="782" t="s">
        <v>71</v>
      </c>
      <c r="N1330" s="782"/>
      <c r="O1330" s="782"/>
      <c r="P1330" s="783"/>
      <c r="Q1330" s="784"/>
      <c r="R1330" s="783"/>
      <c r="S1330" s="785"/>
      <c r="T1330" s="785"/>
    </row>
    <row r="1331">
      <c r="A1331" s="777"/>
      <c r="B1331" s="778"/>
      <c r="C1331" s="779"/>
      <c r="D1331" s="780"/>
      <c r="E1331" s="781" t="s">
        <v>71</v>
      </c>
      <c r="F1331" s="778"/>
      <c r="G1331" s="778"/>
      <c r="H1331" s="778"/>
      <c r="I1331" s="778"/>
      <c r="J1331" s="778"/>
      <c r="K1331" s="778"/>
      <c r="L1331" s="782" t="s">
        <v>71</v>
      </c>
      <c r="M1331" s="782" t="s">
        <v>71</v>
      </c>
      <c r="N1331" s="782"/>
      <c r="O1331" s="782"/>
      <c r="P1331" s="783"/>
      <c r="Q1331" s="784"/>
      <c r="R1331" s="783"/>
      <c r="S1331" s="785"/>
      <c r="T1331" s="785"/>
    </row>
    <row r="1332">
      <c r="A1332" s="777"/>
      <c r="B1332" s="778"/>
      <c r="C1332" s="779"/>
      <c r="D1332" s="780"/>
      <c r="E1332" s="781" t="s">
        <v>71</v>
      </c>
      <c r="F1332" s="778"/>
      <c r="G1332" s="778"/>
      <c r="H1332" s="778"/>
      <c r="I1332" s="778"/>
      <c r="J1332" s="778"/>
      <c r="K1332" s="778"/>
      <c r="L1332" s="782" t="s">
        <v>71</v>
      </c>
      <c r="M1332" s="782" t="s">
        <v>71</v>
      </c>
      <c r="N1332" s="782"/>
      <c r="O1332" s="782"/>
      <c r="P1332" s="783"/>
      <c r="Q1332" s="784"/>
      <c r="R1332" s="783"/>
      <c r="S1332" s="785"/>
      <c r="T1332" s="785"/>
    </row>
    <row r="1333">
      <c r="A1333" s="777"/>
      <c r="B1333" s="778"/>
      <c r="C1333" s="779"/>
      <c r="D1333" s="780"/>
      <c r="E1333" s="781" t="s">
        <v>71</v>
      </c>
      <c r="F1333" s="778"/>
      <c r="G1333" s="778"/>
      <c r="H1333" s="778"/>
      <c r="I1333" s="778"/>
      <c r="J1333" s="778"/>
      <c r="K1333" s="778"/>
      <c r="L1333" s="782" t="s">
        <v>71</v>
      </c>
      <c r="M1333" s="782" t="s">
        <v>71</v>
      </c>
      <c r="N1333" s="782"/>
      <c r="O1333" s="782"/>
      <c r="P1333" s="783"/>
      <c r="Q1333" s="784"/>
      <c r="R1333" s="783"/>
      <c r="S1333" s="785"/>
      <c r="T1333" s="785"/>
    </row>
    <row r="1334">
      <c r="A1334" s="777"/>
      <c r="B1334" s="778"/>
      <c r="C1334" s="779"/>
      <c r="D1334" s="780"/>
      <c r="E1334" s="781" t="s">
        <v>71</v>
      </c>
      <c r="F1334" s="778"/>
      <c r="G1334" s="778"/>
      <c r="H1334" s="778"/>
      <c r="I1334" s="778"/>
      <c r="J1334" s="778"/>
      <c r="K1334" s="778"/>
      <c r="L1334" s="782" t="s">
        <v>71</v>
      </c>
      <c r="M1334" s="782" t="s">
        <v>71</v>
      </c>
      <c r="N1334" s="782"/>
      <c r="O1334" s="782"/>
      <c r="P1334" s="783"/>
      <c r="Q1334" s="784"/>
      <c r="R1334" s="783"/>
      <c r="S1334" s="785"/>
      <c r="T1334" s="785"/>
    </row>
    <row r="1335">
      <c r="A1335" s="777"/>
      <c r="B1335" s="778"/>
      <c r="C1335" s="779"/>
      <c r="D1335" s="780"/>
      <c r="E1335" s="781" t="s">
        <v>71</v>
      </c>
      <c r="F1335" s="778"/>
      <c r="G1335" s="778"/>
      <c r="H1335" s="778"/>
      <c r="I1335" s="778"/>
      <c r="J1335" s="778"/>
      <c r="K1335" s="778"/>
      <c r="L1335" s="782" t="s">
        <v>71</v>
      </c>
      <c r="M1335" s="782" t="s">
        <v>71</v>
      </c>
      <c r="N1335" s="782"/>
      <c r="O1335" s="782"/>
      <c r="P1335" s="783"/>
      <c r="Q1335" s="784"/>
      <c r="R1335" s="783"/>
      <c r="S1335" s="785"/>
      <c r="T1335" s="785"/>
    </row>
    <row r="1336">
      <c r="A1336" s="777"/>
      <c r="B1336" s="778"/>
      <c r="C1336" s="779"/>
      <c r="D1336" s="780"/>
      <c r="E1336" s="781" t="s">
        <v>71</v>
      </c>
      <c r="F1336" s="778"/>
      <c r="G1336" s="778"/>
      <c r="H1336" s="778"/>
      <c r="I1336" s="778"/>
      <c r="J1336" s="778"/>
      <c r="K1336" s="778"/>
      <c r="L1336" s="782" t="s">
        <v>71</v>
      </c>
      <c r="M1336" s="782" t="s">
        <v>71</v>
      </c>
      <c r="N1336" s="782"/>
      <c r="O1336" s="782"/>
      <c r="P1336" s="783"/>
      <c r="Q1336" s="784"/>
      <c r="R1336" s="783"/>
      <c r="S1336" s="785"/>
      <c r="T1336" s="785"/>
    </row>
    <row r="1337">
      <c r="A1337" s="777"/>
      <c r="B1337" s="778"/>
      <c r="C1337" s="779"/>
      <c r="D1337" s="780"/>
      <c r="E1337" s="781" t="s">
        <v>71</v>
      </c>
      <c r="F1337" s="778"/>
      <c r="G1337" s="778"/>
      <c r="H1337" s="778"/>
      <c r="I1337" s="778"/>
      <c r="J1337" s="778"/>
      <c r="K1337" s="778"/>
      <c r="L1337" s="782" t="s">
        <v>71</v>
      </c>
      <c r="M1337" s="782" t="s">
        <v>71</v>
      </c>
      <c r="N1337" s="782"/>
      <c r="O1337" s="782"/>
      <c r="P1337" s="783"/>
      <c r="Q1337" s="784"/>
      <c r="R1337" s="783"/>
      <c r="S1337" s="785"/>
      <c r="T1337" s="785"/>
    </row>
    <row r="1338">
      <c r="A1338" s="777"/>
      <c r="B1338" s="778"/>
      <c r="C1338" s="779"/>
      <c r="D1338" s="780"/>
      <c r="E1338" s="781" t="s">
        <v>71</v>
      </c>
      <c r="F1338" s="778"/>
      <c r="G1338" s="778"/>
      <c r="H1338" s="778"/>
      <c r="I1338" s="778"/>
      <c r="J1338" s="778"/>
      <c r="K1338" s="778"/>
      <c r="L1338" s="782" t="s">
        <v>71</v>
      </c>
      <c r="M1338" s="782" t="s">
        <v>71</v>
      </c>
      <c r="N1338" s="782"/>
      <c r="O1338" s="782"/>
      <c r="P1338" s="783"/>
      <c r="Q1338" s="784"/>
      <c r="R1338" s="783"/>
      <c r="S1338" s="785"/>
      <c r="T1338" s="785"/>
    </row>
    <row r="1339">
      <c r="A1339" s="777"/>
      <c r="B1339" s="778"/>
      <c r="C1339" s="779"/>
      <c r="D1339" s="780"/>
      <c r="E1339" s="781" t="s">
        <v>71</v>
      </c>
      <c r="F1339" s="778"/>
      <c r="G1339" s="778"/>
      <c r="H1339" s="778"/>
      <c r="I1339" s="778"/>
      <c r="J1339" s="778"/>
      <c r="K1339" s="778"/>
      <c r="L1339" s="782" t="s">
        <v>71</v>
      </c>
      <c r="M1339" s="782" t="s">
        <v>71</v>
      </c>
      <c r="N1339" s="782"/>
      <c r="O1339" s="782"/>
      <c r="P1339" s="783"/>
      <c r="Q1339" s="784"/>
      <c r="R1339" s="783"/>
      <c r="S1339" s="785"/>
      <c r="T1339" s="785"/>
    </row>
    <row r="1340">
      <c r="A1340" s="777"/>
      <c r="B1340" s="778"/>
      <c r="C1340" s="779"/>
      <c r="D1340" s="780"/>
      <c r="E1340" s="781" t="s">
        <v>71</v>
      </c>
      <c r="F1340" s="778"/>
      <c r="G1340" s="778"/>
      <c r="H1340" s="778"/>
      <c r="I1340" s="778"/>
      <c r="J1340" s="778"/>
      <c r="K1340" s="778"/>
      <c r="L1340" s="782" t="s">
        <v>71</v>
      </c>
      <c r="M1340" s="782" t="s">
        <v>71</v>
      </c>
      <c r="N1340" s="782"/>
      <c r="O1340" s="782"/>
      <c r="P1340" s="783"/>
      <c r="Q1340" s="784"/>
      <c r="R1340" s="783"/>
      <c r="S1340" s="785"/>
      <c r="T1340" s="785"/>
    </row>
    <row r="1341">
      <c r="A1341" s="777"/>
      <c r="B1341" s="778"/>
      <c r="C1341" s="779"/>
      <c r="D1341" s="780"/>
      <c r="E1341" s="781" t="s">
        <v>71</v>
      </c>
      <c r="F1341" s="778"/>
      <c r="G1341" s="778"/>
      <c r="H1341" s="778"/>
      <c r="I1341" s="778"/>
      <c r="J1341" s="778"/>
      <c r="K1341" s="778"/>
      <c r="L1341" s="782" t="s">
        <v>71</v>
      </c>
      <c r="M1341" s="782" t="s">
        <v>71</v>
      </c>
      <c r="N1341" s="782"/>
      <c r="O1341" s="782"/>
      <c r="P1341" s="783"/>
      <c r="Q1341" s="784"/>
      <c r="R1341" s="783"/>
      <c r="S1341" s="785"/>
      <c r="T1341" s="785"/>
    </row>
    <row r="1342">
      <c r="A1342" s="777"/>
      <c r="B1342" s="778"/>
      <c r="C1342" s="779"/>
      <c r="D1342" s="780"/>
      <c r="E1342" s="781" t="s">
        <v>71</v>
      </c>
      <c r="F1342" s="778"/>
      <c r="G1342" s="778"/>
      <c r="H1342" s="778"/>
      <c r="I1342" s="778"/>
      <c r="J1342" s="778"/>
      <c r="K1342" s="778"/>
      <c r="L1342" s="782" t="s">
        <v>71</v>
      </c>
      <c r="M1342" s="782" t="s">
        <v>71</v>
      </c>
      <c r="N1342" s="782"/>
      <c r="O1342" s="782"/>
      <c r="P1342" s="783"/>
      <c r="Q1342" s="784"/>
      <c r="R1342" s="783"/>
      <c r="S1342" s="785"/>
      <c r="T1342" s="785"/>
    </row>
    <row r="1343">
      <c r="A1343" s="777"/>
      <c r="B1343" s="778"/>
      <c r="C1343" s="779"/>
      <c r="D1343" s="780"/>
      <c r="E1343" s="781" t="s">
        <v>71</v>
      </c>
      <c r="F1343" s="778"/>
      <c r="G1343" s="778"/>
      <c r="H1343" s="778"/>
      <c r="I1343" s="778"/>
      <c r="J1343" s="778"/>
      <c r="K1343" s="778"/>
      <c r="L1343" s="782" t="s">
        <v>71</v>
      </c>
      <c r="M1343" s="782" t="s">
        <v>71</v>
      </c>
      <c r="N1343" s="782"/>
      <c r="O1343" s="782"/>
      <c r="P1343" s="783"/>
      <c r="Q1343" s="784"/>
      <c r="R1343" s="783"/>
      <c r="S1343" s="785"/>
      <c r="T1343" s="785"/>
    </row>
    <row r="1344">
      <c r="A1344" s="777"/>
      <c r="B1344" s="778"/>
      <c r="C1344" s="779"/>
      <c r="D1344" s="780"/>
      <c r="E1344" s="781" t="s">
        <v>71</v>
      </c>
      <c r="F1344" s="778"/>
      <c r="G1344" s="778"/>
      <c r="H1344" s="778"/>
      <c r="I1344" s="778"/>
      <c r="J1344" s="778"/>
      <c r="K1344" s="778"/>
      <c r="L1344" s="782" t="s">
        <v>71</v>
      </c>
      <c r="M1344" s="782" t="s">
        <v>71</v>
      </c>
      <c r="N1344" s="782"/>
      <c r="O1344" s="782"/>
      <c r="P1344" s="783"/>
      <c r="Q1344" s="784"/>
      <c r="R1344" s="783"/>
      <c r="S1344" s="785"/>
      <c r="T1344" s="785"/>
    </row>
    <row r="1345">
      <c r="A1345" s="777"/>
      <c r="B1345" s="778"/>
      <c r="C1345" s="779"/>
      <c r="D1345" s="780"/>
      <c r="E1345" s="781" t="s">
        <v>71</v>
      </c>
      <c r="F1345" s="778"/>
      <c r="G1345" s="778"/>
      <c r="H1345" s="778"/>
      <c r="I1345" s="778"/>
      <c r="J1345" s="778"/>
      <c r="K1345" s="778"/>
      <c r="L1345" s="782" t="s">
        <v>71</v>
      </c>
      <c r="M1345" s="782" t="s">
        <v>71</v>
      </c>
      <c r="N1345" s="782"/>
      <c r="O1345" s="782"/>
      <c r="P1345" s="783"/>
      <c r="Q1345" s="784"/>
      <c r="R1345" s="783"/>
      <c r="S1345" s="785"/>
      <c r="T1345" s="785"/>
    </row>
    <row r="1346">
      <c r="A1346" s="777"/>
      <c r="B1346" s="778"/>
      <c r="C1346" s="779"/>
      <c r="D1346" s="780"/>
      <c r="E1346" s="781" t="s">
        <v>71</v>
      </c>
      <c r="F1346" s="778"/>
      <c r="G1346" s="778"/>
      <c r="H1346" s="778"/>
      <c r="I1346" s="778"/>
      <c r="J1346" s="778"/>
      <c r="K1346" s="778"/>
      <c r="L1346" s="782" t="s">
        <v>71</v>
      </c>
      <c r="M1346" s="782" t="s">
        <v>71</v>
      </c>
      <c r="N1346" s="782"/>
      <c r="O1346" s="782"/>
      <c r="P1346" s="783"/>
      <c r="Q1346" s="784"/>
      <c r="R1346" s="783"/>
      <c r="S1346" s="785"/>
      <c r="T1346" s="785"/>
    </row>
    <row r="1347">
      <c r="A1347" s="777"/>
      <c r="B1347" s="778"/>
      <c r="C1347" s="779"/>
      <c r="D1347" s="780"/>
      <c r="E1347" s="781" t="s">
        <v>71</v>
      </c>
      <c r="F1347" s="778"/>
      <c r="G1347" s="778"/>
      <c r="H1347" s="778"/>
      <c r="I1347" s="778"/>
      <c r="J1347" s="778"/>
      <c r="K1347" s="778"/>
      <c r="L1347" s="782" t="s">
        <v>71</v>
      </c>
      <c r="M1347" s="782" t="s">
        <v>71</v>
      </c>
      <c r="N1347" s="782"/>
      <c r="O1347" s="782"/>
      <c r="P1347" s="783"/>
      <c r="Q1347" s="784"/>
      <c r="R1347" s="783"/>
      <c r="S1347" s="785"/>
      <c r="T1347" s="785"/>
    </row>
    <row r="1348">
      <c r="A1348" s="777"/>
      <c r="B1348" s="778"/>
      <c r="C1348" s="779"/>
      <c r="D1348" s="780"/>
      <c r="E1348" s="781" t="s">
        <v>71</v>
      </c>
      <c r="F1348" s="778"/>
      <c r="G1348" s="778"/>
      <c r="H1348" s="778"/>
      <c r="I1348" s="778"/>
      <c r="J1348" s="778"/>
      <c r="K1348" s="778"/>
      <c r="L1348" s="782" t="s">
        <v>71</v>
      </c>
      <c r="M1348" s="782" t="s">
        <v>71</v>
      </c>
      <c r="N1348" s="782"/>
      <c r="O1348" s="782"/>
      <c r="P1348" s="783"/>
      <c r="Q1348" s="784"/>
      <c r="R1348" s="783"/>
      <c r="S1348" s="785"/>
      <c r="T1348" s="785"/>
    </row>
    <row r="1349">
      <c r="A1349" s="777"/>
      <c r="B1349" s="778"/>
      <c r="C1349" s="779"/>
      <c r="D1349" s="780"/>
      <c r="E1349" s="781" t="s">
        <v>71</v>
      </c>
      <c r="F1349" s="778"/>
      <c r="G1349" s="778"/>
      <c r="H1349" s="778"/>
      <c r="I1349" s="778"/>
      <c r="J1349" s="778"/>
      <c r="K1349" s="778"/>
      <c r="L1349" s="782" t="s">
        <v>71</v>
      </c>
      <c r="M1349" s="782" t="s">
        <v>71</v>
      </c>
      <c r="N1349" s="782"/>
      <c r="O1349" s="782"/>
      <c r="P1349" s="783"/>
      <c r="Q1349" s="784"/>
      <c r="R1349" s="783"/>
      <c r="S1349" s="785"/>
      <c r="T1349" s="785"/>
    </row>
    <row r="1350">
      <c r="A1350" s="777"/>
      <c r="B1350" s="778"/>
      <c r="C1350" s="779"/>
      <c r="D1350" s="780"/>
      <c r="E1350" s="781" t="s">
        <v>71</v>
      </c>
      <c r="F1350" s="778"/>
      <c r="G1350" s="778"/>
      <c r="H1350" s="778"/>
      <c r="I1350" s="778"/>
      <c r="J1350" s="778"/>
      <c r="K1350" s="778"/>
      <c r="L1350" s="782" t="s">
        <v>71</v>
      </c>
      <c r="M1350" s="782" t="s">
        <v>71</v>
      </c>
      <c r="N1350" s="782"/>
      <c r="O1350" s="782"/>
      <c r="P1350" s="783"/>
      <c r="Q1350" s="784"/>
      <c r="R1350" s="783"/>
      <c r="S1350" s="785"/>
      <c r="T1350" s="785"/>
    </row>
    <row r="1351">
      <c r="A1351" s="777"/>
      <c r="B1351" s="778"/>
      <c r="C1351" s="779"/>
      <c r="D1351" s="780"/>
      <c r="E1351" s="781" t="s">
        <v>71</v>
      </c>
      <c r="F1351" s="778"/>
      <c r="G1351" s="778"/>
      <c r="H1351" s="778"/>
      <c r="I1351" s="778"/>
      <c r="J1351" s="778"/>
      <c r="K1351" s="778"/>
      <c r="L1351" s="782" t="s">
        <v>71</v>
      </c>
      <c r="M1351" s="782" t="s">
        <v>71</v>
      </c>
      <c r="N1351" s="782"/>
      <c r="O1351" s="782"/>
      <c r="P1351" s="783"/>
      <c r="Q1351" s="784"/>
      <c r="R1351" s="783"/>
      <c r="S1351" s="785"/>
      <c r="T1351" s="785"/>
    </row>
    <row r="1352">
      <c r="A1352" s="777"/>
      <c r="B1352" s="778"/>
      <c r="C1352" s="779"/>
      <c r="D1352" s="780"/>
      <c r="E1352" s="781" t="s">
        <v>71</v>
      </c>
      <c r="F1352" s="778"/>
      <c r="G1352" s="778"/>
      <c r="H1352" s="778"/>
      <c r="I1352" s="778"/>
      <c r="J1352" s="778"/>
      <c r="K1352" s="778"/>
      <c r="L1352" s="782" t="s">
        <v>71</v>
      </c>
      <c r="M1352" s="782" t="s">
        <v>71</v>
      </c>
      <c r="N1352" s="782"/>
      <c r="O1352" s="782"/>
      <c r="P1352" s="783"/>
      <c r="Q1352" s="784"/>
      <c r="R1352" s="783"/>
      <c r="S1352" s="785"/>
      <c r="T1352" s="785"/>
    </row>
    <row r="1353">
      <c r="A1353" s="777"/>
      <c r="B1353" s="778"/>
      <c r="C1353" s="779"/>
      <c r="D1353" s="780"/>
      <c r="E1353" s="781" t="s">
        <v>71</v>
      </c>
      <c r="F1353" s="778"/>
      <c r="G1353" s="778"/>
      <c r="H1353" s="778"/>
      <c r="I1353" s="778"/>
      <c r="J1353" s="778"/>
      <c r="K1353" s="778"/>
      <c r="L1353" s="782" t="s">
        <v>71</v>
      </c>
      <c r="M1353" s="782" t="s">
        <v>71</v>
      </c>
      <c r="N1353" s="782"/>
      <c r="O1353" s="782"/>
      <c r="P1353" s="783"/>
      <c r="Q1353" s="784"/>
      <c r="R1353" s="783"/>
      <c r="S1353" s="785"/>
      <c r="T1353" s="785"/>
    </row>
    <row r="1354">
      <c r="A1354" s="777"/>
      <c r="B1354" s="778"/>
      <c r="C1354" s="779"/>
      <c r="D1354" s="780"/>
      <c r="E1354" s="781" t="s">
        <v>71</v>
      </c>
      <c r="F1354" s="778"/>
      <c r="G1354" s="778"/>
      <c r="H1354" s="778"/>
      <c r="I1354" s="778"/>
      <c r="J1354" s="778"/>
      <c r="K1354" s="778"/>
      <c r="L1354" s="782" t="s">
        <v>71</v>
      </c>
      <c r="M1354" s="782" t="s">
        <v>71</v>
      </c>
      <c r="N1354" s="782"/>
      <c r="O1354" s="782"/>
      <c r="P1354" s="783"/>
      <c r="Q1354" s="784"/>
      <c r="R1354" s="783"/>
      <c r="S1354" s="785"/>
      <c r="T1354" s="785"/>
    </row>
    <row r="1355">
      <c r="A1355" s="777"/>
      <c r="B1355" s="778"/>
      <c r="C1355" s="779"/>
      <c r="D1355" s="780"/>
      <c r="E1355" s="781" t="s">
        <v>71</v>
      </c>
      <c r="F1355" s="778"/>
      <c r="G1355" s="778"/>
      <c r="H1355" s="778"/>
      <c r="I1355" s="778"/>
      <c r="J1355" s="778"/>
      <c r="K1355" s="778"/>
      <c r="L1355" s="782" t="s">
        <v>71</v>
      </c>
      <c r="M1355" s="782" t="s">
        <v>71</v>
      </c>
      <c r="N1355" s="782"/>
      <c r="O1355" s="782"/>
      <c r="P1355" s="783"/>
      <c r="Q1355" s="784"/>
      <c r="R1355" s="783"/>
      <c r="S1355" s="785"/>
      <c r="T1355" s="785"/>
    </row>
    <row r="1356">
      <c r="A1356" s="777"/>
      <c r="B1356" s="778"/>
      <c r="C1356" s="779"/>
      <c r="D1356" s="780"/>
      <c r="E1356" s="781" t="s">
        <v>71</v>
      </c>
      <c r="F1356" s="778"/>
      <c r="G1356" s="778"/>
      <c r="H1356" s="778"/>
      <c r="I1356" s="778"/>
      <c r="J1356" s="778"/>
      <c r="K1356" s="778"/>
      <c r="L1356" s="782" t="s">
        <v>71</v>
      </c>
      <c r="M1356" s="782" t="s">
        <v>71</v>
      </c>
      <c r="N1356" s="782"/>
      <c r="O1356" s="782"/>
      <c r="P1356" s="783"/>
      <c r="Q1356" s="784"/>
      <c r="R1356" s="783"/>
      <c r="S1356" s="785"/>
      <c r="T1356" s="785"/>
    </row>
    <row r="1357">
      <c r="A1357" s="777"/>
      <c r="B1357" s="778"/>
      <c r="C1357" s="779"/>
      <c r="D1357" s="780"/>
      <c r="E1357" s="781" t="s">
        <v>71</v>
      </c>
      <c r="F1357" s="778"/>
      <c r="G1357" s="778"/>
      <c r="H1357" s="778"/>
      <c r="I1357" s="778"/>
      <c r="J1357" s="778"/>
      <c r="K1357" s="778"/>
      <c r="L1357" s="782" t="s">
        <v>71</v>
      </c>
      <c r="M1357" s="782" t="s">
        <v>71</v>
      </c>
      <c r="N1357" s="782"/>
      <c r="O1357" s="782"/>
      <c r="P1357" s="783"/>
      <c r="Q1357" s="784"/>
      <c r="R1357" s="783"/>
      <c r="S1357" s="785"/>
      <c r="T1357" s="785"/>
    </row>
    <row r="1358">
      <c r="A1358" s="777"/>
      <c r="B1358" s="778"/>
      <c r="C1358" s="779"/>
      <c r="D1358" s="780"/>
      <c r="E1358" s="781" t="s">
        <v>71</v>
      </c>
      <c r="F1358" s="778"/>
      <c r="G1358" s="778"/>
      <c r="H1358" s="778"/>
      <c r="I1358" s="778"/>
      <c r="J1358" s="778"/>
      <c r="K1358" s="778"/>
      <c r="L1358" s="782" t="s">
        <v>71</v>
      </c>
      <c r="M1358" s="782" t="s">
        <v>71</v>
      </c>
      <c r="N1358" s="782"/>
      <c r="O1358" s="782"/>
      <c r="P1358" s="783"/>
      <c r="Q1358" s="784"/>
      <c r="R1358" s="783"/>
      <c r="S1358" s="785"/>
      <c r="T1358" s="785"/>
    </row>
    <row r="1359">
      <c r="A1359" s="777"/>
      <c r="B1359" s="778"/>
      <c r="C1359" s="779"/>
      <c r="D1359" s="780"/>
      <c r="E1359" s="781" t="s">
        <v>71</v>
      </c>
      <c r="F1359" s="778"/>
      <c r="G1359" s="778"/>
      <c r="H1359" s="778"/>
      <c r="I1359" s="778"/>
      <c r="J1359" s="778"/>
      <c r="K1359" s="778"/>
      <c r="L1359" s="782" t="s">
        <v>71</v>
      </c>
      <c r="M1359" s="782" t="s">
        <v>71</v>
      </c>
      <c r="N1359" s="782"/>
      <c r="O1359" s="782"/>
      <c r="P1359" s="783"/>
      <c r="Q1359" s="784"/>
      <c r="R1359" s="783"/>
      <c r="S1359" s="785"/>
      <c r="T1359" s="785"/>
    </row>
    <row r="1360">
      <c r="A1360" s="777"/>
      <c r="B1360" s="778"/>
      <c r="C1360" s="779"/>
      <c r="D1360" s="780"/>
      <c r="E1360" s="781" t="s">
        <v>71</v>
      </c>
      <c r="F1360" s="778"/>
      <c r="G1360" s="778"/>
      <c r="H1360" s="778"/>
      <c r="I1360" s="778"/>
      <c r="J1360" s="778"/>
      <c r="K1360" s="778"/>
      <c r="L1360" s="782" t="s">
        <v>71</v>
      </c>
      <c r="M1360" s="782" t="s">
        <v>71</v>
      </c>
      <c r="N1360" s="782"/>
      <c r="O1360" s="782"/>
      <c r="P1360" s="783"/>
      <c r="Q1360" s="784"/>
      <c r="R1360" s="783"/>
      <c r="S1360" s="785"/>
      <c r="T1360" s="785"/>
    </row>
    <row r="1361">
      <c r="A1361" s="777"/>
      <c r="B1361" s="778"/>
      <c r="C1361" s="779"/>
      <c r="D1361" s="780"/>
      <c r="E1361" s="781" t="s">
        <v>71</v>
      </c>
      <c r="F1361" s="778"/>
      <c r="G1361" s="778"/>
      <c r="H1361" s="778"/>
      <c r="I1361" s="778"/>
      <c r="J1361" s="778"/>
      <c r="K1361" s="778"/>
      <c r="L1361" s="782" t="s">
        <v>71</v>
      </c>
      <c r="M1361" s="782" t="s">
        <v>71</v>
      </c>
      <c r="N1361" s="782"/>
      <c r="O1361" s="782"/>
      <c r="P1361" s="783"/>
      <c r="Q1361" s="784"/>
      <c r="R1361" s="783"/>
      <c r="S1361" s="785"/>
      <c r="T1361" s="785"/>
    </row>
    <row r="1362">
      <c r="A1362" s="777"/>
      <c r="B1362" s="778"/>
      <c r="C1362" s="779"/>
      <c r="D1362" s="780"/>
      <c r="E1362" s="781" t="s">
        <v>71</v>
      </c>
      <c r="F1362" s="778"/>
      <c r="G1362" s="778"/>
      <c r="H1362" s="778"/>
      <c r="I1362" s="778"/>
      <c r="J1362" s="778"/>
      <c r="K1362" s="778"/>
      <c r="L1362" s="782" t="s">
        <v>71</v>
      </c>
      <c r="M1362" s="782" t="s">
        <v>71</v>
      </c>
      <c r="N1362" s="782"/>
      <c r="O1362" s="782"/>
      <c r="P1362" s="783"/>
      <c r="Q1362" s="784"/>
      <c r="R1362" s="783"/>
      <c r="S1362" s="785"/>
      <c r="T1362" s="785"/>
    </row>
    <row r="1363">
      <c r="A1363" s="777"/>
      <c r="B1363" s="778"/>
      <c r="C1363" s="779"/>
      <c r="D1363" s="780"/>
      <c r="E1363" s="781" t="s">
        <v>71</v>
      </c>
      <c r="F1363" s="778"/>
      <c r="G1363" s="778"/>
      <c r="H1363" s="778"/>
      <c r="I1363" s="778"/>
      <c r="J1363" s="778"/>
      <c r="K1363" s="778"/>
      <c r="L1363" s="782" t="s">
        <v>71</v>
      </c>
      <c r="M1363" s="782" t="s">
        <v>71</v>
      </c>
      <c r="N1363" s="782"/>
      <c r="O1363" s="782"/>
      <c r="P1363" s="783"/>
      <c r="Q1363" s="784"/>
      <c r="R1363" s="783"/>
      <c r="S1363" s="785"/>
      <c r="T1363" s="785"/>
    </row>
    <row r="1364">
      <c r="A1364" s="777"/>
      <c r="B1364" s="778"/>
      <c r="C1364" s="779"/>
      <c r="D1364" s="780"/>
      <c r="E1364" s="781" t="s">
        <v>71</v>
      </c>
      <c r="F1364" s="778"/>
      <c r="G1364" s="778"/>
      <c r="H1364" s="778"/>
      <c r="I1364" s="778"/>
      <c r="J1364" s="778"/>
      <c r="K1364" s="778"/>
      <c r="L1364" s="782" t="s">
        <v>71</v>
      </c>
      <c r="M1364" s="782" t="s">
        <v>71</v>
      </c>
      <c r="N1364" s="782"/>
      <c r="O1364" s="782"/>
      <c r="P1364" s="783"/>
      <c r="Q1364" s="784"/>
      <c r="R1364" s="783"/>
      <c r="S1364" s="785"/>
      <c r="T1364" s="785"/>
    </row>
    <row r="1365">
      <c r="A1365" s="777"/>
      <c r="B1365" s="778"/>
      <c r="C1365" s="779"/>
      <c r="D1365" s="780"/>
      <c r="E1365" s="781" t="s">
        <v>71</v>
      </c>
      <c r="F1365" s="778"/>
      <c r="G1365" s="778"/>
      <c r="H1365" s="778"/>
      <c r="I1365" s="778"/>
      <c r="J1365" s="778"/>
      <c r="K1365" s="778"/>
      <c r="L1365" s="782" t="s">
        <v>71</v>
      </c>
      <c r="M1365" s="782" t="s">
        <v>71</v>
      </c>
      <c r="N1365" s="782"/>
      <c r="O1365" s="782"/>
      <c r="P1365" s="783"/>
      <c r="Q1365" s="784"/>
      <c r="R1365" s="783"/>
      <c r="S1365" s="785"/>
      <c r="T1365" s="785"/>
    </row>
    <row r="1366">
      <c r="A1366" s="777"/>
      <c r="B1366" s="778"/>
      <c r="C1366" s="779"/>
      <c r="D1366" s="780"/>
      <c r="E1366" s="781" t="s">
        <v>71</v>
      </c>
      <c r="F1366" s="778"/>
      <c r="G1366" s="778"/>
      <c r="H1366" s="778"/>
      <c r="I1366" s="778"/>
      <c r="J1366" s="778"/>
      <c r="K1366" s="778"/>
      <c r="L1366" s="782" t="s">
        <v>71</v>
      </c>
      <c r="M1366" s="782" t="s">
        <v>71</v>
      </c>
      <c r="N1366" s="782"/>
      <c r="O1366" s="782"/>
      <c r="P1366" s="783"/>
      <c r="Q1366" s="784"/>
      <c r="R1366" s="783"/>
      <c r="S1366" s="785"/>
      <c r="T1366" s="785"/>
    </row>
    <row r="1367">
      <c r="A1367" s="777"/>
      <c r="B1367" s="778"/>
      <c r="C1367" s="779"/>
      <c r="D1367" s="780"/>
      <c r="E1367" s="781" t="s">
        <v>71</v>
      </c>
      <c r="F1367" s="778"/>
      <c r="G1367" s="778"/>
      <c r="H1367" s="778"/>
      <c r="I1367" s="778"/>
      <c r="J1367" s="778"/>
      <c r="K1367" s="778"/>
      <c r="L1367" s="782" t="s">
        <v>71</v>
      </c>
      <c r="M1367" s="782" t="s">
        <v>71</v>
      </c>
      <c r="N1367" s="782"/>
      <c r="O1367" s="782"/>
      <c r="P1367" s="783"/>
      <c r="Q1367" s="784"/>
      <c r="R1367" s="783"/>
      <c r="S1367" s="785"/>
      <c r="T1367" s="785"/>
    </row>
    <row r="1368">
      <c r="A1368" s="777"/>
      <c r="B1368" s="778"/>
      <c r="C1368" s="779"/>
      <c r="D1368" s="780"/>
      <c r="E1368" s="781" t="s">
        <v>71</v>
      </c>
      <c r="F1368" s="778"/>
      <c r="G1368" s="778"/>
      <c r="H1368" s="778"/>
      <c r="I1368" s="778"/>
      <c r="J1368" s="778"/>
      <c r="K1368" s="778"/>
      <c r="L1368" s="782" t="s">
        <v>71</v>
      </c>
      <c r="M1368" s="782" t="s">
        <v>71</v>
      </c>
      <c r="N1368" s="782"/>
      <c r="O1368" s="782"/>
      <c r="P1368" s="783"/>
      <c r="Q1368" s="784"/>
      <c r="R1368" s="783"/>
      <c r="S1368" s="785"/>
      <c r="T1368" s="785"/>
    </row>
    <row r="1369">
      <c r="A1369" s="777"/>
      <c r="B1369" s="778"/>
      <c r="C1369" s="779"/>
      <c r="D1369" s="780"/>
      <c r="E1369" s="781" t="s">
        <v>71</v>
      </c>
      <c r="F1369" s="778"/>
      <c r="G1369" s="778"/>
      <c r="H1369" s="778"/>
      <c r="I1369" s="778"/>
      <c r="J1369" s="778"/>
      <c r="K1369" s="778"/>
      <c r="L1369" s="782" t="s">
        <v>71</v>
      </c>
      <c r="M1369" s="782" t="s">
        <v>71</v>
      </c>
      <c r="N1369" s="782"/>
      <c r="O1369" s="782"/>
      <c r="P1369" s="783"/>
      <c r="Q1369" s="784"/>
      <c r="R1369" s="783"/>
      <c r="S1369" s="785"/>
      <c r="T1369" s="785"/>
    </row>
    <row r="1370">
      <c r="A1370" s="777"/>
      <c r="B1370" s="778"/>
      <c r="C1370" s="779"/>
      <c r="D1370" s="780"/>
      <c r="E1370" s="781" t="s">
        <v>71</v>
      </c>
      <c r="F1370" s="778"/>
      <c r="G1370" s="778"/>
      <c r="H1370" s="778"/>
      <c r="I1370" s="778"/>
      <c r="J1370" s="778"/>
      <c r="K1370" s="778"/>
      <c r="L1370" s="782" t="s">
        <v>71</v>
      </c>
      <c r="M1370" s="782" t="s">
        <v>71</v>
      </c>
      <c r="N1370" s="782"/>
      <c r="O1370" s="782"/>
      <c r="P1370" s="783"/>
      <c r="Q1370" s="784"/>
      <c r="R1370" s="783"/>
      <c r="S1370" s="785"/>
      <c r="T1370" s="785"/>
    </row>
    <row r="1371">
      <c r="A1371" s="777"/>
      <c r="B1371" s="778"/>
      <c r="C1371" s="779"/>
      <c r="D1371" s="780"/>
      <c r="E1371" s="781" t="s">
        <v>71</v>
      </c>
      <c r="F1371" s="778"/>
      <c r="G1371" s="778"/>
      <c r="H1371" s="778"/>
      <c r="I1371" s="778"/>
      <c r="J1371" s="778"/>
      <c r="K1371" s="778"/>
      <c r="L1371" s="782" t="s">
        <v>71</v>
      </c>
      <c r="M1371" s="782" t="s">
        <v>71</v>
      </c>
      <c r="N1371" s="782"/>
      <c r="O1371" s="782"/>
      <c r="P1371" s="783"/>
      <c r="Q1371" s="784"/>
      <c r="R1371" s="783"/>
      <c r="S1371" s="785"/>
      <c r="T1371" s="785"/>
    </row>
    <row r="1372">
      <c r="A1372" s="777"/>
      <c r="B1372" s="778"/>
      <c r="C1372" s="779"/>
      <c r="D1372" s="780"/>
      <c r="E1372" s="781" t="s">
        <v>71</v>
      </c>
      <c r="F1372" s="778"/>
      <c r="G1372" s="778"/>
      <c r="H1372" s="778"/>
      <c r="I1372" s="778"/>
      <c r="J1372" s="778"/>
      <c r="K1372" s="778"/>
      <c r="L1372" s="782" t="s">
        <v>71</v>
      </c>
      <c r="M1372" s="782" t="s">
        <v>71</v>
      </c>
      <c r="N1372" s="782"/>
      <c r="O1372" s="782"/>
      <c r="P1372" s="783"/>
      <c r="Q1372" s="784"/>
      <c r="R1372" s="783"/>
      <c r="S1372" s="785"/>
      <c r="T1372" s="785"/>
    </row>
    <row r="1373">
      <c r="A1373" s="777"/>
      <c r="B1373" s="778"/>
      <c r="C1373" s="779"/>
      <c r="D1373" s="780"/>
      <c r="E1373" s="781" t="s">
        <v>71</v>
      </c>
      <c r="F1373" s="778"/>
      <c r="G1373" s="778"/>
      <c r="H1373" s="778"/>
      <c r="I1373" s="778"/>
      <c r="J1373" s="778"/>
      <c r="K1373" s="778"/>
      <c r="L1373" s="782" t="s">
        <v>71</v>
      </c>
      <c r="M1373" s="782" t="s">
        <v>71</v>
      </c>
      <c r="N1373" s="782"/>
      <c r="O1373" s="782"/>
      <c r="P1373" s="783"/>
      <c r="Q1373" s="784"/>
      <c r="R1373" s="783"/>
      <c r="S1373" s="785"/>
      <c r="T1373" s="785"/>
    </row>
    <row r="1374">
      <c r="A1374" s="777"/>
      <c r="B1374" s="778"/>
      <c r="C1374" s="779"/>
      <c r="D1374" s="780"/>
      <c r="E1374" s="781" t="s">
        <v>71</v>
      </c>
      <c r="F1374" s="778"/>
      <c r="G1374" s="778"/>
      <c r="H1374" s="778"/>
      <c r="I1374" s="778"/>
      <c r="J1374" s="778"/>
      <c r="K1374" s="778"/>
      <c r="L1374" s="782" t="s">
        <v>71</v>
      </c>
      <c r="M1374" s="782" t="s">
        <v>71</v>
      </c>
      <c r="N1374" s="782"/>
      <c r="O1374" s="782"/>
      <c r="P1374" s="783"/>
      <c r="Q1374" s="784"/>
      <c r="R1374" s="783"/>
      <c r="S1374" s="785"/>
      <c r="T1374" s="785"/>
    </row>
    <row r="1375">
      <c r="A1375" s="777"/>
      <c r="B1375" s="778"/>
      <c r="C1375" s="779"/>
      <c r="D1375" s="780"/>
      <c r="E1375" s="781" t="s">
        <v>71</v>
      </c>
      <c r="F1375" s="778"/>
      <c r="G1375" s="778"/>
      <c r="H1375" s="778"/>
      <c r="I1375" s="778"/>
      <c r="J1375" s="778"/>
      <c r="K1375" s="778"/>
      <c r="L1375" s="782" t="s">
        <v>71</v>
      </c>
      <c r="M1375" s="782" t="s">
        <v>71</v>
      </c>
      <c r="N1375" s="782"/>
      <c r="O1375" s="782"/>
      <c r="P1375" s="783"/>
      <c r="Q1375" s="784"/>
      <c r="R1375" s="783"/>
      <c r="S1375" s="785"/>
      <c r="T1375" s="785"/>
    </row>
    <row r="1376">
      <c r="A1376" s="777"/>
      <c r="B1376" s="778"/>
      <c r="C1376" s="779"/>
      <c r="D1376" s="780"/>
      <c r="E1376" s="781" t="s">
        <v>71</v>
      </c>
      <c r="F1376" s="778"/>
      <c r="G1376" s="778"/>
      <c r="H1376" s="778"/>
      <c r="I1376" s="778"/>
      <c r="J1376" s="778"/>
      <c r="K1376" s="778"/>
      <c r="L1376" s="782" t="s">
        <v>71</v>
      </c>
      <c r="M1376" s="782" t="s">
        <v>71</v>
      </c>
      <c r="N1376" s="782"/>
      <c r="O1376" s="782"/>
      <c r="P1376" s="783"/>
      <c r="Q1376" s="784"/>
      <c r="R1376" s="783"/>
      <c r="S1376" s="785"/>
      <c r="T1376" s="785"/>
    </row>
    <row r="1377">
      <c r="A1377" s="777"/>
      <c r="B1377" s="778"/>
      <c r="C1377" s="779"/>
      <c r="D1377" s="780"/>
      <c r="E1377" s="781" t="s">
        <v>71</v>
      </c>
      <c r="F1377" s="778"/>
      <c r="G1377" s="778"/>
      <c r="H1377" s="778"/>
      <c r="I1377" s="778"/>
      <c r="J1377" s="778"/>
      <c r="K1377" s="778"/>
      <c r="L1377" s="782" t="s">
        <v>71</v>
      </c>
      <c r="M1377" s="782" t="s">
        <v>71</v>
      </c>
      <c r="N1377" s="782"/>
      <c r="O1377" s="782"/>
      <c r="P1377" s="783"/>
      <c r="Q1377" s="784"/>
      <c r="R1377" s="783"/>
      <c r="S1377" s="785"/>
      <c r="T1377" s="785"/>
    </row>
    <row r="1378">
      <c r="A1378" s="777"/>
      <c r="B1378" s="778"/>
      <c r="C1378" s="779"/>
      <c r="D1378" s="780"/>
      <c r="E1378" s="781" t="s">
        <v>71</v>
      </c>
      <c r="F1378" s="778"/>
      <c r="G1378" s="778"/>
      <c r="H1378" s="778"/>
      <c r="I1378" s="778"/>
      <c r="J1378" s="778"/>
      <c r="K1378" s="778"/>
      <c r="L1378" s="782" t="s">
        <v>71</v>
      </c>
      <c r="M1378" s="782" t="s">
        <v>71</v>
      </c>
      <c r="N1378" s="782"/>
      <c r="O1378" s="782"/>
      <c r="P1378" s="783"/>
      <c r="Q1378" s="784"/>
      <c r="R1378" s="783"/>
      <c r="S1378" s="785"/>
      <c r="T1378" s="785"/>
    </row>
    <row r="1379">
      <c r="A1379" s="777"/>
      <c r="B1379" s="778"/>
      <c r="C1379" s="779"/>
      <c r="D1379" s="780"/>
      <c r="E1379" s="781" t="s">
        <v>71</v>
      </c>
      <c r="F1379" s="778"/>
      <c r="G1379" s="778"/>
      <c r="H1379" s="778"/>
      <c r="I1379" s="778"/>
      <c r="J1379" s="778"/>
      <c r="K1379" s="778"/>
      <c r="L1379" s="782" t="s">
        <v>71</v>
      </c>
      <c r="M1379" s="782" t="s">
        <v>71</v>
      </c>
      <c r="N1379" s="782"/>
      <c r="O1379" s="782"/>
      <c r="P1379" s="783"/>
      <c r="Q1379" s="784"/>
      <c r="R1379" s="783"/>
      <c r="S1379" s="785"/>
      <c r="T1379" s="785"/>
    </row>
    <row r="1380">
      <c r="A1380" s="777"/>
      <c r="B1380" s="778"/>
      <c r="C1380" s="779"/>
      <c r="D1380" s="780"/>
      <c r="E1380" s="781" t="s">
        <v>71</v>
      </c>
      <c r="F1380" s="778"/>
      <c r="G1380" s="778"/>
      <c r="H1380" s="778"/>
      <c r="I1380" s="778"/>
      <c r="J1380" s="778"/>
      <c r="K1380" s="778"/>
      <c r="L1380" s="782" t="s">
        <v>71</v>
      </c>
      <c r="M1380" s="782" t="s">
        <v>71</v>
      </c>
      <c r="N1380" s="782"/>
      <c r="O1380" s="782"/>
      <c r="P1380" s="783"/>
      <c r="Q1380" s="784"/>
      <c r="R1380" s="783"/>
      <c r="S1380" s="785"/>
      <c r="T1380" s="785"/>
    </row>
    <row r="1381">
      <c r="A1381" s="777"/>
      <c r="B1381" s="778"/>
      <c r="C1381" s="779"/>
      <c r="D1381" s="780"/>
      <c r="E1381" s="781" t="s">
        <v>71</v>
      </c>
      <c r="F1381" s="778"/>
      <c r="G1381" s="778"/>
      <c r="H1381" s="778"/>
      <c r="I1381" s="778"/>
      <c r="J1381" s="778"/>
      <c r="K1381" s="778"/>
      <c r="L1381" s="782" t="s">
        <v>71</v>
      </c>
      <c r="M1381" s="782" t="s">
        <v>71</v>
      </c>
      <c r="N1381" s="782"/>
      <c r="O1381" s="782"/>
      <c r="P1381" s="783"/>
      <c r="Q1381" s="784"/>
      <c r="R1381" s="783"/>
      <c r="S1381" s="785"/>
      <c r="T1381" s="785"/>
    </row>
    <row r="1382">
      <c r="A1382" s="777"/>
      <c r="B1382" s="778"/>
      <c r="C1382" s="779"/>
      <c r="D1382" s="780"/>
      <c r="E1382" s="781" t="s">
        <v>71</v>
      </c>
      <c r="F1382" s="778"/>
      <c r="G1382" s="778"/>
      <c r="H1382" s="778"/>
      <c r="I1382" s="778"/>
      <c r="J1382" s="778"/>
      <c r="K1382" s="778"/>
      <c r="L1382" s="782" t="s">
        <v>71</v>
      </c>
      <c r="M1382" s="782" t="s">
        <v>71</v>
      </c>
      <c r="N1382" s="782"/>
      <c r="O1382" s="782"/>
      <c r="P1382" s="783"/>
      <c r="Q1382" s="784"/>
      <c r="R1382" s="783"/>
      <c r="S1382" s="785"/>
      <c r="T1382" s="785"/>
    </row>
    <row r="1383">
      <c r="A1383" s="777"/>
      <c r="B1383" s="778"/>
      <c r="C1383" s="779"/>
      <c r="D1383" s="780"/>
      <c r="E1383" s="781" t="s">
        <v>71</v>
      </c>
      <c r="F1383" s="778"/>
      <c r="G1383" s="778"/>
      <c r="H1383" s="778"/>
      <c r="I1383" s="778"/>
      <c r="J1383" s="778"/>
      <c r="K1383" s="778"/>
      <c r="L1383" s="782" t="s">
        <v>71</v>
      </c>
      <c r="M1383" s="782" t="s">
        <v>71</v>
      </c>
      <c r="N1383" s="782"/>
      <c r="O1383" s="782"/>
      <c r="P1383" s="783"/>
      <c r="Q1383" s="784"/>
      <c r="R1383" s="783"/>
      <c r="S1383" s="785"/>
      <c r="T1383" s="785"/>
    </row>
    <row r="1384">
      <c r="A1384" s="777"/>
      <c r="B1384" s="778"/>
      <c r="C1384" s="779"/>
      <c r="D1384" s="780"/>
      <c r="E1384" s="781" t="s">
        <v>71</v>
      </c>
      <c r="F1384" s="778"/>
      <c r="G1384" s="778"/>
      <c r="H1384" s="778"/>
      <c r="I1384" s="778"/>
      <c r="J1384" s="778"/>
      <c r="K1384" s="778"/>
      <c r="L1384" s="782" t="s">
        <v>71</v>
      </c>
      <c r="M1384" s="782" t="s">
        <v>71</v>
      </c>
      <c r="N1384" s="782"/>
      <c r="O1384" s="782"/>
      <c r="P1384" s="783"/>
      <c r="Q1384" s="784"/>
      <c r="R1384" s="783"/>
      <c r="S1384" s="785"/>
      <c r="T1384" s="785"/>
    </row>
    <row r="1385">
      <c r="A1385" s="777"/>
      <c r="B1385" s="778"/>
      <c r="C1385" s="779"/>
      <c r="D1385" s="780"/>
      <c r="E1385" s="781" t="s">
        <v>71</v>
      </c>
      <c r="F1385" s="778"/>
      <c r="G1385" s="778"/>
      <c r="H1385" s="778"/>
      <c r="I1385" s="778"/>
      <c r="J1385" s="778"/>
      <c r="K1385" s="778"/>
      <c r="L1385" s="782" t="s">
        <v>71</v>
      </c>
      <c r="M1385" s="782" t="s">
        <v>71</v>
      </c>
      <c r="N1385" s="782"/>
      <c r="O1385" s="782"/>
      <c r="P1385" s="783"/>
      <c r="Q1385" s="784"/>
      <c r="R1385" s="783"/>
      <c r="S1385" s="785"/>
      <c r="T1385" s="785"/>
    </row>
    <row r="1386">
      <c r="A1386" s="777"/>
      <c r="B1386" s="778"/>
      <c r="C1386" s="779"/>
      <c r="D1386" s="780"/>
      <c r="E1386" s="781" t="s">
        <v>71</v>
      </c>
      <c r="F1386" s="778"/>
      <c r="G1386" s="778"/>
      <c r="H1386" s="778"/>
      <c r="I1386" s="778"/>
      <c r="J1386" s="778"/>
      <c r="K1386" s="778"/>
      <c r="L1386" s="782" t="s">
        <v>71</v>
      </c>
      <c r="M1386" s="782" t="s">
        <v>71</v>
      </c>
      <c r="N1386" s="782"/>
      <c r="O1386" s="782"/>
      <c r="P1386" s="783"/>
      <c r="Q1386" s="784"/>
      <c r="R1386" s="783"/>
      <c r="S1386" s="785"/>
      <c r="T1386" s="785"/>
    </row>
    <row r="1387">
      <c r="A1387" s="777"/>
      <c r="B1387" s="778"/>
      <c r="C1387" s="779"/>
      <c r="D1387" s="780"/>
      <c r="E1387" s="781" t="s">
        <v>71</v>
      </c>
      <c r="F1387" s="778"/>
      <c r="G1387" s="778"/>
      <c r="H1387" s="778"/>
      <c r="I1387" s="778"/>
      <c r="J1387" s="778"/>
      <c r="K1387" s="778"/>
      <c r="L1387" s="782" t="s">
        <v>71</v>
      </c>
      <c r="M1387" s="782" t="s">
        <v>71</v>
      </c>
      <c r="N1387" s="782"/>
      <c r="O1387" s="782"/>
      <c r="P1387" s="783"/>
      <c r="Q1387" s="784"/>
      <c r="R1387" s="783"/>
      <c r="S1387" s="785"/>
      <c r="T1387" s="785"/>
    </row>
    <row r="1388">
      <c r="A1388" s="777"/>
      <c r="B1388" s="778"/>
      <c r="C1388" s="779"/>
      <c r="D1388" s="780"/>
      <c r="E1388" s="781" t="s">
        <v>71</v>
      </c>
      <c r="F1388" s="778"/>
      <c r="G1388" s="778"/>
      <c r="H1388" s="778"/>
      <c r="I1388" s="778"/>
      <c r="J1388" s="778"/>
      <c r="K1388" s="778"/>
      <c r="L1388" s="782" t="s">
        <v>71</v>
      </c>
      <c r="M1388" s="782" t="s">
        <v>71</v>
      </c>
      <c r="N1388" s="782"/>
      <c r="O1388" s="782"/>
      <c r="P1388" s="783"/>
      <c r="Q1388" s="784"/>
      <c r="R1388" s="783"/>
      <c r="S1388" s="785"/>
      <c r="T1388" s="785"/>
    </row>
    <row r="1389">
      <c r="A1389" s="777"/>
      <c r="B1389" s="778"/>
      <c r="C1389" s="779"/>
      <c r="D1389" s="780"/>
      <c r="E1389" s="781" t="s">
        <v>71</v>
      </c>
      <c r="F1389" s="778"/>
      <c r="G1389" s="778"/>
      <c r="H1389" s="778"/>
      <c r="I1389" s="778"/>
      <c r="J1389" s="778"/>
      <c r="K1389" s="778"/>
      <c r="L1389" s="782" t="s">
        <v>71</v>
      </c>
      <c r="M1389" s="782" t="s">
        <v>71</v>
      </c>
      <c r="N1389" s="782"/>
      <c r="O1389" s="782"/>
      <c r="P1389" s="783"/>
      <c r="Q1389" s="784"/>
      <c r="R1389" s="783"/>
      <c r="S1389" s="785"/>
      <c r="T1389" s="785"/>
    </row>
    <row r="1390">
      <c r="A1390" s="777"/>
      <c r="B1390" s="778"/>
      <c r="C1390" s="779"/>
      <c r="D1390" s="780"/>
      <c r="E1390" s="781" t="s">
        <v>71</v>
      </c>
      <c r="F1390" s="778"/>
      <c r="G1390" s="778"/>
      <c r="H1390" s="778"/>
      <c r="I1390" s="778"/>
      <c r="J1390" s="778"/>
      <c r="K1390" s="778"/>
      <c r="L1390" s="782" t="s">
        <v>71</v>
      </c>
      <c r="M1390" s="782" t="s">
        <v>71</v>
      </c>
      <c r="N1390" s="782"/>
      <c r="O1390" s="782"/>
      <c r="P1390" s="783"/>
      <c r="Q1390" s="784"/>
      <c r="R1390" s="783"/>
      <c r="S1390" s="785"/>
      <c r="T1390" s="785"/>
    </row>
    <row r="1391">
      <c r="A1391" s="777"/>
      <c r="B1391" s="778"/>
      <c r="C1391" s="779"/>
      <c r="D1391" s="780"/>
      <c r="E1391" s="781" t="s">
        <v>71</v>
      </c>
      <c r="F1391" s="778"/>
      <c r="G1391" s="778"/>
      <c r="H1391" s="778"/>
      <c r="I1391" s="778"/>
      <c r="J1391" s="778"/>
      <c r="K1391" s="778"/>
      <c r="L1391" s="782" t="s">
        <v>71</v>
      </c>
      <c r="M1391" s="782" t="s">
        <v>71</v>
      </c>
      <c r="N1391" s="782"/>
      <c r="O1391" s="782"/>
      <c r="P1391" s="783"/>
      <c r="Q1391" s="784"/>
      <c r="R1391" s="783"/>
      <c r="S1391" s="785"/>
      <c r="T1391" s="785"/>
    </row>
    <row r="1392">
      <c r="A1392" s="777"/>
      <c r="B1392" s="778"/>
      <c r="C1392" s="779"/>
      <c r="D1392" s="780"/>
      <c r="E1392" s="781" t="s">
        <v>71</v>
      </c>
      <c r="F1392" s="778"/>
      <c r="G1392" s="778"/>
      <c r="H1392" s="778"/>
      <c r="I1392" s="778"/>
      <c r="J1392" s="778"/>
      <c r="K1392" s="778"/>
      <c r="L1392" s="782" t="s">
        <v>71</v>
      </c>
      <c r="M1392" s="782" t="s">
        <v>71</v>
      </c>
      <c r="N1392" s="782"/>
      <c r="O1392" s="782"/>
      <c r="P1392" s="783"/>
      <c r="Q1392" s="784"/>
      <c r="R1392" s="783"/>
      <c r="S1392" s="785"/>
      <c r="T1392" s="785"/>
    </row>
    <row r="1393">
      <c r="A1393" s="777"/>
      <c r="B1393" s="778"/>
      <c r="C1393" s="779"/>
      <c r="D1393" s="780"/>
      <c r="E1393" s="781" t="s">
        <v>71</v>
      </c>
      <c r="F1393" s="778"/>
      <c r="G1393" s="778"/>
      <c r="H1393" s="778"/>
      <c r="I1393" s="778"/>
      <c r="J1393" s="778"/>
      <c r="K1393" s="778"/>
      <c r="L1393" s="782" t="s">
        <v>71</v>
      </c>
      <c r="M1393" s="782" t="s">
        <v>71</v>
      </c>
      <c r="N1393" s="782"/>
      <c r="O1393" s="782"/>
      <c r="P1393" s="783"/>
      <c r="Q1393" s="784"/>
      <c r="R1393" s="783"/>
      <c r="S1393" s="785"/>
      <c r="T1393" s="785"/>
    </row>
    <row r="1394">
      <c r="A1394" s="777"/>
      <c r="B1394" s="778"/>
      <c r="C1394" s="779"/>
      <c r="D1394" s="780"/>
      <c r="E1394" s="781" t="s">
        <v>71</v>
      </c>
      <c r="F1394" s="778"/>
      <c r="G1394" s="778"/>
      <c r="H1394" s="778"/>
      <c r="I1394" s="778"/>
      <c r="J1394" s="778"/>
      <c r="K1394" s="778"/>
      <c r="L1394" s="782" t="s">
        <v>71</v>
      </c>
      <c r="M1394" s="782" t="s">
        <v>71</v>
      </c>
      <c r="N1394" s="782"/>
      <c r="O1394" s="782"/>
      <c r="P1394" s="783"/>
      <c r="Q1394" s="784"/>
      <c r="R1394" s="783"/>
      <c r="S1394" s="785"/>
      <c r="T1394" s="785"/>
    </row>
    <row r="1395">
      <c r="A1395" s="777"/>
      <c r="B1395" s="778"/>
      <c r="C1395" s="779"/>
      <c r="D1395" s="780"/>
      <c r="E1395" s="781" t="s">
        <v>71</v>
      </c>
      <c r="F1395" s="778"/>
      <c r="G1395" s="778"/>
      <c r="H1395" s="778"/>
      <c r="I1395" s="778"/>
      <c r="J1395" s="778"/>
      <c r="K1395" s="778"/>
      <c r="L1395" s="782" t="s">
        <v>71</v>
      </c>
      <c r="M1395" s="782" t="s">
        <v>71</v>
      </c>
      <c r="N1395" s="782"/>
      <c r="O1395" s="782"/>
      <c r="P1395" s="783"/>
      <c r="Q1395" s="784"/>
      <c r="R1395" s="783"/>
      <c r="S1395" s="785"/>
      <c r="T1395" s="785"/>
    </row>
    <row r="1396">
      <c r="A1396" s="777"/>
      <c r="B1396" s="778"/>
      <c r="C1396" s="779"/>
      <c r="D1396" s="780"/>
      <c r="E1396" s="781" t="s">
        <v>71</v>
      </c>
      <c r="F1396" s="778"/>
      <c r="G1396" s="778"/>
      <c r="H1396" s="778"/>
      <c r="I1396" s="778"/>
      <c r="J1396" s="778"/>
      <c r="K1396" s="778"/>
      <c r="L1396" s="782" t="s">
        <v>71</v>
      </c>
      <c r="M1396" s="782" t="s">
        <v>71</v>
      </c>
      <c r="N1396" s="782"/>
      <c r="O1396" s="782"/>
      <c r="P1396" s="783"/>
      <c r="Q1396" s="784"/>
      <c r="R1396" s="783"/>
      <c r="S1396" s="785"/>
      <c r="T1396" s="785"/>
    </row>
    <row r="1397">
      <c r="A1397" s="777"/>
      <c r="B1397" s="778"/>
      <c r="C1397" s="779"/>
      <c r="D1397" s="780"/>
      <c r="E1397" s="781" t="s">
        <v>71</v>
      </c>
      <c r="F1397" s="778"/>
      <c r="G1397" s="778"/>
      <c r="H1397" s="778"/>
      <c r="I1397" s="778"/>
      <c r="J1397" s="778"/>
      <c r="K1397" s="778"/>
      <c r="L1397" s="782" t="s">
        <v>71</v>
      </c>
      <c r="M1397" s="782" t="s">
        <v>71</v>
      </c>
      <c r="N1397" s="782"/>
      <c r="O1397" s="782"/>
      <c r="P1397" s="783"/>
      <c r="Q1397" s="784"/>
      <c r="R1397" s="783"/>
      <c r="S1397" s="785"/>
      <c r="T1397" s="785"/>
    </row>
    <row r="1398">
      <c r="A1398" s="777"/>
      <c r="B1398" s="778"/>
      <c r="C1398" s="779"/>
      <c r="D1398" s="780"/>
      <c r="E1398" s="781" t="s">
        <v>71</v>
      </c>
      <c r="F1398" s="778"/>
      <c r="G1398" s="778"/>
      <c r="H1398" s="778"/>
      <c r="I1398" s="778"/>
      <c r="J1398" s="778"/>
      <c r="K1398" s="778"/>
      <c r="L1398" s="782" t="s">
        <v>71</v>
      </c>
      <c r="M1398" s="782" t="s">
        <v>71</v>
      </c>
      <c r="N1398" s="782"/>
      <c r="O1398" s="782"/>
      <c r="P1398" s="783"/>
      <c r="Q1398" s="784"/>
      <c r="R1398" s="783"/>
      <c r="S1398" s="785"/>
      <c r="T1398" s="785"/>
    </row>
    <row r="1399">
      <c r="A1399" s="777"/>
      <c r="B1399" s="778"/>
      <c r="C1399" s="779"/>
      <c r="D1399" s="780"/>
      <c r="E1399" s="781" t="s">
        <v>71</v>
      </c>
      <c r="F1399" s="778"/>
      <c r="G1399" s="778"/>
      <c r="H1399" s="778"/>
      <c r="I1399" s="778"/>
      <c r="J1399" s="778"/>
      <c r="K1399" s="778"/>
      <c r="L1399" s="782" t="s">
        <v>71</v>
      </c>
      <c r="M1399" s="782" t="s">
        <v>71</v>
      </c>
      <c r="N1399" s="782"/>
      <c r="O1399" s="782"/>
      <c r="P1399" s="783"/>
      <c r="Q1399" s="784"/>
      <c r="R1399" s="783"/>
      <c r="S1399" s="785"/>
      <c r="T1399" s="785"/>
    </row>
    <row r="1400">
      <c r="A1400" s="777"/>
      <c r="B1400" s="778"/>
      <c r="C1400" s="779"/>
      <c r="D1400" s="780"/>
      <c r="E1400" s="781" t="s">
        <v>71</v>
      </c>
      <c r="F1400" s="778"/>
      <c r="G1400" s="778"/>
      <c r="H1400" s="778"/>
      <c r="I1400" s="778"/>
      <c r="J1400" s="778"/>
      <c r="K1400" s="778"/>
      <c r="L1400" s="782" t="s">
        <v>71</v>
      </c>
      <c r="M1400" s="782" t="s">
        <v>71</v>
      </c>
      <c r="N1400" s="782"/>
      <c r="O1400" s="782"/>
      <c r="P1400" s="783"/>
      <c r="Q1400" s="784"/>
      <c r="R1400" s="783"/>
      <c r="S1400" s="785"/>
      <c r="T1400" s="785"/>
    </row>
    <row r="1401">
      <c r="A1401" s="777"/>
      <c r="B1401" s="778"/>
      <c r="C1401" s="779"/>
      <c r="D1401" s="780"/>
      <c r="E1401" s="781" t="s">
        <v>71</v>
      </c>
      <c r="F1401" s="778"/>
      <c r="G1401" s="778"/>
      <c r="H1401" s="778"/>
      <c r="I1401" s="778"/>
      <c r="J1401" s="778"/>
      <c r="K1401" s="778"/>
      <c r="L1401" s="782" t="s">
        <v>71</v>
      </c>
      <c r="M1401" s="782" t="s">
        <v>71</v>
      </c>
      <c r="N1401" s="782"/>
      <c r="O1401" s="782"/>
      <c r="P1401" s="783"/>
      <c r="Q1401" s="784"/>
      <c r="R1401" s="783"/>
      <c r="S1401" s="785"/>
      <c r="T1401" s="785"/>
    </row>
    <row r="1402">
      <c r="A1402" s="777"/>
      <c r="B1402" s="778"/>
      <c r="C1402" s="779"/>
      <c r="D1402" s="780"/>
      <c r="E1402" s="781" t="s">
        <v>71</v>
      </c>
      <c r="F1402" s="778"/>
      <c r="G1402" s="778"/>
      <c r="H1402" s="778"/>
      <c r="I1402" s="778"/>
      <c r="J1402" s="778"/>
      <c r="K1402" s="778"/>
      <c r="L1402" s="782" t="s">
        <v>71</v>
      </c>
      <c r="M1402" s="782" t="s">
        <v>71</v>
      </c>
      <c r="N1402" s="782"/>
      <c r="O1402" s="782"/>
      <c r="P1402" s="783"/>
      <c r="Q1402" s="784"/>
      <c r="R1402" s="783"/>
      <c r="S1402" s="785"/>
      <c r="T1402" s="785"/>
    </row>
    <row r="1403">
      <c r="A1403" s="777"/>
      <c r="B1403" s="778"/>
      <c r="C1403" s="779"/>
      <c r="D1403" s="780"/>
      <c r="E1403" s="781" t="s">
        <v>71</v>
      </c>
      <c r="F1403" s="778"/>
      <c r="G1403" s="778"/>
      <c r="H1403" s="778"/>
      <c r="I1403" s="778"/>
      <c r="J1403" s="778"/>
      <c r="K1403" s="778"/>
      <c r="L1403" s="782" t="s">
        <v>71</v>
      </c>
      <c r="M1403" s="782" t="s">
        <v>71</v>
      </c>
      <c r="N1403" s="782"/>
      <c r="O1403" s="782"/>
      <c r="P1403" s="783"/>
      <c r="Q1403" s="784"/>
      <c r="R1403" s="783"/>
      <c r="S1403" s="785"/>
      <c r="T1403" s="785"/>
    </row>
    <row r="1404">
      <c r="A1404" s="777"/>
      <c r="B1404" s="778"/>
      <c r="C1404" s="779"/>
      <c r="D1404" s="780"/>
      <c r="E1404" s="781" t="s">
        <v>71</v>
      </c>
      <c r="F1404" s="778"/>
      <c r="G1404" s="778"/>
      <c r="H1404" s="778"/>
      <c r="I1404" s="778"/>
      <c r="J1404" s="778"/>
      <c r="K1404" s="778"/>
      <c r="L1404" s="782" t="s">
        <v>71</v>
      </c>
      <c r="M1404" s="782" t="s">
        <v>71</v>
      </c>
      <c r="N1404" s="782"/>
      <c r="O1404" s="782"/>
      <c r="P1404" s="783"/>
      <c r="Q1404" s="784"/>
      <c r="R1404" s="783"/>
      <c r="S1404" s="785"/>
      <c r="T1404" s="785"/>
    </row>
    <row r="1405">
      <c r="A1405" s="777"/>
      <c r="B1405" s="778"/>
      <c r="C1405" s="779"/>
      <c r="D1405" s="780"/>
      <c r="E1405" s="781" t="s">
        <v>71</v>
      </c>
      <c r="F1405" s="778"/>
      <c r="G1405" s="778"/>
      <c r="H1405" s="778"/>
      <c r="I1405" s="778"/>
      <c r="J1405" s="778"/>
      <c r="K1405" s="778"/>
      <c r="L1405" s="782" t="s">
        <v>71</v>
      </c>
      <c r="M1405" s="782" t="s">
        <v>71</v>
      </c>
      <c r="N1405" s="782"/>
      <c r="O1405" s="782"/>
      <c r="P1405" s="783"/>
      <c r="Q1405" s="784"/>
      <c r="R1405" s="783"/>
      <c r="S1405" s="785"/>
      <c r="T1405" s="785"/>
    </row>
    <row r="1406">
      <c r="A1406" s="777"/>
      <c r="B1406" s="778"/>
      <c r="C1406" s="779"/>
      <c r="D1406" s="780"/>
      <c r="E1406" s="781" t="s">
        <v>71</v>
      </c>
      <c r="F1406" s="778"/>
      <c r="G1406" s="778"/>
      <c r="H1406" s="778"/>
      <c r="I1406" s="778"/>
      <c r="J1406" s="778"/>
      <c r="K1406" s="778"/>
      <c r="L1406" s="782" t="s">
        <v>71</v>
      </c>
      <c r="M1406" s="782" t="s">
        <v>71</v>
      </c>
      <c r="N1406" s="782"/>
      <c r="O1406" s="782"/>
      <c r="P1406" s="783"/>
      <c r="Q1406" s="784"/>
      <c r="R1406" s="783"/>
      <c r="S1406" s="785"/>
      <c r="T1406" s="785"/>
    </row>
    <row r="1407">
      <c r="A1407" s="777"/>
      <c r="B1407" s="778"/>
      <c r="C1407" s="779"/>
      <c r="D1407" s="780"/>
      <c r="E1407" s="781" t="s">
        <v>71</v>
      </c>
      <c r="F1407" s="778"/>
      <c r="G1407" s="778"/>
      <c r="H1407" s="778"/>
      <c r="I1407" s="778"/>
      <c r="J1407" s="778"/>
      <c r="K1407" s="778"/>
      <c r="L1407" s="782" t="s">
        <v>71</v>
      </c>
      <c r="M1407" s="782" t="s">
        <v>71</v>
      </c>
      <c r="N1407" s="782"/>
      <c r="O1407" s="782"/>
      <c r="P1407" s="783"/>
      <c r="Q1407" s="784"/>
      <c r="R1407" s="783"/>
      <c r="S1407" s="785"/>
      <c r="T1407" s="785"/>
    </row>
    <row r="1408">
      <c r="A1408" s="777"/>
      <c r="B1408" s="778"/>
      <c r="C1408" s="779"/>
      <c r="D1408" s="780"/>
      <c r="E1408" s="781" t="s">
        <v>71</v>
      </c>
      <c r="F1408" s="778"/>
      <c r="G1408" s="778"/>
      <c r="H1408" s="778"/>
      <c r="I1408" s="778"/>
      <c r="J1408" s="778"/>
      <c r="K1408" s="778"/>
      <c r="L1408" s="782" t="s">
        <v>71</v>
      </c>
      <c r="M1408" s="782" t="s">
        <v>71</v>
      </c>
      <c r="N1408" s="782"/>
      <c r="O1408" s="782"/>
      <c r="P1408" s="783"/>
      <c r="Q1408" s="784"/>
      <c r="R1408" s="783"/>
      <c r="S1408" s="785"/>
      <c r="T1408" s="785"/>
    </row>
    <row r="1409">
      <c r="A1409" s="777"/>
      <c r="B1409" s="778"/>
      <c r="C1409" s="779"/>
      <c r="D1409" s="780"/>
      <c r="E1409" s="781" t="s">
        <v>71</v>
      </c>
      <c r="F1409" s="778"/>
      <c r="G1409" s="778"/>
      <c r="H1409" s="778"/>
      <c r="I1409" s="778"/>
      <c r="J1409" s="778"/>
      <c r="K1409" s="778"/>
      <c r="L1409" s="782" t="s">
        <v>71</v>
      </c>
      <c r="M1409" s="782" t="s">
        <v>71</v>
      </c>
      <c r="N1409" s="782"/>
      <c r="O1409" s="782"/>
      <c r="P1409" s="783"/>
      <c r="Q1409" s="784"/>
      <c r="R1409" s="783"/>
      <c r="S1409" s="785"/>
      <c r="T1409" s="785"/>
    </row>
    <row r="1410">
      <c r="A1410" s="777"/>
      <c r="B1410" s="778"/>
      <c r="C1410" s="779"/>
      <c r="D1410" s="780"/>
      <c r="E1410" s="781" t="s">
        <v>71</v>
      </c>
      <c r="F1410" s="778"/>
      <c r="G1410" s="778"/>
      <c r="H1410" s="778"/>
      <c r="I1410" s="778"/>
      <c r="J1410" s="778"/>
      <c r="K1410" s="778"/>
      <c r="L1410" s="782" t="s">
        <v>71</v>
      </c>
      <c r="M1410" s="782" t="s">
        <v>71</v>
      </c>
      <c r="N1410" s="782"/>
      <c r="O1410" s="782"/>
      <c r="P1410" s="783"/>
      <c r="Q1410" s="784"/>
      <c r="R1410" s="783"/>
      <c r="S1410" s="785"/>
      <c r="T1410" s="785"/>
    </row>
    <row r="1411">
      <c r="A1411" s="777"/>
      <c r="B1411" s="778"/>
      <c r="C1411" s="779"/>
      <c r="D1411" s="780"/>
      <c r="E1411" s="781" t="s">
        <v>71</v>
      </c>
      <c r="F1411" s="778"/>
      <c r="G1411" s="778"/>
      <c r="H1411" s="778"/>
      <c r="I1411" s="778"/>
      <c r="J1411" s="778"/>
      <c r="K1411" s="778"/>
      <c r="L1411" s="782" t="s">
        <v>71</v>
      </c>
      <c r="M1411" s="782" t="s">
        <v>71</v>
      </c>
      <c r="N1411" s="782"/>
      <c r="O1411" s="782"/>
      <c r="P1411" s="783"/>
      <c r="Q1411" s="784"/>
      <c r="R1411" s="783"/>
      <c r="S1411" s="785"/>
      <c r="T1411" s="785"/>
    </row>
    <row r="1412">
      <c r="A1412" s="777"/>
      <c r="B1412" s="778"/>
      <c r="C1412" s="779"/>
      <c r="D1412" s="780"/>
      <c r="E1412" s="781" t="s">
        <v>71</v>
      </c>
      <c r="F1412" s="778"/>
      <c r="G1412" s="778"/>
      <c r="H1412" s="778"/>
      <c r="I1412" s="778"/>
      <c r="J1412" s="778"/>
      <c r="K1412" s="778"/>
      <c r="L1412" s="782" t="s">
        <v>71</v>
      </c>
      <c r="M1412" s="782" t="s">
        <v>71</v>
      </c>
      <c r="N1412" s="782"/>
      <c r="O1412" s="782"/>
      <c r="P1412" s="783"/>
      <c r="Q1412" s="784"/>
      <c r="R1412" s="783"/>
      <c r="S1412" s="785"/>
      <c r="T1412" s="785"/>
    </row>
    <row r="1413">
      <c r="A1413" s="777"/>
      <c r="B1413" s="778"/>
      <c r="C1413" s="779"/>
      <c r="D1413" s="780"/>
      <c r="E1413" s="781" t="s">
        <v>71</v>
      </c>
      <c r="F1413" s="778"/>
      <c r="G1413" s="778"/>
      <c r="H1413" s="778"/>
      <c r="I1413" s="778"/>
      <c r="J1413" s="778"/>
      <c r="K1413" s="778"/>
      <c r="L1413" s="782" t="s">
        <v>71</v>
      </c>
      <c r="M1413" s="782" t="s">
        <v>71</v>
      </c>
      <c r="N1413" s="782"/>
      <c r="O1413" s="782"/>
      <c r="P1413" s="783"/>
      <c r="Q1413" s="784"/>
      <c r="R1413" s="783"/>
      <c r="S1413" s="785"/>
      <c r="T1413" s="785"/>
    </row>
    <row r="1414">
      <c r="A1414" s="777"/>
      <c r="B1414" s="778"/>
      <c r="C1414" s="779"/>
      <c r="D1414" s="780"/>
      <c r="E1414" s="781" t="s">
        <v>71</v>
      </c>
      <c r="F1414" s="778"/>
      <c r="G1414" s="778"/>
      <c r="H1414" s="778"/>
      <c r="I1414" s="778"/>
      <c r="J1414" s="778"/>
      <c r="K1414" s="778"/>
      <c r="L1414" s="782" t="s">
        <v>71</v>
      </c>
      <c r="M1414" s="782" t="s">
        <v>71</v>
      </c>
      <c r="N1414" s="782"/>
      <c r="O1414" s="782"/>
      <c r="P1414" s="783"/>
      <c r="Q1414" s="784"/>
      <c r="R1414" s="783"/>
      <c r="S1414" s="785"/>
      <c r="T1414" s="785"/>
    </row>
    <row r="1415">
      <c r="A1415" s="777"/>
      <c r="B1415" s="778"/>
      <c r="C1415" s="779"/>
      <c r="D1415" s="780"/>
      <c r="E1415" s="781" t="s">
        <v>71</v>
      </c>
      <c r="F1415" s="778"/>
      <c r="G1415" s="778"/>
      <c r="H1415" s="778"/>
      <c r="I1415" s="778"/>
      <c r="J1415" s="778"/>
      <c r="K1415" s="778"/>
      <c r="L1415" s="782" t="s">
        <v>71</v>
      </c>
      <c r="M1415" s="782" t="s">
        <v>71</v>
      </c>
      <c r="N1415" s="782"/>
      <c r="O1415" s="782"/>
      <c r="P1415" s="783"/>
      <c r="Q1415" s="784"/>
      <c r="R1415" s="783"/>
      <c r="S1415" s="785"/>
      <c r="T1415" s="785"/>
    </row>
    <row r="1416">
      <c r="A1416" s="777"/>
      <c r="B1416" s="778"/>
      <c r="C1416" s="779"/>
      <c r="D1416" s="780"/>
      <c r="E1416" s="781" t="s">
        <v>71</v>
      </c>
      <c r="F1416" s="778"/>
      <c r="G1416" s="778"/>
      <c r="H1416" s="778"/>
      <c r="I1416" s="778"/>
      <c r="J1416" s="778"/>
      <c r="K1416" s="778"/>
      <c r="L1416" s="782" t="s">
        <v>71</v>
      </c>
      <c r="M1416" s="782" t="s">
        <v>71</v>
      </c>
      <c r="N1416" s="782"/>
      <c r="O1416" s="782"/>
      <c r="P1416" s="783"/>
      <c r="Q1416" s="784"/>
      <c r="R1416" s="783"/>
      <c r="S1416" s="785"/>
      <c r="T1416" s="785"/>
    </row>
    <row r="1417">
      <c r="A1417" s="777"/>
      <c r="B1417" s="778"/>
      <c r="C1417" s="779"/>
      <c r="D1417" s="780"/>
      <c r="E1417" s="781" t="s">
        <v>71</v>
      </c>
      <c r="F1417" s="778"/>
      <c r="G1417" s="778"/>
      <c r="H1417" s="778"/>
      <c r="I1417" s="778"/>
      <c r="J1417" s="778"/>
      <c r="K1417" s="778"/>
      <c r="L1417" s="782" t="s">
        <v>71</v>
      </c>
      <c r="M1417" s="782" t="s">
        <v>71</v>
      </c>
      <c r="N1417" s="782"/>
      <c r="O1417" s="782"/>
      <c r="P1417" s="783"/>
      <c r="Q1417" s="784"/>
      <c r="R1417" s="783"/>
      <c r="S1417" s="785"/>
      <c r="T1417" s="785"/>
    </row>
    <row r="1418">
      <c r="A1418" s="777"/>
      <c r="B1418" s="778"/>
      <c r="C1418" s="779"/>
      <c r="D1418" s="780"/>
      <c r="E1418" s="781" t="s">
        <v>71</v>
      </c>
      <c r="F1418" s="778"/>
      <c r="G1418" s="778"/>
      <c r="H1418" s="778"/>
      <c r="I1418" s="778"/>
      <c r="J1418" s="778"/>
      <c r="K1418" s="778"/>
      <c r="L1418" s="782" t="s">
        <v>71</v>
      </c>
      <c r="M1418" s="782" t="s">
        <v>71</v>
      </c>
      <c r="N1418" s="782"/>
      <c r="O1418" s="782"/>
      <c r="P1418" s="783"/>
      <c r="Q1418" s="784"/>
      <c r="R1418" s="783"/>
      <c r="S1418" s="785"/>
      <c r="T1418" s="785"/>
    </row>
    <row r="1419">
      <c r="A1419" s="777"/>
      <c r="B1419" s="778"/>
      <c r="C1419" s="779"/>
      <c r="D1419" s="780"/>
      <c r="E1419" s="781" t="s">
        <v>71</v>
      </c>
      <c r="F1419" s="778"/>
      <c r="G1419" s="778"/>
      <c r="H1419" s="778"/>
      <c r="I1419" s="778"/>
      <c r="J1419" s="778"/>
      <c r="K1419" s="778"/>
      <c r="L1419" s="782" t="s">
        <v>71</v>
      </c>
      <c r="M1419" s="782" t="s">
        <v>71</v>
      </c>
      <c r="N1419" s="782"/>
      <c r="O1419" s="782"/>
      <c r="P1419" s="783"/>
      <c r="Q1419" s="784"/>
      <c r="R1419" s="783"/>
      <c r="S1419" s="785"/>
      <c r="T1419" s="785"/>
    </row>
    <row r="1420">
      <c r="A1420" s="777"/>
      <c r="B1420" s="778"/>
      <c r="C1420" s="779"/>
      <c r="D1420" s="780"/>
      <c r="E1420" s="781" t="s">
        <v>71</v>
      </c>
      <c r="F1420" s="778"/>
      <c r="G1420" s="778"/>
      <c r="H1420" s="778"/>
      <c r="I1420" s="778"/>
      <c r="J1420" s="778"/>
      <c r="K1420" s="778"/>
      <c r="L1420" s="782" t="s">
        <v>71</v>
      </c>
      <c r="M1420" s="782" t="s">
        <v>71</v>
      </c>
      <c r="N1420" s="782"/>
      <c r="O1420" s="782"/>
      <c r="P1420" s="783"/>
      <c r="Q1420" s="784"/>
      <c r="R1420" s="783"/>
      <c r="S1420" s="785"/>
      <c r="T1420" s="785"/>
    </row>
    <row r="1421">
      <c r="A1421" s="777"/>
      <c r="B1421" s="778"/>
      <c r="C1421" s="779"/>
      <c r="D1421" s="780"/>
      <c r="E1421" s="781" t="s">
        <v>71</v>
      </c>
      <c r="F1421" s="778"/>
      <c r="G1421" s="778"/>
      <c r="H1421" s="778"/>
      <c r="I1421" s="778"/>
      <c r="J1421" s="778"/>
      <c r="K1421" s="778"/>
      <c r="L1421" s="782" t="s">
        <v>71</v>
      </c>
      <c r="M1421" s="782" t="s">
        <v>71</v>
      </c>
      <c r="N1421" s="782"/>
      <c r="O1421" s="782"/>
      <c r="P1421" s="783"/>
      <c r="Q1421" s="784"/>
      <c r="R1421" s="783"/>
      <c r="S1421" s="785"/>
      <c r="T1421" s="785"/>
    </row>
    <row r="1422">
      <c r="A1422" s="777"/>
      <c r="B1422" s="778"/>
      <c r="C1422" s="779"/>
      <c r="D1422" s="780"/>
      <c r="E1422" s="781" t="s">
        <v>71</v>
      </c>
      <c r="F1422" s="778"/>
      <c r="G1422" s="778"/>
      <c r="H1422" s="778"/>
      <c r="I1422" s="778"/>
      <c r="J1422" s="778"/>
      <c r="K1422" s="778"/>
      <c r="L1422" s="782" t="s">
        <v>71</v>
      </c>
      <c r="M1422" s="782" t="s">
        <v>71</v>
      </c>
      <c r="N1422" s="782"/>
      <c r="O1422" s="782"/>
      <c r="P1422" s="783"/>
      <c r="Q1422" s="784"/>
      <c r="R1422" s="783"/>
      <c r="S1422" s="785"/>
      <c r="T1422" s="785"/>
    </row>
    <row r="1423">
      <c r="A1423" s="777"/>
      <c r="B1423" s="778"/>
      <c r="C1423" s="779"/>
      <c r="D1423" s="780"/>
      <c r="E1423" s="781" t="s">
        <v>71</v>
      </c>
      <c r="F1423" s="778"/>
      <c r="G1423" s="778"/>
      <c r="H1423" s="778"/>
      <c r="I1423" s="778"/>
      <c r="J1423" s="778"/>
      <c r="K1423" s="778"/>
      <c r="L1423" s="782" t="s">
        <v>71</v>
      </c>
      <c r="M1423" s="782" t="s">
        <v>71</v>
      </c>
      <c r="N1423" s="782"/>
      <c r="O1423" s="782"/>
      <c r="P1423" s="783"/>
      <c r="Q1423" s="784"/>
      <c r="R1423" s="783"/>
      <c r="S1423" s="785"/>
      <c r="T1423" s="785"/>
    </row>
    <row r="1424">
      <c r="A1424" s="777"/>
      <c r="B1424" s="778"/>
      <c r="C1424" s="779"/>
      <c r="D1424" s="780"/>
      <c r="E1424" s="781" t="s">
        <v>71</v>
      </c>
      <c r="F1424" s="778"/>
      <c r="G1424" s="778"/>
      <c r="H1424" s="778"/>
      <c r="I1424" s="778"/>
      <c r="J1424" s="778"/>
      <c r="K1424" s="778"/>
      <c r="L1424" s="782" t="s">
        <v>71</v>
      </c>
      <c r="M1424" s="782" t="s">
        <v>71</v>
      </c>
      <c r="N1424" s="782"/>
      <c r="O1424" s="782"/>
      <c r="P1424" s="783"/>
      <c r="Q1424" s="784"/>
      <c r="R1424" s="783"/>
      <c r="S1424" s="785"/>
      <c r="T1424" s="785"/>
    </row>
    <row r="1425">
      <c r="A1425" s="777"/>
      <c r="B1425" s="778"/>
      <c r="C1425" s="779"/>
      <c r="D1425" s="780"/>
      <c r="E1425" s="781" t="s">
        <v>71</v>
      </c>
      <c r="F1425" s="778"/>
      <c r="G1425" s="778"/>
      <c r="H1425" s="778"/>
      <c r="I1425" s="778"/>
      <c r="J1425" s="778"/>
      <c r="K1425" s="778"/>
      <c r="L1425" s="782" t="s">
        <v>71</v>
      </c>
      <c r="M1425" s="782" t="s">
        <v>71</v>
      </c>
      <c r="N1425" s="782"/>
      <c r="O1425" s="782"/>
      <c r="P1425" s="783"/>
      <c r="Q1425" s="784"/>
      <c r="R1425" s="783"/>
      <c r="S1425" s="785"/>
      <c r="T1425" s="785"/>
    </row>
    <row r="1426">
      <c r="A1426" s="777"/>
      <c r="B1426" s="778"/>
      <c r="C1426" s="779"/>
      <c r="D1426" s="780"/>
      <c r="E1426" s="781" t="s">
        <v>71</v>
      </c>
      <c r="F1426" s="778"/>
      <c r="G1426" s="778"/>
      <c r="H1426" s="778"/>
      <c r="I1426" s="778"/>
      <c r="J1426" s="778"/>
      <c r="K1426" s="778"/>
      <c r="L1426" s="782" t="s">
        <v>71</v>
      </c>
      <c r="M1426" s="782" t="s">
        <v>71</v>
      </c>
      <c r="N1426" s="782"/>
      <c r="O1426" s="782"/>
      <c r="P1426" s="783"/>
      <c r="Q1426" s="784"/>
      <c r="R1426" s="783"/>
      <c r="S1426" s="785"/>
      <c r="T1426" s="785"/>
    </row>
    <row r="1427">
      <c r="A1427" s="777"/>
      <c r="B1427" s="778"/>
      <c r="C1427" s="779"/>
      <c r="D1427" s="780"/>
      <c r="E1427" s="781" t="s">
        <v>71</v>
      </c>
      <c r="F1427" s="778"/>
      <c r="G1427" s="778"/>
      <c r="H1427" s="778"/>
      <c r="I1427" s="778"/>
      <c r="J1427" s="778"/>
      <c r="K1427" s="778"/>
      <c r="L1427" s="782" t="s">
        <v>71</v>
      </c>
      <c r="M1427" s="782" t="s">
        <v>71</v>
      </c>
      <c r="N1427" s="782"/>
      <c r="O1427" s="782"/>
      <c r="P1427" s="783"/>
      <c r="Q1427" s="784"/>
      <c r="R1427" s="783"/>
      <c r="S1427" s="785"/>
      <c r="T1427" s="785"/>
    </row>
    <row r="1428">
      <c r="A1428" s="777"/>
      <c r="B1428" s="778"/>
      <c r="C1428" s="779"/>
      <c r="D1428" s="780"/>
      <c r="E1428" s="781" t="s">
        <v>71</v>
      </c>
      <c r="F1428" s="778"/>
      <c r="G1428" s="778"/>
      <c r="H1428" s="778"/>
      <c r="I1428" s="778"/>
      <c r="J1428" s="778"/>
      <c r="K1428" s="778"/>
      <c r="L1428" s="782" t="s">
        <v>71</v>
      </c>
      <c r="M1428" s="782" t="s">
        <v>71</v>
      </c>
      <c r="N1428" s="782"/>
      <c r="O1428" s="782"/>
      <c r="P1428" s="783"/>
      <c r="Q1428" s="784"/>
      <c r="R1428" s="783"/>
      <c r="S1428" s="785"/>
      <c r="T1428" s="785"/>
    </row>
    <row r="1429">
      <c r="A1429" s="777"/>
      <c r="B1429" s="778"/>
      <c r="C1429" s="779"/>
      <c r="D1429" s="780"/>
      <c r="E1429" s="781" t="s">
        <v>71</v>
      </c>
      <c r="F1429" s="778"/>
      <c r="G1429" s="778"/>
      <c r="H1429" s="778"/>
      <c r="I1429" s="778"/>
      <c r="J1429" s="778"/>
      <c r="K1429" s="778"/>
      <c r="L1429" s="782" t="s">
        <v>71</v>
      </c>
      <c r="M1429" s="782" t="s">
        <v>71</v>
      </c>
      <c r="N1429" s="782"/>
      <c r="O1429" s="782"/>
      <c r="P1429" s="783"/>
      <c r="Q1429" s="784"/>
      <c r="R1429" s="783"/>
      <c r="S1429" s="785"/>
      <c r="T1429" s="785"/>
    </row>
    <row r="1430">
      <c r="A1430" s="777"/>
      <c r="B1430" s="778"/>
      <c r="C1430" s="779"/>
      <c r="D1430" s="780"/>
      <c r="E1430" s="781" t="s">
        <v>71</v>
      </c>
      <c r="F1430" s="778"/>
      <c r="G1430" s="778"/>
      <c r="H1430" s="778"/>
      <c r="I1430" s="778"/>
      <c r="J1430" s="778"/>
      <c r="K1430" s="778"/>
      <c r="L1430" s="782" t="s">
        <v>71</v>
      </c>
      <c r="M1430" s="782" t="s">
        <v>71</v>
      </c>
      <c r="N1430" s="782"/>
      <c r="O1430" s="782"/>
      <c r="P1430" s="783"/>
      <c r="Q1430" s="784"/>
      <c r="R1430" s="783"/>
      <c r="S1430" s="785"/>
      <c r="T1430" s="785"/>
    </row>
    <row r="1431">
      <c r="A1431" s="777"/>
      <c r="B1431" s="778"/>
      <c r="C1431" s="779"/>
      <c r="D1431" s="780"/>
      <c r="E1431" s="781" t="s">
        <v>71</v>
      </c>
      <c r="F1431" s="778"/>
      <c r="G1431" s="778"/>
      <c r="H1431" s="778"/>
      <c r="I1431" s="778"/>
      <c r="J1431" s="778"/>
      <c r="K1431" s="778"/>
      <c r="L1431" s="782" t="s">
        <v>71</v>
      </c>
      <c r="M1431" s="782" t="s">
        <v>71</v>
      </c>
      <c r="N1431" s="782"/>
      <c r="O1431" s="782"/>
      <c r="P1431" s="783"/>
      <c r="Q1431" s="784"/>
      <c r="R1431" s="783"/>
      <c r="S1431" s="785"/>
      <c r="T1431" s="785"/>
    </row>
    <row r="1432">
      <c r="A1432" s="777"/>
      <c r="B1432" s="778"/>
      <c r="C1432" s="779"/>
      <c r="D1432" s="780"/>
      <c r="E1432" s="781" t="s">
        <v>71</v>
      </c>
      <c r="F1432" s="778"/>
      <c r="G1432" s="778"/>
      <c r="H1432" s="778"/>
      <c r="I1432" s="778"/>
      <c r="J1432" s="778"/>
      <c r="K1432" s="778"/>
      <c r="L1432" s="782" t="s">
        <v>71</v>
      </c>
      <c r="M1432" s="782" t="s">
        <v>71</v>
      </c>
      <c r="N1432" s="782"/>
      <c r="O1432" s="782"/>
      <c r="P1432" s="783"/>
      <c r="Q1432" s="784"/>
      <c r="R1432" s="783"/>
      <c r="S1432" s="785"/>
      <c r="T1432" s="785"/>
    </row>
    <row r="1433">
      <c r="A1433" s="777"/>
      <c r="B1433" s="778"/>
      <c r="C1433" s="779"/>
      <c r="D1433" s="780"/>
      <c r="E1433" s="781" t="s">
        <v>71</v>
      </c>
      <c r="F1433" s="778"/>
      <c r="G1433" s="778"/>
      <c r="H1433" s="778"/>
      <c r="I1433" s="778"/>
      <c r="J1433" s="778"/>
      <c r="K1433" s="778"/>
      <c r="L1433" s="782" t="s">
        <v>71</v>
      </c>
      <c r="M1433" s="782" t="s">
        <v>71</v>
      </c>
      <c r="N1433" s="782"/>
      <c r="O1433" s="782"/>
      <c r="P1433" s="783"/>
      <c r="Q1433" s="784"/>
      <c r="R1433" s="783"/>
      <c r="S1433" s="785"/>
      <c r="T1433" s="785"/>
    </row>
    <row r="1434">
      <c r="A1434" s="777"/>
      <c r="B1434" s="778"/>
      <c r="C1434" s="779"/>
      <c r="D1434" s="780"/>
      <c r="E1434" s="781" t="s">
        <v>71</v>
      </c>
      <c r="F1434" s="778"/>
      <c r="G1434" s="778"/>
      <c r="H1434" s="778"/>
      <c r="I1434" s="778"/>
      <c r="J1434" s="778"/>
      <c r="K1434" s="778"/>
      <c r="L1434" s="782" t="s">
        <v>71</v>
      </c>
      <c r="M1434" s="782" t="s">
        <v>71</v>
      </c>
      <c r="N1434" s="782"/>
      <c r="O1434" s="782"/>
      <c r="P1434" s="783"/>
      <c r="Q1434" s="784"/>
      <c r="R1434" s="783"/>
      <c r="S1434" s="785"/>
      <c r="T1434" s="785"/>
    </row>
    <row r="1435">
      <c r="A1435" s="777"/>
      <c r="B1435" s="778"/>
      <c r="C1435" s="779"/>
      <c r="D1435" s="780"/>
      <c r="E1435" s="781" t="s">
        <v>71</v>
      </c>
      <c r="F1435" s="778"/>
      <c r="G1435" s="778"/>
      <c r="H1435" s="778"/>
      <c r="I1435" s="778"/>
      <c r="J1435" s="778"/>
      <c r="K1435" s="778"/>
      <c r="L1435" s="782" t="s">
        <v>71</v>
      </c>
      <c r="M1435" s="782" t="s">
        <v>71</v>
      </c>
      <c r="N1435" s="782"/>
      <c r="O1435" s="782"/>
      <c r="P1435" s="783"/>
      <c r="Q1435" s="784"/>
      <c r="R1435" s="783"/>
      <c r="S1435" s="785"/>
      <c r="T1435" s="785"/>
    </row>
    <row r="1436">
      <c r="A1436" s="777"/>
      <c r="B1436" s="778"/>
      <c r="C1436" s="779"/>
      <c r="D1436" s="780"/>
      <c r="E1436" s="781" t="s">
        <v>71</v>
      </c>
      <c r="F1436" s="778"/>
      <c r="G1436" s="778"/>
      <c r="H1436" s="778"/>
      <c r="I1436" s="778"/>
      <c r="J1436" s="778"/>
      <c r="K1436" s="778"/>
      <c r="L1436" s="782" t="s">
        <v>71</v>
      </c>
      <c r="M1436" s="782" t="s">
        <v>71</v>
      </c>
      <c r="N1436" s="782"/>
      <c r="O1436" s="782"/>
      <c r="P1436" s="783"/>
      <c r="Q1436" s="784"/>
      <c r="R1436" s="783"/>
      <c r="S1436" s="785"/>
      <c r="T1436" s="785"/>
    </row>
    <row r="1437">
      <c r="A1437" s="777"/>
      <c r="B1437" s="778"/>
      <c r="C1437" s="779"/>
      <c r="D1437" s="780"/>
      <c r="E1437" s="781" t="s">
        <v>71</v>
      </c>
      <c r="F1437" s="778"/>
      <c r="G1437" s="778"/>
      <c r="H1437" s="778"/>
      <c r="I1437" s="778"/>
      <c r="J1437" s="778"/>
      <c r="K1437" s="778"/>
      <c r="L1437" s="782" t="s">
        <v>71</v>
      </c>
      <c r="M1437" s="782" t="s">
        <v>71</v>
      </c>
      <c r="N1437" s="782"/>
      <c r="O1437" s="782"/>
      <c r="P1437" s="783"/>
      <c r="Q1437" s="784"/>
      <c r="R1437" s="783"/>
      <c r="S1437" s="785"/>
      <c r="T1437" s="785"/>
    </row>
    <row r="1438">
      <c r="A1438" s="777"/>
      <c r="B1438" s="778"/>
      <c r="C1438" s="779"/>
      <c r="D1438" s="780"/>
      <c r="E1438" s="781" t="s">
        <v>71</v>
      </c>
      <c r="F1438" s="778"/>
      <c r="G1438" s="778"/>
      <c r="H1438" s="778"/>
      <c r="I1438" s="778"/>
      <c r="J1438" s="778"/>
      <c r="K1438" s="778"/>
      <c r="L1438" s="782" t="s">
        <v>71</v>
      </c>
      <c r="M1438" s="782" t="s">
        <v>71</v>
      </c>
      <c r="N1438" s="782"/>
      <c r="O1438" s="782"/>
      <c r="P1438" s="783"/>
      <c r="Q1438" s="784"/>
      <c r="R1438" s="783"/>
      <c r="S1438" s="785"/>
      <c r="T1438" s="785"/>
    </row>
    <row r="1439">
      <c r="A1439" s="777"/>
      <c r="B1439" s="778"/>
      <c r="C1439" s="779"/>
      <c r="D1439" s="780"/>
      <c r="E1439" s="781" t="s">
        <v>71</v>
      </c>
      <c r="F1439" s="778"/>
      <c r="G1439" s="778"/>
      <c r="H1439" s="778"/>
      <c r="I1439" s="778"/>
      <c r="J1439" s="778"/>
      <c r="K1439" s="778"/>
      <c r="L1439" s="782" t="s">
        <v>71</v>
      </c>
      <c r="M1439" s="782" t="s">
        <v>71</v>
      </c>
      <c r="N1439" s="782"/>
      <c r="O1439" s="782"/>
      <c r="P1439" s="783"/>
      <c r="Q1439" s="784"/>
      <c r="R1439" s="783"/>
      <c r="S1439" s="785"/>
      <c r="T1439" s="785"/>
    </row>
    <row r="1440">
      <c r="A1440" s="777"/>
      <c r="B1440" s="778"/>
      <c r="C1440" s="779"/>
      <c r="D1440" s="780"/>
      <c r="E1440" s="781" t="s">
        <v>71</v>
      </c>
      <c r="F1440" s="778"/>
      <c r="G1440" s="778"/>
      <c r="H1440" s="778"/>
      <c r="I1440" s="778"/>
      <c r="J1440" s="778"/>
      <c r="K1440" s="778"/>
      <c r="L1440" s="782" t="s">
        <v>71</v>
      </c>
      <c r="M1440" s="782" t="s">
        <v>71</v>
      </c>
      <c r="N1440" s="782"/>
      <c r="O1440" s="782"/>
      <c r="P1440" s="783"/>
      <c r="Q1440" s="784"/>
      <c r="R1440" s="783"/>
      <c r="S1440" s="785"/>
      <c r="T1440" s="785"/>
    </row>
    <row r="1441">
      <c r="A1441" s="777"/>
      <c r="B1441" s="778"/>
      <c r="C1441" s="779"/>
      <c r="D1441" s="780"/>
      <c r="E1441" s="781" t="s">
        <v>71</v>
      </c>
      <c r="F1441" s="778"/>
      <c r="G1441" s="778"/>
      <c r="H1441" s="778"/>
      <c r="I1441" s="778"/>
      <c r="J1441" s="778"/>
      <c r="K1441" s="778"/>
      <c r="L1441" s="782" t="s">
        <v>71</v>
      </c>
      <c r="M1441" s="782" t="s">
        <v>71</v>
      </c>
      <c r="N1441" s="782"/>
      <c r="O1441" s="782"/>
      <c r="P1441" s="783"/>
      <c r="Q1441" s="784"/>
      <c r="R1441" s="783"/>
      <c r="S1441" s="785"/>
      <c r="T1441" s="785"/>
    </row>
    <row r="1442">
      <c r="A1442" s="777"/>
      <c r="B1442" s="778"/>
      <c r="C1442" s="779"/>
      <c r="D1442" s="780"/>
      <c r="E1442" s="781" t="s">
        <v>71</v>
      </c>
      <c r="F1442" s="778"/>
      <c r="G1442" s="778"/>
      <c r="H1442" s="778"/>
      <c r="I1442" s="778"/>
      <c r="J1442" s="778"/>
      <c r="K1442" s="778"/>
      <c r="L1442" s="782" t="s">
        <v>71</v>
      </c>
      <c r="M1442" s="782" t="s">
        <v>71</v>
      </c>
      <c r="N1442" s="782"/>
      <c r="O1442" s="782"/>
      <c r="P1442" s="783"/>
      <c r="Q1442" s="784"/>
      <c r="R1442" s="783"/>
      <c r="S1442" s="785"/>
      <c r="T1442" s="785"/>
    </row>
    <row r="1443">
      <c r="A1443" s="777"/>
      <c r="B1443" s="778"/>
      <c r="C1443" s="779"/>
      <c r="D1443" s="780"/>
      <c r="E1443" s="781" t="s">
        <v>71</v>
      </c>
      <c r="F1443" s="778"/>
      <c r="G1443" s="778"/>
      <c r="H1443" s="778"/>
      <c r="I1443" s="778"/>
      <c r="J1443" s="778"/>
      <c r="K1443" s="778"/>
      <c r="L1443" s="782" t="s">
        <v>71</v>
      </c>
      <c r="M1443" s="782" t="s">
        <v>71</v>
      </c>
      <c r="N1443" s="782"/>
      <c r="O1443" s="782"/>
      <c r="P1443" s="783"/>
      <c r="Q1443" s="784"/>
      <c r="R1443" s="783"/>
      <c r="S1443" s="785"/>
      <c r="T1443" s="785"/>
    </row>
    <row r="1444">
      <c r="A1444" s="777"/>
      <c r="B1444" s="778"/>
      <c r="C1444" s="779"/>
      <c r="D1444" s="780"/>
      <c r="E1444" s="781" t="s">
        <v>71</v>
      </c>
      <c r="F1444" s="778"/>
      <c r="G1444" s="778"/>
      <c r="H1444" s="778"/>
      <c r="I1444" s="778"/>
      <c r="J1444" s="778"/>
      <c r="K1444" s="778"/>
      <c r="L1444" s="782" t="s">
        <v>71</v>
      </c>
      <c r="M1444" s="782" t="s">
        <v>71</v>
      </c>
      <c r="N1444" s="782"/>
      <c r="O1444" s="782"/>
      <c r="P1444" s="783"/>
      <c r="Q1444" s="784"/>
      <c r="R1444" s="783"/>
      <c r="S1444" s="785"/>
      <c r="T1444" s="785"/>
    </row>
    <row r="1445">
      <c r="A1445" s="777"/>
      <c r="B1445" s="778"/>
      <c r="C1445" s="779"/>
      <c r="D1445" s="780"/>
      <c r="E1445" s="781" t="s">
        <v>71</v>
      </c>
      <c r="F1445" s="778"/>
      <c r="G1445" s="778"/>
      <c r="H1445" s="778"/>
      <c r="I1445" s="778"/>
      <c r="J1445" s="778"/>
      <c r="K1445" s="778"/>
      <c r="L1445" s="782" t="s">
        <v>71</v>
      </c>
      <c r="M1445" s="782" t="s">
        <v>71</v>
      </c>
      <c r="N1445" s="782"/>
      <c r="O1445" s="782"/>
      <c r="P1445" s="783"/>
      <c r="Q1445" s="784"/>
      <c r="R1445" s="783"/>
      <c r="S1445" s="785"/>
      <c r="T1445" s="785"/>
    </row>
    <row r="1446">
      <c r="A1446" s="777"/>
      <c r="B1446" s="778"/>
      <c r="C1446" s="779"/>
      <c r="D1446" s="780"/>
      <c r="E1446" s="781" t="s">
        <v>71</v>
      </c>
      <c r="F1446" s="778"/>
      <c r="G1446" s="778"/>
      <c r="H1446" s="778"/>
      <c r="I1446" s="778"/>
      <c r="J1446" s="778"/>
      <c r="K1446" s="778"/>
      <c r="L1446" s="782" t="s">
        <v>71</v>
      </c>
      <c r="M1446" s="782" t="s">
        <v>71</v>
      </c>
      <c r="N1446" s="782"/>
      <c r="O1446" s="782"/>
      <c r="P1446" s="783"/>
      <c r="Q1446" s="784"/>
      <c r="R1446" s="783"/>
      <c r="S1446" s="785"/>
      <c r="T1446" s="785"/>
    </row>
    <row r="1447">
      <c r="A1447" s="777"/>
      <c r="B1447" s="778"/>
      <c r="C1447" s="779"/>
      <c r="D1447" s="780"/>
      <c r="E1447" s="781" t="s">
        <v>71</v>
      </c>
      <c r="F1447" s="778"/>
      <c r="G1447" s="778"/>
      <c r="H1447" s="778"/>
      <c r="I1447" s="778"/>
      <c r="J1447" s="778"/>
      <c r="K1447" s="778"/>
      <c r="L1447" s="782" t="s">
        <v>71</v>
      </c>
      <c r="M1447" s="782" t="s">
        <v>71</v>
      </c>
      <c r="N1447" s="782"/>
      <c r="O1447" s="782"/>
      <c r="P1447" s="783"/>
      <c r="Q1447" s="784"/>
      <c r="R1447" s="783"/>
      <c r="S1447" s="785"/>
      <c r="T1447" s="785"/>
    </row>
    <row r="1448">
      <c r="A1448" s="777"/>
      <c r="B1448" s="778"/>
      <c r="C1448" s="779"/>
      <c r="D1448" s="780"/>
      <c r="E1448" s="781" t="s">
        <v>71</v>
      </c>
      <c r="F1448" s="778"/>
      <c r="G1448" s="778"/>
      <c r="H1448" s="778"/>
      <c r="I1448" s="778"/>
      <c r="J1448" s="778"/>
      <c r="K1448" s="778"/>
      <c r="L1448" s="782" t="s">
        <v>71</v>
      </c>
      <c r="M1448" s="782" t="s">
        <v>71</v>
      </c>
      <c r="N1448" s="782"/>
      <c r="O1448" s="782"/>
      <c r="P1448" s="783"/>
      <c r="Q1448" s="784"/>
      <c r="R1448" s="783"/>
      <c r="S1448" s="785"/>
      <c r="T1448" s="785"/>
    </row>
    <row r="1449">
      <c r="A1449" s="777"/>
      <c r="B1449" s="778"/>
      <c r="C1449" s="779"/>
      <c r="D1449" s="780"/>
      <c r="E1449" s="781" t="s">
        <v>71</v>
      </c>
      <c r="F1449" s="778"/>
      <c r="G1449" s="778"/>
      <c r="H1449" s="778"/>
      <c r="I1449" s="778"/>
      <c r="J1449" s="778"/>
      <c r="K1449" s="778"/>
      <c r="L1449" s="782" t="s">
        <v>71</v>
      </c>
      <c r="M1449" s="782" t="s">
        <v>71</v>
      </c>
      <c r="N1449" s="782"/>
      <c r="O1449" s="782"/>
      <c r="P1449" s="783"/>
      <c r="Q1449" s="784"/>
      <c r="R1449" s="783"/>
      <c r="S1449" s="785"/>
      <c r="T1449" s="785"/>
    </row>
    <row r="1450">
      <c r="A1450" s="777"/>
      <c r="B1450" s="778"/>
      <c r="C1450" s="779"/>
      <c r="D1450" s="780"/>
      <c r="E1450" s="781" t="s">
        <v>71</v>
      </c>
      <c r="F1450" s="778"/>
      <c r="G1450" s="778"/>
      <c r="H1450" s="778"/>
      <c r="I1450" s="778"/>
      <c r="J1450" s="778"/>
      <c r="K1450" s="778"/>
      <c r="L1450" s="782" t="s">
        <v>71</v>
      </c>
      <c r="M1450" s="782" t="s">
        <v>71</v>
      </c>
      <c r="N1450" s="782"/>
      <c r="O1450" s="782"/>
      <c r="P1450" s="783"/>
      <c r="Q1450" s="784"/>
      <c r="R1450" s="783"/>
      <c r="S1450" s="785"/>
      <c r="T1450" s="785"/>
    </row>
    <row r="1451">
      <c r="A1451" s="777"/>
      <c r="B1451" s="778"/>
      <c r="C1451" s="779"/>
      <c r="D1451" s="780"/>
      <c r="E1451" s="781" t="s">
        <v>71</v>
      </c>
      <c r="F1451" s="778"/>
      <c r="G1451" s="778"/>
      <c r="H1451" s="778"/>
      <c r="I1451" s="778"/>
      <c r="J1451" s="778"/>
      <c r="K1451" s="778"/>
      <c r="L1451" s="782" t="s">
        <v>71</v>
      </c>
      <c r="M1451" s="782" t="s">
        <v>71</v>
      </c>
      <c r="N1451" s="782"/>
      <c r="O1451" s="782"/>
      <c r="P1451" s="783"/>
      <c r="Q1451" s="784"/>
      <c r="R1451" s="783"/>
      <c r="S1451" s="785"/>
      <c r="T1451" s="785"/>
    </row>
    <row r="1452">
      <c r="A1452" s="777"/>
      <c r="B1452" s="778"/>
      <c r="C1452" s="779"/>
      <c r="D1452" s="780"/>
      <c r="E1452" s="781" t="s">
        <v>71</v>
      </c>
      <c r="F1452" s="778"/>
      <c r="G1452" s="778"/>
      <c r="H1452" s="778"/>
      <c r="I1452" s="778"/>
      <c r="J1452" s="778"/>
      <c r="K1452" s="778"/>
      <c r="L1452" s="782" t="s">
        <v>71</v>
      </c>
      <c r="M1452" s="782" t="s">
        <v>71</v>
      </c>
      <c r="N1452" s="782"/>
      <c r="O1452" s="782"/>
      <c r="P1452" s="783"/>
      <c r="Q1452" s="784"/>
      <c r="R1452" s="783"/>
      <c r="S1452" s="785"/>
      <c r="T1452" s="785"/>
    </row>
    <row r="1453">
      <c r="A1453" s="777"/>
      <c r="B1453" s="778"/>
      <c r="C1453" s="779"/>
      <c r="D1453" s="780"/>
      <c r="E1453" s="781" t="s">
        <v>71</v>
      </c>
      <c r="F1453" s="778"/>
      <c r="G1453" s="778"/>
      <c r="H1453" s="778"/>
      <c r="I1453" s="778"/>
      <c r="J1453" s="778"/>
      <c r="K1453" s="778"/>
      <c r="L1453" s="782" t="s">
        <v>71</v>
      </c>
      <c r="M1453" s="782" t="s">
        <v>71</v>
      </c>
      <c r="N1453" s="782"/>
      <c r="O1453" s="782"/>
      <c r="P1453" s="783"/>
      <c r="Q1453" s="784"/>
      <c r="R1453" s="783"/>
      <c r="S1453" s="785"/>
      <c r="T1453" s="785"/>
    </row>
    <row r="1454">
      <c r="A1454" s="777"/>
      <c r="B1454" s="778"/>
      <c r="C1454" s="779"/>
      <c r="D1454" s="780"/>
      <c r="E1454" s="781" t="s">
        <v>71</v>
      </c>
      <c r="F1454" s="778"/>
      <c r="G1454" s="778"/>
      <c r="H1454" s="778"/>
      <c r="I1454" s="778"/>
      <c r="J1454" s="778"/>
      <c r="K1454" s="778"/>
      <c r="L1454" s="782" t="s">
        <v>71</v>
      </c>
      <c r="M1454" s="782" t="s">
        <v>71</v>
      </c>
      <c r="N1454" s="782"/>
      <c r="O1454" s="782"/>
      <c r="P1454" s="783"/>
      <c r="Q1454" s="784"/>
      <c r="R1454" s="783"/>
      <c r="S1454" s="785"/>
      <c r="T1454" s="785"/>
    </row>
    <row r="1455">
      <c r="A1455" s="777"/>
      <c r="B1455" s="778"/>
      <c r="C1455" s="779"/>
      <c r="D1455" s="780"/>
      <c r="E1455" s="781" t="s">
        <v>71</v>
      </c>
      <c r="F1455" s="778"/>
      <c r="G1455" s="778"/>
      <c r="H1455" s="778"/>
      <c r="I1455" s="778"/>
      <c r="J1455" s="778"/>
      <c r="K1455" s="778"/>
      <c r="L1455" s="782" t="s">
        <v>71</v>
      </c>
      <c r="M1455" s="782" t="s">
        <v>71</v>
      </c>
      <c r="N1455" s="782"/>
      <c r="O1455" s="782"/>
      <c r="P1455" s="783"/>
      <c r="Q1455" s="784"/>
      <c r="R1455" s="783"/>
      <c r="S1455" s="785"/>
      <c r="T1455" s="785"/>
    </row>
    <row r="1456">
      <c r="A1456" s="777"/>
      <c r="B1456" s="778"/>
      <c r="C1456" s="779"/>
      <c r="D1456" s="780"/>
      <c r="E1456" s="781" t="s">
        <v>71</v>
      </c>
      <c r="F1456" s="778"/>
      <c r="G1456" s="778"/>
      <c r="H1456" s="778"/>
      <c r="I1456" s="778"/>
      <c r="J1456" s="778"/>
      <c r="K1456" s="778"/>
      <c r="L1456" s="782" t="s">
        <v>71</v>
      </c>
      <c r="M1456" s="782" t="s">
        <v>71</v>
      </c>
      <c r="N1456" s="782"/>
      <c r="O1456" s="782"/>
      <c r="P1456" s="783"/>
      <c r="Q1456" s="784"/>
      <c r="R1456" s="783"/>
      <c r="S1456" s="785"/>
      <c r="T1456" s="785"/>
    </row>
    <row r="1457">
      <c r="A1457" s="777"/>
      <c r="B1457" s="778"/>
      <c r="C1457" s="779"/>
      <c r="D1457" s="780"/>
      <c r="E1457" s="781" t="s">
        <v>71</v>
      </c>
      <c r="F1457" s="778"/>
      <c r="G1457" s="778"/>
      <c r="H1457" s="778"/>
      <c r="I1457" s="778"/>
      <c r="J1457" s="778"/>
      <c r="K1457" s="778"/>
      <c r="L1457" s="782" t="s">
        <v>71</v>
      </c>
      <c r="M1457" s="782" t="s">
        <v>71</v>
      </c>
      <c r="N1457" s="782"/>
      <c r="O1457" s="782"/>
      <c r="P1457" s="783"/>
      <c r="Q1457" s="784"/>
      <c r="R1457" s="783"/>
      <c r="S1457" s="785"/>
      <c r="T1457" s="785"/>
    </row>
    <row r="1458">
      <c r="A1458" s="777"/>
      <c r="B1458" s="778"/>
      <c r="C1458" s="779"/>
      <c r="D1458" s="780"/>
      <c r="E1458" s="781" t="s">
        <v>71</v>
      </c>
      <c r="F1458" s="778"/>
      <c r="G1458" s="778"/>
      <c r="H1458" s="778"/>
      <c r="I1458" s="778"/>
      <c r="J1458" s="778"/>
      <c r="K1458" s="778"/>
      <c r="L1458" s="782" t="s">
        <v>71</v>
      </c>
      <c r="M1458" s="782" t="s">
        <v>71</v>
      </c>
      <c r="N1458" s="782"/>
      <c r="O1458" s="782"/>
      <c r="P1458" s="783"/>
      <c r="Q1458" s="784"/>
      <c r="R1458" s="783"/>
      <c r="S1458" s="785"/>
      <c r="T1458" s="785"/>
    </row>
    <row r="1459">
      <c r="A1459" s="777"/>
      <c r="B1459" s="778"/>
      <c r="C1459" s="779"/>
      <c r="D1459" s="780"/>
      <c r="E1459" s="781" t="s">
        <v>71</v>
      </c>
      <c r="F1459" s="778"/>
      <c r="G1459" s="778"/>
      <c r="H1459" s="778"/>
      <c r="I1459" s="778"/>
      <c r="J1459" s="778"/>
      <c r="K1459" s="778"/>
      <c r="L1459" s="782" t="s">
        <v>71</v>
      </c>
      <c r="M1459" s="782" t="s">
        <v>71</v>
      </c>
      <c r="N1459" s="782"/>
      <c r="O1459" s="782"/>
      <c r="P1459" s="783"/>
      <c r="Q1459" s="784"/>
      <c r="R1459" s="783"/>
      <c r="S1459" s="785"/>
      <c r="T1459" s="785"/>
    </row>
    <row r="1460">
      <c r="A1460" s="777"/>
      <c r="B1460" s="778"/>
      <c r="C1460" s="779"/>
      <c r="D1460" s="780"/>
      <c r="E1460" s="781" t="s">
        <v>71</v>
      </c>
      <c r="F1460" s="778"/>
      <c r="G1460" s="778"/>
      <c r="H1460" s="778"/>
      <c r="I1460" s="778"/>
      <c r="J1460" s="778"/>
      <c r="K1460" s="778"/>
      <c r="L1460" s="782" t="s">
        <v>71</v>
      </c>
      <c r="M1460" s="782" t="s">
        <v>71</v>
      </c>
      <c r="N1460" s="782"/>
      <c r="O1460" s="782"/>
      <c r="P1460" s="783"/>
      <c r="Q1460" s="784"/>
      <c r="R1460" s="783"/>
      <c r="S1460" s="785"/>
      <c r="T1460" s="785"/>
    </row>
    <row r="1461">
      <c r="A1461" s="777"/>
      <c r="B1461" s="778"/>
      <c r="C1461" s="779"/>
      <c r="D1461" s="780"/>
      <c r="E1461" s="781" t="s">
        <v>71</v>
      </c>
      <c r="F1461" s="778"/>
      <c r="G1461" s="778"/>
      <c r="H1461" s="778"/>
      <c r="I1461" s="778"/>
      <c r="J1461" s="778"/>
      <c r="K1461" s="778"/>
      <c r="L1461" s="782" t="s">
        <v>71</v>
      </c>
      <c r="M1461" s="782" t="s">
        <v>71</v>
      </c>
      <c r="N1461" s="782"/>
      <c r="O1461" s="782"/>
      <c r="P1461" s="783"/>
      <c r="Q1461" s="784"/>
      <c r="R1461" s="783"/>
      <c r="S1461" s="785"/>
      <c r="T1461" s="785"/>
    </row>
    <row r="1462">
      <c r="A1462" s="777"/>
      <c r="B1462" s="778"/>
      <c r="C1462" s="779"/>
      <c r="D1462" s="780"/>
      <c r="E1462" s="781" t="s">
        <v>71</v>
      </c>
      <c r="F1462" s="778"/>
      <c r="G1462" s="778"/>
      <c r="H1462" s="778"/>
      <c r="I1462" s="778"/>
      <c r="J1462" s="778"/>
      <c r="K1462" s="778"/>
      <c r="L1462" s="782" t="s">
        <v>71</v>
      </c>
      <c r="M1462" s="782" t="s">
        <v>71</v>
      </c>
      <c r="N1462" s="782"/>
      <c r="O1462" s="782"/>
      <c r="P1462" s="783"/>
      <c r="Q1462" s="784"/>
      <c r="R1462" s="783"/>
      <c r="S1462" s="785"/>
      <c r="T1462" s="785"/>
    </row>
    <row r="1463">
      <c r="A1463" s="777"/>
      <c r="B1463" s="778"/>
      <c r="C1463" s="779"/>
      <c r="D1463" s="780"/>
      <c r="E1463" s="781" t="s">
        <v>71</v>
      </c>
      <c r="F1463" s="778"/>
      <c r="G1463" s="778"/>
      <c r="H1463" s="778"/>
      <c r="I1463" s="778"/>
      <c r="J1463" s="778"/>
      <c r="K1463" s="778"/>
      <c r="L1463" s="782" t="s">
        <v>71</v>
      </c>
      <c r="M1463" s="782" t="s">
        <v>71</v>
      </c>
      <c r="N1463" s="782"/>
      <c r="O1463" s="782"/>
      <c r="P1463" s="783"/>
      <c r="Q1463" s="784"/>
      <c r="R1463" s="783"/>
      <c r="S1463" s="785"/>
      <c r="T1463" s="785"/>
    </row>
    <row r="1464">
      <c r="A1464" s="777"/>
      <c r="B1464" s="778"/>
      <c r="C1464" s="779"/>
      <c r="D1464" s="780"/>
      <c r="E1464" s="781" t="s">
        <v>71</v>
      </c>
      <c r="F1464" s="778"/>
      <c r="G1464" s="778"/>
      <c r="H1464" s="778"/>
      <c r="I1464" s="778"/>
      <c r="J1464" s="778"/>
      <c r="K1464" s="778"/>
      <c r="L1464" s="782" t="s">
        <v>71</v>
      </c>
      <c r="M1464" s="782" t="s">
        <v>71</v>
      </c>
      <c r="N1464" s="782"/>
      <c r="O1464" s="782"/>
      <c r="P1464" s="783"/>
      <c r="Q1464" s="784"/>
      <c r="R1464" s="783"/>
      <c r="S1464" s="785"/>
      <c r="T1464" s="785"/>
    </row>
    <row r="1465">
      <c r="A1465" s="777"/>
      <c r="B1465" s="778"/>
      <c r="C1465" s="779"/>
      <c r="D1465" s="780"/>
      <c r="E1465" s="781" t="s">
        <v>71</v>
      </c>
      <c r="F1465" s="778"/>
      <c r="G1465" s="778"/>
      <c r="H1465" s="778"/>
      <c r="I1465" s="778"/>
      <c r="J1465" s="778"/>
      <c r="K1465" s="778"/>
      <c r="L1465" s="782" t="s">
        <v>71</v>
      </c>
      <c r="M1465" s="782" t="s">
        <v>71</v>
      </c>
      <c r="N1465" s="782"/>
      <c r="O1465" s="782"/>
      <c r="P1465" s="783"/>
      <c r="Q1465" s="784"/>
      <c r="R1465" s="783"/>
      <c r="S1465" s="785"/>
      <c r="T1465" s="785"/>
    </row>
    <row r="1466">
      <c r="A1466" s="777"/>
      <c r="B1466" s="778"/>
      <c r="C1466" s="779"/>
      <c r="D1466" s="780"/>
      <c r="E1466" s="781" t="s">
        <v>71</v>
      </c>
      <c r="F1466" s="778"/>
      <c r="G1466" s="778"/>
      <c r="H1466" s="778"/>
      <c r="I1466" s="778"/>
      <c r="J1466" s="778"/>
      <c r="K1466" s="778"/>
      <c r="L1466" s="782" t="s">
        <v>71</v>
      </c>
      <c r="M1466" s="782" t="s">
        <v>71</v>
      </c>
      <c r="N1466" s="782"/>
      <c r="O1466" s="782"/>
      <c r="P1466" s="783"/>
      <c r="Q1466" s="784"/>
      <c r="R1466" s="783"/>
      <c r="S1466" s="785"/>
      <c r="T1466" s="785"/>
    </row>
    <row r="1467">
      <c r="A1467" s="777"/>
      <c r="B1467" s="778"/>
      <c r="C1467" s="779"/>
      <c r="D1467" s="780"/>
      <c r="E1467" s="781" t="s">
        <v>71</v>
      </c>
      <c r="F1467" s="778"/>
      <c r="G1467" s="778"/>
      <c r="H1467" s="778"/>
      <c r="I1467" s="778"/>
      <c r="J1467" s="778"/>
      <c r="K1467" s="778"/>
      <c r="L1467" s="782" t="s">
        <v>71</v>
      </c>
      <c r="M1467" s="782" t="s">
        <v>71</v>
      </c>
      <c r="N1467" s="782"/>
      <c r="O1467" s="782"/>
      <c r="P1467" s="783"/>
      <c r="Q1467" s="784"/>
      <c r="R1467" s="783"/>
      <c r="S1467" s="785"/>
      <c r="T1467" s="785"/>
    </row>
    <row r="1468">
      <c r="A1468" s="777"/>
      <c r="B1468" s="778"/>
      <c r="C1468" s="779"/>
      <c r="D1468" s="780"/>
      <c r="E1468" s="781" t="s">
        <v>71</v>
      </c>
      <c r="F1468" s="778"/>
      <c r="G1468" s="778"/>
      <c r="H1468" s="778"/>
      <c r="I1468" s="778"/>
      <c r="J1468" s="778"/>
      <c r="K1468" s="778"/>
      <c r="L1468" s="782" t="s">
        <v>71</v>
      </c>
      <c r="M1468" s="782" t="s">
        <v>71</v>
      </c>
      <c r="N1468" s="782"/>
      <c r="O1468" s="782"/>
      <c r="P1468" s="783"/>
      <c r="Q1468" s="784"/>
      <c r="R1468" s="783"/>
      <c r="S1468" s="785"/>
      <c r="T1468" s="785"/>
    </row>
    <row r="1469">
      <c r="A1469" s="777"/>
      <c r="B1469" s="778"/>
      <c r="C1469" s="779"/>
      <c r="D1469" s="780"/>
      <c r="E1469" s="781" t="s">
        <v>71</v>
      </c>
      <c r="F1469" s="778"/>
      <c r="G1469" s="778"/>
      <c r="H1469" s="778"/>
      <c r="I1469" s="778"/>
      <c r="J1469" s="778"/>
      <c r="K1469" s="778"/>
      <c r="L1469" s="782" t="s">
        <v>71</v>
      </c>
      <c r="M1469" s="782" t="s">
        <v>71</v>
      </c>
      <c r="N1469" s="782"/>
      <c r="O1469" s="782"/>
      <c r="P1469" s="783"/>
      <c r="Q1469" s="784"/>
      <c r="R1469" s="783"/>
      <c r="S1469" s="785"/>
      <c r="T1469" s="785"/>
    </row>
    <row r="1470">
      <c r="A1470" s="777"/>
      <c r="B1470" s="778"/>
      <c r="C1470" s="779"/>
      <c r="D1470" s="780"/>
      <c r="E1470" s="781" t="s">
        <v>71</v>
      </c>
      <c r="F1470" s="778"/>
      <c r="G1470" s="778"/>
      <c r="H1470" s="778"/>
      <c r="I1470" s="778"/>
      <c r="J1470" s="778"/>
      <c r="K1470" s="778"/>
      <c r="L1470" s="782" t="s">
        <v>71</v>
      </c>
      <c r="M1470" s="782" t="s">
        <v>71</v>
      </c>
      <c r="N1470" s="782"/>
      <c r="O1470" s="782"/>
      <c r="P1470" s="783"/>
      <c r="Q1470" s="784"/>
      <c r="R1470" s="783"/>
      <c r="S1470" s="785"/>
      <c r="T1470" s="785"/>
    </row>
    <row r="1471">
      <c r="A1471" s="777"/>
      <c r="B1471" s="778"/>
      <c r="C1471" s="779"/>
      <c r="D1471" s="780"/>
      <c r="E1471" s="781" t="s">
        <v>71</v>
      </c>
      <c r="F1471" s="778"/>
      <c r="G1471" s="778"/>
      <c r="H1471" s="778"/>
      <c r="I1471" s="778"/>
      <c r="J1471" s="778"/>
      <c r="K1471" s="778"/>
      <c r="L1471" s="782" t="s">
        <v>71</v>
      </c>
      <c r="M1471" s="782" t="s">
        <v>71</v>
      </c>
      <c r="N1471" s="782"/>
      <c r="O1471" s="782"/>
      <c r="P1471" s="783"/>
      <c r="Q1471" s="784"/>
      <c r="R1471" s="783"/>
      <c r="S1471" s="785"/>
      <c r="T1471" s="785"/>
    </row>
    <row r="1472">
      <c r="A1472" s="777"/>
      <c r="B1472" s="778"/>
      <c r="C1472" s="779"/>
      <c r="D1472" s="780"/>
      <c r="E1472" s="781" t="s">
        <v>71</v>
      </c>
      <c r="F1472" s="778"/>
      <c r="G1472" s="778"/>
      <c r="H1472" s="778"/>
      <c r="I1472" s="778"/>
      <c r="J1472" s="778"/>
      <c r="K1472" s="778"/>
      <c r="L1472" s="782" t="s">
        <v>71</v>
      </c>
      <c r="M1472" s="782" t="s">
        <v>71</v>
      </c>
      <c r="N1472" s="782"/>
      <c r="O1472" s="782"/>
      <c r="P1472" s="783"/>
      <c r="Q1472" s="784"/>
      <c r="R1472" s="783"/>
      <c r="S1472" s="785"/>
      <c r="T1472" s="785"/>
    </row>
    <row r="1473">
      <c r="A1473" s="777"/>
      <c r="B1473" s="778"/>
      <c r="C1473" s="779"/>
      <c r="D1473" s="780"/>
      <c r="E1473" s="781" t="s">
        <v>71</v>
      </c>
      <c r="F1473" s="778"/>
      <c r="G1473" s="778"/>
      <c r="H1473" s="778"/>
      <c r="I1473" s="778"/>
      <c r="J1473" s="778"/>
      <c r="K1473" s="778"/>
      <c r="L1473" s="782" t="s">
        <v>71</v>
      </c>
      <c r="M1473" s="782" t="s">
        <v>71</v>
      </c>
      <c r="N1473" s="782"/>
      <c r="O1473" s="782"/>
      <c r="P1473" s="783"/>
      <c r="Q1473" s="784"/>
      <c r="R1473" s="783"/>
      <c r="S1473" s="785"/>
      <c r="T1473" s="785"/>
    </row>
    <row r="1474">
      <c r="A1474" s="777"/>
      <c r="B1474" s="778"/>
      <c r="C1474" s="779"/>
      <c r="D1474" s="780"/>
      <c r="E1474" s="781" t="s">
        <v>71</v>
      </c>
      <c r="F1474" s="778"/>
      <c r="G1474" s="778"/>
      <c r="H1474" s="778"/>
      <c r="I1474" s="778"/>
      <c r="J1474" s="778"/>
      <c r="K1474" s="778"/>
      <c r="L1474" s="782" t="s">
        <v>71</v>
      </c>
      <c r="M1474" s="782" t="s">
        <v>71</v>
      </c>
      <c r="N1474" s="782"/>
      <c r="O1474" s="782"/>
      <c r="P1474" s="783"/>
      <c r="Q1474" s="784"/>
      <c r="R1474" s="783"/>
      <c r="S1474" s="785"/>
      <c r="T1474" s="785"/>
    </row>
    <row r="1475">
      <c r="A1475" s="777"/>
      <c r="B1475" s="778"/>
      <c r="C1475" s="779"/>
      <c r="D1475" s="780"/>
      <c r="E1475" s="781" t="s">
        <v>71</v>
      </c>
      <c r="F1475" s="778"/>
      <c r="G1475" s="778"/>
      <c r="H1475" s="778"/>
      <c r="I1475" s="778"/>
      <c r="J1475" s="778"/>
      <c r="K1475" s="778"/>
      <c r="L1475" s="782" t="s">
        <v>71</v>
      </c>
      <c r="M1475" s="782" t="s">
        <v>71</v>
      </c>
      <c r="N1475" s="782"/>
      <c r="O1475" s="782"/>
      <c r="P1475" s="783"/>
      <c r="Q1475" s="784"/>
      <c r="R1475" s="783"/>
      <c r="S1475" s="785"/>
      <c r="T1475" s="785"/>
    </row>
    <row r="1476">
      <c r="A1476" s="777"/>
      <c r="B1476" s="778"/>
      <c r="C1476" s="779"/>
      <c r="D1476" s="780"/>
      <c r="E1476" s="781" t="s">
        <v>71</v>
      </c>
      <c r="F1476" s="778"/>
      <c r="G1476" s="778"/>
      <c r="H1476" s="778"/>
      <c r="I1476" s="778"/>
      <c r="J1476" s="778"/>
      <c r="K1476" s="778"/>
      <c r="L1476" s="782" t="s">
        <v>71</v>
      </c>
      <c r="M1476" s="782" t="s">
        <v>71</v>
      </c>
      <c r="N1476" s="782"/>
      <c r="O1476" s="782"/>
      <c r="P1476" s="783"/>
      <c r="Q1476" s="784"/>
      <c r="R1476" s="783"/>
      <c r="S1476" s="785"/>
      <c r="T1476" s="785"/>
    </row>
    <row r="1477">
      <c r="A1477" s="777"/>
      <c r="B1477" s="778"/>
      <c r="C1477" s="779"/>
      <c r="D1477" s="780"/>
      <c r="E1477" s="781" t="s">
        <v>71</v>
      </c>
      <c r="F1477" s="778"/>
      <c r="G1477" s="778"/>
      <c r="H1477" s="778"/>
      <c r="I1477" s="778"/>
      <c r="J1477" s="778"/>
      <c r="K1477" s="778"/>
      <c r="L1477" s="782" t="s">
        <v>71</v>
      </c>
      <c r="M1477" s="782" t="s">
        <v>71</v>
      </c>
      <c r="N1477" s="782"/>
      <c r="O1477" s="782"/>
      <c r="P1477" s="783"/>
      <c r="Q1477" s="784"/>
      <c r="R1477" s="783"/>
      <c r="S1477" s="785"/>
      <c r="T1477" s="785"/>
    </row>
    <row r="1478">
      <c r="A1478" s="777"/>
      <c r="B1478" s="778"/>
      <c r="C1478" s="779"/>
      <c r="D1478" s="780"/>
      <c r="E1478" s="781" t="s">
        <v>71</v>
      </c>
      <c r="F1478" s="778"/>
      <c r="G1478" s="778"/>
      <c r="H1478" s="778"/>
      <c r="I1478" s="778"/>
      <c r="J1478" s="778"/>
      <c r="K1478" s="778"/>
      <c r="L1478" s="782" t="s">
        <v>71</v>
      </c>
      <c r="M1478" s="782" t="s">
        <v>71</v>
      </c>
      <c r="N1478" s="782"/>
      <c r="O1478" s="782"/>
      <c r="P1478" s="783"/>
      <c r="Q1478" s="784"/>
      <c r="R1478" s="783"/>
      <c r="S1478" s="785"/>
      <c r="T1478" s="785"/>
    </row>
    <row r="1479">
      <c r="A1479" s="777"/>
      <c r="B1479" s="778"/>
      <c r="C1479" s="779"/>
      <c r="D1479" s="780"/>
      <c r="E1479" s="781" t="s">
        <v>71</v>
      </c>
      <c r="F1479" s="778"/>
      <c r="G1479" s="778"/>
      <c r="H1479" s="778"/>
      <c r="I1479" s="778"/>
      <c r="J1479" s="778"/>
      <c r="K1479" s="778"/>
      <c r="L1479" s="782" t="s">
        <v>71</v>
      </c>
      <c r="M1479" s="782" t="s">
        <v>71</v>
      </c>
      <c r="N1479" s="782"/>
      <c r="O1479" s="782"/>
      <c r="P1479" s="783"/>
      <c r="Q1479" s="784"/>
      <c r="R1479" s="783"/>
      <c r="S1479" s="785"/>
      <c r="T1479" s="785"/>
    </row>
    <row r="1480">
      <c r="A1480" s="777"/>
      <c r="B1480" s="778"/>
      <c r="C1480" s="779"/>
      <c r="D1480" s="780"/>
      <c r="E1480" s="781" t="s">
        <v>71</v>
      </c>
      <c r="F1480" s="778"/>
      <c r="G1480" s="778"/>
      <c r="H1480" s="778"/>
      <c r="I1480" s="778"/>
      <c r="J1480" s="778"/>
      <c r="K1480" s="778"/>
      <c r="L1480" s="782" t="s">
        <v>71</v>
      </c>
      <c r="M1480" s="782" t="s">
        <v>71</v>
      </c>
      <c r="N1480" s="782"/>
      <c r="O1480" s="782"/>
      <c r="P1480" s="783"/>
      <c r="Q1480" s="784"/>
      <c r="R1480" s="783"/>
      <c r="S1480" s="785"/>
      <c r="T1480" s="785"/>
    </row>
    <row r="1481">
      <c r="A1481" s="777"/>
      <c r="B1481" s="778"/>
      <c r="C1481" s="779"/>
      <c r="D1481" s="780"/>
      <c r="E1481" s="781" t="s">
        <v>71</v>
      </c>
      <c r="F1481" s="778"/>
      <c r="G1481" s="778"/>
      <c r="H1481" s="778"/>
      <c r="I1481" s="778"/>
      <c r="J1481" s="778"/>
      <c r="K1481" s="778"/>
      <c r="L1481" s="782" t="s">
        <v>71</v>
      </c>
      <c r="M1481" s="782" t="s">
        <v>71</v>
      </c>
      <c r="N1481" s="782"/>
      <c r="O1481" s="782"/>
      <c r="P1481" s="783"/>
      <c r="Q1481" s="784"/>
      <c r="R1481" s="783"/>
      <c r="S1481" s="785"/>
      <c r="T1481" s="785"/>
    </row>
    <row r="1482">
      <c r="A1482" s="777"/>
      <c r="B1482" s="778"/>
      <c r="C1482" s="779"/>
      <c r="D1482" s="780"/>
      <c r="E1482" s="781" t="s">
        <v>71</v>
      </c>
      <c r="F1482" s="778"/>
      <c r="G1482" s="778"/>
      <c r="H1482" s="778"/>
      <c r="I1482" s="778"/>
      <c r="J1482" s="778"/>
      <c r="K1482" s="778"/>
      <c r="L1482" s="782" t="s">
        <v>71</v>
      </c>
      <c r="M1482" s="782" t="s">
        <v>71</v>
      </c>
      <c r="N1482" s="782"/>
      <c r="O1482" s="782"/>
      <c r="P1482" s="783"/>
      <c r="Q1482" s="784"/>
      <c r="R1482" s="783"/>
      <c r="S1482" s="785"/>
      <c r="T1482" s="785"/>
    </row>
    <row r="1483">
      <c r="A1483" s="777"/>
      <c r="B1483" s="778"/>
      <c r="C1483" s="779"/>
      <c r="D1483" s="780"/>
      <c r="E1483" s="781" t="s">
        <v>71</v>
      </c>
      <c r="F1483" s="778"/>
      <c r="G1483" s="778"/>
      <c r="H1483" s="778"/>
      <c r="I1483" s="778"/>
      <c r="J1483" s="778"/>
      <c r="K1483" s="778"/>
      <c r="L1483" s="782" t="s">
        <v>71</v>
      </c>
      <c r="M1483" s="782" t="s">
        <v>71</v>
      </c>
      <c r="N1483" s="782"/>
      <c r="O1483" s="782"/>
      <c r="P1483" s="783"/>
      <c r="Q1483" s="784"/>
      <c r="R1483" s="783"/>
      <c r="S1483" s="785"/>
      <c r="T1483" s="785"/>
    </row>
    <row r="1484">
      <c r="A1484" s="777"/>
      <c r="B1484" s="778"/>
      <c r="C1484" s="779"/>
      <c r="D1484" s="780"/>
      <c r="E1484" s="781" t="s">
        <v>71</v>
      </c>
      <c r="F1484" s="778"/>
      <c r="G1484" s="778"/>
      <c r="H1484" s="778"/>
      <c r="I1484" s="778"/>
      <c r="J1484" s="778"/>
      <c r="K1484" s="778"/>
      <c r="L1484" s="782" t="s">
        <v>71</v>
      </c>
      <c r="M1484" s="782" t="s">
        <v>71</v>
      </c>
      <c r="N1484" s="782"/>
      <c r="O1484" s="782"/>
      <c r="P1484" s="783"/>
      <c r="Q1484" s="784"/>
      <c r="R1484" s="783"/>
      <c r="S1484" s="785"/>
      <c r="T1484" s="785"/>
    </row>
    <row r="1485">
      <c r="A1485" s="777"/>
      <c r="B1485" s="778"/>
      <c r="C1485" s="779"/>
      <c r="D1485" s="780"/>
      <c r="E1485" s="781" t="s">
        <v>71</v>
      </c>
      <c r="F1485" s="778"/>
      <c r="G1485" s="778"/>
      <c r="H1485" s="778"/>
      <c r="I1485" s="778"/>
      <c r="J1485" s="778"/>
      <c r="K1485" s="778"/>
      <c r="L1485" s="782" t="s">
        <v>71</v>
      </c>
      <c r="M1485" s="782" t="s">
        <v>71</v>
      </c>
      <c r="N1485" s="782"/>
      <c r="O1485" s="782"/>
      <c r="P1485" s="783"/>
      <c r="Q1485" s="784"/>
      <c r="R1485" s="783"/>
      <c r="S1485" s="785"/>
      <c r="T1485" s="785"/>
    </row>
    <row r="1486">
      <c r="A1486" s="777"/>
      <c r="B1486" s="778"/>
      <c r="C1486" s="779"/>
      <c r="D1486" s="780"/>
      <c r="E1486" s="781" t="s">
        <v>71</v>
      </c>
      <c r="F1486" s="778"/>
      <c r="G1486" s="778"/>
      <c r="H1486" s="778"/>
      <c r="I1486" s="778"/>
      <c r="J1486" s="778"/>
      <c r="K1486" s="778"/>
      <c r="L1486" s="782" t="s">
        <v>71</v>
      </c>
      <c r="M1486" s="782" t="s">
        <v>71</v>
      </c>
      <c r="N1486" s="782"/>
      <c r="O1486" s="782"/>
      <c r="P1486" s="783"/>
      <c r="Q1486" s="784"/>
      <c r="R1486" s="783"/>
      <c r="S1486" s="785"/>
      <c r="T1486" s="785"/>
    </row>
    <row r="1487">
      <c r="A1487" s="777"/>
      <c r="B1487" s="778"/>
      <c r="C1487" s="779"/>
      <c r="D1487" s="780"/>
      <c r="E1487" s="781" t="s">
        <v>71</v>
      </c>
      <c r="F1487" s="778"/>
      <c r="G1487" s="778"/>
      <c r="H1487" s="778"/>
      <c r="I1487" s="778"/>
      <c r="J1487" s="778"/>
      <c r="K1487" s="778"/>
      <c r="L1487" s="782" t="s">
        <v>71</v>
      </c>
      <c r="M1487" s="782" t="s">
        <v>71</v>
      </c>
      <c r="N1487" s="782"/>
      <c r="O1487" s="782"/>
      <c r="P1487" s="783"/>
      <c r="Q1487" s="784"/>
      <c r="R1487" s="783"/>
      <c r="S1487" s="785"/>
      <c r="T1487" s="785"/>
    </row>
    <row r="1488">
      <c r="A1488" s="777"/>
      <c r="B1488" s="778"/>
      <c r="C1488" s="779"/>
      <c r="D1488" s="780"/>
      <c r="E1488" s="781" t="s">
        <v>71</v>
      </c>
      <c r="F1488" s="778"/>
      <c r="G1488" s="778"/>
      <c r="H1488" s="778"/>
      <c r="I1488" s="778"/>
      <c r="J1488" s="778"/>
      <c r="K1488" s="778"/>
      <c r="L1488" s="782" t="s">
        <v>71</v>
      </c>
      <c r="M1488" s="782" t="s">
        <v>71</v>
      </c>
      <c r="N1488" s="782"/>
      <c r="O1488" s="782"/>
      <c r="P1488" s="783"/>
      <c r="Q1488" s="784"/>
      <c r="R1488" s="783"/>
      <c r="S1488" s="785"/>
      <c r="T1488" s="785"/>
    </row>
    <row r="1489">
      <c r="A1489" s="777"/>
      <c r="B1489" s="778"/>
      <c r="C1489" s="779"/>
      <c r="D1489" s="780"/>
      <c r="E1489" s="781" t="s">
        <v>71</v>
      </c>
      <c r="F1489" s="778"/>
      <c r="G1489" s="778"/>
      <c r="H1489" s="778"/>
      <c r="I1489" s="778"/>
      <c r="J1489" s="778"/>
      <c r="K1489" s="778"/>
      <c r="L1489" s="782" t="s">
        <v>71</v>
      </c>
      <c r="M1489" s="782" t="s">
        <v>71</v>
      </c>
      <c r="N1489" s="782"/>
      <c r="O1489" s="782"/>
      <c r="P1489" s="783"/>
      <c r="Q1489" s="784"/>
      <c r="R1489" s="783"/>
      <c r="S1489" s="785"/>
      <c r="T1489" s="785"/>
    </row>
    <row r="1490">
      <c r="A1490" s="777"/>
      <c r="B1490" s="778"/>
      <c r="C1490" s="779"/>
      <c r="D1490" s="780"/>
      <c r="E1490" s="781" t="s">
        <v>71</v>
      </c>
      <c r="F1490" s="778"/>
      <c r="G1490" s="778"/>
      <c r="H1490" s="778"/>
      <c r="I1490" s="778"/>
      <c r="J1490" s="778"/>
      <c r="K1490" s="778"/>
      <c r="L1490" s="782" t="s">
        <v>71</v>
      </c>
      <c r="M1490" s="782" t="s">
        <v>71</v>
      </c>
      <c r="N1490" s="782"/>
      <c r="O1490" s="782"/>
      <c r="P1490" s="783"/>
      <c r="Q1490" s="784"/>
      <c r="R1490" s="783"/>
      <c r="S1490" s="785"/>
      <c r="T1490" s="785"/>
    </row>
    <row r="1491">
      <c r="A1491" s="777"/>
      <c r="B1491" s="778"/>
      <c r="C1491" s="779"/>
      <c r="D1491" s="780"/>
      <c r="E1491" s="781" t="s">
        <v>71</v>
      </c>
      <c r="F1491" s="778"/>
      <c r="G1491" s="778"/>
      <c r="H1491" s="778"/>
      <c r="I1491" s="778"/>
      <c r="J1491" s="778"/>
      <c r="K1491" s="778"/>
      <c r="L1491" s="782" t="s">
        <v>71</v>
      </c>
      <c r="M1491" s="782" t="s">
        <v>71</v>
      </c>
      <c r="N1491" s="782"/>
      <c r="O1491" s="782"/>
      <c r="P1491" s="783"/>
      <c r="Q1491" s="784"/>
      <c r="R1491" s="783"/>
      <c r="S1491" s="785"/>
      <c r="T1491" s="785"/>
    </row>
    <row r="1492">
      <c r="A1492" s="777"/>
      <c r="B1492" s="778"/>
      <c r="C1492" s="779"/>
      <c r="D1492" s="780"/>
      <c r="E1492" s="781" t="s">
        <v>71</v>
      </c>
      <c r="F1492" s="778"/>
      <c r="G1492" s="778"/>
      <c r="H1492" s="778"/>
      <c r="I1492" s="778"/>
      <c r="J1492" s="778"/>
      <c r="K1492" s="778"/>
      <c r="L1492" s="782" t="s">
        <v>71</v>
      </c>
      <c r="M1492" s="782" t="s">
        <v>71</v>
      </c>
      <c r="N1492" s="782"/>
      <c r="O1492" s="782"/>
      <c r="P1492" s="783"/>
      <c r="Q1492" s="784"/>
      <c r="R1492" s="783"/>
      <c r="S1492" s="785"/>
      <c r="T1492" s="785"/>
    </row>
    <row r="1493">
      <c r="A1493" s="777"/>
      <c r="B1493" s="778"/>
      <c r="C1493" s="779"/>
      <c r="D1493" s="780"/>
      <c r="E1493" s="781" t="s">
        <v>71</v>
      </c>
      <c r="F1493" s="778"/>
      <c r="G1493" s="778"/>
      <c r="H1493" s="778"/>
      <c r="I1493" s="778"/>
      <c r="J1493" s="778"/>
      <c r="K1493" s="778"/>
      <c r="L1493" s="782" t="s">
        <v>71</v>
      </c>
      <c r="M1493" s="782" t="s">
        <v>71</v>
      </c>
      <c r="N1493" s="782"/>
      <c r="O1493" s="782"/>
      <c r="P1493" s="783"/>
      <c r="Q1493" s="784"/>
      <c r="R1493" s="783"/>
      <c r="S1493" s="785"/>
      <c r="T1493" s="785"/>
    </row>
    <row r="1494">
      <c r="A1494" s="777"/>
      <c r="B1494" s="778"/>
      <c r="C1494" s="779"/>
      <c r="D1494" s="780"/>
      <c r="E1494" s="781" t="s">
        <v>71</v>
      </c>
      <c r="F1494" s="778"/>
      <c r="G1494" s="778"/>
      <c r="H1494" s="778"/>
      <c r="I1494" s="778"/>
      <c r="J1494" s="778"/>
      <c r="K1494" s="778"/>
      <c r="L1494" s="782" t="s">
        <v>71</v>
      </c>
      <c r="M1494" s="782" t="s">
        <v>71</v>
      </c>
      <c r="N1494" s="782"/>
      <c r="O1494" s="782"/>
      <c r="P1494" s="783"/>
      <c r="Q1494" s="784"/>
      <c r="R1494" s="783"/>
      <c r="S1494" s="785"/>
      <c r="T1494" s="785"/>
    </row>
  </sheetData>
  <dataValidations>
    <dataValidation type="list" allowBlank="1" showErrorMessage="1" sqref="R3:R155 R157:R490 R492:R1494">
      <formula1>"通過済み,監修待ち"</formula1>
    </dataValidation>
    <dataValidation type="list" allowBlank="1" showErrorMessage="1" sqref="B2:B1494">
      <formula1>'クエストカテゴリー'!$A$2:$A1494</formula1>
    </dataValidation>
    <dataValidation type="list" allowBlank="1" showErrorMessage="1" sqref="J2:J1494">
      <formula1>"開始,クリア,ボス出現,エネミー行動"</formula1>
    </dataValidation>
    <dataValidation type="list" allowBlank="1" showErrorMessage="1" sqref="A2:A1494">
      <formula1>"×,◎"</formula1>
    </dataValidation>
    <dataValidation type="list" allowBlank="1" showErrorMessage="1" sqref="C2:C1494">
      <formula1>'作品'!$A$2:$A1494</formula1>
    </dataValidation>
    <dataValidation type="list" allowBlank="1" showErrorMessage="1" sqref="I2:I1494">
      <formula1>"原画,セリフ"</formula1>
    </dataValidation>
    <dataValidation type="list" allowBlank="1" showErrorMessage="1" sqref="S3:S12">
      <formula1>"差し替え完了,納品待ち"</formula1>
    </dataValidation>
    <dataValidation type="list" allowBlank="1" showErrorMessage="1" sqref="F2:F1494">
      <formula1>'クエストカテゴリー'!$E$2:$E$11</formula1>
    </dataValidation>
  </dataValidations>
  <drawing r:id="rId1"/>
  <tableParts count="1">
    <tablePart r:id="rId3"/>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hidden="1" min="2" max="2" width="12.63"/>
    <col customWidth="1" min="4" max="4" width="29.75"/>
    <col customWidth="1" min="5" max="5" width="31.75"/>
    <col customWidth="1" min="6" max="6" width="8.75"/>
    <col customWidth="1" min="7" max="7" width="41.0"/>
    <col customWidth="1" min="9" max="9" width="4.75"/>
  </cols>
  <sheetData>
    <row r="1">
      <c r="A1" s="786" t="s">
        <v>3787</v>
      </c>
      <c r="B1" s="787"/>
      <c r="C1" s="788"/>
      <c r="D1" s="788"/>
      <c r="E1" s="789"/>
      <c r="F1" s="787"/>
      <c r="G1" s="790"/>
      <c r="H1" s="791"/>
      <c r="I1" s="792"/>
    </row>
    <row r="2">
      <c r="A2" s="793" t="s">
        <v>3788</v>
      </c>
      <c r="B2" s="794" t="s">
        <v>3789</v>
      </c>
      <c r="C2" s="795" t="s">
        <v>3790</v>
      </c>
      <c r="D2" s="88"/>
      <c r="E2" s="796" t="s">
        <v>3791</v>
      </c>
      <c r="F2" s="794" t="s">
        <v>3792</v>
      </c>
      <c r="G2" s="797" t="s">
        <v>3793</v>
      </c>
      <c r="H2" s="798" t="s">
        <v>58</v>
      </c>
      <c r="I2" s="85"/>
    </row>
    <row r="3">
      <c r="A3" s="233"/>
      <c r="B3" s="233"/>
      <c r="C3" s="799" t="s">
        <v>2938</v>
      </c>
      <c r="D3" s="799" t="s">
        <v>3794</v>
      </c>
      <c r="E3" s="233"/>
      <c r="F3" s="233"/>
      <c r="G3" s="233"/>
      <c r="H3" s="800"/>
      <c r="I3" s="85"/>
    </row>
    <row r="4">
      <c r="A4" s="801" t="s">
        <v>3795</v>
      </c>
      <c r="B4" s="802" t="s">
        <v>3796</v>
      </c>
      <c r="C4" s="803" t="str">
        <f>IFERROR(__xludf.DUMMYFUNCTION("QUERY(IMPORTRANGE(""https://docs.google.com/spreadsheets/d/1OVgANnEkSS9Dd3iKO7u5ZnWhJVOR3TMtpICDCcZLx48/edit?gid=1002293455#gid=1002293455"",""BGM制作一覧（3/26更新）!$B$4:K""),""Select Col3,Col4,Col5,Col10 where Col2 = '""&amp;A4&amp;""'"",false)"),"バトル")</f>
        <v>バトル</v>
      </c>
      <c r="D4" s="804" t="str">
        <f>IFERROR(__xludf.DUMMYFUNCTION("""COMPUTED_VALUE"""),"メイン・イベントクエスト バトル系1")</f>
        <v>メイン・イベントクエスト バトル系1</v>
      </c>
      <c r="E4" s="805" t="str">
        <f>IFERROR(__xludf.DUMMYFUNCTION("""COMPUTED_VALUE"""),"メイン・イベントクエストのインゲームでバトル系の作品で使用します")</f>
        <v>メイン・イベントクエストのインゲームでバトル系の作品で使用します</v>
      </c>
      <c r="F4" s="806"/>
      <c r="G4" s="807"/>
      <c r="H4" s="53"/>
      <c r="I4" s="85"/>
    </row>
    <row r="5" ht="24.0" customHeight="1">
      <c r="A5" s="808" t="s">
        <v>3797</v>
      </c>
      <c r="B5" s="802" t="s">
        <v>3798</v>
      </c>
      <c r="C5" s="803" t="str">
        <f>IFERROR(__xludf.DUMMYFUNCTION("QUERY(IMPORTRANGE(""https://docs.google.com/spreadsheets/d/1OVgANnEkSS9Dd3iKO7u5ZnWhJVOR3TMtpICDCcZLx48/edit?gid=1002293455#gid=1002293455"",""BGM制作一覧（3/26更新）!$B$4:K""),""Select Col3,Col4,Col5,Col10 where Col2 = '""&amp;A5&amp;""'"",false)"),"バトル")</f>
        <v>バトル</v>
      </c>
      <c r="D5" s="804" t="str">
        <f>IFERROR(__xludf.DUMMYFUNCTION("""COMPUTED_VALUE"""),"メイン・イベントクエスト 日常・ギャグ系")</f>
        <v>メイン・イベントクエスト 日常・ギャグ系</v>
      </c>
      <c r="E5" s="809" t="str">
        <f>IFERROR(__xludf.DUMMYFUNCTION("""COMPUTED_VALUE"""),"メイン・イベントクエストのインゲームで日常・ギャグ系の作品で使用します")</f>
        <v>メイン・イベントクエストのインゲームで日常・ギャグ系の作品で使用します</v>
      </c>
      <c r="F5" s="810"/>
      <c r="G5" s="811"/>
      <c r="H5" s="53"/>
      <c r="I5" s="85"/>
    </row>
    <row r="6">
      <c r="A6" s="808" t="s">
        <v>3799</v>
      </c>
      <c r="B6" s="802" t="s">
        <v>3800</v>
      </c>
      <c r="C6" s="803" t="str">
        <f>IFERROR(__xludf.DUMMYFUNCTION("QUERY(IMPORTRANGE(""https://docs.google.com/spreadsheets/d/1OVgANnEkSS9Dd3iKO7u5ZnWhJVOR3TMtpICDCcZLx48/edit?gid=1002293455#gid=1002293455"",""BGM制作一覧（3/26更新）!$B$4:K""),""Select Col3,Col4,Col5,Col10 where Col2 = '""&amp;A6&amp;""'"",false)"),"バトル")</f>
        <v>バトル</v>
      </c>
      <c r="D6" s="804" t="str">
        <f>IFERROR(__xludf.DUMMYFUNCTION("""COMPUTED_VALUE"""),"メイン・イベントクエスト シリアス系")</f>
        <v>メイン・イベントクエスト シリアス系</v>
      </c>
      <c r="E6" s="809" t="str">
        <f>IFERROR(__xludf.DUMMYFUNCTION("""COMPUTED_VALUE"""),"メイン・イベントクエストのインゲームでシリアス系の作品で使用します")</f>
        <v>メイン・イベントクエストのインゲームでシリアス系の作品で使用します</v>
      </c>
      <c r="F6" s="810"/>
      <c r="G6" s="811"/>
      <c r="H6" s="53"/>
      <c r="I6" s="85"/>
    </row>
    <row r="7">
      <c r="A7" s="808" t="s">
        <v>3801</v>
      </c>
      <c r="B7" s="812"/>
      <c r="C7" s="803" t="str">
        <f>IFERROR(__xludf.DUMMYFUNCTION("QUERY(IMPORTRANGE(""https://docs.google.com/spreadsheets/d/1OVgANnEkSS9Dd3iKO7u5ZnWhJVOR3TMtpICDCcZLx48/edit?gid=1002293455#gid=1002293455"",""BGM制作一覧（3/26更新）!$B$4:K""),""Select Col3,Col4,Col5,Col10 where Col2 = '""&amp;A7&amp;""'"",false)"),"バトル")</f>
        <v>バトル</v>
      </c>
      <c r="D7" s="804" t="str">
        <f>IFERROR(__xludf.DUMMYFUNCTION("""COMPUTED_VALUE"""),"メイン・イベントクエスト 強敵/ボスバトル1")</f>
        <v>メイン・イベントクエスト 強敵/ボスバトル1</v>
      </c>
      <c r="E7" s="809" t="str">
        <f>IFERROR(__xludf.DUMMYFUNCTION("""COMPUTED_VALUE"""),"メイン・イベントクエストのインゲームで強敵登場時に使用します")</f>
        <v>メイン・イベントクエストのインゲームで強敵登場時に使用します</v>
      </c>
      <c r="F7" s="810"/>
      <c r="G7" s="813" t="s">
        <v>3802</v>
      </c>
      <c r="H7" s="53"/>
      <c r="I7" s="85"/>
    </row>
    <row r="8">
      <c r="A8" s="814" t="s">
        <v>3803</v>
      </c>
      <c r="B8" s="814"/>
      <c r="C8" s="815" t="str">
        <f>IFERROR(__xludf.DUMMYFUNCTION("QUERY(IMPORTRANGE(""https://docs.google.com/spreadsheets/d/1OVgANnEkSS9Dd3iKO7u5ZnWhJVOR3TMtpICDCcZLx48/edit?gid=1002293455#gid=1002293455"",""BGM制作一覧（3/26更新）!$B$4:K""),""Select Col3,Col4,Col5,Col10 where Col2 = '""&amp;A8&amp;""'"",false)"),"バトル")</f>
        <v>バトル</v>
      </c>
      <c r="D8" s="814" t="str">
        <f>IFERROR(__xludf.DUMMYFUNCTION("""COMPUTED_VALUE"""),"メイン・イベントクエスト ラブコメ系1")</f>
        <v>メイン・イベントクエスト ラブコメ系1</v>
      </c>
      <c r="E8" s="816" t="str">
        <f>IFERROR(__xludf.DUMMYFUNCTION("""COMPUTED_VALUE"""),"メイン・イベントクエストのインゲームでラブコメ系の作品で使用します")</f>
        <v>メイン・イベントクエストのインゲームでラブコメ系の作品で使用します</v>
      </c>
      <c r="F8" s="817"/>
      <c r="G8" s="818" t="s">
        <v>3804</v>
      </c>
      <c r="H8" s="819"/>
      <c r="I8" s="85"/>
    </row>
    <row r="9">
      <c r="A9" s="808" t="s">
        <v>3805</v>
      </c>
      <c r="B9" s="802"/>
      <c r="C9" s="803" t="str">
        <f>IFERROR(__xludf.DUMMYFUNCTION("QUERY(IMPORTRANGE(""https://docs.google.com/spreadsheets/d/1OVgANnEkSS9Dd3iKO7u5ZnWhJVOR3TMtpICDCcZLx48/edit?gid=1002293455#gid=1002293455"",""BGM制作一覧（3/26更新）!$B$4:K""),""Select Col3,Col4,Col5,Col10 where Col2 = '""&amp;A9&amp;""'"",false)"),"バトル")</f>
        <v>バトル</v>
      </c>
      <c r="D9" s="804" t="str">
        <f>IFERROR(__xludf.DUMMYFUNCTION("""COMPUTED_VALUE"""),"メイン・イベントクエスト バトル5 バトル系2")</f>
        <v>メイン・イベントクエスト バトル5 バトル系2</v>
      </c>
      <c r="E9" s="809" t="str">
        <f>IFERROR(__xludf.DUMMYFUNCTION("""COMPUTED_VALUE"""),"メイン・イベントクエストのインゲームでバトル系の作品で使用します")</f>
        <v>メイン・イベントクエストのインゲームでバトル系の作品で使用します</v>
      </c>
      <c r="F9" s="810"/>
      <c r="G9" s="811"/>
      <c r="H9" s="53"/>
      <c r="I9" s="85"/>
    </row>
    <row r="10">
      <c r="A10" s="808" t="s">
        <v>3806</v>
      </c>
      <c r="B10" s="802"/>
      <c r="C10" s="803" t="str">
        <f>IFERROR(__xludf.DUMMYFUNCTION("QUERY(IMPORTRANGE(""https://docs.google.com/spreadsheets/d/1OVgANnEkSS9Dd3iKO7u5ZnWhJVOR3TMtpICDCcZLx48/edit?gid=1002293455#gid=1002293455"",""BGM制作一覧（3/26更新）!$B$4:K""),""Select Col3,Col4,Col5,Col10 where Col2 = '""&amp;A10&amp;""'"",false)"),"バトル")</f>
        <v>バトル</v>
      </c>
      <c r="D10" s="820" t="str">
        <f>IFERROR(__xludf.DUMMYFUNCTION("""COMPUTED_VALUE"""),"メイン・イベントクエスト強敵/ボス登場時2
（高難度）")</f>
        <v>メイン・イベントクエスト強敵/ボス登場時2
（高難度）</v>
      </c>
      <c r="E10" s="821" t="str">
        <f>IFERROR(__xludf.DUMMYFUNCTION("""COMPUTED_VALUE"""),"難易度が高難度のメイン・イベントクエストのインゲームで強敵登場時に使用します")</f>
        <v>難易度が高難度のメイン・イベントクエストのインゲームで強敵登場時に使用します</v>
      </c>
      <c r="F10" s="822"/>
      <c r="G10" s="813" t="s">
        <v>3807</v>
      </c>
      <c r="H10" s="53"/>
      <c r="I10" s="85"/>
    </row>
    <row r="11">
      <c r="A11" s="808" t="s">
        <v>3808</v>
      </c>
      <c r="B11" s="802"/>
      <c r="C11" s="803" t="str">
        <f>IFERROR(__xludf.DUMMYFUNCTION("QUERY(IMPORTRANGE(""https://docs.google.com/spreadsheets/d/1OVgANnEkSS9Dd3iKO7u5ZnWhJVOR3TMtpICDCcZLx48/edit?gid=1002293455#gid=1002293455"",""BGM制作一覧（3/26更新）!$B$4:K""),""Select Col3,Col4,Col5,Col10 where Col2 = '""&amp;A11&amp;""'"",false)"),"バトル")</f>
        <v>バトル</v>
      </c>
      <c r="D11" s="820" t="str">
        <f>IFERROR(__xludf.DUMMYFUNCTION("""COMPUTED_VALUE"""),"メイン・イベントクエスト（高難易度）バトル1")</f>
        <v>メイン・イベントクエスト（高難易度）バトル1</v>
      </c>
      <c r="E11" s="821" t="str">
        <f>IFERROR(__xludf.DUMMYFUNCTION("""COMPUTED_VALUE"""),"難易度が高難度のメイン・イベントクエストのインゲームでバトル系の作品で使用します")</f>
        <v>難易度が高難度のメイン・イベントクエストのインゲームでバトル系の作品で使用します</v>
      </c>
      <c r="F11" s="822"/>
      <c r="G11" s="811"/>
      <c r="H11" s="53"/>
      <c r="I11" s="85"/>
    </row>
    <row r="12">
      <c r="A12" s="808" t="s">
        <v>3809</v>
      </c>
      <c r="B12" s="802"/>
      <c r="C12" s="803" t="str">
        <f>IFERROR(__xludf.DUMMYFUNCTION("QUERY(IMPORTRANGE(""https://docs.google.com/spreadsheets/d/1OVgANnEkSS9Dd3iKO7u5ZnWhJVOR3TMtpICDCcZLx48/edit?gid=1002293455#gid=1002293455"",""BGM制作一覧（3/26更新）!$B$4:K""),""Select Col3,Col4,Col5,Col10 where Col2 = '""&amp;A12&amp;""'"",false)"),"バトル")</f>
        <v>バトル</v>
      </c>
      <c r="D12" s="804" t="str">
        <f>IFERROR(__xludf.DUMMYFUNCTION("""COMPUTED_VALUE"""),"メイン・イベントクエスト ラブコメ系2")</f>
        <v>メイン・イベントクエスト ラブコメ系2</v>
      </c>
      <c r="E12" s="809" t="str">
        <f>IFERROR(__xludf.DUMMYFUNCTION("""COMPUTED_VALUE"""),"メイン・イベントクエストのインゲームでラブコメ系の作品で使用します")</f>
        <v>メイン・イベントクエストのインゲームでラブコメ系の作品で使用します</v>
      </c>
      <c r="F12" s="823" t="str">
        <f>IFERROR(__xludf.DUMMYFUNCTION("""COMPUTED_VALUE"""),"https://app.box.com/folder/303904861699")</f>
        <v>https://app.box.com/folder/303904861699</v>
      </c>
      <c r="G12" s="811"/>
      <c r="H12" s="53"/>
      <c r="I12" s="85"/>
    </row>
    <row r="13">
      <c r="A13" s="808" t="s">
        <v>3810</v>
      </c>
      <c r="B13" s="812"/>
      <c r="C13" s="803" t="str">
        <f>IFERROR(__xludf.DUMMYFUNCTION("QUERY(IMPORTRANGE(""https://docs.google.com/spreadsheets/d/1OVgANnEkSS9Dd3iKO7u5ZnWhJVOR3TMtpICDCcZLx48/edit?gid=1002293455#gid=1002293455"",""BGM制作一覧（3/26更新）!$B$4:K""),""Select Col3,Col4,Col5,Col10 where Col2 = '""&amp;A13&amp;""'"",false)"),"バトル")</f>
        <v>バトル</v>
      </c>
      <c r="D13" s="804" t="str">
        <f>IFERROR(__xludf.DUMMYFUNCTION("""COMPUTED_VALUE"""),"降臨バトル ")</f>
        <v>降臨バトル </v>
      </c>
      <c r="E13" s="809" t="str">
        <f>IFERROR(__xludf.DUMMYFUNCTION("""COMPUTED_VALUE"""),"降臨バトルのインゲームで使用します")</f>
        <v>降臨バトルのインゲームで使用します</v>
      </c>
      <c r="F13" s="823" t="str">
        <f>IFERROR(__xludf.DUMMYFUNCTION("""COMPUTED_VALUE"""),"https://app.box.com/folder/313090384535")</f>
        <v>https://app.box.com/folder/313090384535</v>
      </c>
      <c r="G13" s="811"/>
      <c r="H13" s="53"/>
      <c r="I13" s="85"/>
    </row>
    <row r="14">
      <c r="A14" s="808" t="s">
        <v>3811</v>
      </c>
      <c r="B14" s="802"/>
      <c r="C14" s="803" t="str">
        <f>IFERROR(__xludf.DUMMYFUNCTION("QUERY(IMPORTRANGE(""https://docs.google.com/spreadsheets/d/1OVgANnEkSS9Dd3iKO7u5ZnWhJVOR3TMtpICDCcZLx48/edit?gid=1002293455#gid=1002293455"",""BGM制作一覧（3/26更新）!$B$4:K""),""Select Col3,Col4,Col5,Col10 where Col2 = '""&amp;A14&amp;""'"",false)"),"タイトル・ホーム")</f>
        <v>タイトル・ホーム</v>
      </c>
      <c r="D14" s="804" t="str">
        <f>IFERROR(__xludf.DUMMYFUNCTION("""COMPUTED_VALUE"""),"タイトル")</f>
        <v>タイトル</v>
      </c>
      <c r="E14" s="809" t="str">
        <f>IFERROR(__xludf.DUMMYFUNCTION("""COMPUTED_VALUE"""),"タイトル画面で使用します")</f>
        <v>タイトル画面で使用します</v>
      </c>
      <c r="F14" s="823" t="str">
        <f>IFERROR(__xludf.DUMMYFUNCTION("""COMPUTED_VALUE"""),"https://app.box.com/folder/313090384535")</f>
        <v>https://app.box.com/folder/313090384535</v>
      </c>
      <c r="G14" s="811"/>
      <c r="H14" s="53"/>
      <c r="I14" s="85"/>
    </row>
    <row r="15">
      <c r="A15" s="808" t="s">
        <v>3812</v>
      </c>
      <c r="B15" s="812"/>
      <c r="C15" s="803" t="str">
        <f>IFERROR(__xludf.DUMMYFUNCTION("QUERY(IMPORTRANGE(""https://docs.google.com/spreadsheets/d/1OVgANnEkSS9Dd3iKO7u5ZnWhJVOR3TMtpICDCcZLx48/edit?gid=1002293455#gid=1002293455"",""BGM制作一覧（3/26更新）!$B$4:K""),""Select Col3,Col4,Col5,Col10 where Col2 = '""&amp;A15&amp;""'"",false)"),"タイトル・ホーム")</f>
        <v>タイトル・ホーム</v>
      </c>
      <c r="D15" s="804" t="str">
        <f>IFERROR(__xludf.DUMMYFUNCTION("""COMPUTED_VALUE"""),"ホーム1")</f>
        <v>ホーム1</v>
      </c>
      <c r="E15" s="809" t="str">
        <f>IFERROR(__xludf.DUMMYFUNCTION("""COMPUTED_VALUE"""),"ホーム画面（定常）で使用します")</f>
        <v>ホーム画面（定常）で使用します</v>
      </c>
      <c r="F15" s="823" t="str">
        <f>IFERROR(__xludf.DUMMYFUNCTION("""COMPUTED_VALUE"""),"https://app.box.com/folder/307822120496")</f>
        <v>https://app.box.com/folder/307822120496</v>
      </c>
      <c r="G15" s="811"/>
      <c r="H15" s="53"/>
      <c r="I15" s="85"/>
    </row>
    <row r="16">
      <c r="A16" s="824" t="s">
        <v>3813</v>
      </c>
      <c r="B16" s="825"/>
      <c r="C16" s="803" t="str">
        <f>IFERROR(__xludf.DUMMYFUNCTION("QUERY(IMPORTRANGE(""https://docs.google.com/spreadsheets/d/1OVgANnEkSS9Dd3iKO7u5ZnWhJVOR3TMtpICDCcZLx48/edit?gid=1002293455#gid=1002293455"",""BGM制作一覧（3/26更新）!$B$4:K""),""Select Col3,Col4,Col5,Col10 where Col2 = '""&amp;A16&amp;""'"",false)"),"タイトル・ホーム")</f>
        <v>タイトル・ホーム</v>
      </c>
      <c r="D16" s="826" t="str">
        <f>IFERROR(__xludf.DUMMYFUNCTION("""COMPUTED_VALUE"""),"ホーム2")</f>
        <v>ホーム2</v>
      </c>
      <c r="E16" s="827" t="str">
        <f>IFERROR(__xludf.DUMMYFUNCTION("""COMPUTED_VALUE"""),"ホーム画面で使用します
→いいジャン祭周年系イベントなど開催時に使用します")</f>
        <v>ホーム画面で使用します
→いいジャン祭周年系イベントなど開催時に使用します</v>
      </c>
      <c r="F16" s="828" t="str">
        <f>IFERROR(__xludf.DUMMYFUNCTION("""COMPUTED_VALUE"""),"https://app.box.com/folder/309364595927")</f>
        <v>https://app.box.com/folder/309364595927</v>
      </c>
      <c r="G16" s="114"/>
      <c r="H16" s="53"/>
      <c r="I16" s="85"/>
    </row>
    <row r="17">
      <c r="A17" s="829" t="s">
        <v>3814</v>
      </c>
      <c r="B17" s="825"/>
      <c r="C17" s="803" t="str">
        <f>IFERROR(__xludf.DUMMYFUNCTION("QUERY(IMPORTRANGE(""https://docs.google.com/spreadsheets/d/1OVgANnEkSS9Dd3iKO7u5ZnWhJVOR3TMtpICDCcZLx48/edit?gid=1002293455#gid=1002293455"",""BGM制作一覧（3/26更新）!$B$4:K""),""Select Col3,Col4,Col5,Col10 where Col2 = '""&amp;A17&amp;""'"",false)"),"システム")</f>
        <v>システム</v>
      </c>
      <c r="D17" s="826" t="str">
        <f>IFERROR(__xludf.DUMMYFUNCTION("""COMPUTED_VALUE"""),"バトルリザルト")</f>
        <v>バトルリザルト</v>
      </c>
      <c r="E17" s="827" t="str">
        <f>IFERROR(__xludf.DUMMYFUNCTION("""COMPUTED_VALUE"""),"バトルリザルト画面で使用します")</f>
        <v>バトルリザルト画面で使用します</v>
      </c>
      <c r="F17" s="828" t="str">
        <f>IFERROR(__xludf.DUMMYFUNCTION("""COMPUTED_VALUE"""),"https://app.box.com/folder/309364595927")</f>
        <v>https://app.box.com/folder/309364595927</v>
      </c>
      <c r="G17" s="114"/>
      <c r="H17" s="53"/>
      <c r="I17" s="85"/>
    </row>
    <row r="18">
      <c r="A18" s="824" t="s">
        <v>3815</v>
      </c>
      <c r="B18" s="825"/>
      <c r="C18" s="803" t="str">
        <f>IFERROR(__xludf.DUMMYFUNCTION("QUERY(IMPORTRANGE(""https://docs.google.com/spreadsheets/d/1OVgANnEkSS9Dd3iKO7u5ZnWhJVOR3TMtpICDCcZLx48/edit?gid=1002293455#gid=1002293455"",""BGM制作一覧（3/26更新）!$B$4:K""),""Select Col3,Col4,Col5,Col10 where Col2 = '""&amp;A18&amp;""'"",false)"),"タイトル・ホーム")</f>
        <v>タイトル・ホーム</v>
      </c>
      <c r="D18" s="826" t="str">
        <f>IFERROR(__xludf.DUMMYFUNCTION("""COMPUTED_VALUE"""),"イベントTOP")</f>
        <v>イベントTOP</v>
      </c>
      <c r="E18" s="827" t="str">
        <f>IFERROR(__xludf.DUMMYFUNCTION("""COMPUTED_VALUE"""),"イベントTOP画面で使用します
→以下の画面でも流れます
・コイン獲得クエストTOP画面
・降臨バトルTOP画面
・いいジャン祭TOP画面
・いいジャン祭ステージ選択画面")</f>
        <v>イベントTOP画面で使用します
→以下の画面でも流れます
・コイン獲得クエストTOP画面
・降臨バトルTOP画面
・いいジャン祭TOP画面
・いいジャン祭ステージ選択画面</v>
      </c>
      <c r="F18" s="828" t="str">
        <f>IFERROR(__xludf.DUMMYFUNCTION("""COMPUTED_VALUE"""),"https://app.box.com/folder/313090384535")</f>
        <v>https://app.box.com/folder/313090384535</v>
      </c>
      <c r="G18" s="114"/>
      <c r="H18" s="53"/>
      <c r="I18" s="85"/>
    </row>
    <row r="19">
      <c r="A19" s="824" t="s">
        <v>3816</v>
      </c>
      <c r="B19" s="825"/>
      <c r="C19" s="803" t="str">
        <f>IFERROR(__xludf.DUMMYFUNCTION("QUERY(IMPORTRANGE(""https://docs.google.com/spreadsheets/d/1OVgANnEkSS9Dd3iKO7u5ZnWhJVOR3TMtpICDCcZLx48/edit?gid=1002293455#gid=1002293455"",""BGM制作一覧（3/26更新）!$B$4:K""),""Select Col3,Col4,Col5,Col10 where Col2 = '""&amp;A19&amp;""'"",false)"),"#N/A")</f>
        <v>#N/A</v>
      </c>
      <c r="D19" s="826"/>
      <c r="E19" s="827"/>
      <c r="F19" s="830"/>
      <c r="G19" s="114"/>
      <c r="H19" s="53"/>
      <c r="I19" s="85"/>
    </row>
    <row r="20">
      <c r="A20" s="824" t="s">
        <v>3817</v>
      </c>
      <c r="B20" s="825"/>
      <c r="C20" s="803" t="str">
        <f>IFERROR(__xludf.DUMMYFUNCTION("QUERY(IMPORTRANGE(""https://docs.google.com/spreadsheets/d/1OVgANnEkSS9Dd3iKO7u5ZnWhJVOR3TMtpICDCcZLx48/edit?gid=1002293455#gid=1002293455"",""BGM制作一覧（3/26更新）!$B$4:K""),""Select Col3,Col4,Col5,Col10 where Col2 = '""&amp;A20&amp;""'"",false)"),"ガシャ")</f>
        <v>ガシャ</v>
      </c>
      <c r="D20" s="826" t="str">
        <f>IFERROR(__xludf.DUMMYFUNCTION("""COMPUTED_VALUE"""),"ガシャ演出")</f>
        <v>ガシャ演出</v>
      </c>
      <c r="E20" s="827" t="str">
        <f>IFERROR(__xludf.DUMMYFUNCTION("""COMPUTED_VALUE"""),"ガシャ演出で使用します")</f>
        <v>ガシャ演出で使用します</v>
      </c>
      <c r="F20" s="828" t="str">
        <f>IFERROR(__xludf.DUMMYFUNCTION("""COMPUTED_VALUE"""),"https://app.box.com/file/1721214030733")</f>
        <v>https://app.box.com/file/1721214030733</v>
      </c>
      <c r="G20" s="114"/>
      <c r="H20" s="53"/>
      <c r="I20" s="85"/>
    </row>
    <row r="21">
      <c r="A21" s="824" t="s">
        <v>3818</v>
      </c>
      <c r="B21" s="825"/>
      <c r="C21" s="803" t="str">
        <f>IFERROR(__xludf.DUMMYFUNCTION("QUERY(IMPORTRANGE(""https://docs.google.com/spreadsheets/d/1OVgANnEkSS9Dd3iKO7u5ZnWhJVOR3TMtpICDCcZLx48/edit?gid=1002293455#gid=1002293455"",""BGM制作一覧（3/26更新）!$B$4:K""),""Select Col3,Col4,Col5,Col10 where Col2 = '""&amp;A21&amp;""'"",false)"),"ガシャ")</f>
        <v>ガシャ</v>
      </c>
      <c r="D21" s="826" t="str">
        <f>IFERROR(__xludf.DUMMYFUNCTION("""COMPUTED_VALUE"""),"ガシャリザルト画面")</f>
        <v>ガシャリザルト画面</v>
      </c>
      <c r="E21" s="827" t="str">
        <f>IFERROR(__xludf.DUMMYFUNCTION("""COMPUTED_VALUE"""),"ガシャリザルト画面で使用します")</f>
        <v>ガシャリザルト画面で使用します</v>
      </c>
      <c r="F21" s="828" t="str">
        <f>IFERROR(__xludf.DUMMYFUNCTION("""COMPUTED_VALUE"""),"https://app.box.com/file/1721214030733")</f>
        <v>https://app.box.com/file/1721214030733</v>
      </c>
      <c r="G21" s="114"/>
      <c r="H21" s="53"/>
      <c r="I21" s="85"/>
    </row>
    <row r="22">
      <c r="A22" s="85"/>
      <c r="B22" s="792"/>
      <c r="C22" s="85"/>
      <c r="D22" s="85"/>
      <c r="E22" s="831"/>
      <c r="F22" s="85"/>
      <c r="G22" s="831"/>
      <c r="H22" s="832"/>
      <c r="I22" s="85"/>
    </row>
    <row r="23">
      <c r="A23" s="85"/>
      <c r="B23" s="792"/>
      <c r="C23" s="85"/>
      <c r="D23" s="85"/>
      <c r="E23" s="831"/>
      <c r="F23" s="85"/>
      <c r="G23" s="831"/>
      <c r="H23" s="832"/>
      <c r="I23" s="85"/>
    </row>
    <row r="24">
      <c r="A24" s="85"/>
      <c r="B24" s="792"/>
      <c r="C24" s="85"/>
      <c r="D24" s="85"/>
      <c r="E24" s="831"/>
      <c r="F24" s="85"/>
      <c r="G24" s="831"/>
      <c r="H24" s="832"/>
      <c r="I24" s="85"/>
    </row>
    <row r="25">
      <c r="A25" s="85"/>
      <c r="B25" s="792"/>
      <c r="C25" s="85"/>
      <c r="D25" s="85"/>
      <c r="E25" s="831"/>
      <c r="F25" s="85"/>
      <c r="G25" s="831"/>
      <c r="H25" s="832"/>
      <c r="I25" s="85"/>
    </row>
    <row r="26">
      <c r="A26" s="85"/>
      <c r="B26" s="792"/>
      <c r="C26" s="85"/>
      <c r="D26" s="85"/>
      <c r="E26" s="831"/>
      <c r="F26" s="85"/>
      <c r="G26" s="831"/>
      <c r="H26" s="832"/>
      <c r="I26" s="85"/>
    </row>
    <row r="27">
      <c r="A27" s="85"/>
      <c r="B27" s="792"/>
      <c r="C27" s="85"/>
      <c r="D27" s="85"/>
      <c r="E27" s="831"/>
      <c r="F27" s="85"/>
      <c r="G27" s="831"/>
      <c r="H27" s="832"/>
      <c r="I27" s="85"/>
    </row>
    <row r="28">
      <c r="A28" s="85"/>
      <c r="B28" s="792"/>
      <c r="C28" s="85"/>
      <c r="D28" s="85"/>
      <c r="E28" s="831"/>
      <c r="F28" s="85"/>
      <c r="G28" s="831"/>
      <c r="H28" s="832"/>
      <c r="I28" s="85"/>
    </row>
    <row r="29">
      <c r="A29" s="85"/>
      <c r="B29" s="792"/>
      <c r="C29" s="85"/>
      <c r="D29" s="85"/>
      <c r="E29" s="831"/>
      <c r="F29" s="85"/>
      <c r="G29" s="831"/>
      <c r="H29" s="832"/>
      <c r="I29" s="85"/>
    </row>
    <row r="30">
      <c r="A30" s="85"/>
      <c r="B30" s="792"/>
      <c r="C30" s="85"/>
      <c r="D30" s="85"/>
      <c r="E30" s="831"/>
      <c r="F30" s="85"/>
      <c r="G30" s="831"/>
      <c r="H30" s="832"/>
      <c r="I30" s="85"/>
    </row>
    <row r="31">
      <c r="A31" s="85"/>
      <c r="B31" s="792"/>
      <c r="C31" s="85"/>
      <c r="D31" s="85"/>
      <c r="E31" s="831"/>
      <c r="F31" s="85"/>
      <c r="G31" s="831"/>
      <c r="H31" s="832"/>
      <c r="I31" s="85"/>
    </row>
    <row r="32">
      <c r="A32" s="85"/>
      <c r="B32" s="792"/>
      <c r="C32" s="85"/>
      <c r="D32" s="85"/>
      <c r="E32" s="831"/>
      <c r="F32" s="85"/>
      <c r="G32" s="831"/>
      <c r="H32" s="832"/>
      <c r="I32" s="85"/>
    </row>
    <row r="33">
      <c r="A33" s="85"/>
      <c r="B33" s="792"/>
      <c r="C33" s="85"/>
      <c r="D33" s="85"/>
      <c r="E33" s="831"/>
      <c r="F33" s="85"/>
      <c r="G33" s="831"/>
      <c r="H33" s="832"/>
      <c r="I33" s="85"/>
    </row>
    <row r="34">
      <c r="A34" s="85"/>
      <c r="B34" s="792"/>
      <c r="C34" s="85"/>
      <c r="D34" s="85"/>
      <c r="E34" s="831"/>
      <c r="F34" s="85"/>
      <c r="G34" s="831"/>
      <c r="H34" s="832"/>
      <c r="I34" s="85"/>
    </row>
    <row r="35">
      <c r="A35" s="85"/>
      <c r="B35" s="792"/>
      <c r="C35" s="85"/>
      <c r="D35" s="85"/>
      <c r="E35" s="831"/>
      <c r="F35" s="85"/>
      <c r="G35" s="831"/>
      <c r="H35" s="832"/>
      <c r="I35" s="85"/>
    </row>
    <row r="36">
      <c r="A36" s="85"/>
      <c r="B36" s="792"/>
      <c r="C36" s="85"/>
      <c r="D36" s="85"/>
      <c r="E36" s="831"/>
      <c r="F36" s="85"/>
      <c r="G36" s="831"/>
      <c r="H36" s="832"/>
      <c r="I36" s="85"/>
    </row>
    <row r="37">
      <c r="A37" s="85"/>
      <c r="B37" s="792"/>
      <c r="C37" s="85"/>
      <c r="D37" s="85"/>
      <c r="E37" s="831"/>
      <c r="F37" s="85"/>
      <c r="G37" s="831"/>
      <c r="H37" s="832"/>
      <c r="I37" s="85"/>
    </row>
    <row r="38">
      <c r="A38" s="85"/>
      <c r="B38" s="792"/>
      <c r="C38" s="85"/>
      <c r="D38" s="85"/>
      <c r="E38" s="831"/>
      <c r="F38" s="85"/>
      <c r="G38" s="831"/>
      <c r="H38" s="832"/>
      <c r="I38" s="85"/>
    </row>
    <row r="39">
      <c r="A39" s="85"/>
      <c r="B39" s="792"/>
      <c r="C39" s="85"/>
      <c r="D39" s="85"/>
      <c r="E39" s="831"/>
      <c r="F39" s="85"/>
      <c r="G39" s="831"/>
      <c r="H39" s="832"/>
      <c r="I39" s="85"/>
    </row>
    <row r="40">
      <c r="A40" s="85"/>
      <c r="B40" s="792"/>
      <c r="C40" s="85"/>
      <c r="D40" s="85"/>
      <c r="E40" s="831"/>
      <c r="F40" s="85"/>
      <c r="G40" s="831"/>
      <c r="H40" s="832"/>
      <c r="I40" s="85"/>
    </row>
  </sheetData>
  <mergeCells count="7">
    <mergeCell ref="A2:A3"/>
    <mergeCell ref="B2:B3"/>
    <mergeCell ref="C2:D2"/>
    <mergeCell ref="E2:E3"/>
    <mergeCell ref="F2:F3"/>
    <mergeCell ref="G2:G3"/>
    <mergeCell ref="H2:H3"/>
  </mergeCells>
  <hyperlinks>
    <hyperlink r:id="rId2" location="gid=1002293455&amp;range=A1" ref="A1"/>
    <hyperlink r:id="rId3" ref="F12"/>
    <hyperlink r:id="rId4" ref="F13"/>
    <hyperlink r:id="rId5" ref="F14"/>
    <hyperlink r:id="rId6" ref="F15"/>
    <hyperlink r:id="rId7" ref="F16"/>
    <hyperlink r:id="rId8" ref="F17"/>
    <hyperlink r:id="rId9" ref="F18"/>
    <hyperlink r:id="rId10" ref="F20"/>
    <hyperlink r:id="rId11" ref="F21"/>
  </hyperlinks>
  <drawing r:id="rId12"/>
  <legacyDrawing r:id="rId1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9.5"/>
    <col customWidth="1" min="2" max="2" width="11.63"/>
    <col customWidth="1" min="3" max="3" width="21.38"/>
    <col customWidth="1" min="4" max="4" width="7.88"/>
    <col customWidth="1" min="5" max="6" width="15.13"/>
    <col customWidth="1" min="7" max="7" width="34.0"/>
    <col customWidth="1" min="8" max="8" width="11.88"/>
    <col customWidth="1" min="9" max="9" width="12.25"/>
    <col customWidth="1" min="10" max="12" width="10.75"/>
    <col customWidth="1" min="13" max="13" width="20.25"/>
    <col customWidth="1" min="14" max="14" width="39.88"/>
    <col customWidth="1" min="15" max="15" width="19.5"/>
    <col customWidth="1" min="16" max="17" width="7.88"/>
    <col customWidth="1" min="18" max="18" width="11.63"/>
    <col customWidth="1" min="19" max="19" width="9.0"/>
    <col customWidth="1" min="20" max="20" width="8.88"/>
    <col customWidth="1" min="21" max="21" width="10.38"/>
  </cols>
  <sheetData>
    <row r="1">
      <c r="A1" s="833"/>
      <c r="B1" s="834"/>
      <c r="C1" s="835"/>
      <c r="D1" s="835"/>
      <c r="E1" s="836"/>
      <c r="F1" s="837"/>
      <c r="G1" s="838" t="s">
        <v>3819</v>
      </c>
      <c r="H1" s="839"/>
      <c r="I1" s="840"/>
      <c r="J1" s="840"/>
      <c r="K1" s="840"/>
      <c r="L1" s="841"/>
      <c r="M1" s="839"/>
      <c r="N1" s="842"/>
      <c r="O1" s="842"/>
      <c r="P1" s="843" t="s">
        <v>3820</v>
      </c>
      <c r="Q1" s="843" t="s">
        <v>3821</v>
      </c>
      <c r="R1" s="844"/>
      <c r="S1" s="845"/>
      <c r="T1" s="845"/>
      <c r="U1" s="846"/>
    </row>
    <row r="2">
      <c r="A2" s="842"/>
      <c r="B2" s="847"/>
      <c r="C2" s="847"/>
      <c r="D2" s="848" t="s">
        <v>3790</v>
      </c>
      <c r="E2" s="233"/>
      <c r="F2" s="842"/>
      <c r="G2" s="842"/>
      <c r="H2" s="842"/>
      <c r="I2" s="849"/>
      <c r="J2" s="849"/>
      <c r="K2" s="849"/>
      <c r="L2" s="850"/>
      <c r="M2" s="842"/>
      <c r="N2" s="842"/>
      <c r="O2" s="842"/>
      <c r="P2" s="851" t="s">
        <v>3822</v>
      </c>
      <c r="Q2" s="851" t="s">
        <v>3823</v>
      </c>
      <c r="R2" s="844" t="s">
        <v>3824</v>
      </c>
      <c r="S2" s="88"/>
      <c r="T2" s="852" t="s">
        <v>3825</v>
      </c>
      <c r="U2" s="853" t="s">
        <v>3826</v>
      </c>
    </row>
    <row r="3">
      <c r="A3" s="854" t="s">
        <v>3827</v>
      </c>
      <c r="B3" s="854" t="s">
        <v>3788</v>
      </c>
      <c r="C3" s="854" t="s">
        <v>3828</v>
      </c>
      <c r="D3" s="854" t="s">
        <v>2938</v>
      </c>
      <c r="E3" s="854" t="s">
        <v>3794</v>
      </c>
      <c r="F3" s="854" t="s">
        <v>3829</v>
      </c>
      <c r="G3" s="854" t="s">
        <v>3830</v>
      </c>
      <c r="H3" s="854" t="s">
        <v>3831</v>
      </c>
      <c r="I3" s="855" t="s">
        <v>3832</v>
      </c>
      <c r="J3" s="855" t="s">
        <v>3833</v>
      </c>
      <c r="K3" s="855" t="s">
        <v>3834</v>
      </c>
      <c r="L3" s="856" t="s">
        <v>3835</v>
      </c>
      <c r="M3" s="854" t="s">
        <v>2526</v>
      </c>
      <c r="N3" s="842" t="s">
        <v>3836</v>
      </c>
      <c r="O3" s="842"/>
      <c r="P3" s="857" t="s">
        <v>3837</v>
      </c>
      <c r="Q3" s="857" t="s">
        <v>3837</v>
      </c>
      <c r="R3" s="858" t="s">
        <v>3838</v>
      </c>
      <c r="S3" s="858" t="s">
        <v>3839</v>
      </c>
      <c r="T3" s="859" t="s">
        <v>3825</v>
      </c>
      <c r="U3" s="859" t="s">
        <v>3840</v>
      </c>
    </row>
    <row r="4">
      <c r="A4" s="860" t="str">
        <f t="array" ref="A4">if(G4="","",XLOOKUP(D4,'プルダウンメニュー (SE用)'!$D$2:$D1028,'プルダウンメニュー (SE用)'!$C$2:$C1028))</f>
        <v>common_se</v>
      </c>
      <c r="B4" s="860" t="str">
        <f>iferror(if(H4="GLOW流用","-",if(G4="","","SSE_"&amp;TEXT(vlookup(E4,'プルダウンメニュー (SE用)'!$E$2:$F1028,2,false),"000")&amp;"_"&amp;TEXT(COUNTIF($E$4:E4,E4),"000"))),"")</f>
        <v>SSE_000_001</v>
      </c>
      <c r="C4" s="860" t="s">
        <v>3841</v>
      </c>
      <c r="D4" s="861" t="s">
        <v>2788</v>
      </c>
      <c r="E4" s="861" t="s">
        <v>2788</v>
      </c>
      <c r="F4" s="861" t="s">
        <v>2788</v>
      </c>
      <c r="G4" s="861" t="s">
        <v>3842</v>
      </c>
      <c r="H4" s="862" t="s">
        <v>3843</v>
      </c>
      <c r="I4" s="863" t="s">
        <v>3758</v>
      </c>
      <c r="J4" s="864" t="s">
        <v>3844</v>
      </c>
      <c r="K4" s="865" t="s">
        <v>3845</v>
      </c>
      <c r="L4" s="865" t="s">
        <v>3846</v>
      </c>
      <c r="M4" s="866"/>
      <c r="N4" s="867"/>
      <c r="O4" s="867"/>
      <c r="P4" s="868">
        <v>660.0</v>
      </c>
      <c r="Q4" s="868">
        <v>600.0</v>
      </c>
      <c r="R4" s="869" t="s">
        <v>3847</v>
      </c>
      <c r="S4" s="143"/>
      <c r="T4" s="870" t="s">
        <v>3848</v>
      </c>
      <c r="U4" s="869"/>
    </row>
    <row r="5">
      <c r="A5" s="860" t="str">
        <f t="array" ref="A5">if(G5="","",XLOOKUP(D5,'プルダウンメニュー (SE用)'!$D$2:$D1028,'プルダウンメニュー (SE用)'!$C$2:$C1028))</f>
        <v>common_se</v>
      </c>
      <c r="B5" s="860" t="str">
        <f>iferror(if(H5="GLOW流用","-",if(G5="","","SSE_"&amp;TEXT(vlookup(E5,'プルダウンメニュー (SE用)'!$E$2:$F1028,2,false),"000")&amp;"_"&amp;TEXT(COUNTIF($E$4:E5,E5),"000"))),"")</f>
        <v>SSE_000_002</v>
      </c>
      <c r="C5" s="860" t="s">
        <v>3849</v>
      </c>
      <c r="D5" s="861" t="s">
        <v>2788</v>
      </c>
      <c r="E5" s="861" t="s">
        <v>2788</v>
      </c>
      <c r="F5" s="861" t="s">
        <v>2788</v>
      </c>
      <c r="G5" s="861" t="s">
        <v>3850</v>
      </c>
      <c r="H5" s="871" t="s">
        <v>3843</v>
      </c>
      <c r="I5" s="872" t="s">
        <v>3758</v>
      </c>
      <c r="J5" s="873" t="s">
        <v>3851</v>
      </c>
      <c r="K5" s="865" t="s">
        <v>3845</v>
      </c>
      <c r="L5" s="874" t="s">
        <v>3846</v>
      </c>
      <c r="M5" s="875"/>
      <c r="N5" s="876"/>
      <c r="O5" s="876"/>
      <c r="P5" s="868">
        <v>660.0</v>
      </c>
      <c r="Q5" s="868">
        <v>600.0</v>
      </c>
      <c r="R5" s="869" t="s">
        <v>3847</v>
      </c>
      <c r="S5" s="143"/>
      <c r="T5" s="870" t="s">
        <v>3848</v>
      </c>
      <c r="U5" s="869"/>
    </row>
    <row r="6">
      <c r="A6" s="860" t="str">
        <f t="array" ref="A6">if(G6="","",XLOOKUP(D6,'プルダウンメニュー (SE用)'!$D$2:$D1028,'プルダウンメニュー (SE用)'!$C$2:$C1028))</f>
        <v>common_se</v>
      </c>
      <c r="B6" s="860" t="str">
        <f>iferror(if(H6="GLOW流用","-",if(G6="","","SSE_"&amp;TEXT(vlookup(E6,'プルダウンメニュー (SE用)'!$E$2:$F1028,2,false),"000")&amp;"_"&amp;TEXT(COUNTIF($E$4:E6,E6),"000"))),"")</f>
        <v>SSE_000_003</v>
      </c>
      <c r="C6" s="860" t="s">
        <v>3852</v>
      </c>
      <c r="D6" s="861" t="s">
        <v>2788</v>
      </c>
      <c r="E6" s="861" t="s">
        <v>2788</v>
      </c>
      <c r="F6" s="861" t="s">
        <v>2788</v>
      </c>
      <c r="G6" s="861" t="s">
        <v>3853</v>
      </c>
      <c r="H6" s="871" t="s">
        <v>3843</v>
      </c>
      <c r="I6" s="877" t="s">
        <v>3758</v>
      </c>
      <c r="J6" s="878" t="s">
        <v>3854</v>
      </c>
      <c r="K6" s="865" t="s">
        <v>3845</v>
      </c>
      <c r="L6" s="874" t="s">
        <v>3846</v>
      </c>
      <c r="M6" s="875"/>
      <c r="N6" s="876"/>
      <c r="O6" s="876"/>
      <c r="P6" s="868">
        <v>660.0</v>
      </c>
      <c r="Q6" s="868">
        <v>600.0</v>
      </c>
      <c r="R6" s="869" t="s">
        <v>3847</v>
      </c>
      <c r="S6" s="143"/>
      <c r="T6" s="870" t="s">
        <v>3848</v>
      </c>
      <c r="U6" s="869"/>
    </row>
    <row r="7">
      <c r="A7" s="860" t="str">
        <f t="array" ref="A7">if(G7="","",XLOOKUP(D7,'プルダウンメニュー (SE用)'!$D$2:$D1028,'プルダウンメニュー (SE用)'!$C$2:$C1028))</f>
        <v>#N/A</v>
      </c>
      <c r="B7" s="860" t="str">
        <f>iferror(if(H7="GLOW流用","-",if(G7="","","SSE_"&amp;TEXT(vlookup(E7,'プルダウンメニュー (SE用)'!$E$2:$F1028,2,false),"000")&amp;"_"&amp;TEXT(COUNTIF($E$4:E7,E7),"000"))),"")</f>
        <v/>
      </c>
      <c r="C7" s="879"/>
      <c r="D7" s="880"/>
      <c r="E7" s="880"/>
      <c r="F7" s="880"/>
      <c r="G7" s="880" t="s">
        <v>3855</v>
      </c>
      <c r="H7" s="881"/>
      <c r="I7" s="882"/>
      <c r="J7" s="883"/>
      <c r="K7" s="884"/>
      <c r="L7" s="884"/>
      <c r="M7" s="885"/>
      <c r="N7" s="886" t="s">
        <v>3856</v>
      </c>
      <c r="O7" s="886"/>
      <c r="P7" s="887"/>
      <c r="Q7" s="888"/>
      <c r="R7" s="889"/>
      <c r="S7" s="890"/>
      <c r="T7" s="889"/>
      <c r="U7" s="889"/>
    </row>
    <row r="8">
      <c r="A8" s="860" t="str">
        <f t="array" ref="A8">if(G8="","",XLOOKUP(D8,'プルダウンメニュー (SE用)'!$D$2:$D1028,'プルダウンメニュー (SE用)'!$C$2:$C1028))</f>
        <v>common_se</v>
      </c>
      <c r="B8" s="860" t="str">
        <f>iferror(if(H8="GLOW流用","-",if(G8="","","SSE_"&amp;TEXT(vlookup(E8,'プルダウンメニュー (SE用)'!$E$2:$F1028,2,false),"000")&amp;"_"&amp;TEXT(COUNTIF($E$4:E8,E8),"000"))),"")</f>
        <v>SSE_000_004</v>
      </c>
      <c r="C8" s="860" t="s">
        <v>3857</v>
      </c>
      <c r="D8" s="861" t="s">
        <v>2788</v>
      </c>
      <c r="E8" s="861" t="s">
        <v>2788</v>
      </c>
      <c r="F8" s="861" t="s">
        <v>2788</v>
      </c>
      <c r="G8" s="861" t="s">
        <v>3858</v>
      </c>
      <c r="H8" s="871" t="s">
        <v>3859</v>
      </c>
      <c r="I8" s="891" t="s">
        <v>3758</v>
      </c>
      <c r="J8" s="892" t="s">
        <v>3860</v>
      </c>
      <c r="K8" s="865" t="s">
        <v>3845</v>
      </c>
      <c r="L8" s="893" t="s">
        <v>3846</v>
      </c>
      <c r="M8" s="894"/>
      <c r="N8" s="876" t="s">
        <v>3861</v>
      </c>
      <c r="O8" s="876"/>
      <c r="P8" s="895"/>
      <c r="Q8" s="868"/>
      <c r="R8" s="869"/>
      <c r="S8" s="143"/>
      <c r="T8" s="870" t="s">
        <v>3848</v>
      </c>
      <c r="U8" s="869"/>
    </row>
    <row r="9">
      <c r="A9" s="860" t="str">
        <f t="array" ref="A9">if(G9="","",XLOOKUP(D9,'プルダウンメニュー (SE用)'!$D$2:$D1028,'プルダウンメニュー (SE用)'!$C$2:$C1028))</f>
        <v>common_se</v>
      </c>
      <c r="B9" s="860" t="str">
        <f>iferror(if(H9="GLOW流用","-",if(G9="","","SSE_"&amp;TEXT(vlookup(E9,'プルダウンメニュー (SE用)'!$E$2:$F1028,2,false),"000")&amp;"_"&amp;TEXT(COUNTIF($E$4:E9,E9),"000"))),"")</f>
        <v>SSE_000_005</v>
      </c>
      <c r="C9" s="860" t="s">
        <v>3862</v>
      </c>
      <c r="D9" s="861" t="s">
        <v>2788</v>
      </c>
      <c r="E9" s="861" t="s">
        <v>2788</v>
      </c>
      <c r="F9" s="861" t="s">
        <v>2788</v>
      </c>
      <c r="G9" s="861" t="s">
        <v>3863</v>
      </c>
      <c r="H9" s="871" t="s">
        <v>3843</v>
      </c>
      <c r="I9" s="891" t="s">
        <v>3864</v>
      </c>
      <c r="J9" s="892" t="s">
        <v>3865</v>
      </c>
      <c r="K9" s="865" t="s">
        <v>3845</v>
      </c>
      <c r="L9" s="893" t="s">
        <v>3846</v>
      </c>
      <c r="M9" s="894"/>
      <c r="N9" s="876" t="s">
        <v>3866</v>
      </c>
      <c r="O9" s="876"/>
      <c r="P9" s="868">
        <v>660.0</v>
      </c>
      <c r="Q9" s="868">
        <v>600.0</v>
      </c>
      <c r="R9" s="869" t="s">
        <v>3847</v>
      </c>
      <c r="S9" s="143"/>
      <c r="T9" s="870" t="s">
        <v>3848</v>
      </c>
      <c r="U9" s="869"/>
    </row>
    <row r="10">
      <c r="A10" s="860" t="str">
        <f t="array" ref="A10">if(G10="","",XLOOKUP(D10,'プルダウンメニュー (SE用)'!$D$2:$D1028,'プルダウンメニュー (SE用)'!$C$2:$C1028))</f>
        <v>common_se</v>
      </c>
      <c r="B10" s="860" t="str">
        <f>iferror(if(H10="GLOW流用","-",if(G10="","","SSE_"&amp;TEXT(vlookup(E10,'プルダウンメニュー (SE用)'!$E$2:$F1028,2,false),"000")&amp;"_"&amp;TEXT(COUNTIF($E$4:E10,E10),"000"))),"")</f>
        <v>SSE_012_001</v>
      </c>
      <c r="C10" s="860" t="s">
        <v>3867</v>
      </c>
      <c r="D10" s="861" t="s">
        <v>2788</v>
      </c>
      <c r="E10" s="861" t="s">
        <v>3868</v>
      </c>
      <c r="F10" s="861" t="s">
        <v>3868</v>
      </c>
      <c r="G10" s="861" t="s">
        <v>3869</v>
      </c>
      <c r="H10" s="862" t="s">
        <v>3843</v>
      </c>
      <c r="I10" s="896" t="s">
        <v>3758</v>
      </c>
      <c r="J10" s="897" t="s">
        <v>3870</v>
      </c>
      <c r="K10" s="865" t="s">
        <v>3845</v>
      </c>
      <c r="L10" s="898" t="s">
        <v>3846</v>
      </c>
      <c r="M10" s="899"/>
      <c r="N10" s="900"/>
      <c r="O10" s="900"/>
      <c r="P10" s="868">
        <v>660.0</v>
      </c>
      <c r="Q10" s="868">
        <v>600.0</v>
      </c>
      <c r="R10" s="869" t="s">
        <v>3847</v>
      </c>
      <c r="S10" s="143"/>
      <c r="T10" s="870" t="s">
        <v>3848</v>
      </c>
      <c r="U10" s="869"/>
    </row>
    <row r="11">
      <c r="A11" s="860" t="str">
        <f t="array" ref="A11">if(G11="","",XLOOKUP(D11,'プルダウンメニュー (SE用)'!$D$2:$D1028,'プルダウンメニュー (SE用)'!$C$2:$C1028))</f>
        <v>common_se</v>
      </c>
      <c r="B11" s="860" t="str">
        <f>iferror(if(H11="GLOW流用","-",if(G11="","","SSE_"&amp;TEXT(vlookup(E11,'プルダウンメニュー (SE用)'!$E$2:$F1028,2,false),"000")&amp;"_"&amp;TEXT(COUNTIF($E$4:E11,E11),"000"))),"")</f>
        <v>SSE_012_002</v>
      </c>
      <c r="C11" s="860" t="s">
        <v>3871</v>
      </c>
      <c r="D11" s="861" t="s">
        <v>2788</v>
      </c>
      <c r="E11" s="861" t="s">
        <v>3868</v>
      </c>
      <c r="F11" s="861" t="s">
        <v>3868</v>
      </c>
      <c r="G11" s="861" t="s">
        <v>3872</v>
      </c>
      <c r="H11" s="862" t="s">
        <v>3843</v>
      </c>
      <c r="I11" s="896" t="s">
        <v>3758</v>
      </c>
      <c r="J11" s="897" t="s">
        <v>3873</v>
      </c>
      <c r="K11" s="865" t="s">
        <v>3845</v>
      </c>
      <c r="L11" s="898" t="s">
        <v>3846</v>
      </c>
      <c r="M11" s="899"/>
      <c r="N11" s="900"/>
      <c r="O11" s="900"/>
      <c r="P11" s="868">
        <v>660.0</v>
      </c>
      <c r="Q11" s="868">
        <v>600.0</v>
      </c>
      <c r="R11" s="869" t="s">
        <v>3847</v>
      </c>
      <c r="S11" s="143"/>
      <c r="T11" s="870" t="s">
        <v>3848</v>
      </c>
      <c r="U11" s="869"/>
    </row>
    <row r="12">
      <c r="A12" s="860" t="str">
        <f t="array" ref="A12">if(G12="","",XLOOKUP(D12,'プルダウンメニュー (SE用)'!$D$2:$D1028,'プルダウンメニュー (SE用)'!$C$2:$C1028))</f>
        <v>common_se</v>
      </c>
      <c r="B12" s="860" t="str">
        <f>iferror(if(H12="GLOW流用","-",if(G12="","","SSE_"&amp;TEXT(vlookup(E12,'プルダウンメニュー (SE用)'!$E$2:$F1028,2,false),"000")&amp;"_"&amp;TEXT(COUNTIF($E$4:E12,E12),"000"))),"")</f>
        <v>SSE_053_001</v>
      </c>
      <c r="C12" s="860" t="s">
        <v>3874</v>
      </c>
      <c r="D12" s="861" t="s">
        <v>2788</v>
      </c>
      <c r="E12" s="861" t="s">
        <v>3875</v>
      </c>
      <c r="F12" s="861" t="s">
        <v>3875</v>
      </c>
      <c r="G12" s="861" t="s">
        <v>3876</v>
      </c>
      <c r="H12" s="862" t="s">
        <v>3843</v>
      </c>
      <c r="I12" s="901" t="s">
        <v>3758</v>
      </c>
      <c r="J12" s="902" t="s">
        <v>3877</v>
      </c>
      <c r="K12" s="865" t="s">
        <v>3845</v>
      </c>
      <c r="L12" s="903" t="s">
        <v>3846</v>
      </c>
      <c r="M12" s="894"/>
      <c r="N12" s="904" t="s">
        <v>3878</v>
      </c>
      <c r="O12" s="904"/>
      <c r="P12" s="868">
        <v>660.0</v>
      </c>
      <c r="Q12" s="868">
        <v>600.0</v>
      </c>
      <c r="R12" s="869" t="s">
        <v>3847</v>
      </c>
      <c r="S12" s="143"/>
      <c r="T12" s="869"/>
      <c r="U12" s="869"/>
    </row>
    <row r="13">
      <c r="A13" s="860" t="str">
        <f t="array" ref="A13">if(G13="","",XLOOKUP(D13,'プルダウンメニュー (SE用)'!$D$2:$D1028,'プルダウンメニュー (SE用)'!$C$2:$C1028))</f>
        <v>common_se</v>
      </c>
      <c r="B13" s="860" t="str">
        <f>iferror(if(H13="GLOW流用","-",if(G13="","","SSE_"&amp;TEXT(vlookup(E13,'プルダウンメニュー (SE用)'!$E$2:$F1028,2,false),"000")&amp;"_"&amp;TEXT(COUNTIF($E$4:E13,E13),"000"))),"")</f>
        <v>SSE_053_002</v>
      </c>
      <c r="C13" s="860" t="s">
        <v>3879</v>
      </c>
      <c r="D13" s="861" t="s">
        <v>2788</v>
      </c>
      <c r="E13" s="861" t="s">
        <v>3875</v>
      </c>
      <c r="F13" s="861" t="s">
        <v>3875</v>
      </c>
      <c r="G13" s="861" t="s">
        <v>3880</v>
      </c>
      <c r="H13" s="862" t="s">
        <v>3859</v>
      </c>
      <c r="I13" s="901" t="s">
        <v>3864</v>
      </c>
      <c r="J13" s="902" t="s">
        <v>3881</v>
      </c>
      <c r="K13" s="865" t="s">
        <v>3845</v>
      </c>
      <c r="L13" s="903" t="s">
        <v>3846</v>
      </c>
      <c r="M13" s="894"/>
      <c r="N13" s="904" t="s">
        <v>3882</v>
      </c>
      <c r="O13" s="904"/>
      <c r="P13" s="868"/>
      <c r="Q13" s="868"/>
      <c r="R13" s="869"/>
      <c r="S13" s="143"/>
      <c r="T13" s="869"/>
      <c r="U13" s="869"/>
    </row>
    <row r="14">
      <c r="A14" s="860" t="str">
        <f t="array" ref="A14">if(G14="","",XLOOKUP(D14,'プルダウンメニュー (SE用)'!$D$2:$D1028,'プルダウンメニュー (SE用)'!$C$2:$C1028))</f>
        <v>common_se</v>
      </c>
      <c r="B14" s="905" t="str">
        <f>iferror(if(H14="GLOW流用","-",if(G14="","","SSE_"&amp;TEXT(vlookup(E14,'プルダウンメニュー (SE用)'!$E$2:$F1028,2,false),"000")&amp;"_"&amp;TEXT(COUNTIF($E$4:E14,E14),"000"))),"")</f>
        <v>SSE_053_003</v>
      </c>
      <c r="C14" s="860"/>
      <c r="D14" s="861" t="s">
        <v>2788</v>
      </c>
      <c r="E14" s="861" t="s">
        <v>3875</v>
      </c>
      <c r="F14" s="861" t="s">
        <v>3875</v>
      </c>
      <c r="G14" s="861" t="s">
        <v>3883</v>
      </c>
      <c r="H14" s="862" t="s">
        <v>3859</v>
      </c>
      <c r="I14" s="901" t="s">
        <v>3758</v>
      </c>
      <c r="J14" s="902" t="s">
        <v>3884</v>
      </c>
      <c r="K14" s="865" t="s">
        <v>3845</v>
      </c>
      <c r="L14" s="903" t="s">
        <v>3846</v>
      </c>
      <c r="M14" s="894"/>
      <c r="N14" s="904" t="s">
        <v>3885</v>
      </c>
      <c r="O14" s="904"/>
      <c r="P14" s="868">
        <v>660.0</v>
      </c>
      <c r="Q14" s="868">
        <v>600.0</v>
      </c>
      <c r="R14" s="869" t="s">
        <v>3847</v>
      </c>
      <c r="S14" s="143"/>
      <c r="T14" s="869"/>
      <c r="U14" s="869"/>
    </row>
    <row r="15">
      <c r="A15" s="860" t="str">
        <f t="array" ref="A15">if(G15="","",XLOOKUP(D15,'プルダウンメニュー (SE用)'!$D$2:$D1028,'プルダウンメニュー (SE用)'!$C$2:$C1028))</f>
        <v>battle_se</v>
      </c>
      <c r="B15" s="860" t="str">
        <f>iferror(if(H15="GLOW流用","-",if(G15="","","SSE_"&amp;TEXT(vlookup(E15,'プルダウンメニュー (SE用)'!$E$2:$F1028,2,false),"000")&amp;"_"&amp;TEXT(COUNTIF($E$4:E15,E15),"000"))),"")</f>
        <v>SSE_051_001</v>
      </c>
      <c r="C15" s="860" t="s">
        <v>3886</v>
      </c>
      <c r="D15" s="861" t="s">
        <v>3887</v>
      </c>
      <c r="E15" s="861" t="s">
        <v>3888</v>
      </c>
      <c r="F15" s="861" t="s">
        <v>3888</v>
      </c>
      <c r="G15" s="861" t="s">
        <v>3889</v>
      </c>
      <c r="H15" s="862" t="s">
        <v>3843</v>
      </c>
      <c r="I15" s="901" t="s">
        <v>3758</v>
      </c>
      <c r="J15" s="902" t="s">
        <v>3890</v>
      </c>
      <c r="K15" s="865" t="s">
        <v>3845</v>
      </c>
      <c r="L15" s="903" t="s">
        <v>3846</v>
      </c>
      <c r="M15" s="862"/>
      <c r="N15" s="904"/>
      <c r="O15" s="904"/>
      <c r="P15" s="868"/>
      <c r="Q15" s="868"/>
      <c r="R15" s="869"/>
      <c r="S15" s="143"/>
      <c r="T15" s="869"/>
      <c r="U15" s="869"/>
    </row>
    <row r="16">
      <c r="A16" s="860" t="str">
        <f t="array" ref="A16">if(G16="","",XLOOKUP(D16,'プルダウンメニュー (SE用)'!$D$2:$D1028,'プルダウンメニュー (SE用)'!$C$2:$C1028))</f>
        <v>common_se</v>
      </c>
      <c r="B16" s="860" t="str">
        <f>iferror(if(H16="GLOW流用","-",if(G16="","","SSE_"&amp;TEXT(vlookup(E16,'プルダウンメニュー (SE用)'!$E$2:$F1028,2,false),"000")&amp;"_"&amp;TEXT(COUNTIF($E$4:E16,E16),"000"))),"")</f>
        <v>SSE_012_003</v>
      </c>
      <c r="C16" s="860" t="s">
        <v>3891</v>
      </c>
      <c r="D16" s="861" t="s">
        <v>2788</v>
      </c>
      <c r="E16" s="861" t="s">
        <v>3868</v>
      </c>
      <c r="F16" s="861" t="s">
        <v>3868</v>
      </c>
      <c r="G16" s="861" t="s">
        <v>3892</v>
      </c>
      <c r="H16" s="862" t="s">
        <v>3843</v>
      </c>
      <c r="I16" s="901" t="s">
        <v>3758</v>
      </c>
      <c r="J16" s="902" t="s">
        <v>3893</v>
      </c>
      <c r="K16" s="865" t="s">
        <v>3845</v>
      </c>
      <c r="L16" s="903" t="s">
        <v>3846</v>
      </c>
      <c r="M16" s="894"/>
      <c r="N16" s="904"/>
      <c r="O16" s="904"/>
      <c r="P16" s="868">
        <v>660.0</v>
      </c>
      <c r="Q16" s="868">
        <v>600.0</v>
      </c>
      <c r="R16" s="869" t="s">
        <v>3847</v>
      </c>
      <c r="S16" s="143"/>
      <c r="T16" s="870" t="s">
        <v>3848</v>
      </c>
      <c r="U16" s="869"/>
    </row>
    <row r="17">
      <c r="A17" s="860" t="str">
        <f t="array" ref="A17">if(G17="","",XLOOKUP(D17,'プルダウンメニュー (SE用)'!$D$2:$D1028,'プルダウンメニュー (SE用)'!$C$2:$C1028))</f>
        <v>#N/A</v>
      </c>
      <c r="B17" s="860" t="str">
        <f>iferror(if(H17="GLOW流用","-",if(G17="","","SSE_"&amp;TEXT(vlookup(E17,'プルダウンメニュー (SE用)'!$E$2:$F1028,2,false),"000")&amp;"_"&amp;TEXT(COUNTIF($E$4:E17,E17),"000"))),"")</f>
        <v/>
      </c>
      <c r="C17" s="879"/>
      <c r="D17" s="880"/>
      <c r="E17" s="880"/>
      <c r="F17" s="880"/>
      <c r="G17" s="880" t="s">
        <v>3894</v>
      </c>
      <c r="H17" s="906"/>
      <c r="I17" s="907"/>
      <c r="J17" s="908"/>
      <c r="K17" s="909"/>
      <c r="L17" s="909"/>
      <c r="M17" s="906"/>
      <c r="N17" s="910" t="s">
        <v>3895</v>
      </c>
      <c r="O17" s="910"/>
      <c r="P17" s="888"/>
      <c r="Q17" s="888"/>
      <c r="R17" s="889"/>
      <c r="S17" s="890"/>
      <c r="T17" s="889"/>
      <c r="U17" s="889"/>
    </row>
    <row r="18">
      <c r="A18" s="860" t="str">
        <f t="array" ref="A18">if(G18="","",XLOOKUP(D18,'プルダウンメニュー (SE用)'!$D$2:$D1028,'プルダウンメニュー (SE用)'!$C$2:$C1028))</f>
        <v>battle_se</v>
      </c>
      <c r="B18" s="860" t="str">
        <f>iferror(if(H18="GLOW流用","-",if(G18="","","SSE_"&amp;TEXT(vlookup(E18,'プルダウンメニュー (SE用)'!$E$2:$F1028,2,false),"000")&amp;"_"&amp;TEXT(COUNTIF($E$4:E18,E18),"000"))),"")</f>
        <v>SSE_051_002</v>
      </c>
      <c r="C18" s="860" t="s">
        <v>3896</v>
      </c>
      <c r="D18" s="861" t="s">
        <v>3887</v>
      </c>
      <c r="E18" s="861" t="s">
        <v>3888</v>
      </c>
      <c r="F18" s="861" t="s">
        <v>3888</v>
      </c>
      <c r="G18" s="861" t="s">
        <v>3897</v>
      </c>
      <c r="H18" s="862" t="s">
        <v>3859</v>
      </c>
      <c r="I18" s="901" t="s">
        <v>3758</v>
      </c>
      <c r="J18" s="902" t="s">
        <v>3884</v>
      </c>
      <c r="K18" s="865" t="s">
        <v>3845</v>
      </c>
      <c r="L18" s="903" t="s">
        <v>3846</v>
      </c>
      <c r="M18" s="862"/>
      <c r="N18" s="904" t="s">
        <v>3898</v>
      </c>
      <c r="O18" s="904"/>
      <c r="P18" s="868"/>
      <c r="Q18" s="868"/>
      <c r="R18" s="869"/>
      <c r="S18" s="143"/>
      <c r="T18" s="869"/>
      <c r="U18" s="869"/>
    </row>
    <row r="19">
      <c r="A19" s="860" t="str">
        <f t="array" ref="A19">if(G19="","",XLOOKUP(D19,'プルダウンメニュー (SE用)'!$D$2:$D1028,'プルダウンメニュー (SE用)'!$C$2:$C1028))</f>
        <v>battle_se</v>
      </c>
      <c r="B19" s="860" t="str">
        <f>iferror(if(H19="GLOW流用","-",if(G19="","","SSE_"&amp;TEXT(vlookup(E19,'プルダウンメニュー (SE用)'!$E$2:$F1028,2,false),"000")&amp;"_"&amp;TEXT(COUNTIF($E$4:E19,E19),"000"))),"")</f>
        <v>SSE_051_003</v>
      </c>
      <c r="C19" s="860" t="s">
        <v>3899</v>
      </c>
      <c r="D19" s="861" t="s">
        <v>3887</v>
      </c>
      <c r="E19" s="861" t="s">
        <v>3888</v>
      </c>
      <c r="F19" s="861" t="s">
        <v>3888</v>
      </c>
      <c r="G19" s="861" t="s">
        <v>3900</v>
      </c>
      <c r="H19" s="862" t="s">
        <v>3843</v>
      </c>
      <c r="I19" s="901" t="s">
        <v>3758</v>
      </c>
      <c r="J19" s="902" t="s">
        <v>3901</v>
      </c>
      <c r="K19" s="865" t="s">
        <v>3845</v>
      </c>
      <c r="L19" s="903" t="s">
        <v>3846</v>
      </c>
      <c r="M19" s="862"/>
      <c r="N19" s="904"/>
      <c r="O19" s="904"/>
      <c r="P19" s="868">
        <v>660.0</v>
      </c>
      <c r="Q19" s="868">
        <v>600.0</v>
      </c>
      <c r="R19" s="869" t="s">
        <v>3847</v>
      </c>
      <c r="S19" s="143"/>
      <c r="T19" s="869"/>
      <c r="U19" s="869"/>
    </row>
    <row r="20">
      <c r="A20" s="860" t="str">
        <f t="array" ref="A20">if(G20="","",XLOOKUP(D20,'プルダウンメニュー (SE用)'!$D$2:$D1028,'プルダウンメニュー (SE用)'!$C$2:$C1028))</f>
        <v>battle_se</v>
      </c>
      <c r="B20" s="860" t="str">
        <f>iferror(if(H20="GLOW流用","-",if(G20="","","SSE_"&amp;TEXT(vlookup(E20,'プルダウンメニュー (SE用)'!$E$2:$F1028,2,false),"000")&amp;"_"&amp;TEXT(COUNTIF($E$4:E20,E20),"000"))),"")</f>
        <v>SSE_053_004</v>
      </c>
      <c r="C20" s="860" t="s">
        <v>3902</v>
      </c>
      <c r="D20" s="861" t="s">
        <v>3887</v>
      </c>
      <c r="E20" s="861" t="s">
        <v>3875</v>
      </c>
      <c r="F20" s="861" t="s">
        <v>3875</v>
      </c>
      <c r="G20" s="861" t="s">
        <v>3903</v>
      </c>
      <c r="H20" s="862" t="s">
        <v>3843</v>
      </c>
      <c r="I20" s="901" t="s">
        <v>3758</v>
      </c>
      <c r="J20" s="911" t="s">
        <v>3904</v>
      </c>
      <c r="K20" s="865" t="s">
        <v>3845</v>
      </c>
      <c r="L20" s="903" t="s">
        <v>3846</v>
      </c>
      <c r="M20" s="862"/>
      <c r="N20" s="904" t="s">
        <v>3905</v>
      </c>
      <c r="O20" s="904"/>
      <c r="P20" s="868">
        <v>2420.0</v>
      </c>
      <c r="Q20" s="868">
        <v>2200.0</v>
      </c>
      <c r="R20" s="869" t="s">
        <v>3847</v>
      </c>
      <c r="S20" s="143"/>
      <c r="T20" s="869"/>
      <c r="U20" s="869"/>
    </row>
    <row r="21">
      <c r="A21" s="860" t="str">
        <f t="array" ref="A21">if(G21="","",XLOOKUP(D21,'プルダウンメニュー (SE用)'!$D$2:$D1028,'プルダウンメニュー (SE用)'!$C$2:$C1028))</f>
        <v>#N/A</v>
      </c>
      <c r="B21" s="860" t="str">
        <f>iferror(if(H21="GLOW流用","-",if(G21="","","SSE_"&amp;TEXT(vlookup(E21,'プルダウンメニュー (SE用)'!$E$2:$F1028,2,false),"000")&amp;"_"&amp;TEXT(COUNTIF($E$4:E21,E21),"000"))),"")</f>
        <v/>
      </c>
      <c r="C21" s="879"/>
      <c r="D21" s="880"/>
      <c r="E21" s="880"/>
      <c r="F21" s="880"/>
      <c r="G21" s="880" t="s">
        <v>3903</v>
      </c>
      <c r="H21" s="906"/>
      <c r="I21" s="907"/>
      <c r="J21" s="908" t="s">
        <v>3906</v>
      </c>
      <c r="K21" s="909"/>
      <c r="L21" s="909" t="s">
        <v>3907</v>
      </c>
      <c r="M21" s="906"/>
      <c r="N21" s="910" t="s">
        <v>3908</v>
      </c>
      <c r="O21" s="910"/>
      <c r="P21" s="888"/>
      <c r="Q21" s="888"/>
      <c r="R21" s="889" t="s">
        <v>3847</v>
      </c>
      <c r="S21" s="890"/>
      <c r="T21" s="889"/>
      <c r="U21" s="889"/>
    </row>
    <row r="22">
      <c r="A22" s="860" t="str">
        <f t="array" ref="A22">if(G22="","",XLOOKUP(D22,'プルダウンメニュー (SE用)'!$D$2:$D1028,'プルダウンメニュー (SE用)'!$C$2:$C1028))</f>
        <v>battle_se</v>
      </c>
      <c r="B22" s="860" t="str">
        <f>iferror(if(H22="GLOW流用","-",if(G22="","","SSE_"&amp;TEXT(vlookup(E22,'プルダウンメニュー (SE用)'!$E$2:$F1028,2,false),"000")&amp;"_"&amp;TEXT(COUNTIF($E$4:E22,E22),"000"))),"")</f>
        <v>SSE_053_005</v>
      </c>
      <c r="C22" s="860" t="s">
        <v>3909</v>
      </c>
      <c r="D22" s="861" t="s">
        <v>3887</v>
      </c>
      <c r="E22" s="861" t="s">
        <v>3875</v>
      </c>
      <c r="F22" s="861" t="s">
        <v>3875</v>
      </c>
      <c r="G22" s="861" t="s">
        <v>3910</v>
      </c>
      <c r="H22" s="862" t="s">
        <v>3843</v>
      </c>
      <c r="I22" s="901" t="s">
        <v>3758</v>
      </c>
      <c r="J22" s="902" t="s">
        <v>3911</v>
      </c>
      <c r="K22" s="865" t="s">
        <v>3845</v>
      </c>
      <c r="L22" s="903" t="s">
        <v>3846</v>
      </c>
      <c r="M22" s="862"/>
      <c r="N22" s="904"/>
      <c r="O22" s="904"/>
      <c r="P22" s="868">
        <v>660.0</v>
      </c>
      <c r="Q22" s="868">
        <v>600.0</v>
      </c>
      <c r="R22" s="869" t="s">
        <v>3847</v>
      </c>
      <c r="S22" s="143"/>
      <c r="T22" s="869"/>
      <c r="U22" s="869"/>
    </row>
    <row r="23">
      <c r="A23" s="860" t="str">
        <f t="array" ref="A23">if(G23="","",XLOOKUP(D23,'プルダウンメニュー (SE用)'!$D$2:$D1028,'プルダウンメニュー (SE用)'!$C$2:$C1028))</f>
        <v>common_se</v>
      </c>
      <c r="B23" s="860" t="str">
        <f>iferror(if(H23="GLOW流用","-",if(G23="","","SSE_"&amp;TEXT(vlookup(E23,'プルダウンメニュー (SE用)'!$E$2:$F1028,2,false),"000")&amp;"_"&amp;TEXT(COUNTIF($E$4:E23,E23),"000"))),"")</f>
        <v>-</v>
      </c>
      <c r="C23" s="860"/>
      <c r="D23" s="861" t="s">
        <v>2788</v>
      </c>
      <c r="E23" s="861" t="s">
        <v>2788</v>
      </c>
      <c r="F23" s="861" t="s">
        <v>2788</v>
      </c>
      <c r="G23" s="861" t="s">
        <v>3912</v>
      </c>
      <c r="H23" s="862" t="s">
        <v>3913</v>
      </c>
      <c r="I23" s="901" t="s">
        <v>3758</v>
      </c>
      <c r="J23" s="902" t="s">
        <v>3844</v>
      </c>
      <c r="K23" s="865" t="s">
        <v>3845</v>
      </c>
      <c r="L23" s="903" t="s">
        <v>3846</v>
      </c>
      <c r="M23" s="862"/>
      <c r="N23" s="904" t="s">
        <v>3898</v>
      </c>
      <c r="O23" s="904"/>
      <c r="P23" s="868"/>
      <c r="Q23" s="868"/>
      <c r="R23" s="869"/>
      <c r="S23" s="143"/>
      <c r="T23" s="869"/>
      <c r="U23" s="869"/>
    </row>
    <row r="24">
      <c r="A24" s="860" t="str">
        <f t="array" ref="A24">if(G24="","",XLOOKUP(D24,'プルダウンメニュー (SE用)'!$D$2:$D1028,'プルダウンメニュー (SE用)'!$C$2:$C1028))</f>
        <v>#N/A</v>
      </c>
      <c r="B24" s="860" t="str">
        <f>iferror(if(H24="GLOW流用","-",if(G24="","","SSE_"&amp;TEXT(vlookup(E24,'プルダウンメニュー (SE用)'!$E$2:$F1028,2,false),"000")&amp;"_"&amp;TEXT(COUNTIF($E$4:E24,E24),"000"))),"")</f>
        <v/>
      </c>
      <c r="C24" s="879"/>
      <c r="D24" s="880"/>
      <c r="E24" s="880"/>
      <c r="F24" s="880"/>
      <c r="G24" s="880" t="s">
        <v>3914</v>
      </c>
      <c r="H24" s="906"/>
      <c r="I24" s="907"/>
      <c r="J24" s="908"/>
      <c r="K24" s="909"/>
      <c r="L24" s="909"/>
      <c r="M24" s="885"/>
      <c r="N24" s="910" t="s">
        <v>3895</v>
      </c>
      <c r="O24" s="910"/>
      <c r="P24" s="888"/>
      <c r="Q24" s="888"/>
      <c r="R24" s="889"/>
      <c r="S24" s="890"/>
      <c r="T24" s="889"/>
      <c r="U24" s="889"/>
    </row>
    <row r="25">
      <c r="A25" s="860" t="str">
        <f t="array" ref="A25">if(G25="","",XLOOKUP(D25,'プルダウンメニュー (SE用)'!$D$2:$D1028,'プルダウンメニュー (SE用)'!$C$2:$C1028))</f>
        <v>battle_se</v>
      </c>
      <c r="B25" s="860" t="str">
        <f>iferror(if(H25="GLOW流用","-",if(G25="","","SSE_"&amp;TEXT(vlookup(E25,'プルダウンメニュー (SE用)'!$E$2:$F1028,2,false),"000")&amp;"_"&amp;TEXT(COUNTIF($E$4:E25,E25),"000"))),"")</f>
        <v>SSE_051_004</v>
      </c>
      <c r="C25" s="860" t="s">
        <v>3915</v>
      </c>
      <c r="D25" s="861" t="s">
        <v>3887</v>
      </c>
      <c r="E25" s="861" t="s">
        <v>3888</v>
      </c>
      <c r="F25" s="861" t="s">
        <v>3888</v>
      </c>
      <c r="G25" s="861" t="s">
        <v>3916</v>
      </c>
      <c r="H25" s="862" t="s">
        <v>3859</v>
      </c>
      <c r="I25" s="912" t="s">
        <v>3758</v>
      </c>
      <c r="J25" s="913" t="s">
        <v>3917</v>
      </c>
      <c r="K25" s="865" t="s">
        <v>3845</v>
      </c>
      <c r="L25" s="903" t="s">
        <v>3846</v>
      </c>
      <c r="M25" s="875"/>
      <c r="N25" s="914"/>
      <c r="O25" s="914"/>
      <c r="P25" s="868"/>
      <c r="Q25" s="868"/>
      <c r="R25" s="869"/>
      <c r="S25" s="143"/>
      <c r="T25" s="869"/>
      <c r="U25" s="869"/>
    </row>
    <row r="26">
      <c r="A26" s="860" t="str">
        <f t="array" ref="A26">if(G26="","",XLOOKUP(D26,'プルダウンメニュー (SE用)'!$D$2:$D1028,'プルダウンメニュー (SE用)'!$C$2:$C1028))</f>
        <v>battle_se</v>
      </c>
      <c r="B26" s="860" t="str">
        <f>iferror(if(H26="GLOW流用","-",if(G26="","","SSE_"&amp;TEXT(vlookup(E26,'プルダウンメニュー (SE用)'!$E$2:$F1028,2,false),"000")&amp;"_"&amp;TEXT(COUNTIF($E$4:E26,E26),"000"))),"")</f>
        <v>SSE_051_005</v>
      </c>
      <c r="C26" s="860"/>
      <c r="D26" s="861" t="s">
        <v>3887</v>
      </c>
      <c r="E26" s="861" t="s">
        <v>3888</v>
      </c>
      <c r="F26" s="861" t="s">
        <v>3888</v>
      </c>
      <c r="G26" s="861" t="s">
        <v>3918</v>
      </c>
      <c r="H26" s="862" t="s">
        <v>3843</v>
      </c>
      <c r="I26" s="901" t="s">
        <v>3864</v>
      </c>
      <c r="J26" s="902" t="s">
        <v>3919</v>
      </c>
      <c r="K26" s="865" t="s">
        <v>3845</v>
      </c>
      <c r="L26" s="903" t="s">
        <v>3846</v>
      </c>
      <c r="M26" s="894"/>
      <c r="N26" s="904"/>
      <c r="O26" s="904"/>
      <c r="P26" s="868">
        <v>660.0</v>
      </c>
      <c r="Q26" s="868">
        <v>600.0</v>
      </c>
      <c r="R26" s="869" t="s">
        <v>3847</v>
      </c>
      <c r="S26" s="143"/>
      <c r="T26" s="869" t="s">
        <v>3848</v>
      </c>
      <c r="U26" s="869"/>
    </row>
    <row r="27">
      <c r="A27" s="860" t="str">
        <f t="array" ref="A27">if(G27="","",XLOOKUP(D27,'プルダウンメニュー (SE用)'!$D$2:$D1028,'プルダウンメニュー (SE用)'!$C$2:$C1028))</f>
        <v>battle_se</v>
      </c>
      <c r="B27" s="860" t="str">
        <f>iferror(if(H27="GLOW流用","-",if(G27="","","SSE_"&amp;TEXT(vlookup(E27,'プルダウンメニュー (SE用)'!$E$2:$F1028,2,false),"000")&amp;"_"&amp;TEXT(COUNTIF($E$4:E27,E27),"000"))),"")</f>
        <v>SSE_051_006</v>
      </c>
      <c r="C27" s="860"/>
      <c r="D27" s="861" t="s">
        <v>3887</v>
      </c>
      <c r="E27" s="861" t="s">
        <v>3888</v>
      </c>
      <c r="F27" s="861" t="s">
        <v>3888</v>
      </c>
      <c r="G27" s="861" t="s">
        <v>3920</v>
      </c>
      <c r="H27" s="862" t="s">
        <v>3843</v>
      </c>
      <c r="I27" s="912" t="s">
        <v>3758</v>
      </c>
      <c r="J27" s="913" t="s">
        <v>3921</v>
      </c>
      <c r="K27" s="865" t="s">
        <v>3845</v>
      </c>
      <c r="L27" s="903" t="s">
        <v>3846</v>
      </c>
      <c r="M27" s="875"/>
      <c r="N27" s="904"/>
      <c r="O27" s="914"/>
      <c r="P27" s="868">
        <v>660.0</v>
      </c>
      <c r="Q27" s="868">
        <v>600.0</v>
      </c>
      <c r="R27" s="869" t="s">
        <v>3847</v>
      </c>
      <c r="S27" s="143"/>
      <c r="T27" s="869"/>
      <c r="U27" s="869"/>
    </row>
    <row r="28">
      <c r="A28" s="860" t="str">
        <f t="array" ref="A28">if(G28="","",XLOOKUP(D28,'プルダウンメニュー (SE用)'!$D$2:$D1028,'プルダウンメニュー (SE用)'!$C$2:$C1028))</f>
        <v>battle_se</v>
      </c>
      <c r="B28" s="860" t="str">
        <f>iferror(if(H28="GLOW流用","-",if(G28="","","SSE_"&amp;TEXT(vlookup(E28,'プルダウンメニュー (SE用)'!$E$2:$F1028,2,false),"000")&amp;"_"&amp;TEXT(COUNTIF($E$4:E28,E28),"000"))),"")</f>
        <v>SSE_051_007</v>
      </c>
      <c r="C28" s="860"/>
      <c r="D28" s="861" t="s">
        <v>3887</v>
      </c>
      <c r="E28" s="861" t="s">
        <v>3888</v>
      </c>
      <c r="F28" s="861" t="s">
        <v>3888</v>
      </c>
      <c r="G28" s="861" t="s">
        <v>3922</v>
      </c>
      <c r="H28" s="862" t="s">
        <v>3859</v>
      </c>
      <c r="I28" s="901" t="s">
        <v>3758</v>
      </c>
      <c r="J28" s="911" t="s">
        <v>3923</v>
      </c>
      <c r="K28" s="865" t="s">
        <v>3845</v>
      </c>
      <c r="L28" s="903" t="s">
        <v>3846</v>
      </c>
      <c r="M28" s="894"/>
      <c r="N28" s="904"/>
      <c r="O28" s="904"/>
      <c r="P28" s="868"/>
      <c r="Q28" s="868"/>
      <c r="R28" s="869"/>
      <c r="S28" s="143"/>
      <c r="T28" s="869"/>
      <c r="U28" s="869"/>
    </row>
    <row r="29">
      <c r="A29" s="860" t="str">
        <f t="array" ref="A29">if(G29="","",XLOOKUP(D29,'プルダウンメニュー (SE用)'!$D$2:$D1028,'プルダウンメニュー (SE用)'!$C$2:$C1028))</f>
        <v>battle_se</v>
      </c>
      <c r="B29" s="860" t="str">
        <f>iferror(if(H29="GLOW流用","-",if(G29="","","SSE_"&amp;TEXT(vlookup(E29,'プルダウンメニュー (SE用)'!$E$2:$F1028,2,false),"000")&amp;"_"&amp;TEXT(COUNTIF($E$4:E29,E29),"000"))),"")</f>
        <v>SSE_051_008</v>
      </c>
      <c r="C29" s="915"/>
      <c r="D29" s="916" t="s">
        <v>3887</v>
      </c>
      <c r="E29" s="916" t="s">
        <v>3888</v>
      </c>
      <c r="F29" s="916" t="s">
        <v>3888</v>
      </c>
      <c r="G29" s="916" t="s">
        <v>3924</v>
      </c>
      <c r="H29" s="917" t="s">
        <v>3843</v>
      </c>
      <c r="I29" s="918" t="s">
        <v>3758</v>
      </c>
      <c r="J29" s="919" t="s">
        <v>3925</v>
      </c>
      <c r="K29" s="920" t="s">
        <v>3845</v>
      </c>
      <c r="L29" s="920" t="s">
        <v>3846</v>
      </c>
      <c r="M29" s="921"/>
      <c r="N29" s="922"/>
      <c r="O29" s="922"/>
      <c r="P29" s="923">
        <v>660.0</v>
      </c>
      <c r="Q29" s="923">
        <v>600.0</v>
      </c>
      <c r="R29" s="924" t="s">
        <v>3847</v>
      </c>
      <c r="S29" s="925"/>
      <c r="T29" s="924"/>
      <c r="U29" s="924"/>
    </row>
    <row r="30">
      <c r="A30" s="860" t="str">
        <f t="array" ref="A30">if(G30="","",XLOOKUP(D30,'プルダウンメニュー (SE用)'!$D$2:$D1028,'プルダウンメニュー (SE用)'!$C$2:$C1028))</f>
        <v>battle_se</v>
      </c>
      <c r="B30" s="860" t="str">
        <f>iferror(if(H30="GLOW流用","-",if(G30="","","SSE_"&amp;TEXT(vlookup(E30,'プルダウンメニュー (SE用)'!$E$2:$F1028,2,false),"000")&amp;"_"&amp;TEXT(COUNTIF($E$4:E30,E30),"000"))),"")</f>
        <v>SSE_051_009</v>
      </c>
      <c r="C30" s="926"/>
      <c r="D30" s="927" t="s">
        <v>3887</v>
      </c>
      <c r="E30" s="927" t="s">
        <v>3888</v>
      </c>
      <c r="F30" s="927" t="s">
        <v>3888</v>
      </c>
      <c r="G30" s="927" t="s">
        <v>3926</v>
      </c>
      <c r="H30" s="899" t="s">
        <v>3843</v>
      </c>
      <c r="I30" s="896" t="s">
        <v>3758</v>
      </c>
      <c r="J30" s="928" t="s">
        <v>3927</v>
      </c>
      <c r="K30" s="865" t="s">
        <v>3845</v>
      </c>
      <c r="L30" s="898" t="s">
        <v>3846</v>
      </c>
      <c r="M30" s="929"/>
      <c r="N30" s="900"/>
      <c r="O30" s="900"/>
      <c r="P30" s="868">
        <v>660.0</v>
      </c>
      <c r="Q30" s="930">
        <v>600.0</v>
      </c>
      <c r="R30" s="869" t="s">
        <v>3847</v>
      </c>
      <c r="S30" s="931"/>
      <c r="T30" s="870"/>
      <c r="U30" s="870"/>
    </row>
    <row r="31" ht="15.75" customHeight="1">
      <c r="A31" s="860" t="str">
        <f t="array" ref="A31">if(G31="","",XLOOKUP(D31,'プルダウンメニュー (SE用)'!$D$2:$D1028,'プルダウンメニュー (SE用)'!$C$2:$C1028))</f>
        <v>battle_se</v>
      </c>
      <c r="B31" s="860" t="str">
        <f>iferror(if(H31="GLOW流用","-",if(G31="","","SSE_"&amp;TEXT(vlookup(E31,'プルダウンメニュー (SE用)'!$E$2:$F1028,2,false),"000")&amp;"_"&amp;TEXT(COUNTIF($E$4:E31,E31),"000"))),"")</f>
        <v>SSE_051_010</v>
      </c>
      <c r="C31" s="926"/>
      <c r="D31" s="927" t="s">
        <v>3887</v>
      </c>
      <c r="E31" s="927" t="s">
        <v>3888</v>
      </c>
      <c r="F31" s="927" t="s">
        <v>3888</v>
      </c>
      <c r="G31" s="861" t="s">
        <v>3928</v>
      </c>
      <c r="H31" s="862" t="s">
        <v>3843</v>
      </c>
      <c r="I31" s="901" t="s">
        <v>3758</v>
      </c>
      <c r="J31" s="902" t="s">
        <v>3929</v>
      </c>
      <c r="K31" s="865" t="s">
        <v>3845</v>
      </c>
      <c r="L31" s="903" t="s">
        <v>3846</v>
      </c>
      <c r="M31" s="894"/>
      <c r="N31" s="904"/>
      <c r="O31" s="904"/>
      <c r="P31" s="868">
        <v>660.0</v>
      </c>
      <c r="Q31" s="868">
        <v>600.0</v>
      </c>
      <c r="R31" s="869" t="s">
        <v>3847</v>
      </c>
      <c r="S31" s="143"/>
      <c r="T31" s="869"/>
      <c r="U31" s="869"/>
    </row>
    <row r="32" ht="15.75" customHeight="1">
      <c r="A32" s="860" t="str">
        <f t="array" ref="A32">if(G32="","",XLOOKUP(D32,'プルダウンメニュー (SE用)'!$D$2:$D1028,'プルダウンメニュー (SE用)'!$C$2:$C1028))</f>
        <v>battle_se</v>
      </c>
      <c r="B32" s="860" t="str">
        <f>iferror(if(H32="GLOW流用","-",if(G32="","","SSE_"&amp;TEXT(vlookup(E32,'プルダウンメニュー (SE用)'!$E$2:$F1028,2,false),"000")&amp;"_"&amp;TEXT(COUNTIF($E$4:E32,E32),"000"))),"")</f>
        <v>SSE_051_011</v>
      </c>
      <c r="C32" s="926"/>
      <c r="D32" s="927" t="s">
        <v>3887</v>
      </c>
      <c r="E32" s="927" t="s">
        <v>3888</v>
      </c>
      <c r="F32" s="927" t="s">
        <v>3888</v>
      </c>
      <c r="G32" s="861" t="s">
        <v>3930</v>
      </c>
      <c r="H32" s="862" t="s">
        <v>3859</v>
      </c>
      <c r="I32" s="901" t="s">
        <v>3758</v>
      </c>
      <c r="J32" s="911" t="s">
        <v>3931</v>
      </c>
      <c r="K32" s="865" t="s">
        <v>3845</v>
      </c>
      <c r="L32" s="903" t="s">
        <v>3846</v>
      </c>
      <c r="M32" s="894"/>
      <c r="N32" s="904"/>
      <c r="O32" s="904"/>
      <c r="P32" s="868"/>
      <c r="Q32" s="868"/>
      <c r="R32" s="869"/>
      <c r="S32" s="143"/>
      <c r="T32" s="869"/>
      <c r="U32" s="869"/>
    </row>
    <row r="33" ht="15.75" customHeight="1">
      <c r="A33" s="860" t="str">
        <f t="array" ref="A33">if(G33="","",XLOOKUP(D33,'プルダウンメニュー (SE用)'!$D$2:$D1028,'プルダウンメニュー (SE用)'!$C$2:$C1028))</f>
        <v>battle_se</v>
      </c>
      <c r="B33" s="860" t="str">
        <f>iferror(if(H33="GLOW流用","-",if(G33="","","SSE_"&amp;TEXT(vlookup(E33,'プルダウンメニュー (SE用)'!$E$2:$F1028,2,false),"000")&amp;"_"&amp;TEXT(COUNTIF($E$4:E33,E33),"000"))),"")</f>
        <v>-</v>
      </c>
      <c r="C33" s="926"/>
      <c r="D33" s="927" t="s">
        <v>3887</v>
      </c>
      <c r="E33" s="927" t="s">
        <v>3888</v>
      </c>
      <c r="F33" s="927" t="s">
        <v>3888</v>
      </c>
      <c r="G33" s="861" t="s">
        <v>3932</v>
      </c>
      <c r="H33" s="862" t="s">
        <v>3913</v>
      </c>
      <c r="I33" s="901"/>
      <c r="J33" s="911" t="s">
        <v>3917</v>
      </c>
      <c r="K33" s="865" t="s">
        <v>3933</v>
      </c>
      <c r="L33" s="903" t="s">
        <v>3934</v>
      </c>
      <c r="M33" s="894"/>
      <c r="N33" s="904" t="s">
        <v>3935</v>
      </c>
      <c r="O33" s="904"/>
      <c r="P33" s="868"/>
      <c r="Q33" s="868">
        <v>600.0</v>
      </c>
      <c r="R33" s="869" t="s">
        <v>3847</v>
      </c>
      <c r="S33" s="143"/>
      <c r="T33" s="869"/>
      <c r="U33" s="869"/>
    </row>
    <row r="34" ht="15.75" customHeight="1">
      <c r="A34" s="860" t="str">
        <f t="array" ref="A34">if(G34="","",XLOOKUP(D34,'プルダウンメニュー (SE用)'!$D$2:$D1028,'プルダウンメニュー (SE用)'!$C$2:$C1028))</f>
        <v>battle_se</v>
      </c>
      <c r="B34" s="860" t="str">
        <f>iferror(if(H34="GLOW流用","-",if(G34="","","SSE_"&amp;TEXT(vlookup(E34,'プルダウンメニュー (SE用)'!$E$2:$F1028,2,false),"000")&amp;"_"&amp;TEXT(COUNTIF($E$4:E34,E34),"000"))),"")</f>
        <v>SSE_051_013</v>
      </c>
      <c r="C34" s="926" t="s">
        <v>3936</v>
      </c>
      <c r="D34" s="927" t="s">
        <v>3887</v>
      </c>
      <c r="E34" s="927" t="s">
        <v>3888</v>
      </c>
      <c r="F34" s="927" t="s">
        <v>3888</v>
      </c>
      <c r="G34" s="861" t="s">
        <v>3937</v>
      </c>
      <c r="H34" s="862" t="s">
        <v>3843</v>
      </c>
      <c r="I34" s="901" t="s">
        <v>3758</v>
      </c>
      <c r="J34" s="902" t="s">
        <v>3938</v>
      </c>
      <c r="K34" s="865" t="s">
        <v>3845</v>
      </c>
      <c r="L34" s="903" t="s">
        <v>3846</v>
      </c>
      <c r="M34" s="894"/>
      <c r="N34" s="904"/>
      <c r="O34" s="904"/>
      <c r="P34" s="868">
        <v>660.0</v>
      </c>
      <c r="Q34" s="868">
        <v>600.0</v>
      </c>
      <c r="R34" s="869" t="s">
        <v>3847</v>
      </c>
      <c r="S34" s="143"/>
      <c r="T34" s="869"/>
      <c r="U34" s="869"/>
    </row>
    <row r="35">
      <c r="A35" s="860" t="str">
        <f t="array" ref="A35">if(G35="","",XLOOKUP(D35,'プルダウンメニュー (SE用)'!$D$2:$D1028,'プルダウンメニュー (SE用)'!$C$2:$C1028))</f>
        <v>battle_se</v>
      </c>
      <c r="B35" s="860" t="str">
        <f>iferror(if(H35="GLOW流用","-",if(G35="","","SSE_"&amp;TEXT(vlookup(E35,'プルダウンメニュー (SE用)'!$E$2:$F1028,2,false),"000")&amp;"_"&amp;TEXT(COUNTIF($E$4:E35,E35),"000"))),"")</f>
        <v>SSE_051_014</v>
      </c>
      <c r="C35" s="926"/>
      <c r="D35" s="927" t="s">
        <v>3887</v>
      </c>
      <c r="E35" s="927" t="s">
        <v>3888</v>
      </c>
      <c r="F35" s="927" t="s">
        <v>3888</v>
      </c>
      <c r="G35" s="861" t="s">
        <v>3939</v>
      </c>
      <c r="H35" s="862" t="s">
        <v>3859</v>
      </c>
      <c r="I35" s="901" t="s">
        <v>3758</v>
      </c>
      <c r="J35" s="902" t="s">
        <v>3940</v>
      </c>
      <c r="K35" s="865" t="s">
        <v>3845</v>
      </c>
      <c r="L35" s="903" t="s">
        <v>3846</v>
      </c>
      <c r="M35" s="894"/>
      <c r="N35" s="904"/>
      <c r="O35" s="904"/>
      <c r="P35" s="868"/>
      <c r="Q35" s="868"/>
      <c r="R35" s="869"/>
      <c r="S35" s="143"/>
      <c r="T35" s="869"/>
      <c r="U35" s="869"/>
    </row>
    <row r="36" ht="15.75" customHeight="1">
      <c r="A36" s="860" t="str">
        <f t="array" ref="A36">if(G36="","",XLOOKUP(D36,'プルダウンメニュー (SE用)'!$D$2:$D1028,'プルダウンメニュー (SE用)'!$C$2:$C1028))</f>
        <v>battle_se</v>
      </c>
      <c r="B36" s="860" t="str">
        <f>iferror(if(H36="GLOW流用","-",if(G36="","","SSE_"&amp;TEXT(vlookup(E36,'プルダウンメニュー (SE用)'!$E$2:$F1028,2,false),"000")&amp;"_"&amp;TEXT(COUNTIF($E$4:E36,E36),"000"))),"")</f>
        <v>-</v>
      </c>
      <c r="C36" s="926"/>
      <c r="D36" s="927" t="s">
        <v>3887</v>
      </c>
      <c r="E36" s="927" t="s">
        <v>3888</v>
      </c>
      <c r="F36" s="927" t="s">
        <v>3888</v>
      </c>
      <c r="G36" s="861" t="s">
        <v>3941</v>
      </c>
      <c r="H36" s="862" t="s">
        <v>3913</v>
      </c>
      <c r="I36" s="901" t="s">
        <v>3758</v>
      </c>
      <c r="J36" s="911" t="s">
        <v>3938</v>
      </c>
      <c r="K36" s="865" t="s">
        <v>3933</v>
      </c>
      <c r="L36" s="903" t="s">
        <v>3934</v>
      </c>
      <c r="M36" s="862"/>
      <c r="N36" s="904" t="s">
        <v>3935</v>
      </c>
      <c r="O36" s="904"/>
      <c r="P36" s="868"/>
      <c r="Q36" s="868">
        <v>600.0</v>
      </c>
      <c r="R36" s="869" t="s">
        <v>3847</v>
      </c>
      <c r="S36" s="143"/>
      <c r="T36" s="869"/>
      <c r="U36" s="869"/>
    </row>
    <row r="37" ht="15.75" customHeight="1">
      <c r="A37" s="860" t="str">
        <f t="array" ref="A37">if(G37="","",XLOOKUP(D37,'プルダウンメニュー (SE用)'!$D$2:$D1028,'プルダウンメニュー (SE用)'!$C$2:$C1028))</f>
        <v>common_se</v>
      </c>
      <c r="B37" s="860" t="str">
        <f>iferror(if(H37="GLOW流用","-",if(G37="","","SSE_"&amp;TEXT(vlookup(E37,'プルダウンメニュー (SE用)'!$E$2:$F1028,2,false),"000")&amp;"_"&amp;TEXT(COUNTIF($E$4:E37,E37),"000"))),"")</f>
        <v>SSE_061_001</v>
      </c>
      <c r="C37" s="860" t="s">
        <v>3942</v>
      </c>
      <c r="D37" s="861" t="s">
        <v>2788</v>
      </c>
      <c r="E37" s="861" t="s">
        <v>3943</v>
      </c>
      <c r="F37" s="861" t="s">
        <v>3943</v>
      </c>
      <c r="G37" s="861" t="s">
        <v>3944</v>
      </c>
      <c r="H37" s="862" t="s">
        <v>3843</v>
      </c>
      <c r="I37" s="901" t="s">
        <v>3864</v>
      </c>
      <c r="J37" s="902" t="s">
        <v>3945</v>
      </c>
      <c r="K37" s="865" t="s">
        <v>3845</v>
      </c>
      <c r="L37" s="903" t="s">
        <v>3846</v>
      </c>
      <c r="M37" s="894"/>
      <c r="N37" s="904" t="s">
        <v>3946</v>
      </c>
      <c r="O37" s="904"/>
      <c r="P37" s="868">
        <v>660.0</v>
      </c>
      <c r="Q37" s="868">
        <v>600.0</v>
      </c>
      <c r="R37" s="869" t="s">
        <v>3847</v>
      </c>
      <c r="S37" s="143"/>
      <c r="T37" s="869"/>
      <c r="U37" s="869"/>
    </row>
    <row r="38" ht="15.75" customHeight="1">
      <c r="A38" s="860" t="str">
        <f t="array" ref="A38">if(G38="","",XLOOKUP(D38,'プルダウンメニュー (SE用)'!$D$2:$D1028,'プルダウンメニュー (SE用)'!$C$2:$C1028))</f>
        <v>common_se</v>
      </c>
      <c r="B38" s="860" t="str">
        <f>iferror(if(H38="GLOW流用","-",if(G38="","","SSE_"&amp;TEXT(vlookup(E38,'プルダウンメニュー (SE用)'!$E$2:$F1028,2,false),"000")&amp;"_"&amp;TEXT(COUNTIF($E$4:E38,E38),"000"))),"")</f>
        <v>SSE_031_001</v>
      </c>
      <c r="C38" s="860" t="s">
        <v>3947</v>
      </c>
      <c r="D38" s="861" t="s">
        <v>2788</v>
      </c>
      <c r="E38" s="861" t="s">
        <v>3948</v>
      </c>
      <c r="F38" s="861" t="s">
        <v>3948</v>
      </c>
      <c r="G38" s="861" t="s">
        <v>3949</v>
      </c>
      <c r="H38" s="862" t="s">
        <v>3843</v>
      </c>
      <c r="I38" s="901" t="s">
        <v>3864</v>
      </c>
      <c r="J38" s="902" t="s">
        <v>3950</v>
      </c>
      <c r="K38" s="865" t="s">
        <v>3845</v>
      </c>
      <c r="L38" s="903" t="s">
        <v>3846</v>
      </c>
      <c r="M38" s="894"/>
      <c r="N38" s="904"/>
      <c r="O38" s="904"/>
      <c r="P38" s="868">
        <v>660.0</v>
      </c>
      <c r="Q38" s="868">
        <v>600.0</v>
      </c>
      <c r="R38" s="869" t="s">
        <v>3847</v>
      </c>
      <c r="S38" s="143"/>
      <c r="T38" s="869"/>
      <c r="U38" s="869"/>
    </row>
    <row r="39" ht="15.75" customHeight="1">
      <c r="A39" s="860" t="str">
        <f t="array" ref="A39">if(G39="","",XLOOKUP(D39,'プルダウンメニュー (SE用)'!$D$2:$D1028,'プルダウンメニュー (SE用)'!$C$2:$C1028))</f>
        <v>common_se</v>
      </c>
      <c r="B39" s="860" t="str">
        <f>iferror(if(H39="GLOW流用","-",if(G39="","","SSE_"&amp;TEXT(vlookup(E39,'プルダウンメニュー (SE用)'!$E$2:$F1028,2,false),"000")&amp;"_"&amp;TEXT(COUNTIF($E$4:E39,E39),"000"))),"")</f>
        <v>SSE_031_002</v>
      </c>
      <c r="C39" s="860" t="s">
        <v>3951</v>
      </c>
      <c r="D39" s="861" t="s">
        <v>2788</v>
      </c>
      <c r="E39" s="861" t="s">
        <v>3948</v>
      </c>
      <c r="F39" s="861" t="s">
        <v>3948</v>
      </c>
      <c r="G39" s="861" t="s">
        <v>3952</v>
      </c>
      <c r="H39" s="862" t="s">
        <v>3843</v>
      </c>
      <c r="I39" s="901" t="s">
        <v>3864</v>
      </c>
      <c r="J39" s="902" t="s">
        <v>3953</v>
      </c>
      <c r="K39" s="865" t="s">
        <v>3845</v>
      </c>
      <c r="L39" s="903" t="s">
        <v>3846</v>
      </c>
      <c r="M39" s="894"/>
      <c r="N39" s="904"/>
      <c r="O39" s="904"/>
      <c r="P39" s="868">
        <v>660.0</v>
      </c>
      <c r="Q39" s="868">
        <v>600.0</v>
      </c>
      <c r="R39" s="869" t="s">
        <v>3847</v>
      </c>
      <c r="S39" s="143"/>
      <c r="T39" s="869"/>
      <c r="U39" s="869"/>
    </row>
    <row r="40" ht="15.75" customHeight="1">
      <c r="A40" s="860" t="str">
        <f t="array" ref="A40">if(G40="","",XLOOKUP(D40,'プルダウンメニュー (SE用)'!$D$2:$D1028,'プルダウンメニュー (SE用)'!$C$2:$C1028))</f>
        <v>common_se</v>
      </c>
      <c r="B40" s="860" t="str">
        <f>iferror(if(H40="GLOW流用","-",if(G40="","","SSE_"&amp;TEXT(vlookup(E40,'プルダウンメニュー (SE用)'!$E$2:$F1028,2,false),"000")&amp;"_"&amp;TEXT(COUNTIF($E$4:E40,E40),"000"))),"")</f>
        <v>SSE_031_003</v>
      </c>
      <c r="C40" s="860" t="s">
        <v>3954</v>
      </c>
      <c r="D40" s="861" t="s">
        <v>2788</v>
      </c>
      <c r="E40" s="861" t="s">
        <v>3948</v>
      </c>
      <c r="F40" s="861" t="s">
        <v>3948</v>
      </c>
      <c r="G40" s="861" t="s">
        <v>3955</v>
      </c>
      <c r="H40" s="862" t="s">
        <v>3843</v>
      </c>
      <c r="I40" s="901" t="s">
        <v>3758</v>
      </c>
      <c r="J40" s="902" t="s">
        <v>3956</v>
      </c>
      <c r="K40" s="865" t="s">
        <v>3845</v>
      </c>
      <c r="L40" s="903" t="s">
        <v>3846</v>
      </c>
      <c r="M40" s="894"/>
      <c r="N40" s="904"/>
      <c r="O40" s="904"/>
      <c r="P40" s="868">
        <v>660.0</v>
      </c>
      <c r="Q40" s="868">
        <v>600.0</v>
      </c>
      <c r="R40" s="869" t="s">
        <v>3847</v>
      </c>
      <c r="S40" s="143"/>
      <c r="T40" s="869"/>
      <c r="U40" s="869"/>
    </row>
    <row r="41" ht="15.75" customHeight="1">
      <c r="A41" s="860" t="str">
        <f t="array" ref="A41">if(G41="","",XLOOKUP(D41,'プルダウンメニュー (SE用)'!$D$2:$D1028,'プルダウンメニュー (SE用)'!$C$2:$C1028))</f>
        <v>common_se</v>
      </c>
      <c r="B41" s="860" t="str">
        <f>iferror(if(H41="GLOW流用","-",if(G41="","","SSE_"&amp;TEXT(vlookup(E41,'プルダウンメニュー (SE用)'!$E$2:$F1028,2,false),"000")&amp;"_"&amp;TEXT(COUNTIF($E$4:E41,E41),"000"))),"")</f>
        <v>SSE_031_004</v>
      </c>
      <c r="C41" s="860" t="s">
        <v>3957</v>
      </c>
      <c r="D41" s="861" t="s">
        <v>2788</v>
      </c>
      <c r="E41" s="861" t="s">
        <v>3948</v>
      </c>
      <c r="F41" s="861" t="s">
        <v>3948</v>
      </c>
      <c r="G41" s="861" t="s">
        <v>3958</v>
      </c>
      <c r="H41" s="862" t="s">
        <v>3859</v>
      </c>
      <c r="I41" s="901" t="s">
        <v>3758</v>
      </c>
      <c r="J41" s="902" t="s">
        <v>3959</v>
      </c>
      <c r="K41" s="865" t="s">
        <v>3845</v>
      </c>
      <c r="L41" s="903" t="s">
        <v>3846</v>
      </c>
      <c r="M41" s="894"/>
      <c r="N41" s="904"/>
      <c r="O41" s="904"/>
      <c r="P41" s="868"/>
      <c r="Q41" s="868"/>
      <c r="R41" s="869"/>
      <c r="S41" s="143"/>
      <c r="T41" s="869"/>
      <c r="U41" s="869"/>
    </row>
    <row r="42" ht="15.75" customHeight="1">
      <c r="A42" s="860" t="str">
        <f t="array" ref="A42">if(G42="","",XLOOKUP(D42,'プルダウンメニュー (SE用)'!$D$2:$D1028,'プルダウンメニュー (SE用)'!$C$2:$C1028))</f>
        <v>common_se</v>
      </c>
      <c r="B42" s="860" t="str">
        <f>iferror(if(H42="GLOW流用","-",if(G42="","","SSE_"&amp;TEXT(vlookup(E42,'プルダウンメニュー (SE用)'!$E$2:$F1028,2,false),"000")&amp;"_"&amp;TEXT(COUNTIF($E$4:E42,E42),"000"))),"")</f>
        <v>SSE_031_005</v>
      </c>
      <c r="C42" s="860" t="s">
        <v>3960</v>
      </c>
      <c r="D42" s="861" t="s">
        <v>2788</v>
      </c>
      <c r="E42" s="861" t="s">
        <v>3948</v>
      </c>
      <c r="F42" s="861" t="s">
        <v>3948</v>
      </c>
      <c r="G42" s="861" t="s">
        <v>3961</v>
      </c>
      <c r="H42" s="862" t="s">
        <v>3843</v>
      </c>
      <c r="I42" s="901" t="s">
        <v>3758</v>
      </c>
      <c r="J42" s="902" t="s">
        <v>3962</v>
      </c>
      <c r="K42" s="865" t="s">
        <v>3845</v>
      </c>
      <c r="L42" s="903" t="s">
        <v>3846</v>
      </c>
      <c r="M42" s="894"/>
      <c r="N42" s="904"/>
      <c r="O42" s="904"/>
      <c r="P42" s="868">
        <v>660.0</v>
      </c>
      <c r="Q42" s="868">
        <v>600.0</v>
      </c>
      <c r="R42" s="869" t="s">
        <v>3847</v>
      </c>
      <c r="S42" s="143"/>
      <c r="T42" s="869"/>
      <c r="U42" s="869"/>
    </row>
    <row r="43" ht="15.75" customHeight="1">
      <c r="A43" s="860" t="str">
        <f t="array" ref="A43">if(G43="","",XLOOKUP(D43,'プルダウンメニュー (SE用)'!$D$2:$D1028,'プルダウンメニュー (SE用)'!$C$2:$C1028))</f>
        <v>#N/A</v>
      </c>
      <c r="B43" s="860" t="str">
        <f>iferror(if(H43="GLOW流用","-",if(G43="","","SSE_"&amp;TEXT(vlookup(E43,'プルダウンメニュー (SE用)'!$E$2:$F1028,2,false),"000")&amp;"_"&amp;TEXT(COUNTIF($E$4:E43,E43),"000"))),"")</f>
        <v/>
      </c>
      <c r="C43" s="879"/>
      <c r="D43" s="880"/>
      <c r="E43" s="880"/>
      <c r="F43" s="880"/>
      <c r="G43" s="880" t="s">
        <v>3963</v>
      </c>
      <c r="H43" s="906"/>
      <c r="I43" s="907"/>
      <c r="J43" s="908"/>
      <c r="K43" s="909"/>
      <c r="L43" s="909"/>
      <c r="M43" s="906"/>
      <c r="N43" s="910" t="s">
        <v>3895</v>
      </c>
      <c r="O43" s="910"/>
      <c r="P43" s="888"/>
      <c r="Q43" s="888"/>
      <c r="R43" s="889"/>
      <c r="S43" s="890"/>
      <c r="T43" s="889"/>
      <c r="U43" s="889"/>
    </row>
    <row r="44" ht="15.75" customHeight="1">
      <c r="A44" s="860" t="str">
        <f t="array" ref="A44">if(G44="","",XLOOKUP(D44,'プルダウンメニュー (SE用)'!$D$2:$D1028,'プルダウンメニュー (SE用)'!$C$2:$C1028))</f>
        <v>common_se</v>
      </c>
      <c r="B44" s="860" t="str">
        <f>iferror(if(H44="GLOW流用","-",if(G44="","","SSE_"&amp;TEXT(vlookup(E44,'プルダウンメニュー (SE用)'!$E$2:$F1028,2,false),"000")&amp;"_"&amp;TEXT(COUNTIF($E$4:E44,E44),"000"))),"")</f>
        <v>-</v>
      </c>
      <c r="C44" s="860"/>
      <c r="D44" s="861" t="s">
        <v>2788</v>
      </c>
      <c r="E44" s="861" t="s">
        <v>3964</v>
      </c>
      <c r="F44" s="861" t="s">
        <v>3964</v>
      </c>
      <c r="G44" s="861" t="s">
        <v>3965</v>
      </c>
      <c r="H44" s="862" t="s">
        <v>3913</v>
      </c>
      <c r="I44" s="901" t="s">
        <v>3758</v>
      </c>
      <c r="J44" s="902" t="s">
        <v>3844</v>
      </c>
      <c r="K44" s="865" t="s">
        <v>3845</v>
      </c>
      <c r="L44" s="903" t="s">
        <v>3846</v>
      </c>
      <c r="M44" s="894"/>
      <c r="N44" s="904" t="s">
        <v>3898</v>
      </c>
      <c r="O44" s="904"/>
      <c r="P44" s="868"/>
      <c r="Q44" s="868"/>
      <c r="R44" s="869"/>
      <c r="S44" s="143"/>
      <c r="T44" s="869"/>
      <c r="U44" s="869"/>
    </row>
    <row r="45" ht="15.75" customHeight="1">
      <c r="A45" s="860" t="str">
        <f t="array" ref="A45">if(G45="","",XLOOKUP(D45,'プルダウンメニュー (SE用)'!$D$2:$D1028,'プルダウンメニュー (SE用)'!$C$2:$C1028))</f>
        <v>common_se</v>
      </c>
      <c r="B45" s="860" t="str">
        <f>iferror(if(H45="GLOW流用","-",if(G45="","","SSE_"&amp;TEXT(vlookup(E45,'プルダウンメニュー (SE用)'!$E$2:$F1028,2,false),"000")&amp;"_"&amp;TEXT(COUNTIF($E$4:E45,E45),"000"))),"")</f>
        <v>-</v>
      </c>
      <c r="C45" s="860"/>
      <c r="D45" s="861" t="s">
        <v>2788</v>
      </c>
      <c r="E45" s="861" t="s">
        <v>3964</v>
      </c>
      <c r="F45" s="861" t="s">
        <v>3964</v>
      </c>
      <c r="G45" s="861" t="s">
        <v>3966</v>
      </c>
      <c r="H45" s="862" t="s">
        <v>3913</v>
      </c>
      <c r="I45" s="901" t="s">
        <v>3758</v>
      </c>
      <c r="J45" s="902" t="s">
        <v>3945</v>
      </c>
      <c r="K45" s="865" t="s">
        <v>3845</v>
      </c>
      <c r="L45" s="903" t="s">
        <v>3846</v>
      </c>
      <c r="M45" s="894"/>
      <c r="N45" s="904" t="s">
        <v>3967</v>
      </c>
      <c r="O45" s="904"/>
      <c r="P45" s="868"/>
      <c r="Q45" s="868"/>
      <c r="R45" s="869"/>
      <c r="S45" s="143"/>
      <c r="T45" s="869"/>
      <c r="U45" s="869"/>
    </row>
    <row r="46">
      <c r="A46" s="860" t="str">
        <f t="array" ref="A46">if(G46="","",XLOOKUP(D46,'プルダウンメニュー (SE用)'!$D$2:$D1028,'プルダウンメニュー (SE用)'!$C$2:$C1028))</f>
        <v>#N/A</v>
      </c>
      <c r="B46" s="860" t="str">
        <f>iferror(if(H46="GLOW流用","-",if(G46="","","SSE_"&amp;TEXT(vlookup(E46,'プルダウンメニュー (SE用)'!$E$2:$F1028,2,false),"000")&amp;"_"&amp;TEXT(COUNTIF($E$4:E46,E46),"000"))),"")</f>
        <v/>
      </c>
      <c r="C46" s="879" t="s">
        <v>3968</v>
      </c>
      <c r="D46" s="880"/>
      <c r="E46" s="880"/>
      <c r="F46" s="880"/>
      <c r="G46" s="880" t="s">
        <v>3969</v>
      </c>
      <c r="H46" s="906" t="s">
        <v>3859</v>
      </c>
      <c r="I46" s="907"/>
      <c r="J46" s="908" t="s">
        <v>3860</v>
      </c>
      <c r="K46" s="932" t="s">
        <v>3845</v>
      </c>
      <c r="L46" s="909" t="s">
        <v>3846</v>
      </c>
      <c r="M46" s="933"/>
      <c r="N46" s="910" t="s">
        <v>3970</v>
      </c>
      <c r="O46" s="910"/>
      <c r="P46" s="868"/>
      <c r="Q46" s="868"/>
      <c r="R46" s="869"/>
      <c r="S46" s="143"/>
      <c r="T46" s="869"/>
      <c r="U46" s="869"/>
    </row>
    <row r="47" ht="15.75" customHeight="1">
      <c r="A47" s="860" t="str">
        <f t="array" ref="A47">if(G47="","",XLOOKUP(D47,'プルダウンメニュー (SE用)'!$D$2:$D1028,'プルダウンメニュー (SE用)'!$C$2:$C1028))</f>
        <v>#N/A</v>
      </c>
      <c r="B47" s="860" t="str">
        <f>iferror(if(H47="GLOW流用","-",if(G47="","","SSE_"&amp;TEXT(vlookup(E47,'プルダウンメニュー (SE用)'!$E$2:$F1028,2,false),"000")&amp;"_"&amp;TEXT(COUNTIF($E$4:E47,E47),"000"))),"")</f>
        <v/>
      </c>
      <c r="C47" s="879"/>
      <c r="D47" s="880"/>
      <c r="E47" s="880"/>
      <c r="F47" s="880"/>
      <c r="G47" s="880" t="s">
        <v>3971</v>
      </c>
      <c r="H47" s="906"/>
      <c r="I47" s="907"/>
      <c r="J47" s="908"/>
      <c r="K47" s="909"/>
      <c r="L47" s="909"/>
      <c r="M47" s="906"/>
      <c r="N47" s="910" t="s">
        <v>3972</v>
      </c>
      <c r="O47" s="910"/>
      <c r="P47" s="888"/>
      <c r="Q47" s="888"/>
      <c r="R47" s="889"/>
      <c r="S47" s="890"/>
      <c r="T47" s="889"/>
      <c r="U47" s="889"/>
    </row>
    <row r="48">
      <c r="A48" s="860" t="str">
        <f t="array" ref="A48">if(G48="","",XLOOKUP(D48,'プルダウンメニュー (SE用)'!$D$2:$D1028,'プルダウンメニュー (SE用)'!$C$2:$C1028))</f>
        <v>common_se</v>
      </c>
      <c r="B48" s="860" t="str">
        <f>iferror(if(H48="GLOW流用","-",if(G48="","","SSE_"&amp;TEXT(vlookup(E48,'プルダウンメニュー (SE用)'!$E$2:$F1028,2,false),"000")&amp;"_"&amp;TEXT(COUNTIF($E$4:E48,E48),"000"))),"")</f>
        <v>SSE_051_016</v>
      </c>
      <c r="C48" s="860" t="s">
        <v>3973</v>
      </c>
      <c r="D48" s="861" t="s">
        <v>2788</v>
      </c>
      <c r="E48" s="861" t="s">
        <v>3888</v>
      </c>
      <c r="F48" s="861" t="s">
        <v>3888</v>
      </c>
      <c r="G48" s="861" t="s">
        <v>3974</v>
      </c>
      <c r="H48" s="862" t="s">
        <v>3843</v>
      </c>
      <c r="I48" s="901" t="s">
        <v>3758</v>
      </c>
      <c r="J48" s="902" t="s">
        <v>3975</v>
      </c>
      <c r="K48" s="865" t="s">
        <v>3845</v>
      </c>
      <c r="L48" s="903" t="s">
        <v>3846</v>
      </c>
      <c r="M48" s="934"/>
      <c r="N48" s="904"/>
      <c r="O48" s="904"/>
      <c r="P48" s="868">
        <v>660.0</v>
      </c>
      <c r="Q48" s="868">
        <v>600.0</v>
      </c>
      <c r="R48" s="869" t="s">
        <v>3847</v>
      </c>
      <c r="S48" s="143"/>
      <c r="T48" s="869"/>
      <c r="U48" s="869"/>
    </row>
    <row r="49">
      <c r="A49" s="860" t="str">
        <f t="array" ref="A49">if(G49="","",XLOOKUP(D49,'プルダウンメニュー (SE用)'!$D$2:$D1028,'プルダウンメニュー (SE用)'!$C$2:$C1028))</f>
        <v>common_se</v>
      </c>
      <c r="B49" s="860" t="str">
        <f>iferror(if(H49="GLOW流用","-",if(G49="","","SSE_"&amp;TEXT(vlookup(E49,'プルダウンメニュー (SE用)'!$E$2:$F1028,2,false),"000")&amp;"_"&amp;TEXT(COUNTIF($E$4:E49,E49),"000"))),"")</f>
        <v>SSE_051_017</v>
      </c>
      <c r="C49" s="860" t="s">
        <v>3976</v>
      </c>
      <c r="D49" s="861" t="s">
        <v>2788</v>
      </c>
      <c r="E49" s="861" t="s">
        <v>3888</v>
      </c>
      <c r="F49" s="861" t="s">
        <v>3888</v>
      </c>
      <c r="G49" s="861" t="s">
        <v>3977</v>
      </c>
      <c r="H49" s="862" t="s">
        <v>3859</v>
      </c>
      <c r="I49" s="901" t="s">
        <v>3978</v>
      </c>
      <c r="J49" s="902" t="s">
        <v>3979</v>
      </c>
      <c r="K49" s="865" t="s">
        <v>3845</v>
      </c>
      <c r="L49" s="903" t="s">
        <v>3846</v>
      </c>
      <c r="M49" s="934"/>
      <c r="N49" s="904"/>
      <c r="O49" s="904"/>
      <c r="P49" s="868"/>
      <c r="Q49" s="868"/>
      <c r="R49" s="869"/>
      <c r="S49" s="143"/>
      <c r="T49" s="869"/>
      <c r="U49" s="869"/>
    </row>
    <row r="50" ht="15.75" customHeight="1">
      <c r="A50" s="860" t="str">
        <f t="array" ref="A50">if(G50="","",XLOOKUP(D50,'プルダウンメニュー (SE用)'!$D$2:$D1028,'プルダウンメニュー (SE用)'!$C$2:$C1028))</f>
        <v>common_se</v>
      </c>
      <c r="B50" s="860" t="str">
        <f>iferror(if(H50="GLOW流用","-",if(G50="","","SSE_"&amp;TEXT(vlookup(E50,'プルダウンメニュー (SE用)'!$E$2:$F1028,2,false),"000")&amp;"_"&amp;TEXT(COUNTIF($E$4:E50,E50),"000"))),"")</f>
        <v>SSE_051_018</v>
      </c>
      <c r="C50" s="860"/>
      <c r="D50" s="861" t="s">
        <v>2788</v>
      </c>
      <c r="E50" s="861" t="s">
        <v>3888</v>
      </c>
      <c r="F50" s="861" t="s">
        <v>3888</v>
      </c>
      <c r="G50" s="861" t="s">
        <v>3980</v>
      </c>
      <c r="H50" s="862" t="s">
        <v>3843</v>
      </c>
      <c r="I50" s="901"/>
      <c r="J50" s="902" t="s">
        <v>3981</v>
      </c>
      <c r="K50" s="935"/>
      <c r="L50" s="903" t="s">
        <v>3934</v>
      </c>
      <c r="M50" s="894"/>
      <c r="N50" s="904"/>
      <c r="O50" s="904"/>
      <c r="P50" s="868"/>
      <c r="Q50" s="868">
        <v>600.0</v>
      </c>
      <c r="R50" s="869" t="s">
        <v>3847</v>
      </c>
      <c r="S50" s="143"/>
      <c r="T50" s="869"/>
      <c r="U50" s="869"/>
    </row>
    <row r="51" ht="15.75" customHeight="1">
      <c r="A51" s="860" t="str">
        <f t="array" ref="A51">if(G51="","",XLOOKUP(D51,'プルダウンメニュー (SE用)'!$D$2:$D1028,'プルダウンメニュー (SE用)'!$C$2:$C1028))</f>
        <v>common_se</v>
      </c>
      <c r="B51" s="860" t="str">
        <f>iferror(if(H51="GLOW流用","-",if(G51="","","SSE_"&amp;TEXT(vlookup(E51,'プルダウンメニュー (SE用)'!$E$2:$F1028,2,false),"000")&amp;"_"&amp;TEXT(COUNTIF($E$4:E51,E51),"000"))),"")</f>
        <v>SSE_051_019</v>
      </c>
      <c r="C51" s="860"/>
      <c r="D51" s="861" t="s">
        <v>2788</v>
      </c>
      <c r="E51" s="861" t="s">
        <v>3888</v>
      </c>
      <c r="F51" s="861" t="s">
        <v>3888</v>
      </c>
      <c r="G51" s="861" t="s">
        <v>3980</v>
      </c>
      <c r="H51" s="862" t="s">
        <v>3843</v>
      </c>
      <c r="I51" s="901"/>
      <c r="J51" s="902" t="s">
        <v>3982</v>
      </c>
      <c r="K51" s="935"/>
      <c r="L51" s="903" t="s">
        <v>3934</v>
      </c>
      <c r="M51" s="894"/>
      <c r="N51" s="904"/>
      <c r="O51" s="904"/>
      <c r="P51" s="868"/>
      <c r="Q51" s="868">
        <v>600.0</v>
      </c>
      <c r="R51" s="869" t="s">
        <v>3847</v>
      </c>
      <c r="S51" s="143"/>
      <c r="T51" s="869"/>
      <c r="U51" s="869"/>
    </row>
    <row r="52" ht="15.75" customHeight="1">
      <c r="A52" s="860" t="str">
        <f t="array" ref="A52">if(G52="","",XLOOKUP(D52,'プルダウンメニュー (SE用)'!$D$2:$D1028,'プルダウンメニュー (SE用)'!$C$2:$C1028))</f>
        <v>common_se</v>
      </c>
      <c r="B52" s="860" t="str">
        <f>iferror(if(H52="GLOW流用","-",if(G52="","","SSE_"&amp;TEXT(vlookup(E52,'プルダウンメニュー (SE用)'!$E$2:$F1028,2,false),"000")&amp;"_"&amp;TEXT(COUNTIF($E$4:E52,E52),"000"))),"")</f>
        <v>SSE_051_020</v>
      </c>
      <c r="C52" s="915"/>
      <c r="D52" s="916" t="s">
        <v>2788</v>
      </c>
      <c r="E52" s="916" t="s">
        <v>3888</v>
      </c>
      <c r="F52" s="916" t="s">
        <v>3888</v>
      </c>
      <c r="G52" s="916" t="s">
        <v>3980</v>
      </c>
      <c r="H52" s="917" t="s">
        <v>3843</v>
      </c>
      <c r="I52" s="918"/>
      <c r="J52" s="919" t="s">
        <v>3983</v>
      </c>
      <c r="K52" s="936"/>
      <c r="L52" s="920" t="s">
        <v>3934</v>
      </c>
      <c r="M52" s="921"/>
      <c r="N52" s="922"/>
      <c r="O52" s="922"/>
      <c r="P52" s="923"/>
      <c r="Q52" s="923">
        <v>600.0</v>
      </c>
      <c r="R52" s="924" t="s">
        <v>3847</v>
      </c>
      <c r="S52" s="925"/>
      <c r="T52" s="924"/>
      <c r="U52" s="924"/>
    </row>
    <row r="53" ht="15.75" customHeight="1">
      <c r="A53" s="860" t="str">
        <f t="array" ref="A53">if(G53="","",XLOOKUP(D53,'プルダウンメニュー (SE用)'!$D$2:$D1028,'プルダウンメニュー (SE用)'!$C$2:$C1028))</f>
        <v>battle_se</v>
      </c>
      <c r="B53" s="860" t="str">
        <f>iferror(if(H53="GLOW流用","-",if(G53="","","SSE_"&amp;TEXT(vlookup(E53,'プルダウンメニュー (SE用)'!$E$2:$F1028,2,false),"000")&amp;"_"&amp;TEXT(COUNTIF($E$4:E53,E53),"000"))),"")</f>
        <v>SSE_051_021</v>
      </c>
      <c r="C53" s="926"/>
      <c r="D53" s="927" t="s">
        <v>3887</v>
      </c>
      <c r="E53" s="927" t="s">
        <v>3888</v>
      </c>
      <c r="F53" s="927" t="s">
        <v>3888</v>
      </c>
      <c r="G53" s="927" t="s">
        <v>3984</v>
      </c>
      <c r="H53" s="899" t="s">
        <v>3843</v>
      </c>
      <c r="I53" s="896" t="s">
        <v>3758</v>
      </c>
      <c r="J53" s="928" t="s">
        <v>3985</v>
      </c>
      <c r="K53" s="937"/>
      <c r="L53" s="898" t="s">
        <v>3934</v>
      </c>
      <c r="M53" s="899" t="s">
        <v>3986</v>
      </c>
      <c r="N53" s="900" t="s">
        <v>3987</v>
      </c>
      <c r="O53" s="900"/>
      <c r="P53" s="930"/>
      <c r="Q53" s="930">
        <v>600.0</v>
      </c>
      <c r="R53" s="869" t="s">
        <v>3847</v>
      </c>
      <c r="S53" s="931"/>
      <c r="T53" s="870"/>
      <c r="U53" s="870"/>
    </row>
    <row r="54" ht="15.75" customHeight="1">
      <c r="A54" s="860" t="str">
        <f t="array" ref="A54">if(G54="","",XLOOKUP(D54,'プルダウンメニュー (SE用)'!$D$2:$D1028,'プルダウンメニュー (SE用)'!$C$2:$C1028))</f>
        <v>battle_se</v>
      </c>
      <c r="B54" s="860" t="str">
        <f>iferror(if(H54="GLOW流用","-",if(G54="","","SSE_"&amp;TEXT(vlookup(E54,'プルダウンメニュー (SE用)'!$E$2:$F1028,2,false),"000")&amp;"_"&amp;TEXT(COUNTIF($E$4:E54,E54),"000"))),"")</f>
        <v>SSE_051_022</v>
      </c>
      <c r="C54" s="860"/>
      <c r="D54" s="861" t="s">
        <v>3887</v>
      </c>
      <c r="E54" s="861" t="s">
        <v>3888</v>
      </c>
      <c r="F54" s="861" t="s">
        <v>3888</v>
      </c>
      <c r="G54" s="861" t="s">
        <v>3988</v>
      </c>
      <c r="H54" s="862" t="s">
        <v>3843</v>
      </c>
      <c r="I54" s="901" t="s">
        <v>3758</v>
      </c>
      <c r="J54" s="902" t="s">
        <v>3989</v>
      </c>
      <c r="K54" s="935"/>
      <c r="L54" s="903" t="s">
        <v>3934</v>
      </c>
      <c r="M54" s="862" t="s">
        <v>3986</v>
      </c>
      <c r="N54" s="904" t="s">
        <v>3990</v>
      </c>
      <c r="O54" s="904"/>
      <c r="P54" s="868"/>
      <c r="Q54" s="868">
        <v>600.0</v>
      </c>
      <c r="R54" s="869" t="s">
        <v>3847</v>
      </c>
      <c r="S54" s="143"/>
      <c r="T54" s="869"/>
      <c r="U54" s="869"/>
    </row>
    <row r="55" ht="15.75" customHeight="1">
      <c r="A55" s="860" t="str">
        <f t="array" ref="A55">if(G55="","",XLOOKUP(D55,'プルダウンメニュー (SE用)'!$D$2:$D1028,'プルダウンメニュー (SE用)'!$C$2:$C1028))</f>
        <v>battle_se</v>
      </c>
      <c r="B55" s="860" t="str">
        <f>iferror(if(H55="GLOW流用","-",if(G55="","","SSE_"&amp;TEXT(vlookup(E55,'プルダウンメニュー (SE用)'!$E$2:$F1028,2,false),"000")&amp;"_"&amp;TEXT(COUNTIF($E$4:E55,E55),"000"))),"")</f>
        <v>SSE_051_023</v>
      </c>
      <c r="C55" s="860"/>
      <c r="D55" s="861" t="s">
        <v>3887</v>
      </c>
      <c r="E55" s="861" t="s">
        <v>3888</v>
      </c>
      <c r="F55" s="861" t="s">
        <v>3888</v>
      </c>
      <c r="G55" s="861" t="s">
        <v>3991</v>
      </c>
      <c r="H55" s="862" t="s">
        <v>3843</v>
      </c>
      <c r="I55" s="901" t="s">
        <v>3758</v>
      </c>
      <c r="J55" s="902" t="s">
        <v>3992</v>
      </c>
      <c r="K55" s="938"/>
      <c r="L55" s="903" t="s">
        <v>3934</v>
      </c>
      <c r="M55" s="862" t="s">
        <v>3986</v>
      </c>
      <c r="N55" s="904" t="s">
        <v>3993</v>
      </c>
      <c r="O55" s="904"/>
      <c r="P55" s="868"/>
      <c r="Q55" s="868">
        <v>600.0</v>
      </c>
      <c r="R55" s="869" t="s">
        <v>3847</v>
      </c>
      <c r="S55" s="143"/>
      <c r="T55" s="869"/>
      <c r="U55" s="869"/>
    </row>
    <row r="56" ht="15.75" customHeight="1">
      <c r="A56" s="860" t="str">
        <f t="array" ref="A56">if(G56="","",XLOOKUP(D56,'プルダウンメニュー (SE用)'!$D$2:$D1028,'プルダウンメニュー (SE用)'!$C$2:$C1028))</f>
        <v>battle_se</v>
      </c>
      <c r="B56" s="860" t="str">
        <f>iferror(if(H56="GLOW流用","-",if(G56="","","SSE_"&amp;TEXT(vlookup(E56,'プルダウンメニュー (SE用)'!$E$2:$F1028,2,false),"000")&amp;"_"&amp;TEXT(COUNTIF($E$4:E56,E56),"000"))),"")</f>
        <v>SSE_051_024</v>
      </c>
      <c r="C56" s="860"/>
      <c r="D56" s="861" t="s">
        <v>3887</v>
      </c>
      <c r="E56" s="861" t="s">
        <v>3888</v>
      </c>
      <c r="F56" s="861" t="s">
        <v>3888</v>
      </c>
      <c r="G56" s="861" t="s">
        <v>3994</v>
      </c>
      <c r="H56" s="862" t="s">
        <v>3843</v>
      </c>
      <c r="I56" s="901" t="s">
        <v>3758</v>
      </c>
      <c r="J56" s="902" t="s">
        <v>3995</v>
      </c>
      <c r="K56" s="938"/>
      <c r="L56" s="903" t="s">
        <v>3934</v>
      </c>
      <c r="M56" s="862" t="s">
        <v>3986</v>
      </c>
      <c r="N56" s="904" t="s">
        <v>3996</v>
      </c>
      <c r="O56" s="904"/>
      <c r="P56" s="868"/>
      <c r="Q56" s="868">
        <v>600.0</v>
      </c>
      <c r="R56" s="869" t="s">
        <v>3847</v>
      </c>
      <c r="S56" s="143"/>
      <c r="T56" s="869"/>
      <c r="U56" s="869"/>
    </row>
    <row r="57" ht="15.75" customHeight="1">
      <c r="A57" s="860" t="str">
        <f t="array" ref="A57">if(G57="","",XLOOKUP(D57,'プルダウンメニュー (SE用)'!$D$2:$D1028,'プルダウンメニュー (SE用)'!$C$2:$C1028))</f>
        <v>battle_se</v>
      </c>
      <c r="B57" s="860" t="str">
        <f>iferror(if(H57="GLOW流用","-",if(G57="","","SSE_"&amp;TEXT(vlookup(E57,'プルダウンメニュー (SE用)'!$E$2:$F1028,2,false),"000")&amp;"_"&amp;TEXT(COUNTIF($E$4:E57,E57),"000"))),"")</f>
        <v>SSE_051_025</v>
      </c>
      <c r="C57" s="915"/>
      <c r="D57" s="916" t="s">
        <v>3887</v>
      </c>
      <c r="E57" s="916" t="s">
        <v>3888</v>
      </c>
      <c r="F57" s="916" t="s">
        <v>3888</v>
      </c>
      <c r="G57" s="916" t="s">
        <v>3997</v>
      </c>
      <c r="H57" s="917" t="s">
        <v>3843</v>
      </c>
      <c r="I57" s="918" t="s">
        <v>3758</v>
      </c>
      <c r="J57" s="939" t="s">
        <v>3998</v>
      </c>
      <c r="K57" s="940"/>
      <c r="L57" s="920" t="s">
        <v>3934</v>
      </c>
      <c r="M57" s="917" t="s">
        <v>3986</v>
      </c>
      <c r="N57" s="922"/>
      <c r="O57" s="922"/>
      <c r="P57" s="923"/>
      <c r="Q57" s="923">
        <v>600.0</v>
      </c>
      <c r="R57" s="924" t="s">
        <v>3847</v>
      </c>
      <c r="S57" s="925"/>
      <c r="T57" s="924"/>
      <c r="U57" s="924"/>
    </row>
    <row r="58" ht="15.75" customHeight="1">
      <c r="A58" s="860" t="str">
        <f t="array" ref="A58">if(G58="","",XLOOKUP(D58,'プルダウンメニュー (SE用)'!$D$2:$D1028,'プルダウンメニュー (SE用)'!$C$2:$C1028))</f>
        <v>battle_se</v>
      </c>
      <c r="B58" s="860" t="str">
        <f>iferror(if(H58="GLOW流用","-",if(G58="","","SSE_"&amp;TEXT(vlookup(E58,'プルダウンメニュー (SE用)'!$E$2:$F1028,2,false),"000")&amp;"_"&amp;TEXT(COUNTIF($E$4:E58,E58),"000"))),"")</f>
        <v>SSE_051_026</v>
      </c>
      <c r="C58" s="926"/>
      <c r="D58" s="927" t="s">
        <v>3887</v>
      </c>
      <c r="E58" s="927" t="s">
        <v>3888</v>
      </c>
      <c r="F58" s="927" t="s">
        <v>3888</v>
      </c>
      <c r="G58" s="927" t="s">
        <v>2971</v>
      </c>
      <c r="H58" s="899" t="s">
        <v>3843</v>
      </c>
      <c r="I58" s="896" t="s">
        <v>3758</v>
      </c>
      <c r="J58" s="897" t="s">
        <v>3999</v>
      </c>
      <c r="K58" s="904" t="s">
        <v>3933</v>
      </c>
      <c r="L58" s="898" t="s">
        <v>3846</v>
      </c>
      <c r="M58" s="899"/>
      <c r="N58" s="900"/>
      <c r="O58" s="900"/>
      <c r="P58" s="868">
        <v>660.0</v>
      </c>
      <c r="Q58" s="868">
        <v>600.0</v>
      </c>
      <c r="R58" s="869" t="s">
        <v>3847</v>
      </c>
      <c r="S58" s="143" t="s">
        <v>4000</v>
      </c>
      <c r="T58" s="870" t="s">
        <v>3848</v>
      </c>
      <c r="U58" s="870"/>
    </row>
    <row r="59" ht="15.75" customHeight="1">
      <c r="A59" s="860" t="str">
        <f t="array" ref="A59">if(G59="","",XLOOKUP(D59,'プルダウンメニュー (SE用)'!$D$2:$D1028,'プルダウンメニュー (SE用)'!$C$2:$C1028))</f>
        <v>battle_se</v>
      </c>
      <c r="B59" s="860" t="str">
        <f>iferror(if(H59="GLOW流用","-",if(G59="","","SSE_"&amp;TEXT(vlookup(E59,'プルダウンメニュー (SE用)'!$E$2:$F1028,2,false),"000")&amp;"_"&amp;TEXT(COUNTIF($E$4:E59,E59),"000"))),"")</f>
        <v>SSE_051_027</v>
      </c>
      <c r="C59" s="926"/>
      <c r="D59" s="927" t="s">
        <v>3887</v>
      </c>
      <c r="E59" s="927" t="s">
        <v>3888</v>
      </c>
      <c r="F59" s="927" t="s">
        <v>3888</v>
      </c>
      <c r="G59" s="861" t="s">
        <v>2976</v>
      </c>
      <c r="H59" s="862" t="s">
        <v>3843</v>
      </c>
      <c r="I59" s="901" t="s">
        <v>3758</v>
      </c>
      <c r="J59" s="911" t="s">
        <v>4001</v>
      </c>
      <c r="K59" s="904" t="s">
        <v>3933</v>
      </c>
      <c r="L59" s="903" t="s">
        <v>3846</v>
      </c>
      <c r="M59" s="862"/>
      <c r="N59" s="904"/>
      <c r="O59" s="904"/>
      <c r="P59" s="868">
        <v>660.0</v>
      </c>
      <c r="Q59" s="868">
        <v>600.0</v>
      </c>
      <c r="R59" s="869" t="s">
        <v>3847</v>
      </c>
      <c r="S59" s="143" t="s">
        <v>4000</v>
      </c>
      <c r="T59" s="869" t="s">
        <v>3848</v>
      </c>
      <c r="U59" s="869"/>
    </row>
    <row r="60" ht="15.75" customHeight="1">
      <c r="A60" s="860" t="str">
        <f t="array" ref="A60">if(G60="","",XLOOKUP(D60,'プルダウンメニュー (SE用)'!$D$2:$D1028,'プルダウンメニュー (SE用)'!$C$2:$C1028))</f>
        <v>battle_se</v>
      </c>
      <c r="B60" s="860" t="str">
        <f>iferror(if(H60="GLOW流用","-",if(G60="","","SSE_"&amp;TEXT(vlookup(E60,'プルダウンメニュー (SE用)'!$E$2:$F1028,2,false),"000")&amp;"_"&amp;TEXT(COUNTIF($E$4:E60,E60),"000"))),"")</f>
        <v>SSE_051_028</v>
      </c>
      <c r="C60" s="926"/>
      <c r="D60" s="927" t="s">
        <v>3887</v>
      </c>
      <c r="E60" s="927" t="s">
        <v>3888</v>
      </c>
      <c r="F60" s="927" t="s">
        <v>3888</v>
      </c>
      <c r="G60" s="861" t="s">
        <v>4002</v>
      </c>
      <c r="H60" s="862" t="s">
        <v>3843</v>
      </c>
      <c r="I60" s="901"/>
      <c r="J60" s="911" t="s">
        <v>4003</v>
      </c>
      <c r="K60" s="935"/>
      <c r="L60" s="903" t="s">
        <v>3846</v>
      </c>
      <c r="M60" s="862" t="s">
        <v>4004</v>
      </c>
      <c r="N60" s="904"/>
      <c r="O60" s="904"/>
      <c r="P60" s="868">
        <v>660.0</v>
      </c>
      <c r="Q60" s="868">
        <v>600.0</v>
      </c>
      <c r="R60" s="869" t="s">
        <v>3847</v>
      </c>
      <c r="S60" s="143" t="s">
        <v>4005</v>
      </c>
      <c r="T60" s="869" t="s">
        <v>3848</v>
      </c>
      <c r="U60" s="869"/>
    </row>
    <row r="61" ht="15.75" customHeight="1">
      <c r="A61" s="860" t="str">
        <f t="array" ref="A61">if(G61="","",XLOOKUP(D61,'プルダウンメニュー (SE用)'!$D$2:$D1028,'プルダウンメニュー (SE用)'!$C$2:$C1028))</f>
        <v>battle_se</v>
      </c>
      <c r="B61" s="860" t="str">
        <f>iferror(if(H61="GLOW流用","-",if(G61="","","SSE_"&amp;TEXT(vlookup(E61,'プルダウンメニュー (SE用)'!$E$2:$F1028,2,false),"000")&amp;"_"&amp;TEXT(COUNTIF($E$4:E61,E61),"000"))),"")</f>
        <v>SSE_051_029</v>
      </c>
      <c r="C61" s="860"/>
      <c r="D61" s="927" t="s">
        <v>3887</v>
      </c>
      <c r="E61" s="927" t="s">
        <v>3888</v>
      </c>
      <c r="F61" s="927" t="s">
        <v>3888</v>
      </c>
      <c r="G61" s="861" t="s">
        <v>4006</v>
      </c>
      <c r="H61" s="862" t="s">
        <v>3843</v>
      </c>
      <c r="I61" s="901" t="s">
        <v>3758</v>
      </c>
      <c r="J61" s="911" t="s">
        <v>4007</v>
      </c>
      <c r="K61" s="935"/>
      <c r="L61" s="903" t="s">
        <v>3846</v>
      </c>
      <c r="M61" s="862"/>
      <c r="N61" s="904"/>
      <c r="O61" s="904"/>
      <c r="P61" s="868">
        <v>660.0</v>
      </c>
      <c r="Q61" s="868">
        <v>600.0</v>
      </c>
      <c r="R61" s="869" t="s">
        <v>3847</v>
      </c>
      <c r="S61" s="143" t="s">
        <v>4005</v>
      </c>
      <c r="T61" s="869" t="s">
        <v>3848</v>
      </c>
      <c r="U61" s="869"/>
    </row>
    <row r="62" ht="15.75" customHeight="1">
      <c r="A62" s="860" t="str">
        <f t="array" ref="A62">if(G62="","",XLOOKUP(D62,'プルダウンメニュー (SE用)'!$D$2:$D1028,'プルダウンメニュー (SE用)'!$C$2:$C1028))</f>
        <v>battle_se</v>
      </c>
      <c r="B62" s="860" t="str">
        <f>iferror(if(H62="GLOW流用","-",if(G62="","","SSE_"&amp;TEXT(vlookup(E62,'プルダウンメニュー (SE用)'!$E$2:$F1028,2,false),"000")&amp;"_"&amp;TEXT(COUNTIF($E$4:E62,E62),"000"))),"")</f>
        <v>SSE_051_030</v>
      </c>
      <c r="C62" s="860"/>
      <c r="D62" s="927" t="s">
        <v>3887</v>
      </c>
      <c r="E62" s="927" t="s">
        <v>3888</v>
      </c>
      <c r="F62" s="927" t="s">
        <v>3888</v>
      </c>
      <c r="G62" s="861" t="s">
        <v>4008</v>
      </c>
      <c r="H62" s="862" t="s">
        <v>3843</v>
      </c>
      <c r="I62" s="901"/>
      <c r="J62" s="911" t="s">
        <v>4009</v>
      </c>
      <c r="K62" s="904" t="s">
        <v>3933</v>
      </c>
      <c r="L62" s="903" t="s">
        <v>3846</v>
      </c>
      <c r="M62" s="862"/>
      <c r="N62" s="904"/>
      <c r="O62" s="904"/>
      <c r="P62" s="868">
        <v>660.0</v>
      </c>
      <c r="Q62" s="868">
        <v>600.0</v>
      </c>
      <c r="R62" s="869" t="s">
        <v>3847</v>
      </c>
      <c r="S62" s="143" t="s">
        <v>4000</v>
      </c>
      <c r="T62" s="869" t="s">
        <v>3848</v>
      </c>
      <c r="U62" s="869"/>
    </row>
    <row r="63">
      <c r="A63" s="860" t="str">
        <f t="array" ref="A63">if(G63="","",XLOOKUP(D63,'プルダウンメニュー (SE用)'!$D$2:$D1028,'プルダウンメニュー (SE用)'!$C$2:$C1028))</f>
        <v>battle_se</v>
      </c>
      <c r="B63" s="860" t="str">
        <f>iferror(if(H63="GLOW流用","-",if(G63="","","SSE_"&amp;TEXT(vlookup(E63,'プルダウンメニュー (SE用)'!$E$2:$F1028,2,false),"000")&amp;"_"&amp;TEXT(COUNTIF($E$4:E63,E63),"000"))),"")</f>
        <v>SSE_051_031</v>
      </c>
      <c r="C63" s="860"/>
      <c r="D63" s="927" t="s">
        <v>3887</v>
      </c>
      <c r="E63" s="927" t="s">
        <v>3888</v>
      </c>
      <c r="F63" s="927" t="s">
        <v>3888</v>
      </c>
      <c r="G63" s="861" t="s">
        <v>4010</v>
      </c>
      <c r="H63" s="862" t="s">
        <v>3843</v>
      </c>
      <c r="I63" s="901" t="s">
        <v>3758</v>
      </c>
      <c r="J63" s="902" t="s">
        <v>4011</v>
      </c>
      <c r="K63" s="935"/>
      <c r="L63" s="903" t="s">
        <v>3846</v>
      </c>
      <c r="M63" s="862" t="s">
        <v>4012</v>
      </c>
      <c r="N63" s="904"/>
      <c r="O63" s="904"/>
      <c r="P63" s="868">
        <v>660.0</v>
      </c>
      <c r="Q63" s="868">
        <v>600.0</v>
      </c>
      <c r="R63" s="869" t="s">
        <v>3847</v>
      </c>
      <c r="S63" s="143" t="s">
        <v>4005</v>
      </c>
      <c r="T63" s="869" t="s">
        <v>3848</v>
      </c>
      <c r="U63" s="869"/>
    </row>
    <row r="64">
      <c r="A64" s="860" t="str">
        <f t="array" ref="A64">if(G64="","",XLOOKUP(D64,'プルダウンメニュー (SE用)'!$D$2:$D1028,'プルダウンメニュー (SE用)'!$C$2:$C1028))</f>
        <v>battle_se</v>
      </c>
      <c r="B64" s="860" t="str">
        <f>iferror(if(H64="GLOW流用","-",if(G64="","","SSE_"&amp;TEXT(vlookup(E64,'プルダウンメニュー (SE用)'!$E$2:$F1028,2,false),"000")&amp;"_"&amp;TEXT(COUNTIF($E$4:E64,E64),"000"))),"")</f>
        <v>SSE_051_032</v>
      </c>
      <c r="C64" s="860"/>
      <c r="D64" s="927" t="s">
        <v>3887</v>
      </c>
      <c r="E64" s="927" t="s">
        <v>3888</v>
      </c>
      <c r="F64" s="927" t="s">
        <v>3888</v>
      </c>
      <c r="G64" s="861" t="s">
        <v>2975</v>
      </c>
      <c r="H64" s="862" t="s">
        <v>3843</v>
      </c>
      <c r="I64" s="901" t="s">
        <v>3758</v>
      </c>
      <c r="J64" s="911" t="s">
        <v>4013</v>
      </c>
      <c r="K64" s="935"/>
      <c r="L64" s="903" t="s">
        <v>3846</v>
      </c>
      <c r="M64" s="862"/>
      <c r="N64" s="904"/>
      <c r="O64" s="904"/>
      <c r="P64" s="868">
        <v>660.0</v>
      </c>
      <c r="Q64" s="868">
        <v>600.0</v>
      </c>
      <c r="R64" s="869" t="s">
        <v>3847</v>
      </c>
      <c r="S64" s="143" t="s">
        <v>4005</v>
      </c>
      <c r="T64" s="869" t="s">
        <v>3848</v>
      </c>
      <c r="U64" s="869"/>
    </row>
    <row r="65">
      <c r="A65" s="860" t="str">
        <f t="array" ref="A65">if(G65="","",XLOOKUP(D65,'プルダウンメニュー (SE用)'!$D$2:$D1028,'プルダウンメニュー (SE用)'!$C$2:$C1028))</f>
        <v>battle_se</v>
      </c>
      <c r="B65" s="860" t="str">
        <f>iferror(if(H65="GLOW流用","-",if(G65="","","SSE_"&amp;TEXT(vlookup(E65,'プルダウンメニュー (SE用)'!$E$2:$F1028,2,false),"000")&amp;"_"&amp;TEXT(COUNTIF($E$4:E65,E65),"000"))),"")</f>
        <v>SSE_051_033</v>
      </c>
      <c r="C65" s="860"/>
      <c r="D65" s="927" t="s">
        <v>3887</v>
      </c>
      <c r="E65" s="927" t="s">
        <v>3888</v>
      </c>
      <c r="F65" s="927" t="s">
        <v>3888</v>
      </c>
      <c r="G65" s="861" t="s">
        <v>4014</v>
      </c>
      <c r="H65" s="862" t="s">
        <v>3843</v>
      </c>
      <c r="I65" s="901" t="s">
        <v>3758</v>
      </c>
      <c r="J65" s="911" t="s">
        <v>4015</v>
      </c>
      <c r="K65" s="935"/>
      <c r="L65" s="903" t="s">
        <v>3846</v>
      </c>
      <c r="M65" s="862"/>
      <c r="N65" s="904"/>
      <c r="O65" s="904"/>
      <c r="P65" s="868">
        <v>660.0</v>
      </c>
      <c r="Q65" s="868">
        <v>600.0</v>
      </c>
      <c r="R65" s="869" t="s">
        <v>3847</v>
      </c>
      <c r="S65" s="143" t="s">
        <v>4005</v>
      </c>
      <c r="T65" s="869" t="s">
        <v>3848</v>
      </c>
      <c r="U65" s="869"/>
    </row>
    <row r="66">
      <c r="A66" s="860" t="str">
        <f t="array" ref="A66">if(G66="","",XLOOKUP(D66,'プルダウンメニュー (SE用)'!$D$2:$D1028,'プルダウンメニュー (SE用)'!$C$2:$C1028))</f>
        <v>battle_se</v>
      </c>
      <c r="B66" s="860" t="str">
        <f>iferror(if(H66="GLOW流用","-",if(G66="","","SSE_"&amp;TEXT(vlookup(E66,'プルダウンメニュー (SE用)'!$E$2:$F1028,2,false),"000")&amp;"_"&amp;TEXT(COUNTIF($E$4:E66,E66),"000"))),"")</f>
        <v>SSE_051_034</v>
      </c>
      <c r="C66" s="860"/>
      <c r="D66" s="861" t="s">
        <v>3887</v>
      </c>
      <c r="E66" s="861" t="s">
        <v>3888</v>
      </c>
      <c r="F66" s="861" t="s">
        <v>3888</v>
      </c>
      <c r="G66" s="861" t="s">
        <v>4016</v>
      </c>
      <c r="H66" s="862" t="s">
        <v>3843</v>
      </c>
      <c r="I66" s="901" t="s">
        <v>3978</v>
      </c>
      <c r="J66" s="911" t="s">
        <v>4017</v>
      </c>
      <c r="K66" s="935"/>
      <c r="L66" s="903" t="s">
        <v>3846</v>
      </c>
      <c r="M66" s="862"/>
      <c r="N66" s="904"/>
      <c r="O66" s="904"/>
      <c r="P66" s="868">
        <v>660.0</v>
      </c>
      <c r="Q66" s="868">
        <v>600.0</v>
      </c>
      <c r="R66" s="869" t="s">
        <v>3847</v>
      </c>
      <c r="S66" s="143" t="s">
        <v>4005</v>
      </c>
      <c r="T66" s="869" t="s">
        <v>3848</v>
      </c>
      <c r="U66" s="869"/>
    </row>
    <row r="67">
      <c r="A67" s="915" t="str">
        <f t="array" ref="A67">if(G67="","",XLOOKUP(D67,'プルダウンメニュー (SE用)'!$D$2:$D1028,'プルダウンメニュー (SE用)'!$C$2:$C1028))</f>
        <v>battle_se</v>
      </c>
      <c r="B67" s="915" t="str">
        <f>iferror(if(H67="GLOW流用","-",if(G67="","","SSE_"&amp;TEXT(vlookup(E67,'プルダウンメニュー (SE用)'!$E$2:$F1028,2,false),"000")&amp;"_"&amp;TEXT(COUNTIF($E$4:E67,E67),"000"))),"")</f>
        <v>SSE_051_035</v>
      </c>
      <c r="C67" s="915"/>
      <c r="D67" s="916" t="s">
        <v>3887</v>
      </c>
      <c r="E67" s="916" t="s">
        <v>3888</v>
      </c>
      <c r="F67" s="916" t="s">
        <v>3888</v>
      </c>
      <c r="G67" s="916" t="s">
        <v>4018</v>
      </c>
      <c r="H67" s="917" t="s">
        <v>3843</v>
      </c>
      <c r="I67" s="918" t="s">
        <v>3758</v>
      </c>
      <c r="J67" s="919" t="s">
        <v>4019</v>
      </c>
      <c r="K67" s="936"/>
      <c r="L67" s="920" t="s">
        <v>3846</v>
      </c>
      <c r="M67" s="917"/>
      <c r="N67" s="922" t="s">
        <v>4020</v>
      </c>
      <c r="O67" s="922"/>
      <c r="P67" s="923">
        <v>660.0</v>
      </c>
      <c r="Q67" s="923">
        <v>600.0</v>
      </c>
      <c r="R67" s="924" t="s">
        <v>3847</v>
      </c>
      <c r="S67" s="925" t="s">
        <v>4005</v>
      </c>
      <c r="T67" s="924" t="s">
        <v>3848</v>
      </c>
      <c r="U67" s="924"/>
    </row>
    <row r="68">
      <c r="A68" s="926" t="str">
        <f t="array" ref="A68">if(G68="","",XLOOKUP(D68,'プルダウンメニュー (SE用)'!$D$2:$D1028,'プルダウンメニュー (SE用)'!$C$2:$C1028))</f>
        <v>common_se</v>
      </c>
      <c r="B68" s="926" t="str">
        <f>iferror(if(H68="GLOW流用","-",if(G68="","","SSE_"&amp;TEXT(vlookup(E68,'プルダウンメニュー (SE用)'!$E$2:$F1028,2,false),"000")&amp;"_"&amp;TEXT(COUNTIF($E$4:E68,E68),"000"))),"")</f>
        <v>SSE_011_001</v>
      </c>
      <c r="C68" s="926"/>
      <c r="D68" s="927" t="s">
        <v>2788</v>
      </c>
      <c r="E68" s="927" t="s">
        <v>4021</v>
      </c>
      <c r="F68" s="927" t="s">
        <v>4021</v>
      </c>
      <c r="G68" s="927" t="s">
        <v>4022</v>
      </c>
      <c r="H68" s="899" t="s">
        <v>3859</v>
      </c>
      <c r="I68" s="896" t="s">
        <v>3758</v>
      </c>
      <c r="J68" s="928" t="s">
        <v>4023</v>
      </c>
      <c r="K68" s="941"/>
      <c r="L68" s="898" t="s">
        <v>3934</v>
      </c>
      <c r="M68" s="899" t="s">
        <v>4024</v>
      </c>
      <c r="N68" s="900"/>
      <c r="O68" s="900"/>
      <c r="P68" s="930"/>
      <c r="Q68" s="930"/>
      <c r="R68" s="870"/>
      <c r="S68" s="931"/>
      <c r="T68" s="870"/>
      <c r="U68" s="870"/>
    </row>
    <row r="69">
      <c r="A69" s="926" t="str">
        <f t="array" ref="A69">if(G69="","",XLOOKUP(D69,'プルダウンメニュー (SE用)'!$D$2:$D1028,'プルダウンメニュー (SE用)'!$C$2:$C1028))</f>
        <v>common_se</v>
      </c>
      <c r="B69" s="926" t="str">
        <f>iferror(if(H69="GLOW流用","-",if(G69="","","SSE_"&amp;TEXT(vlookup(E69,'プルダウンメニュー (SE用)'!$E$2:$F1028,2,false),"000")&amp;"_"&amp;TEXT(COUNTIF($E$4:E69,E69),"000"))),"")</f>
        <v>-</v>
      </c>
      <c r="C69" s="860"/>
      <c r="D69" s="861" t="s">
        <v>2788</v>
      </c>
      <c r="E69" s="861" t="s">
        <v>3868</v>
      </c>
      <c r="F69" s="861" t="s">
        <v>3868</v>
      </c>
      <c r="G69" s="861" t="s">
        <v>4025</v>
      </c>
      <c r="H69" s="862" t="s">
        <v>3913</v>
      </c>
      <c r="I69" s="901" t="s">
        <v>3758</v>
      </c>
      <c r="J69" s="902"/>
      <c r="K69" s="902"/>
      <c r="L69" s="903" t="s">
        <v>3934</v>
      </c>
      <c r="M69" s="862"/>
      <c r="N69" s="904" t="s">
        <v>4026</v>
      </c>
      <c r="O69" s="904"/>
      <c r="P69" s="868"/>
      <c r="Q69" s="868"/>
      <c r="R69" s="869"/>
      <c r="S69" s="143"/>
      <c r="T69" s="869"/>
      <c r="U69" s="869"/>
    </row>
    <row r="70">
      <c r="A70" s="926" t="str">
        <f t="array" ref="A70">if(G70="","",XLOOKUP(D70,'プルダウンメニュー (SE用)'!$D$2:$D1028,'プルダウンメニュー (SE用)'!$C$2:$C1028))</f>
        <v>common_se</v>
      </c>
      <c r="B70" s="926" t="str">
        <f>iferror(if(H70="GLOW流用","-",if(G70="","","SSE_"&amp;TEXT(vlookup(E70,'プルダウンメニュー (SE用)'!$E$2:$F1028,2,false),"000")&amp;"_"&amp;TEXT(COUNTIF($E$4:E70,E70),"000"))),"")</f>
        <v>-</v>
      </c>
      <c r="C70" s="860"/>
      <c r="D70" s="861" t="s">
        <v>2788</v>
      </c>
      <c r="E70" s="861" t="s">
        <v>3868</v>
      </c>
      <c r="F70" s="861" t="s">
        <v>3868</v>
      </c>
      <c r="G70" s="861" t="s">
        <v>4027</v>
      </c>
      <c r="H70" s="862" t="s">
        <v>3913</v>
      </c>
      <c r="I70" s="901"/>
      <c r="J70" s="902"/>
      <c r="K70" s="902"/>
      <c r="L70" s="903" t="s">
        <v>3934</v>
      </c>
      <c r="M70" s="862"/>
      <c r="N70" s="904" t="s">
        <v>4028</v>
      </c>
      <c r="O70" s="904"/>
      <c r="P70" s="868"/>
      <c r="Q70" s="868"/>
      <c r="R70" s="869"/>
      <c r="S70" s="143"/>
      <c r="T70" s="869"/>
      <c r="U70" s="869"/>
    </row>
    <row r="71">
      <c r="A71" s="926" t="str">
        <f t="array" ref="A71">if(G71="","",XLOOKUP(D71,'プルダウンメニュー (SE用)'!$D$2:$D1028,'プルダウンメニュー (SE用)'!$C$2:$C1028))</f>
        <v>common_se</v>
      </c>
      <c r="B71" s="926" t="str">
        <f>iferror(if(H71="GLOW流用","-",if(G71="","","SSE_"&amp;TEXT(vlookup(E71,'プルダウンメニュー (SE用)'!$E$2:$F1028,2,false),"000")&amp;"_"&amp;TEXT(COUNTIF($E$4:E71,E71),"000"))),"")</f>
        <v>-</v>
      </c>
      <c r="C71" s="860"/>
      <c r="D71" s="861" t="s">
        <v>2788</v>
      </c>
      <c r="E71" s="861" t="s">
        <v>3868</v>
      </c>
      <c r="F71" s="861" t="s">
        <v>3868</v>
      </c>
      <c r="G71" s="861" t="s">
        <v>4029</v>
      </c>
      <c r="H71" s="862" t="s">
        <v>3913</v>
      </c>
      <c r="I71" s="901" t="s">
        <v>3758</v>
      </c>
      <c r="J71" s="902"/>
      <c r="K71" s="902"/>
      <c r="L71" s="903" t="s">
        <v>3934</v>
      </c>
      <c r="M71" s="862"/>
      <c r="N71" s="904" t="s">
        <v>4030</v>
      </c>
      <c r="O71" s="904"/>
      <c r="P71" s="868"/>
      <c r="Q71" s="868"/>
      <c r="R71" s="869"/>
      <c r="S71" s="143"/>
      <c r="T71" s="869"/>
      <c r="U71" s="869"/>
    </row>
    <row r="72">
      <c r="A72" s="926" t="str">
        <f t="array" ref="A72">if(G72="","",XLOOKUP(D72,'プルダウンメニュー (SE用)'!$D$2:$D1028,'プルダウンメニュー (SE用)'!$C$2:$C1028))</f>
        <v>common_se</v>
      </c>
      <c r="B72" s="926" t="str">
        <f>iferror(if(H72="GLOW流用","-",if(G72="","","SSE_"&amp;TEXT(vlookup(E72,'プルダウンメニュー (SE用)'!$E$2:$F1028,2,false),"000")&amp;"_"&amp;TEXT(COUNTIF($E$4:E72,E72),"000"))),"")</f>
        <v>SSE_031_006</v>
      </c>
      <c r="C72" s="860"/>
      <c r="D72" s="861" t="s">
        <v>2788</v>
      </c>
      <c r="E72" s="861" t="s">
        <v>3948</v>
      </c>
      <c r="F72" s="861" t="s">
        <v>3948</v>
      </c>
      <c r="G72" s="861" t="s">
        <v>4031</v>
      </c>
      <c r="H72" s="862" t="s">
        <v>3859</v>
      </c>
      <c r="I72" s="901" t="s">
        <v>3864</v>
      </c>
      <c r="J72" s="911" t="s">
        <v>4032</v>
      </c>
      <c r="K72" s="902"/>
      <c r="L72" s="903" t="s">
        <v>3934</v>
      </c>
      <c r="M72" s="862" t="s">
        <v>4033</v>
      </c>
      <c r="N72" s="904"/>
      <c r="O72" s="904"/>
      <c r="P72" s="868"/>
      <c r="Q72" s="868"/>
      <c r="R72" s="869"/>
      <c r="S72" s="143"/>
      <c r="T72" s="869"/>
      <c r="U72" s="869"/>
    </row>
    <row r="73">
      <c r="A73" s="926" t="str">
        <f t="array" ref="A73">if(G73="","",XLOOKUP(D73,'プルダウンメニュー (SE用)'!$D$2:$D1028,'プルダウンメニュー (SE用)'!$C$2:$C1028))</f>
        <v>common_se</v>
      </c>
      <c r="B73" s="926" t="str">
        <f>iferror(if(H73="GLOW流用","-",if(G73="","","SSE_"&amp;TEXT(vlookup(E73,'プルダウンメニュー (SE用)'!$E$2:$F1028,2,false),"000")&amp;"_"&amp;TEXT(COUNTIF($E$4:E73,E73),"000"))),"")</f>
        <v>-</v>
      </c>
      <c r="C73" s="860"/>
      <c r="D73" s="861" t="s">
        <v>2788</v>
      </c>
      <c r="E73" s="861" t="s">
        <v>3948</v>
      </c>
      <c r="F73" s="861" t="s">
        <v>3948</v>
      </c>
      <c r="G73" s="861" t="s">
        <v>4034</v>
      </c>
      <c r="H73" s="862" t="s">
        <v>3913</v>
      </c>
      <c r="I73" s="901"/>
      <c r="J73" s="902"/>
      <c r="K73" s="902"/>
      <c r="L73" s="903" t="s">
        <v>3934</v>
      </c>
      <c r="M73" s="862"/>
      <c r="N73" s="904"/>
      <c r="O73" s="904"/>
      <c r="P73" s="868"/>
      <c r="Q73" s="868"/>
      <c r="R73" s="869"/>
      <c r="S73" s="143"/>
      <c r="T73" s="869"/>
      <c r="U73" s="869"/>
    </row>
    <row r="74">
      <c r="A74" s="926" t="str">
        <f t="array" ref="A74">if(G74="","",XLOOKUP(D74,'プルダウンメニュー (SE用)'!$D$2:$D1028,'プルダウンメニュー (SE用)'!$C$2:$C1028))</f>
        <v>common_se</v>
      </c>
      <c r="B74" s="926" t="str">
        <f>iferror(if(H74="GLOW流用","-",if(G74="","","SSE_"&amp;TEXT(vlookup(E74,'プルダウンメニュー (SE用)'!$E$2:$F1028,2,false),"000")&amp;"_"&amp;TEXT(COUNTIF($E$4:E74,E74),"000"))),"")</f>
        <v>-</v>
      </c>
      <c r="C74" s="860"/>
      <c r="D74" s="861" t="s">
        <v>2788</v>
      </c>
      <c r="E74" s="861" t="s">
        <v>3948</v>
      </c>
      <c r="F74" s="861" t="s">
        <v>3948</v>
      </c>
      <c r="G74" s="861" t="s">
        <v>4035</v>
      </c>
      <c r="H74" s="862" t="s">
        <v>3913</v>
      </c>
      <c r="I74" s="901"/>
      <c r="J74" s="902"/>
      <c r="K74" s="902"/>
      <c r="L74" s="903" t="s">
        <v>3934</v>
      </c>
      <c r="M74" s="862"/>
      <c r="N74" s="904"/>
      <c r="O74" s="904"/>
      <c r="P74" s="868"/>
      <c r="Q74" s="868"/>
      <c r="R74" s="869"/>
      <c r="S74" s="143"/>
      <c r="T74" s="869"/>
      <c r="U74" s="869"/>
    </row>
    <row r="75">
      <c r="A75" s="926" t="str">
        <f t="array" ref="A75">if(G75="","",XLOOKUP(D75,'プルダウンメニュー (SE用)'!$D$2:$D1028,'プルダウンメニュー (SE用)'!$C$2:$C1028))</f>
        <v>battle_se</v>
      </c>
      <c r="B75" s="926" t="str">
        <f>iferror(if(H75="GLOW流用","-",if(G75="","","SSE_"&amp;TEXT(vlookup(E75,'プルダウンメニュー (SE用)'!$E$2:$F1028,2,false),"000")&amp;"_"&amp;TEXT(COUNTIF($E$4:E75,E75),"000"))),"")</f>
        <v>SSE_051_036</v>
      </c>
      <c r="C75" s="860"/>
      <c r="D75" s="861" t="s">
        <v>3887</v>
      </c>
      <c r="E75" s="861" t="s">
        <v>3888</v>
      </c>
      <c r="F75" s="861" t="s">
        <v>3888</v>
      </c>
      <c r="G75" s="861" t="s">
        <v>4036</v>
      </c>
      <c r="H75" s="862" t="s">
        <v>3843</v>
      </c>
      <c r="I75" s="901" t="s">
        <v>3758</v>
      </c>
      <c r="J75" s="911" t="s">
        <v>4037</v>
      </c>
      <c r="K75" s="902"/>
      <c r="L75" s="903" t="s">
        <v>3934</v>
      </c>
      <c r="M75" s="862" t="s">
        <v>4038</v>
      </c>
      <c r="N75" s="904"/>
      <c r="O75" s="904"/>
      <c r="P75" s="868"/>
      <c r="Q75" s="868"/>
      <c r="R75" s="869"/>
      <c r="S75" s="143"/>
      <c r="T75" s="869"/>
      <c r="U75" s="942"/>
    </row>
    <row r="76">
      <c r="A76" s="926" t="str">
        <f t="array" ref="A76">if(G76="","",XLOOKUP(D76,'プルダウンメニュー (SE用)'!$D$2:$D1028,'プルダウンメニュー (SE用)'!$C$2:$C1028))</f>
        <v>battle_se</v>
      </c>
      <c r="B76" s="926" t="str">
        <f>iferror(if(H76="GLOW流用","-",if(G76="","","SSE_"&amp;TEXT(vlookup(E76,'プルダウンメニュー (SE用)'!$E$2:$F1028,2,false),"000")&amp;"_"&amp;TEXT(COUNTIF($E$4:E76,E76),"000"))),"")</f>
        <v>SSE_051_037</v>
      </c>
      <c r="C76" s="860"/>
      <c r="D76" s="861" t="s">
        <v>3887</v>
      </c>
      <c r="E76" s="861" t="s">
        <v>3888</v>
      </c>
      <c r="F76" s="861" t="s">
        <v>3888</v>
      </c>
      <c r="G76" s="861" t="s">
        <v>4039</v>
      </c>
      <c r="H76" s="862" t="s">
        <v>3859</v>
      </c>
      <c r="I76" s="901" t="s">
        <v>3758</v>
      </c>
      <c r="J76" s="902" t="s">
        <v>4040</v>
      </c>
      <c r="K76" s="902"/>
      <c r="L76" s="903" t="s">
        <v>3934</v>
      </c>
      <c r="M76" s="862" t="s">
        <v>4041</v>
      </c>
      <c r="N76" s="904"/>
      <c r="O76" s="904"/>
      <c r="P76" s="868"/>
      <c r="Q76" s="868"/>
      <c r="R76" s="869"/>
      <c r="S76" s="143"/>
      <c r="T76" s="869"/>
      <c r="U76" s="869"/>
    </row>
    <row r="77">
      <c r="A77" s="926" t="str">
        <f t="array" ref="A77">if(G77="","",XLOOKUP(D77,'プルダウンメニュー (SE用)'!$D$2:$D1028,'プルダウンメニュー (SE用)'!$C$2:$C1028))</f>
        <v>common_se</v>
      </c>
      <c r="B77" s="926" t="str">
        <f>iferror(if(H77="GLOW流用","-",if(G77="","","SSE_"&amp;TEXT(vlookup(E77,'プルダウンメニュー (SE用)'!$E$2:$F1028,2,false),"000")&amp;"_"&amp;TEXT(COUNTIF($E$4:E77,E77),"000"))),"")</f>
        <v>-</v>
      </c>
      <c r="C77" s="860"/>
      <c r="D77" s="861" t="s">
        <v>2788</v>
      </c>
      <c r="E77" s="861" t="s">
        <v>3943</v>
      </c>
      <c r="F77" s="861" t="s">
        <v>3943</v>
      </c>
      <c r="G77" s="861" t="s">
        <v>4042</v>
      </c>
      <c r="H77" s="862" t="s">
        <v>3913</v>
      </c>
      <c r="I77" s="901"/>
      <c r="J77" s="902"/>
      <c r="K77" s="902"/>
      <c r="L77" s="903" t="s">
        <v>3934</v>
      </c>
      <c r="M77" s="862"/>
      <c r="N77" s="904" t="s">
        <v>4043</v>
      </c>
      <c r="O77" s="904"/>
      <c r="P77" s="868"/>
      <c r="Q77" s="868"/>
      <c r="R77" s="869"/>
      <c r="S77" s="143"/>
      <c r="T77" s="869"/>
      <c r="U77" s="869"/>
    </row>
    <row r="78">
      <c r="A78" s="926" t="str">
        <f t="array" ref="A78">if(G78="","",XLOOKUP(D78,'プルダウンメニュー (SE用)'!$D$2:$D1028,'プルダウンメニュー (SE用)'!$C$2:$C1028))</f>
        <v>common_se</v>
      </c>
      <c r="B78" s="926" t="str">
        <f>iferror(if(H78="GLOW流用","-",if(G78="","","SSE_"&amp;TEXT(vlookup(E78,'プルダウンメニュー (SE用)'!$E$2:$F1028,2,false),"000")&amp;"_"&amp;TEXT(COUNTIF($E$4:E78,E78),"000"))),"")</f>
        <v>-</v>
      </c>
      <c r="C78" s="860"/>
      <c r="D78" s="861" t="s">
        <v>2788</v>
      </c>
      <c r="E78" s="861" t="s">
        <v>4044</v>
      </c>
      <c r="F78" s="861" t="s">
        <v>4044</v>
      </c>
      <c r="G78" s="861" t="s">
        <v>4045</v>
      </c>
      <c r="H78" s="862" t="s">
        <v>3913</v>
      </c>
      <c r="I78" s="901"/>
      <c r="J78" s="902"/>
      <c r="K78" s="902"/>
      <c r="L78" s="903" t="s">
        <v>3934</v>
      </c>
      <c r="M78" s="862"/>
      <c r="N78" s="904" t="s">
        <v>4030</v>
      </c>
      <c r="O78" s="904"/>
      <c r="P78" s="868"/>
      <c r="Q78" s="868"/>
      <c r="R78" s="869"/>
      <c r="S78" s="143"/>
      <c r="T78" s="869"/>
      <c r="U78" s="869"/>
    </row>
    <row r="79">
      <c r="A79" s="943" t="str">
        <f t="array" ref="A79">if(G79="","",XLOOKUP(D79,'プルダウンメニュー (SE用)'!$D$2:$D1028,'プルダウンメニュー (SE用)'!$C$2:$C1028))</f>
        <v>common_se</v>
      </c>
      <c r="B79" s="943" t="str">
        <f>iferror(if(H79="GLOW流用","-",if(G79="","","SSE_"&amp;TEXT(vlookup(E79,'プルダウンメニュー (SE用)'!$E$2:$F1028,2,false),"000")&amp;"_"&amp;TEXT(COUNTIF($E$4:E79,E79),"000"))),"")</f>
        <v>-</v>
      </c>
      <c r="C79" s="915"/>
      <c r="D79" s="916" t="s">
        <v>2788</v>
      </c>
      <c r="E79" s="916" t="s">
        <v>2788</v>
      </c>
      <c r="F79" s="916" t="s">
        <v>2788</v>
      </c>
      <c r="G79" s="916" t="s">
        <v>4046</v>
      </c>
      <c r="H79" s="917" t="s">
        <v>3913</v>
      </c>
      <c r="I79" s="918"/>
      <c r="J79" s="939"/>
      <c r="K79" s="939"/>
      <c r="L79" s="920" t="s">
        <v>3934</v>
      </c>
      <c r="M79" s="917"/>
      <c r="N79" s="922" t="s">
        <v>4026</v>
      </c>
      <c r="O79" s="922"/>
      <c r="P79" s="923"/>
      <c r="Q79" s="923"/>
      <c r="R79" s="924"/>
      <c r="S79" s="925"/>
      <c r="T79" s="924"/>
      <c r="U79" s="924"/>
    </row>
    <row r="80" ht="15.75" customHeight="1">
      <c r="A80" s="926" t="str">
        <f t="array" ref="A80">if(G80="","",XLOOKUP(D80,'プルダウンメニュー (SE用)'!$D$2:$D1028,'プルダウンメニュー (SE用)'!$C$2:$C1028))</f>
        <v>common_se</v>
      </c>
      <c r="B80" s="926" t="str">
        <f>iferror(if(H80="GLOW流用","-",if(G80="","","SSE_"&amp;TEXT(vlookup(E80,'プルダウンメニュー (SE用)'!$E$2:$F1028,2,false),"000")&amp;"_"&amp;TEXT(COUNTIF($E$4:E80,E80),"000"))),"")</f>
        <v>SSE_072_001</v>
      </c>
      <c r="C80" s="926"/>
      <c r="D80" s="927" t="s">
        <v>2788</v>
      </c>
      <c r="E80" s="927" t="s">
        <v>4047</v>
      </c>
      <c r="F80" s="927" t="s">
        <v>4047</v>
      </c>
      <c r="G80" s="944" t="s">
        <v>4048</v>
      </c>
      <c r="H80" s="899" t="s">
        <v>3843</v>
      </c>
      <c r="I80" s="896" t="s">
        <v>3758</v>
      </c>
      <c r="J80" s="897" t="s">
        <v>4049</v>
      </c>
      <c r="K80" s="928"/>
      <c r="L80" s="903" t="s">
        <v>3846</v>
      </c>
      <c r="M80" s="899"/>
      <c r="N80" s="900"/>
      <c r="O80" s="900"/>
      <c r="P80" s="930">
        <v>660.0</v>
      </c>
      <c r="Q80" s="930">
        <v>600.0</v>
      </c>
      <c r="R80" s="869" t="s">
        <v>3847</v>
      </c>
      <c r="S80" s="931"/>
      <c r="T80" s="870" t="s">
        <v>3848</v>
      </c>
      <c r="U80" s="870"/>
    </row>
    <row r="81" ht="15.75" customHeight="1">
      <c r="A81" s="926" t="str">
        <f t="array" ref="A81">if(G81="","",XLOOKUP(D81,'プルダウンメニュー (SE用)'!$D$2:$D1028,'プルダウンメニュー (SE用)'!$C$2:$C1028))</f>
        <v>common_se</v>
      </c>
      <c r="B81" s="926" t="str">
        <f>iferror(if(H81="GLOW流用","-",if(G81="","","SSE_"&amp;TEXT(vlookup(E81,'プルダウンメニュー (SE用)'!$E$2:$F1028,2,false),"000")&amp;"_"&amp;TEXT(COUNTIF($E$4:E81,E81),"000"))),"")</f>
        <v>SSE_072_002</v>
      </c>
      <c r="C81" s="860"/>
      <c r="D81" s="861" t="s">
        <v>2788</v>
      </c>
      <c r="E81" s="861" t="s">
        <v>4047</v>
      </c>
      <c r="F81" s="861" t="s">
        <v>4047</v>
      </c>
      <c r="G81" s="861" t="s">
        <v>4050</v>
      </c>
      <c r="H81" s="862" t="s">
        <v>3843</v>
      </c>
      <c r="I81" s="901" t="s">
        <v>3758</v>
      </c>
      <c r="J81" s="911" t="s">
        <v>4051</v>
      </c>
      <c r="K81" s="902"/>
      <c r="L81" s="903" t="s">
        <v>3846</v>
      </c>
      <c r="M81" s="862"/>
      <c r="N81" s="904"/>
      <c r="O81" s="904"/>
      <c r="P81" s="930">
        <v>660.0</v>
      </c>
      <c r="Q81" s="930">
        <v>600.0</v>
      </c>
      <c r="R81" s="869" t="s">
        <v>3847</v>
      </c>
      <c r="S81" s="143"/>
      <c r="T81" s="870" t="s">
        <v>3848</v>
      </c>
      <c r="U81" s="869"/>
    </row>
    <row r="82">
      <c r="A82" s="926" t="str">
        <f t="array" ref="A82">if(G82="","",XLOOKUP(D82,'プルダウンメニュー (SE用)'!$D$2:$D1028,'プルダウンメニュー (SE用)'!$C$2:$C1028))</f>
        <v>common_se</v>
      </c>
      <c r="B82" s="926" t="str">
        <f>iferror(if(H82="GLOW流用","-",if(G82="","","SSE_"&amp;TEXT(vlookup(E82,'プルダウンメニュー (SE用)'!$E$2:$F1028,2,false),"000")&amp;"_"&amp;TEXT(COUNTIF($E$4:E82,E82),"000"))),"")</f>
        <v>-</v>
      </c>
      <c r="C82" s="860"/>
      <c r="D82" s="861" t="s">
        <v>2788</v>
      </c>
      <c r="E82" s="861" t="s">
        <v>4047</v>
      </c>
      <c r="F82" s="861" t="s">
        <v>4047</v>
      </c>
      <c r="G82" s="861" t="s">
        <v>4052</v>
      </c>
      <c r="H82" s="862" t="s">
        <v>3913</v>
      </c>
      <c r="I82" s="901"/>
      <c r="J82" s="902"/>
      <c r="K82" s="902"/>
      <c r="L82" s="903" t="s">
        <v>3846</v>
      </c>
      <c r="M82" s="862"/>
      <c r="N82" s="904" t="s">
        <v>4053</v>
      </c>
      <c r="O82" s="904"/>
      <c r="P82" s="868"/>
      <c r="Q82" s="868"/>
      <c r="R82" s="869"/>
      <c r="S82" s="143"/>
      <c r="T82" s="869"/>
      <c r="U82" s="869"/>
    </row>
    <row r="83">
      <c r="A83" s="926" t="str">
        <f t="array" ref="A83">if(G83="","",XLOOKUP(D83,'プルダウンメニュー (SE用)'!$D$2:$D1028,'プルダウンメニュー (SE用)'!$C$2:$C1028))</f>
        <v>common_se</v>
      </c>
      <c r="B83" s="926" t="str">
        <f>iferror(if(H83="GLOW流用","-",if(G83="","","SSE_"&amp;TEXT(vlookup(E83,'プルダウンメニュー (SE用)'!$E$2:$F1028,2,false),"000")&amp;"_"&amp;TEXT(COUNTIF($E$4:E83,E83),"000"))),"")</f>
        <v>SSE_072_004</v>
      </c>
      <c r="C83" s="860"/>
      <c r="D83" s="861" t="s">
        <v>2788</v>
      </c>
      <c r="E83" s="861" t="s">
        <v>4047</v>
      </c>
      <c r="F83" s="861" t="s">
        <v>4047</v>
      </c>
      <c r="G83" s="861" t="s">
        <v>4054</v>
      </c>
      <c r="H83" s="862" t="s">
        <v>3843</v>
      </c>
      <c r="I83" s="901" t="s">
        <v>3978</v>
      </c>
      <c r="J83" s="911" t="s">
        <v>4055</v>
      </c>
      <c r="K83" s="902"/>
      <c r="L83" s="903" t="s">
        <v>3846</v>
      </c>
      <c r="M83" s="862"/>
      <c r="N83" s="904"/>
      <c r="O83" s="904"/>
      <c r="P83" s="930">
        <v>660.0</v>
      </c>
      <c r="Q83" s="930">
        <v>600.0</v>
      </c>
      <c r="R83" s="869" t="s">
        <v>3847</v>
      </c>
      <c r="S83" s="143"/>
      <c r="T83" s="870" t="s">
        <v>3848</v>
      </c>
      <c r="U83" s="869"/>
    </row>
    <row r="84">
      <c r="A84" s="926" t="str">
        <f t="array" ref="A84">if(G84="","",XLOOKUP(D84,'プルダウンメニュー (SE用)'!$D$2:$D1028,'プルダウンメニュー (SE用)'!$C$2:$C1028))</f>
        <v>common_se</v>
      </c>
      <c r="B84" s="926" t="str">
        <f>iferror(if(H84="GLOW流用","-",if(G84="","","SSE_"&amp;TEXT(vlookup(E84,'プルダウンメニュー (SE用)'!$E$2:$F1028,2,false),"000")&amp;"_"&amp;TEXT(COUNTIF($E$4:E84,E84),"000"))),"")</f>
        <v>SSE_072_005</v>
      </c>
      <c r="C84" s="860"/>
      <c r="D84" s="861" t="s">
        <v>2788</v>
      </c>
      <c r="E84" s="861" t="s">
        <v>4047</v>
      </c>
      <c r="F84" s="861" t="s">
        <v>4047</v>
      </c>
      <c r="G84" s="945" t="s">
        <v>4056</v>
      </c>
      <c r="H84" s="862" t="s">
        <v>3843</v>
      </c>
      <c r="I84" s="901" t="s">
        <v>3758</v>
      </c>
      <c r="J84" s="911" t="s">
        <v>4057</v>
      </c>
      <c r="K84" s="902"/>
      <c r="L84" s="903" t="s">
        <v>3846</v>
      </c>
      <c r="M84" s="862"/>
      <c r="N84" s="904"/>
      <c r="O84" s="904"/>
      <c r="P84" s="930">
        <v>660.0</v>
      </c>
      <c r="Q84" s="930">
        <v>600.0</v>
      </c>
      <c r="R84" s="869" t="s">
        <v>3847</v>
      </c>
      <c r="S84" s="143"/>
      <c r="T84" s="870" t="s">
        <v>3848</v>
      </c>
      <c r="U84" s="869"/>
    </row>
    <row r="85">
      <c r="A85" s="926" t="str">
        <f t="array" ref="A85">if(G85="","",XLOOKUP(D85,'プルダウンメニュー (SE用)'!$D$2:$D1028,'プルダウンメニュー (SE用)'!$C$2:$C1028))</f>
        <v>common_se</v>
      </c>
      <c r="B85" s="926" t="str">
        <f>iferror(if(H85="GLOW流用","-",if(G85="","","SSE_"&amp;TEXT(vlookup(E85,'プルダウンメニュー (SE用)'!$E$2:$F1028,2,false),"000")&amp;"_"&amp;TEXT(COUNTIF($E$4:E85,E85),"000"))),"")</f>
        <v>SSE_072_006</v>
      </c>
      <c r="C85" s="860"/>
      <c r="D85" s="861" t="s">
        <v>2788</v>
      </c>
      <c r="E85" s="861" t="s">
        <v>4047</v>
      </c>
      <c r="F85" s="861" t="s">
        <v>4047</v>
      </c>
      <c r="G85" s="945" t="s">
        <v>4058</v>
      </c>
      <c r="H85" s="862" t="s">
        <v>3843</v>
      </c>
      <c r="I85" s="901" t="s">
        <v>3978</v>
      </c>
      <c r="J85" s="911" t="s">
        <v>4059</v>
      </c>
      <c r="K85" s="902"/>
      <c r="L85" s="903" t="s">
        <v>3846</v>
      </c>
      <c r="M85" s="862"/>
      <c r="N85" s="904"/>
      <c r="O85" s="904"/>
      <c r="P85" s="930">
        <v>660.0</v>
      </c>
      <c r="Q85" s="930">
        <v>600.0</v>
      </c>
      <c r="R85" s="869" t="s">
        <v>3847</v>
      </c>
      <c r="S85" s="143"/>
      <c r="T85" s="870" t="s">
        <v>3848</v>
      </c>
      <c r="U85" s="869"/>
    </row>
    <row r="86">
      <c r="A86" s="926" t="str">
        <f t="array" ref="A86">if(G86="","",XLOOKUP(D86,'プルダウンメニュー (SE用)'!$D$2:$D1028,'プルダウンメニュー (SE用)'!$C$2:$C1028))</f>
        <v>common_se</v>
      </c>
      <c r="B86" s="926" t="str">
        <f>iferror(if(H86="GLOW流用","-",if(G86="","","SSE_"&amp;TEXT(vlookup(E86,'プルダウンメニュー (SE用)'!$E$2:$F1028,2,false),"000")&amp;"_"&amp;TEXT(COUNTIF($E$4:E86,E86),"000"))),"")</f>
        <v>SSE_072_007</v>
      </c>
      <c r="C86" s="860"/>
      <c r="D86" s="861" t="s">
        <v>2788</v>
      </c>
      <c r="E86" s="861" t="s">
        <v>4047</v>
      </c>
      <c r="F86" s="861" t="s">
        <v>4047</v>
      </c>
      <c r="G86" s="861" t="s">
        <v>4060</v>
      </c>
      <c r="H86" s="862" t="s">
        <v>3843</v>
      </c>
      <c r="I86" s="901" t="s">
        <v>3758</v>
      </c>
      <c r="J86" s="911" t="s">
        <v>4061</v>
      </c>
      <c r="K86" s="902"/>
      <c r="L86" s="903" t="s">
        <v>3846</v>
      </c>
      <c r="M86" s="862"/>
      <c r="N86" s="904"/>
      <c r="O86" s="904"/>
      <c r="P86" s="930">
        <v>660.0</v>
      </c>
      <c r="Q86" s="930">
        <v>600.0</v>
      </c>
      <c r="R86" s="869" t="s">
        <v>3847</v>
      </c>
      <c r="S86" s="143"/>
      <c r="T86" s="870" t="s">
        <v>3848</v>
      </c>
      <c r="U86" s="869"/>
    </row>
    <row r="87">
      <c r="A87" s="926" t="str">
        <f t="array" ref="A87">if(G87="","",XLOOKUP(D87,'プルダウンメニュー (SE用)'!$D$2:$D1028,'プルダウンメニュー (SE用)'!$C$2:$C1028))</f>
        <v>common_se</v>
      </c>
      <c r="B87" s="926" t="str">
        <f>iferror(if(H87="GLOW流用","-",if(G87="","","SSE_"&amp;TEXT(vlookup(E87,'プルダウンメニュー (SE用)'!$E$2:$F1028,2,false),"000")&amp;"_"&amp;TEXT(COUNTIF($E$4:E87,E87),"000"))),"")</f>
        <v>SSE_072_008</v>
      </c>
      <c r="C87" s="860"/>
      <c r="D87" s="861" t="s">
        <v>2788</v>
      </c>
      <c r="E87" s="861" t="s">
        <v>4047</v>
      </c>
      <c r="F87" s="861" t="s">
        <v>4047</v>
      </c>
      <c r="G87" s="861" t="s">
        <v>4062</v>
      </c>
      <c r="H87" s="862" t="s">
        <v>3843</v>
      </c>
      <c r="I87" s="901" t="s">
        <v>3758</v>
      </c>
      <c r="J87" s="911" t="s">
        <v>4063</v>
      </c>
      <c r="K87" s="902"/>
      <c r="L87" s="903" t="s">
        <v>3846</v>
      </c>
      <c r="M87" s="862"/>
      <c r="N87" s="904" t="s">
        <v>4064</v>
      </c>
      <c r="O87" s="904"/>
      <c r="P87" s="930">
        <v>660.0</v>
      </c>
      <c r="Q87" s="930">
        <v>600.0</v>
      </c>
      <c r="R87" s="869" t="s">
        <v>3847</v>
      </c>
      <c r="S87" s="143"/>
      <c r="T87" s="870" t="s">
        <v>3848</v>
      </c>
      <c r="U87" s="869"/>
    </row>
    <row r="88">
      <c r="A88" s="926" t="str">
        <f t="array" ref="A88">if(G88="","",XLOOKUP(D88,'プルダウンメニュー (SE用)'!$D$2:$D1028,'プルダウンメニュー (SE用)'!$C$2:$C1028))</f>
        <v>common_se</v>
      </c>
      <c r="B88" s="926" t="str">
        <f>iferror(if(H88="GLOW流用","-",if(G88="","","SSE_"&amp;TEXT(vlookup(E88,'プルダウンメニュー (SE用)'!$E$2:$F1028,2,false),"000")&amp;"_"&amp;TEXT(COUNTIF($E$4:E88,E88),"000"))),"")</f>
        <v>SSE_072_009</v>
      </c>
      <c r="C88" s="860"/>
      <c r="D88" s="861" t="s">
        <v>2788</v>
      </c>
      <c r="E88" s="861" t="s">
        <v>4047</v>
      </c>
      <c r="F88" s="861" t="s">
        <v>4047</v>
      </c>
      <c r="G88" s="861" t="s">
        <v>4065</v>
      </c>
      <c r="H88" s="862" t="s">
        <v>4066</v>
      </c>
      <c r="I88" s="901" t="s">
        <v>3758</v>
      </c>
      <c r="J88" s="911" t="s">
        <v>4061</v>
      </c>
      <c r="K88" s="902"/>
      <c r="L88" s="903" t="s">
        <v>3846</v>
      </c>
      <c r="M88" s="862"/>
      <c r="N88" s="904" t="s">
        <v>4067</v>
      </c>
      <c r="O88" s="904"/>
      <c r="P88" s="868"/>
      <c r="Q88" s="868"/>
      <c r="R88" s="869"/>
      <c r="S88" s="143"/>
      <c r="T88" s="869"/>
      <c r="U88" s="869"/>
    </row>
    <row r="89">
      <c r="A89" s="926" t="str">
        <f t="array" ref="A89">if(G89="","",XLOOKUP(D89,'プルダウンメニュー (SE用)'!$D$2:$D1028,'プルダウンメニュー (SE用)'!$C$2:$C1028))</f>
        <v>common_se</v>
      </c>
      <c r="B89" s="926" t="str">
        <f>iferror(if(H89="GLOW流用","-",if(G89="","","SSE_"&amp;TEXT(vlookup(E89,'プルダウンメニュー (SE用)'!$E$2:$F1028,2,false),"000")&amp;"_"&amp;TEXT(COUNTIF($E$4:E89,E89),"000"))),"")</f>
        <v>SSE_072_010</v>
      </c>
      <c r="C89" s="860"/>
      <c r="D89" s="861" t="s">
        <v>2788</v>
      </c>
      <c r="E89" s="861" t="s">
        <v>4047</v>
      </c>
      <c r="F89" s="861" t="s">
        <v>4047</v>
      </c>
      <c r="G89" s="861" t="s">
        <v>4068</v>
      </c>
      <c r="H89" s="862" t="s">
        <v>3843</v>
      </c>
      <c r="I89" s="901" t="s">
        <v>3758</v>
      </c>
      <c r="J89" s="911" t="s">
        <v>4069</v>
      </c>
      <c r="K89" s="902"/>
      <c r="L89" s="903" t="s">
        <v>3846</v>
      </c>
      <c r="M89" s="862"/>
      <c r="N89" s="904"/>
      <c r="O89" s="904"/>
      <c r="P89" s="930">
        <v>660.0</v>
      </c>
      <c r="Q89" s="930">
        <v>600.0</v>
      </c>
      <c r="R89" s="869" t="s">
        <v>3847</v>
      </c>
      <c r="S89" s="143"/>
      <c r="T89" s="870" t="s">
        <v>3848</v>
      </c>
      <c r="U89" s="869"/>
    </row>
    <row r="90">
      <c r="A90" s="926" t="str">
        <f t="array" ref="A90">if(G90="","",XLOOKUP(D90,'プルダウンメニュー (SE用)'!$D$2:$D1028,'プルダウンメニュー (SE用)'!$C$2:$C1028))</f>
        <v>common_se</v>
      </c>
      <c r="B90" s="926" t="str">
        <f>iferror(if(H90="GLOW流用","-",if(G90="","","SSE_"&amp;TEXT(vlookup(E90,'プルダウンメニュー (SE用)'!$E$2:$F1028,2,false),"000")&amp;"_"&amp;TEXT(COUNTIF($E$4:E90,E90),"000"))),"")</f>
        <v>-</v>
      </c>
      <c r="C90" s="860"/>
      <c r="D90" s="861" t="s">
        <v>2788</v>
      </c>
      <c r="E90" s="861" t="s">
        <v>4047</v>
      </c>
      <c r="F90" s="861" t="s">
        <v>4047</v>
      </c>
      <c r="G90" s="861" t="s">
        <v>4070</v>
      </c>
      <c r="H90" s="862" t="s">
        <v>3913</v>
      </c>
      <c r="I90" s="901"/>
      <c r="J90" s="911" t="s">
        <v>4061</v>
      </c>
      <c r="K90" s="902"/>
      <c r="L90" s="903" t="s">
        <v>3846</v>
      </c>
      <c r="M90" s="862"/>
      <c r="N90" s="904" t="s">
        <v>4071</v>
      </c>
      <c r="O90" s="904"/>
      <c r="P90" s="868"/>
      <c r="Q90" s="868"/>
      <c r="R90" s="869"/>
      <c r="S90" s="143"/>
      <c r="T90" s="869"/>
      <c r="U90" s="869"/>
    </row>
    <row r="91">
      <c r="A91" s="926" t="str">
        <f t="array" ref="A91">if(G91="","",XLOOKUP(D91,'プルダウンメニュー (SE用)'!$D$2:$D1028,'プルダウンメニュー (SE用)'!$C$2:$C1028))</f>
        <v>common_se</v>
      </c>
      <c r="B91" s="926" t="str">
        <f>iferror(if(H91="GLOW流用","-",if(G91="","","SSE_"&amp;TEXT(vlookup(E91,'プルダウンメニュー (SE用)'!$E$2:$F1028,2,false),"000")&amp;"_"&amp;TEXT(COUNTIF($E$4:E91,E91),"000"))),"")</f>
        <v>SSE_072_012</v>
      </c>
      <c r="C91" s="860"/>
      <c r="D91" s="861" t="s">
        <v>2788</v>
      </c>
      <c r="E91" s="861" t="s">
        <v>4047</v>
      </c>
      <c r="F91" s="861" t="s">
        <v>4047</v>
      </c>
      <c r="G91" s="861" t="s">
        <v>4072</v>
      </c>
      <c r="H91" s="862" t="s">
        <v>3843</v>
      </c>
      <c r="I91" s="901" t="s">
        <v>3758</v>
      </c>
      <c r="J91" s="911" t="s">
        <v>4073</v>
      </c>
      <c r="K91" s="902"/>
      <c r="L91" s="903" t="s">
        <v>3846</v>
      </c>
      <c r="M91" s="862"/>
      <c r="N91" s="904"/>
      <c r="O91" s="904"/>
      <c r="P91" s="930">
        <v>660.0</v>
      </c>
      <c r="Q91" s="930">
        <v>600.0</v>
      </c>
      <c r="R91" s="869" t="s">
        <v>3847</v>
      </c>
      <c r="S91" s="143"/>
      <c r="T91" s="870" t="s">
        <v>3848</v>
      </c>
      <c r="U91" s="869"/>
    </row>
    <row r="92">
      <c r="A92" s="926" t="str">
        <f t="array" ref="A92">if(G92="","",XLOOKUP(D92,'プルダウンメニュー (SE用)'!$D$2:$D1028,'プルダウンメニュー (SE用)'!$C$2:$C1028))</f>
        <v>common_se</v>
      </c>
      <c r="B92" s="926" t="str">
        <f>iferror(if(H92="GLOW流用","-",if(G92="","","SSE_"&amp;TEXT(vlookup(E92,'プルダウンメニュー (SE用)'!$E$2:$F1028,2,false),"000")&amp;"_"&amp;TEXT(COUNTIF($E$4:E92,E92),"000"))),"")</f>
        <v>-</v>
      </c>
      <c r="C92" s="860"/>
      <c r="D92" s="861" t="s">
        <v>2788</v>
      </c>
      <c r="E92" s="861" t="s">
        <v>4047</v>
      </c>
      <c r="F92" s="861" t="s">
        <v>4047</v>
      </c>
      <c r="G92" s="861" t="s">
        <v>4074</v>
      </c>
      <c r="H92" s="862" t="s">
        <v>3913</v>
      </c>
      <c r="I92" s="901"/>
      <c r="J92" s="911" t="s">
        <v>4057</v>
      </c>
      <c r="K92" s="902"/>
      <c r="L92" s="903" t="s">
        <v>3846</v>
      </c>
      <c r="M92" s="862"/>
      <c r="N92" s="904" t="s">
        <v>4075</v>
      </c>
      <c r="O92" s="904"/>
      <c r="P92" s="930"/>
      <c r="Q92" s="930"/>
      <c r="R92" s="869"/>
      <c r="S92" s="143"/>
      <c r="T92" s="869"/>
      <c r="U92" s="942"/>
    </row>
    <row r="93">
      <c r="A93" s="926" t="str">
        <f t="array" ref="A93">if(G93="","",XLOOKUP(D93,'プルダウンメニュー (SE用)'!$D$2:$D1028,'プルダウンメニュー (SE用)'!$C$2:$C1028))</f>
        <v>common_se</v>
      </c>
      <c r="B93" s="926" t="str">
        <f>iferror(if(H93="GLOW流用","-",if(G93="","","SSE_"&amp;TEXT(vlookup(E93,'プルダウンメニュー (SE用)'!$E$2:$F1028,2,false),"000")&amp;"_"&amp;TEXT(COUNTIF($E$4:E93,E93),"000"))),"")</f>
        <v>SSE_072_014</v>
      </c>
      <c r="C93" s="860"/>
      <c r="D93" s="861" t="s">
        <v>2788</v>
      </c>
      <c r="E93" s="861" t="s">
        <v>4047</v>
      </c>
      <c r="F93" s="861" t="s">
        <v>4047</v>
      </c>
      <c r="G93" s="861" t="s">
        <v>4076</v>
      </c>
      <c r="H93" s="862" t="s">
        <v>3843</v>
      </c>
      <c r="I93" s="901" t="s">
        <v>3758</v>
      </c>
      <c r="J93" s="911" t="s">
        <v>4077</v>
      </c>
      <c r="K93" s="902"/>
      <c r="L93" s="903" t="s">
        <v>3846</v>
      </c>
      <c r="M93" s="862"/>
      <c r="N93" s="904"/>
      <c r="O93" s="904"/>
      <c r="P93" s="930">
        <v>660.0</v>
      </c>
      <c r="Q93" s="930">
        <v>600.0</v>
      </c>
      <c r="R93" s="869" t="s">
        <v>3847</v>
      </c>
      <c r="S93" s="143"/>
      <c r="T93" s="870" t="s">
        <v>3848</v>
      </c>
      <c r="U93" s="942"/>
    </row>
    <row r="94">
      <c r="A94" s="926" t="str">
        <f t="array" ref="A94">if(G94="","",XLOOKUP(D94,'プルダウンメニュー (SE用)'!$D$2:$D1028,'プルダウンメニュー (SE用)'!$C$2:$C1028))</f>
        <v>common_se</v>
      </c>
      <c r="B94" s="926" t="str">
        <f>iferror(if(H94="GLOW流用","-",if(G94="","","SSE_"&amp;TEXT(vlookup(E94,'プルダウンメニュー (SE用)'!$E$2:$F1028,2,false),"000")&amp;"_"&amp;TEXT(COUNTIF($E$4:E94,E94),"000"))),"")</f>
        <v>-</v>
      </c>
      <c r="C94" s="860"/>
      <c r="D94" s="861" t="s">
        <v>2788</v>
      </c>
      <c r="E94" s="861" t="s">
        <v>4047</v>
      </c>
      <c r="F94" s="861" t="s">
        <v>4047</v>
      </c>
      <c r="G94" s="861" t="s">
        <v>4078</v>
      </c>
      <c r="H94" s="862" t="s">
        <v>3913</v>
      </c>
      <c r="I94" s="901"/>
      <c r="J94" s="911" t="s">
        <v>4077</v>
      </c>
      <c r="K94" s="902"/>
      <c r="L94" s="903" t="s">
        <v>3846</v>
      </c>
      <c r="M94" s="862"/>
      <c r="N94" s="904" t="s">
        <v>4079</v>
      </c>
      <c r="O94" s="904"/>
      <c r="P94" s="868"/>
      <c r="Q94" s="868"/>
      <c r="R94" s="869"/>
      <c r="S94" s="143"/>
      <c r="T94" s="869"/>
      <c r="U94" s="942"/>
    </row>
    <row r="95">
      <c r="A95" s="926" t="str">
        <f t="array" ref="A95">if(G95="","",XLOOKUP(D95,'プルダウンメニュー (SE用)'!$D$2:$D1028,'プルダウンメニュー (SE用)'!$C$2:$C1028))</f>
        <v>common_se</v>
      </c>
      <c r="B95" s="926" t="str">
        <f>iferror(if(H95="GLOW流用","-",if(G95="","","SSE_"&amp;TEXT(vlookup(E95,'プルダウンメニュー (SE用)'!$E$2:$F1028,2,false),"000")&amp;"_"&amp;TEXT(COUNTIF($E$4:E95,E95),"000"))),"")</f>
        <v>-</v>
      </c>
      <c r="C95" s="860"/>
      <c r="D95" s="861" t="s">
        <v>2788</v>
      </c>
      <c r="E95" s="861" t="s">
        <v>4047</v>
      </c>
      <c r="F95" s="861" t="s">
        <v>4047</v>
      </c>
      <c r="G95" s="861" t="s">
        <v>4080</v>
      </c>
      <c r="H95" s="862" t="s">
        <v>3913</v>
      </c>
      <c r="I95" s="901" t="s">
        <v>3978</v>
      </c>
      <c r="J95" s="911" t="s">
        <v>4055</v>
      </c>
      <c r="K95" s="902"/>
      <c r="L95" s="903" t="s">
        <v>3846</v>
      </c>
      <c r="M95" s="862"/>
      <c r="N95" s="904" t="s">
        <v>4081</v>
      </c>
      <c r="O95" s="904"/>
      <c r="P95" s="868"/>
      <c r="Q95" s="868"/>
      <c r="R95" s="869"/>
      <c r="S95" s="143"/>
      <c r="T95" s="869"/>
      <c r="U95" s="942"/>
    </row>
    <row r="96">
      <c r="A96" s="926" t="str">
        <f t="array" ref="A96">if(G96="","",XLOOKUP(D96,'プルダウンメニュー (SE用)'!$D$2:$D1028,'プルダウンメニュー (SE用)'!$C$2:$C1028))</f>
        <v>common_se</v>
      </c>
      <c r="B96" s="926" t="str">
        <f>iferror(if(H96="GLOW流用","-",if(G96="","","SSE_"&amp;TEXT(vlookup(E96,'プルダウンメニュー (SE用)'!$E$2:$F1028,2,false),"000")&amp;"_"&amp;TEXT(COUNTIF($E$4:E96,E96),"000"))),"")</f>
        <v>-</v>
      </c>
      <c r="C96" s="860"/>
      <c r="D96" s="861" t="s">
        <v>2788</v>
      </c>
      <c r="E96" s="861" t="s">
        <v>4047</v>
      </c>
      <c r="F96" s="861" t="s">
        <v>4047</v>
      </c>
      <c r="G96" s="861" t="s">
        <v>4082</v>
      </c>
      <c r="H96" s="862" t="s">
        <v>3913</v>
      </c>
      <c r="I96" s="901"/>
      <c r="J96" s="902"/>
      <c r="K96" s="902"/>
      <c r="L96" s="903" t="s">
        <v>3846</v>
      </c>
      <c r="M96" s="862"/>
      <c r="N96" s="904" t="s">
        <v>4053</v>
      </c>
      <c r="O96" s="904"/>
      <c r="P96" s="868"/>
      <c r="Q96" s="868"/>
      <c r="R96" s="869"/>
      <c r="S96" s="143"/>
      <c r="T96" s="869"/>
      <c r="U96" s="942"/>
    </row>
    <row r="97">
      <c r="A97" s="926" t="str">
        <f t="array" ref="A97">if(G97="","",XLOOKUP(D97,'プルダウンメニュー (SE用)'!$D$2:$D1028,'プルダウンメニュー (SE用)'!$C$2:$C1028))</f>
        <v>common_se</v>
      </c>
      <c r="B97" s="926" t="str">
        <f>iferror(if(H97="GLOW流用","-",if(G97="","","SSE_"&amp;TEXT(vlookup(E97,'プルダウンメニュー (SE用)'!$E$2:$F1028,2,false),"000")&amp;"_"&amp;TEXT(COUNTIF($E$4:E97,E97),"000"))),"")</f>
        <v>SSE_072_018</v>
      </c>
      <c r="C97" s="860"/>
      <c r="D97" s="861" t="s">
        <v>2788</v>
      </c>
      <c r="E97" s="861" t="s">
        <v>4047</v>
      </c>
      <c r="F97" s="861" t="s">
        <v>4047</v>
      </c>
      <c r="G97" s="861" t="s">
        <v>4083</v>
      </c>
      <c r="H97" s="862" t="s">
        <v>3843</v>
      </c>
      <c r="I97" s="901" t="s">
        <v>3978</v>
      </c>
      <c r="J97" s="902" t="s">
        <v>4084</v>
      </c>
      <c r="K97" s="902"/>
      <c r="L97" s="903" t="s">
        <v>3846</v>
      </c>
      <c r="M97" s="862"/>
      <c r="N97" s="904"/>
      <c r="O97" s="904"/>
      <c r="P97" s="930">
        <v>660.0</v>
      </c>
      <c r="Q97" s="930">
        <v>600.0</v>
      </c>
      <c r="R97" s="869" t="s">
        <v>3847</v>
      </c>
      <c r="S97" s="143"/>
      <c r="T97" s="870" t="s">
        <v>3848</v>
      </c>
      <c r="U97" s="942"/>
    </row>
    <row r="98">
      <c r="A98" s="926" t="str">
        <f t="array" ref="A98">if(G98="","",XLOOKUP(D98,'プルダウンメニュー (SE用)'!$D$2:$D1028,'プルダウンメニュー (SE用)'!$C$2:$C1028))</f>
        <v>common_se</v>
      </c>
      <c r="B98" s="926" t="str">
        <f>iferror(if(H98="GLOW流用","-",if(G98="","","SSE_"&amp;TEXT(vlookup(E98,'プルダウンメニュー (SE用)'!$E$2:$F1028,2,false),"000")&amp;"_"&amp;TEXT(COUNTIF($E$4:E98,E98),"000"))),"")</f>
        <v>SSE_072_019</v>
      </c>
      <c r="C98" s="860"/>
      <c r="D98" s="861" t="s">
        <v>2788</v>
      </c>
      <c r="E98" s="861" t="s">
        <v>4047</v>
      </c>
      <c r="F98" s="861" t="s">
        <v>4047</v>
      </c>
      <c r="G98" s="861" t="s">
        <v>4085</v>
      </c>
      <c r="H98" s="862" t="s">
        <v>3843</v>
      </c>
      <c r="I98" s="901" t="s">
        <v>3758</v>
      </c>
      <c r="J98" s="902" t="s">
        <v>4086</v>
      </c>
      <c r="K98" s="902"/>
      <c r="L98" s="903" t="s">
        <v>3846</v>
      </c>
      <c r="M98" s="862"/>
      <c r="N98" s="904"/>
      <c r="O98" s="904"/>
      <c r="P98" s="930">
        <v>660.0</v>
      </c>
      <c r="Q98" s="930">
        <v>600.0</v>
      </c>
      <c r="R98" s="869" t="s">
        <v>3847</v>
      </c>
      <c r="S98" s="143"/>
      <c r="T98" s="870" t="s">
        <v>3848</v>
      </c>
      <c r="U98" s="942"/>
    </row>
    <row r="99">
      <c r="A99" s="926" t="str">
        <f t="array" ref="A99">if(G99="","",XLOOKUP(D99,'プルダウンメニュー (SE用)'!$D$2:$D1028,'プルダウンメニュー (SE用)'!$C$2:$C1028))</f>
        <v>common_se</v>
      </c>
      <c r="B99" s="926" t="str">
        <f>iferror(if(H99="GLOW流用","-",if(G99="","","SSE_"&amp;TEXT(vlookup(E99,'プルダウンメニュー (SE用)'!$E$2:$F1028,2,false),"000")&amp;"_"&amp;TEXT(COUNTIF($E$4:E99,E99),"000"))),"")</f>
        <v>-</v>
      </c>
      <c r="C99" s="860"/>
      <c r="D99" s="861" t="s">
        <v>2788</v>
      </c>
      <c r="E99" s="861" t="s">
        <v>4047</v>
      </c>
      <c r="F99" s="861" t="s">
        <v>4047</v>
      </c>
      <c r="G99" s="861" t="s">
        <v>4087</v>
      </c>
      <c r="H99" s="862" t="s">
        <v>3913</v>
      </c>
      <c r="I99" s="901"/>
      <c r="J99" s="902" t="s">
        <v>4069</v>
      </c>
      <c r="K99" s="902"/>
      <c r="L99" s="903" t="s">
        <v>3846</v>
      </c>
      <c r="M99" s="862"/>
      <c r="N99" s="904" t="s">
        <v>4088</v>
      </c>
      <c r="O99" s="904"/>
      <c r="P99" s="868"/>
      <c r="Q99" s="868"/>
      <c r="R99" s="869"/>
      <c r="S99" s="143"/>
      <c r="T99" s="869"/>
      <c r="U99" s="942"/>
    </row>
    <row r="100">
      <c r="A100" s="926" t="str">
        <f t="array" ref="A100">if(G100="","",XLOOKUP(D100,'プルダウンメニュー (SE用)'!$D$2:$D1028,'プルダウンメニュー (SE用)'!$C$2:$C1028))</f>
        <v>common_se</v>
      </c>
      <c r="B100" s="926" t="str">
        <f>iferror(if(H100="GLOW流用","-",if(G100="","","SSE_"&amp;TEXT(vlookup(E100,'プルダウンメニュー (SE用)'!$E$2:$F1028,2,false),"000")&amp;"_"&amp;TEXT(COUNTIF($E$4:E100,E100),"000"))),"")</f>
        <v>SSE_072_021</v>
      </c>
      <c r="C100" s="860"/>
      <c r="D100" s="861" t="s">
        <v>2788</v>
      </c>
      <c r="E100" s="861" t="s">
        <v>4047</v>
      </c>
      <c r="F100" s="861" t="s">
        <v>4047</v>
      </c>
      <c r="G100" s="945" t="s">
        <v>4089</v>
      </c>
      <c r="H100" s="862" t="s">
        <v>3843</v>
      </c>
      <c r="I100" s="901" t="s">
        <v>3864</v>
      </c>
      <c r="J100" s="911" t="s">
        <v>4090</v>
      </c>
      <c r="K100" s="902"/>
      <c r="L100" s="903" t="s">
        <v>3846</v>
      </c>
      <c r="M100" s="862"/>
      <c r="N100" s="904"/>
      <c r="O100" s="904"/>
      <c r="P100" s="930">
        <v>660.0</v>
      </c>
      <c r="Q100" s="930">
        <v>600.0</v>
      </c>
      <c r="R100" s="869" t="s">
        <v>3847</v>
      </c>
      <c r="S100" s="143"/>
      <c r="T100" s="870" t="s">
        <v>3848</v>
      </c>
      <c r="U100" s="942"/>
    </row>
    <row r="101">
      <c r="A101" s="926" t="str">
        <f t="array" ref="A101">if(G101="","",XLOOKUP(D101,'プルダウンメニュー (SE用)'!$D$2:$D1028,'プルダウンメニュー (SE用)'!$C$2:$C1028))</f>
        <v>common_se</v>
      </c>
      <c r="B101" s="926" t="str">
        <f>iferror(if(H101="GLOW流用","-",if(G101="","","SSE_"&amp;TEXT(vlookup(E101,'プルダウンメニュー (SE用)'!$E$2:$F1028,2,false),"000")&amp;"_"&amp;TEXT(COUNTIF($E$4:E101,E101),"000"))),"")</f>
        <v>SSE_072_022</v>
      </c>
      <c r="C101" s="860"/>
      <c r="D101" s="861" t="s">
        <v>2788</v>
      </c>
      <c r="E101" s="861" t="s">
        <v>4047</v>
      </c>
      <c r="F101" s="861" t="s">
        <v>4047</v>
      </c>
      <c r="G101" s="861" t="s">
        <v>4091</v>
      </c>
      <c r="H101" s="862" t="s">
        <v>3843</v>
      </c>
      <c r="I101" s="901" t="s">
        <v>3864</v>
      </c>
      <c r="J101" s="911" t="s">
        <v>4092</v>
      </c>
      <c r="K101" s="902"/>
      <c r="L101" s="903" t="s">
        <v>3846</v>
      </c>
      <c r="M101" s="862"/>
      <c r="N101" s="904"/>
      <c r="O101" s="904"/>
      <c r="P101" s="930">
        <v>660.0</v>
      </c>
      <c r="Q101" s="930">
        <v>600.0</v>
      </c>
      <c r="R101" s="869" t="s">
        <v>3847</v>
      </c>
      <c r="S101" s="143"/>
      <c r="T101" s="870" t="s">
        <v>3848</v>
      </c>
      <c r="U101" s="869"/>
    </row>
    <row r="102">
      <c r="A102" s="926" t="str">
        <f t="array" ref="A102">if(G102="","",XLOOKUP(D102,'プルダウンメニュー (SE用)'!$D$2:$D1028,'プルダウンメニュー (SE用)'!$C$2:$C1028))</f>
        <v>common_se</v>
      </c>
      <c r="B102" s="926" t="str">
        <f>iferror(if(H102="GLOW流用","-",if(G102="","","SSE_"&amp;TEXT(vlookup(E102,'プルダウンメニュー (SE用)'!$E$2:$F1028,2,false),"000")&amp;"_"&amp;TEXT(COUNTIF($E$4:E102,E102),"000"))),"")</f>
        <v>SSE_072_023</v>
      </c>
      <c r="C102" s="860"/>
      <c r="D102" s="861" t="s">
        <v>2788</v>
      </c>
      <c r="E102" s="861" t="s">
        <v>4047</v>
      </c>
      <c r="F102" s="861" t="s">
        <v>4047</v>
      </c>
      <c r="G102" s="861" t="s">
        <v>4093</v>
      </c>
      <c r="H102" s="862" t="s">
        <v>3843</v>
      </c>
      <c r="I102" s="901" t="s">
        <v>3864</v>
      </c>
      <c r="J102" s="902" t="s">
        <v>4094</v>
      </c>
      <c r="K102" s="902"/>
      <c r="L102" s="903" t="s">
        <v>3846</v>
      </c>
      <c r="M102" s="862"/>
      <c r="N102" s="904"/>
      <c r="O102" s="904"/>
      <c r="P102" s="930">
        <v>660.0</v>
      </c>
      <c r="Q102" s="930">
        <v>600.0</v>
      </c>
      <c r="R102" s="869" t="s">
        <v>3847</v>
      </c>
      <c r="S102" s="143"/>
      <c r="T102" s="870" t="s">
        <v>3848</v>
      </c>
      <c r="U102" s="869"/>
    </row>
    <row r="103">
      <c r="A103" s="926" t="str">
        <f t="array" ref="A103">if(G103="","",XLOOKUP(D103,'プルダウンメニュー (SE用)'!$D$2:$D1028,'プルダウンメニュー (SE用)'!$C$2:$C1028))</f>
        <v>common_se</v>
      </c>
      <c r="B103" s="926" t="str">
        <f>iferror(if(H103="GLOW流用","-",if(G103="","","SSE_"&amp;TEXT(vlookup(E103,'プルダウンメニュー (SE用)'!$E$2:$F1028,2,false),"000")&amp;"_"&amp;TEXT(COUNTIF($E$4:E103,E103),"000"))),"")</f>
        <v>-</v>
      </c>
      <c r="C103" s="860"/>
      <c r="D103" s="861" t="s">
        <v>2788</v>
      </c>
      <c r="E103" s="861" t="s">
        <v>4047</v>
      </c>
      <c r="F103" s="861" t="s">
        <v>4047</v>
      </c>
      <c r="G103" s="861" t="s">
        <v>4095</v>
      </c>
      <c r="H103" s="862" t="s">
        <v>3913</v>
      </c>
      <c r="I103" s="901" t="s">
        <v>3978</v>
      </c>
      <c r="J103" s="911" t="s">
        <v>4055</v>
      </c>
      <c r="K103" s="902"/>
      <c r="L103" s="903" t="s">
        <v>3846</v>
      </c>
      <c r="M103" s="862"/>
      <c r="N103" s="904" t="s">
        <v>4081</v>
      </c>
      <c r="O103" s="904"/>
      <c r="P103" s="868"/>
      <c r="Q103" s="868"/>
      <c r="R103" s="869"/>
      <c r="S103" s="143"/>
      <c r="T103" s="869"/>
      <c r="U103" s="869"/>
    </row>
    <row r="104">
      <c r="A104" s="926" t="str">
        <f t="array" ref="A104">if(G104="","",XLOOKUP(D104,'プルダウンメニュー (SE用)'!$D$2:$D1028,'プルダウンメニュー (SE用)'!$C$2:$C1028))</f>
        <v>common_se</v>
      </c>
      <c r="B104" s="926" t="str">
        <f>iferror(if(H104="GLOW流用","-",if(G104="","","SSE_"&amp;TEXT(vlookup(E104,'プルダウンメニュー (SE用)'!$E$2:$F1028,2,false),"000")&amp;"_"&amp;TEXT(COUNTIF($E$4:E104,E104),"000"))),"")</f>
        <v>SSE_072_025</v>
      </c>
      <c r="C104" s="860"/>
      <c r="D104" s="861" t="s">
        <v>2788</v>
      </c>
      <c r="E104" s="861" t="s">
        <v>4047</v>
      </c>
      <c r="F104" s="861" t="s">
        <v>4047</v>
      </c>
      <c r="G104" s="861" t="s">
        <v>4096</v>
      </c>
      <c r="H104" s="862" t="s">
        <v>3843</v>
      </c>
      <c r="I104" s="901" t="s">
        <v>3864</v>
      </c>
      <c r="J104" s="902" t="s">
        <v>4097</v>
      </c>
      <c r="K104" s="902"/>
      <c r="L104" s="903" t="s">
        <v>3846</v>
      </c>
      <c r="M104" s="862"/>
      <c r="N104" s="904"/>
      <c r="O104" s="904"/>
      <c r="P104" s="930">
        <v>660.0</v>
      </c>
      <c r="Q104" s="930">
        <v>600.0</v>
      </c>
      <c r="R104" s="869" t="s">
        <v>3847</v>
      </c>
      <c r="S104" s="143"/>
      <c r="T104" s="870" t="s">
        <v>3848</v>
      </c>
      <c r="U104" s="869"/>
    </row>
    <row r="105">
      <c r="A105" s="926" t="str">
        <f t="array" ref="A105">if(G105="","",XLOOKUP(D105,'プルダウンメニュー (SE用)'!$D$2:$D1028,'プルダウンメニュー (SE用)'!$C$2:$C1028))</f>
        <v>common_se</v>
      </c>
      <c r="B105" s="926" t="str">
        <f>iferror(if(H105="GLOW流用","-",if(G105="","","SSE_"&amp;TEXT(vlookup(E105,'プルダウンメニュー (SE用)'!$E$2:$F1028,2,false),"000")&amp;"_"&amp;TEXT(COUNTIF($E$4:E105,E105),"000"))),"")</f>
        <v>-</v>
      </c>
      <c r="C105" s="860"/>
      <c r="D105" s="861" t="s">
        <v>2788</v>
      </c>
      <c r="E105" s="861" t="s">
        <v>4047</v>
      </c>
      <c r="F105" s="861" t="s">
        <v>4047</v>
      </c>
      <c r="G105" s="861" t="s">
        <v>4098</v>
      </c>
      <c r="H105" s="862" t="s">
        <v>3913</v>
      </c>
      <c r="I105" s="901"/>
      <c r="J105" s="902" t="s">
        <v>4092</v>
      </c>
      <c r="K105" s="902"/>
      <c r="L105" s="903" t="s">
        <v>3846</v>
      </c>
      <c r="M105" s="862"/>
      <c r="N105" s="904" t="s">
        <v>4099</v>
      </c>
      <c r="O105" s="904"/>
      <c r="P105" s="868"/>
      <c r="Q105" s="868"/>
      <c r="R105" s="869"/>
      <c r="S105" s="143"/>
      <c r="T105" s="869"/>
      <c r="U105" s="869"/>
    </row>
    <row r="106">
      <c r="A106" s="926" t="str">
        <f t="array" ref="A106">if(G106="","",XLOOKUP(D106,'プルダウンメニュー (SE用)'!$D$2:$D1028,'プルダウンメニュー (SE用)'!$C$2:$C1028))</f>
        <v>common_se</v>
      </c>
      <c r="B106" s="926" t="str">
        <f>iferror(if(H106="GLOW流用","-",if(G106="","","SSE_"&amp;TEXT(vlookup(E106,'プルダウンメニュー (SE用)'!$E$2:$F1028,2,false),"000")&amp;"_"&amp;TEXT(COUNTIF($E$4:E106,E106),"000"))),"")</f>
        <v>-</v>
      </c>
      <c r="C106" s="860"/>
      <c r="D106" s="861" t="s">
        <v>2788</v>
      </c>
      <c r="E106" s="861" t="s">
        <v>4047</v>
      </c>
      <c r="F106" s="861" t="s">
        <v>4047</v>
      </c>
      <c r="G106" s="861" t="s">
        <v>4100</v>
      </c>
      <c r="H106" s="862" t="s">
        <v>3913</v>
      </c>
      <c r="I106" s="901"/>
      <c r="J106" s="902"/>
      <c r="K106" s="902"/>
      <c r="L106" s="903" t="s">
        <v>3846</v>
      </c>
      <c r="M106" s="862"/>
      <c r="N106" s="904" t="s">
        <v>4053</v>
      </c>
      <c r="O106" s="904"/>
      <c r="P106" s="868"/>
      <c r="Q106" s="868"/>
      <c r="R106" s="869"/>
      <c r="S106" s="143"/>
      <c r="T106" s="869"/>
      <c r="U106" s="869"/>
    </row>
    <row r="107">
      <c r="A107" s="926" t="str">
        <f t="array" ref="A107">if(G107="","",XLOOKUP(D107,'プルダウンメニュー (SE用)'!$D$2:$D1028,'プルダウンメニュー (SE用)'!$C$2:$C1028))</f>
        <v>common_se</v>
      </c>
      <c r="B107" s="926" t="str">
        <f>iferror(if(H107="GLOW流用","-",if(G107="","","SSE_"&amp;TEXT(vlookup(E107,'プルダウンメニュー (SE用)'!$E$2:$F1028,2,false),"000")&amp;"_"&amp;TEXT(COUNTIF($E$4:E107,E107),"000"))),"")</f>
        <v>-</v>
      </c>
      <c r="C107" s="860"/>
      <c r="D107" s="861" t="s">
        <v>2788</v>
      </c>
      <c r="E107" s="861" t="s">
        <v>4047</v>
      </c>
      <c r="F107" s="861" t="s">
        <v>4047</v>
      </c>
      <c r="G107" s="861" t="s">
        <v>4101</v>
      </c>
      <c r="H107" s="862" t="s">
        <v>3913</v>
      </c>
      <c r="I107" s="901"/>
      <c r="J107" s="902" t="s">
        <v>4077</v>
      </c>
      <c r="K107" s="902"/>
      <c r="L107" s="903" t="s">
        <v>3846</v>
      </c>
      <c r="M107" s="862"/>
      <c r="N107" s="904" t="s">
        <v>4079</v>
      </c>
      <c r="O107" s="904"/>
      <c r="P107" s="868"/>
      <c r="Q107" s="868"/>
      <c r="R107" s="869"/>
      <c r="S107" s="143"/>
      <c r="T107" s="869"/>
      <c r="U107" s="869"/>
    </row>
    <row r="108">
      <c r="A108" s="926" t="str">
        <f t="array" ref="A108">if(G108="","",XLOOKUP(D108,'プルダウンメニュー (SE用)'!$D$2:$D1028,'プルダウンメニュー (SE用)'!$C$2:$C1028))</f>
        <v>common_se</v>
      </c>
      <c r="B108" s="926" t="str">
        <f>iferror(if(H108="GLOW流用","-",if(G108="","","SSE_"&amp;TEXT(vlookup(E108,'プルダウンメニュー (SE用)'!$E$2:$F1028,2,false),"000")&amp;"_"&amp;TEXT(COUNTIF($E$4:E108,E108),"000"))),"")</f>
        <v>-</v>
      </c>
      <c r="C108" s="860"/>
      <c r="D108" s="861" t="s">
        <v>2788</v>
      </c>
      <c r="E108" s="861" t="s">
        <v>4047</v>
      </c>
      <c r="F108" s="861" t="s">
        <v>4047</v>
      </c>
      <c r="G108" s="861" t="s">
        <v>4102</v>
      </c>
      <c r="H108" s="862" t="s">
        <v>3913</v>
      </c>
      <c r="I108" s="901"/>
      <c r="J108" s="902"/>
      <c r="K108" s="902"/>
      <c r="L108" s="903" t="s">
        <v>3846</v>
      </c>
      <c r="M108" s="862"/>
      <c r="N108" s="904" t="s">
        <v>4103</v>
      </c>
      <c r="O108" s="904"/>
      <c r="P108" s="868"/>
      <c r="Q108" s="868"/>
      <c r="R108" s="869"/>
      <c r="S108" s="143"/>
      <c r="T108" s="869"/>
      <c r="U108" s="869"/>
    </row>
    <row r="109">
      <c r="A109" s="926" t="str">
        <f t="array" ref="A109">if(G109="","",XLOOKUP(D109,'プルダウンメニュー (SE用)'!$D$2:$D1028,'プルダウンメニュー (SE用)'!$C$2:$C1028))</f>
        <v>common_se</v>
      </c>
      <c r="B109" s="926" t="str">
        <f>iferror(if(H109="GLOW流用","-",if(G109="","","SSE_"&amp;TEXT(vlookup(E109,'プルダウンメニュー (SE用)'!$E$2:$F1028,2,false),"000")&amp;"_"&amp;TEXT(COUNTIF($E$4:E109,E109),"000"))),"")</f>
        <v>-</v>
      </c>
      <c r="C109" s="860"/>
      <c r="D109" s="861" t="s">
        <v>2788</v>
      </c>
      <c r="E109" s="861" t="s">
        <v>4047</v>
      </c>
      <c r="F109" s="861" t="s">
        <v>4047</v>
      </c>
      <c r="G109" s="861" t="s">
        <v>4104</v>
      </c>
      <c r="H109" s="862" t="s">
        <v>3913</v>
      </c>
      <c r="I109" s="901" t="s">
        <v>3978</v>
      </c>
      <c r="J109" s="902" t="s">
        <v>4055</v>
      </c>
      <c r="K109" s="902"/>
      <c r="L109" s="903" t="s">
        <v>3846</v>
      </c>
      <c r="M109" s="862"/>
      <c r="N109" s="904" t="s">
        <v>4081</v>
      </c>
      <c r="O109" s="904"/>
      <c r="P109" s="868"/>
      <c r="Q109" s="868"/>
      <c r="R109" s="869"/>
      <c r="S109" s="143"/>
      <c r="T109" s="869"/>
      <c r="U109" s="869"/>
    </row>
    <row r="110">
      <c r="A110" s="926" t="str">
        <f t="array" ref="A110">if(G110="","",XLOOKUP(D110,'プルダウンメニュー (SE用)'!$D$2:$D1028,'プルダウンメニュー (SE用)'!$C$2:$C1028))</f>
        <v>common_se</v>
      </c>
      <c r="B110" s="926" t="str">
        <f>iferror(if(H110="GLOW流用","-",if(G110="","","SSE_"&amp;TEXT(vlookup(E110,'プルダウンメニュー (SE用)'!$E$2:$F1028,2,false),"000")&amp;"_"&amp;TEXT(COUNTIF($E$4:E110,E110),"000"))),"")</f>
        <v>-</v>
      </c>
      <c r="C110" s="860"/>
      <c r="D110" s="861" t="s">
        <v>2788</v>
      </c>
      <c r="E110" s="861" t="s">
        <v>4047</v>
      </c>
      <c r="F110" s="861" t="s">
        <v>4047</v>
      </c>
      <c r="G110" s="861" t="s">
        <v>4105</v>
      </c>
      <c r="H110" s="862" t="s">
        <v>3913</v>
      </c>
      <c r="I110" s="901"/>
      <c r="J110" s="902"/>
      <c r="K110" s="902"/>
      <c r="L110" s="903" t="s">
        <v>3846</v>
      </c>
      <c r="M110" s="862"/>
      <c r="N110" s="946" t="s">
        <v>4053</v>
      </c>
      <c r="O110" s="904"/>
      <c r="P110" s="868"/>
      <c r="Q110" s="868"/>
      <c r="R110" s="869"/>
      <c r="S110" s="143"/>
      <c r="T110" s="869"/>
      <c r="U110" s="869"/>
    </row>
    <row r="111">
      <c r="A111" s="926" t="str">
        <f t="array" ref="A111">if(G111="","",XLOOKUP(D111,'プルダウンメニュー (SE用)'!$D$2:$D1028,'プルダウンメニュー (SE用)'!$C$2:$C1028))</f>
        <v>common_se</v>
      </c>
      <c r="B111" s="926" t="str">
        <f>iferror(if(H111="GLOW流用","-",if(G111="","","SSE_"&amp;TEXT(vlookup(E111,'プルダウンメニュー (SE用)'!$E$2:$F1028,2,false),"000")&amp;"_"&amp;TEXT(COUNTIF($E$4:E111,E111),"000"))),"")</f>
        <v>-</v>
      </c>
      <c r="C111" s="860"/>
      <c r="D111" s="861" t="s">
        <v>2788</v>
      </c>
      <c r="E111" s="861" t="s">
        <v>4047</v>
      </c>
      <c r="F111" s="861" t="s">
        <v>4047</v>
      </c>
      <c r="G111" s="861" t="s">
        <v>4106</v>
      </c>
      <c r="H111" s="862" t="s">
        <v>3913</v>
      </c>
      <c r="I111" s="901"/>
      <c r="J111" s="902"/>
      <c r="K111" s="902"/>
      <c r="L111" s="903" t="s">
        <v>3846</v>
      </c>
      <c r="M111" s="862"/>
      <c r="N111" s="946" t="s">
        <v>4053</v>
      </c>
      <c r="O111" s="904"/>
      <c r="P111" s="868"/>
      <c r="Q111" s="868"/>
      <c r="R111" s="869"/>
      <c r="S111" s="143"/>
      <c r="T111" s="869"/>
      <c r="U111" s="869"/>
    </row>
    <row r="112">
      <c r="A112" s="926" t="str">
        <f t="array" ref="A112">if(G112="","",XLOOKUP(D112,'プルダウンメニュー (SE用)'!$D$2:$D1028,'プルダウンメニュー (SE用)'!$C$2:$C1028))</f>
        <v>common_se</v>
      </c>
      <c r="B112" s="926" t="str">
        <f>iferror(if(H112="GLOW流用","-",if(G112="","","SSE_"&amp;TEXT(vlookup(E112,'プルダウンメニュー (SE用)'!$E$2:$F1028,2,false),"000")&amp;"_"&amp;TEXT(COUNTIF($E$4:E112,E112),"000"))),"")</f>
        <v>-</v>
      </c>
      <c r="C112" s="860"/>
      <c r="D112" s="861" t="s">
        <v>2788</v>
      </c>
      <c r="E112" s="861" t="s">
        <v>4047</v>
      </c>
      <c r="F112" s="861" t="s">
        <v>4047</v>
      </c>
      <c r="G112" s="861" t="s">
        <v>4107</v>
      </c>
      <c r="H112" s="862" t="s">
        <v>3913</v>
      </c>
      <c r="I112" s="901"/>
      <c r="J112" s="902"/>
      <c r="K112" s="902"/>
      <c r="L112" s="903" t="s">
        <v>3846</v>
      </c>
      <c r="M112" s="862"/>
      <c r="N112" s="946" t="s">
        <v>4108</v>
      </c>
      <c r="O112" s="904"/>
      <c r="P112" s="868"/>
      <c r="Q112" s="868"/>
      <c r="R112" s="869"/>
      <c r="S112" s="143"/>
      <c r="T112" s="869"/>
      <c r="U112" s="869"/>
    </row>
    <row r="113">
      <c r="A113" s="926" t="str">
        <f t="array" ref="A113">if(G113="","",XLOOKUP(D113,'プルダウンメニュー (SE用)'!$D$2:$D1028,'プルダウンメニュー (SE用)'!$C$2:$C1028))</f>
        <v>common_se</v>
      </c>
      <c r="B113" s="926" t="str">
        <f>iferror(if(H113="GLOW流用","-",if(G113="","","SSE_"&amp;TEXT(vlookup(E113,'プルダウンメニュー (SE用)'!$E$2:$F1028,2,false),"000")&amp;"_"&amp;TEXT(COUNTIF($E$4:E113,E113),"000"))),"")</f>
        <v>-</v>
      </c>
      <c r="C113" s="860"/>
      <c r="D113" s="861" t="s">
        <v>2788</v>
      </c>
      <c r="E113" s="861" t="s">
        <v>4047</v>
      </c>
      <c r="F113" s="861" t="s">
        <v>4047</v>
      </c>
      <c r="G113" s="861" t="s">
        <v>4109</v>
      </c>
      <c r="H113" s="862" t="s">
        <v>3913</v>
      </c>
      <c r="I113" s="901"/>
      <c r="J113" s="902"/>
      <c r="K113" s="902"/>
      <c r="L113" s="903" t="s">
        <v>4110</v>
      </c>
      <c r="M113" s="862"/>
      <c r="N113" s="946" t="s">
        <v>4111</v>
      </c>
      <c r="O113" s="904"/>
      <c r="P113" s="868"/>
      <c r="Q113" s="868"/>
      <c r="R113" s="869"/>
      <c r="S113" s="143"/>
      <c r="T113" s="869"/>
      <c r="U113" s="869"/>
    </row>
    <row r="114">
      <c r="A114" s="926" t="str">
        <f t="array" ref="A114">if(G114="","",XLOOKUP(D114,'プルダウンメニュー (SE用)'!$D$2:$D1028,'プルダウンメニュー (SE用)'!$C$2:$C1028))</f>
        <v>common_se</v>
      </c>
      <c r="B114" s="926" t="str">
        <f>iferror(if(H114="GLOW流用","-",if(G114="","","SSE_"&amp;TEXT(vlookup(E114,'プルダウンメニュー (SE用)'!$E$2:$F1028,2,false),"000")&amp;"_"&amp;TEXT(COUNTIF($E$4:E114,E114),"000"))),"")</f>
        <v>-</v>
      </c>
      <c r="C114" s="860"/>
      <c r="D114" s="861" t="s">
        <v>2788</v>
      </c>
      <c r="E114" s="861" t="s">
        <v>4047</v>
      </c>
      <c r="F114" s="861" t="s">
        <v>4047</v>
      </c>
      <c r="G114" s="861" t="s">
        <v>4112</v>
      </c>
      <c r="H114" s="862" t="s">
        <v>3913</v>
      </c>
      <c r="I114" s="901"/>
      <c r="J114" s="902"/>
      <c r="K114" s="902"/>
      <c r="L114" s="903" t="s">
        <v>4110</v>
      </c>
      <c r="M114" s="862"/>
      <c r="N114" s="904" t="s">
        <v>4113</v>
      </c>
      <c r="O114" s="904"/>
      <c r="P114" s="868"/>
      <c r="Q114" s="868"/>
      <c r="R114" s="869"/>
      <c r="S114" s="143"/>
      <c r="T114" s="869"/>
      <c r="U114" s="869"/>
    </row>
    <row r="115">
      <c r="A115" s="926" t="str">
        <f t="array" ref="A115">if(G115="","",XLOOKUP(D115,'プルダウンメニュー (SE用)'!$D$2:$D1028,'プルダウンメニュー (SE用)'!$C$2:$C1028))</f>
        <v>common_se</v>
      </c>
      <c r="B115" s="926" t="str">
        <f>iferror(if(H115="GLOW流用","-",if(G115="","","SSE_"&amp;TEXT(vlookup(E115,'プルダウンメニュー (SE用)'!$E$2:$F1028,2,false),"000")&amp;"_"&amp;TEXT(COUNTIF($E$4:E115,E115),"000"))),"")</f>
        <v>SSE_072_036</v>
      </c>
      <c r="C115" s="860"/>
      <c r="D115" s="861" t="s">
        <v>2788</v>
      </c>
      <c r="E115" s="861" t="s">
        <v>4047</v>
      </c>
      <c r="F115" s="861" t="s">
        <v>4047</v>
      </c>
      <c r="G115" s="861" t="s">
        <v>4114</v>
      </c>
      <c r="H115" s="862" t="s">
        <v>3843</v>
      </c>
      <c r="I115" s="901" t="s">
        <v>3758</v>
      </c>
      <c r="J115" s="902" t="s">
        <v>4115</v>
      </c>
      <c r="K115" s="902"/>
      <c r="L115" s="903" t="s">
        <v>3846</v>
      </c>
      <c r="M115" s="862"/>
      <c r="N115" s="904"/>
      <c r="O115" s="904"/>
      <c r="P115" s="930">
        <v>660.0</v>
      </c>
      <c r="Q115" s="930">
        <v>600.0</v>
      </c>
      <c r="R115" s="869" t="s">
        <v>3847</v>
      </c>
      <c r="S115" s="143"/>
      <c r="T115" s="870" t="s">
        <v>3848</v>
      </c>
      <c r="U115" s="869"/>
    </row>
    <row r="116">
      <c r="A116" s="926" t="str">
        <f t="array" ref="A116">if(G116="","",XLOOKUP(D116,'プルダウンメニュー (SE用)'!$D$2:$D1028,'プルダウンメニュー (SE用)'!$C$2:$C1028))</f>
        <v>battle_se</v>
      </c>
      <c r="B116" s="926" t="str">
        <f>iferror(if(H116="GLOW流用","-",if(G116="","","SSE_"&amp;TEXT(vlookup(E116,'プルダウンメニュー (SE用)'!$E$2:$F1028,2,false),"000")&amp;"_"&amp;TEXT(COUNTIF($E$4:E116,E116),"000"))),"")</f>
        <v>SSE_051_038</v>
      </c>
      <c r="C116" s="860"/>
      <c r="D116" s="861" t="s">
        <v>3887</v>
      </c>
      <c r="E116" s="861" t="s">
        <v>3888</v>
      </c>
      <c r="F116" s="861" t="s">
        <v>3888</v>
      </c>
      <c r="G116" s="861" t="s">
        <v>4116</v>
      </c>
      <c r="H116" s="862" t="s">
        <v>3843</v>
      </c>
      <c r="I116" s="901" t="s">
        <v>3758</v>
      </c>
      <c r="J116" s="911" t="s">
        <v>4117</v>
      </c>
      <c r="K116" s="902"/>
      <c r="L116" s="903" t="s">
        <v>3846</v>
      </c>
      <c r="M116" s="862"/>
      <c r="N116" s="904"/>
      <c r="O116" s="904"/>
      <c r="P116" s="930">
        <v>660.0</v>
      </c>
      <c r="Q116" s="930">
        <v>600.0</v>
      </c>
      <c r="R116" s="869" t="s">
        <v>3847</v>
      </c>
      <c r="S116" s="143"/>
      <c r="T116" s="869" t="s">
        <v>3848</v>
      </c>
      <c r="U116" s="942"/>
    </row>
    <row r="117">
      <c r="A117" s="926" t="str">
        <f t="array" ref="A117">if(G117="","",XLOOKUP(D117,'プルダウンメニュー (SE用)'!$D$2:$D1028,'プルダウンメニュー (SE用)'!$C$2:$C1028))</f>
        <v>battle_se</v>
      </c>
      <c r="B117" s="926" t="str">
        <f>iferror(if(H117="GLOW流用","-",if(G117="","","SSE_"&amp;TEXT(vlookup(E117,'プルダウンメニュー (SE用)'!$E$2:$F1028,2,false),"000")&amp;"_"&amp;TEXT(COUNTIF($E$4:E117,E117),"000"))),"")</f>
        <v>SSE_051_039</v>
      </c>
      <c r="C117" s="860"/>
      <c r="D117" s="861" t="s">
        <v>3887</v>
      </c>
      <c r="E117" s="861" t="s">
        <v>3888</v>
      </c>
      <c r="F117" s="861" t="s">
        <v>3888</v>
      </c>
      <c r="G117" s="861" t="s">
        <v>4118</v>
      </c>
      <c r="H117" s="862" t="s">
        <v>3843</v>
      </c>
      <c r="I117" s="901" t="s">
        <v>3758</v>
      </c>
      <c r="J117" s="911" t="s">
        <v>4119</v>
      </c>
      <c r="K117" s="902"/>
      <c r="L117" s="903" t="s">
        <v>3846</v>
      </c>
      <c r="M117" s="862"/>
      <c r="N117" s="904"/>
      <c r="O117" s="904"/>
      <c r="P117" s="930">
        <v>660.0</v>
      </c>
      <c r="Q117" s="930">
        <v>600.0</v>
      </c>
      <c r="R117" s="869" t="s">
        <v>3847</v>
      </c>
      <c r="S117" s="143" t="s">
        <v>4005</v>
      </c>
      <c r="T117" s="869" t="s">
        <v>3848</v>
      </c>
      <c r="U117" s="942"/>
    </row>
    <row r="118">
      <c r="A118" s="926" t="str">
        <f t="array" ref="A118">if(G118="","",XLOOKUP(D118,'プルダウンメニュー (SE用)'!$D$2:$D1028,'プルダウンメニュー (SE用)'!$C$2:$C1028))</f>
        <v>battle_se</v>
      </c>
      <c r="B118" s="926" t="str">
        <f>iferror(if(H118="GLOW流用","-",if(G118="","","SSE_"&amp;TEXT(vlookup(E118,'プルダウンメニュー (SE用)'!$E$2:$F1028,2,false),"000")&amp;"_"&amp;TEXT(COUNTIF($E$4:E118,E118),"000"))),"")</f>
        <v>SSE_051_040</v>
      </c>
      <c r="C118" s="860"/>
      <c r="D118" s="861" t="s">
        <v>3887</v>
      </c>
      <c r="E118" s="861" t="s">
        <v>3888</v>
      </c>
      <c r="F118" s="861" t="s">
        <v>3888</v>
      </c>
      <c r="G118" s="861" t="s">
        <v>4120</v>
      </c>
      <c r="H118" s="862" t="s">
        <v>3843</v>
      </c>
      <c r="I118" s="901" t="s">
        <v>3758</v>
      </c>
      <c r="J118" s="911" t="s">
        <v>4121</v>
      </c>
      <c r="K118" s="902"/>
      <c r="L118" s="903" t="s">
        <v>3846</v>
      </c>
      <c r="M118" s="862"/>
      <c r="N118" s="904"/>
      <c r="O118" s="904"/>
      <c r="P118" s="930">
        <v>660.0</v>
      </c>
      <c r="Q118" s="930">
        <v>600.0</v>
      </c>
      <c r="R118" s="869" t="s">
        <v>3847</v>
      </c>
      <c r="S118" s="143" t="s">
        <v>4005</v>
      </c>
      <c r="T118" s="869" t="s">
        <v>3848</v>
      </c>
      <c r="U118" s="869"/>
    </row>
    <row r="119">
      <c r="A119" s="926" t="str">
        <f t="array" ref="A119">if(G119="","",XLOOKUP(D119,'プルダウンメニュー (SE用)'!$D$2:$D1028,'プルダウンメニュー (SE用)'!$C$2:$C1028))</f>
        <v>battle_se</v>
      </c>
      <c r="B119" s="926" t="str">
        <f>iferror(if(H119="GLOW流用","-",if(G119="","","SSE_"&amp;TEXT(vlookup(E119,'プルダウンメニュー (SE用)'!$E$2:$F1028,2,false),"000")&amp;"_"&amp;TEXT(COUNTIF($E$4:E119,E119),"000"))),"")</f>
        <v>SSE_051_041</v>
      </c>
      <c r="C119" s="860"/>
      <c r="D119" s="861" t="s">
        <v>3887</v>
      </c>
      <c r="E119" s="861" t="s">
        <v>3888</v>
      </c>
      <c r="F119" s="861" t="s">
        <v>3888</v>
      </c>
      <c r="G119" s="861" t="s">
        <v>4122</v>
      </c>
      <c r="H119" s="862" t="s">
        <v>3843</v>
      </c>
      <c r="I119" s="901" t="s">
        <v>3758</v>
      </c>
      <c r="J119" s="902" t="s">
        <v>4123</v>
      </c>
      <c r="K119" s="902"/>
      <c r="L119" s="903" t="s">
        <v>3846</v>
      </c>
      <c r="M119" s="862"/>
      <c r="N119" s="904"/>
      <c r="O119" s="904"/>
      <c r="P119" s="930">
        <v>660.0</v>
      </c>
      <c r="Q119" s="930">
        <v>600.0</v>
      </c>
      <c r="R119" s="869" t="s">
        <v>3847</v>
      </c>
      <c r="S119" s="143"/>
      <c r="T119" s="869" t="s">
        <v>3848</v>
      </c>
      <c r="U119" s="869"/>
    </row>
    <row r="120">
      <c r="A120" s="926" t="str">
        <f t="array" ref="A120">if(G120="","",XLOOKUP(D120,'プルダウンメニュー (SE用)'!$D$2:$D1028,'プルダウンメニュー (SE用)'!$C$2:$C1028))</f>
        <v>battle_se</v>
      </c>
      <c r="B120" s="926" t="str">
        <f>iferror(if(H120="GLOW流用","-",if(G120="","","SSE_"&amp;TEXT(vlookup(E120,'プルダウンメニュー (SE用)'!$E$2:$F1028,2,false),"000")&amp;"_"&amp;TEXT(COUNTIF($E$4:E120,E120),"000"))),"")</f>
        <v>SSE_051_042</v>
      </c>
      <c r="C120" s="860"/>
      <c r="D120" s="861" t="s">
        <v>3887</v>
      </c>
      <c r="E120" s="861" t="s">
        <v>3888</v>
      </c>
      <c r="F120" s="861" t="s">
        <v>3888</v>
      </c>
      <c r="G120" s="861" t="s">
        <v>4124</v>
      </c>
      <c r="H120" s="862" t="s">
        <v>3843</v>
      </c>
      <c r="I120" s="901" t="s">
        <v>3758</v>
      </c>
      <c r="J120" s="902" t="s">
        <v>4125</v>
      </c>
      <c r="K120" s="902"/>
      <c r="L120" s="903" t="s">
        <v>3846</v>
      </c>
      <c r="M120" s="862"/>
      <c r="N120" s="904"/>
      <c r="O120" s="904"/>
      <c r="P120" s="930">
        <v>660.0</v>
      </c>
      <c r="Q120" s="930">
        <v>600.0</v>
      </c>
      <c r="R120" s="869" t="s">
        <v>3847</v>
      </c>
      <c r="S120" s="143"/>
      <c r="T120" s="869" t="s">
        <v>3848</v>
      </c>
      <c r="U120" s="869"/>
    </row>
    <row r="121">
      <c r="A121" s="926" t="str">
        <f t="array" ref="A121">if(G121="","",XLOOKUP(D121,'プルダウンメニュー (SE用)'!$D$2:$D1028,'プルダウンメニュー (SE用)'!$C$2:$C1028))</f>
        <v>battle_se</v>
      </c>
      <c r="B121" s="926" t="str">
        <f>iferror(if(H121="GLOW流用","-",if(G121="","","SSE_"&amp;TEXT(vlookup(E121,'プルダウンメニュー (SE用)'!$E$2:$F1028,2,false),"000")&amp;"_"&amp;TEXT(COUNTIF($E$4:E121,E121),"000"))),"")</f>
        <v>-</v>
      </c>
      <c r="C121" s="860"/>
      <c r="D121" s="861" t="s">
        <v>3887</v>
      </c>
      <c r="E121" s="861" t="s">
        <v>3888</v>
      </c>
      <c r="F121" s="861" t="s">
        <v>3888</v>
      </c>
      <c r="G121" s="861" t="s">
        <v>4126</v>
      </c>
      <c r="H121" s="862" t="s">
        <v>3913</v>
      </c>
      <c r="I121" s="901"/>
      <c r="J121" s="902" t="s">
        <v>4097</v>
      </c>
      <c r="K121" s="902"/>
      <c r="L121" s="903" t="s">
        <v>3846</v>
      </c>
      <c r="M121" s="862"/>
      <c r="N121" s="904" t="s">
        <v>4127</v>
      </c>
      <c r="O121" s="904"/>
      <c r="P121" s="868"/>
      <c r="Q121" s="868"/>
      <c r="R121" s="869"/>
      <c r="S121" s="143"/>
      <c r="T121" s="869"/>
      <c r="U121" s="869"/>
    </row>
    <row r="122">
      <c r="A122" s="926" t="str">
        <f t="array" ref="A122">if(G122="","",XLOOKUP(D122,'プルダウンメニュー (SE用)'!$D$2:$D1028,'プルダウンメニュー (SE用)'!$C$2:$C1028))</f>
        <v>battle_se</v>
      </c>
      <c r="B122" s="926" t="str">
        <f>iferror(if(H122="GLOW流用","-",if(G122="","","SSE_"&amp;TEXT(vlookup(E122,'プルダウンメニュー (SE用)'!$E$2:$F1028,2,false),"000")&amp;"_"&amp;TEXT(COUNTIF($E$4:E122,E122),"000"))),"")</f>
        <v>-</v>
      </c>
      <c r="C122" s="860"/>
      <c r="D122" s="861" t="s">
        <v>3887</v>
      </c>
      <c r="E122" s="861" t="s">
        <v>3888</v>
      </c>
      <c r="F122" s="861" t="s">
        <v>3888</v>
      </c>
      <c r="G122" s="861" t="s">
        <v>4128</v>
      </c>
      <c r="H122" s="862" t="s">
        <v>3913</v>
      </c>
      <c r="I122" s="901"/>
      <c r="J122" s="902" t="s">
        <v>4092</v>
      </c>
      <c r="K122" s="902"/>
      <c r="L122" s="903" t="s">
        <v>3846</v>
      </c>
      <c r="M122" s="862"/>
      <c r="N122" s="904" t="s">
        <v>4099</v>
      </c>
      <c r="O122" s="904"/>
      <c r="P122" s="868"/>
      <c r="Q122" s="868"/>
      <c r="R122" s="869"/>
      <c r="S122" s="143"/>
      <c r="T122" s="869"/>
      <c r="U122" s="869"/>
    </row>
    <row r="123">
      <c r="A123" s="926" t="str">
        <f t="array" ref="A123">if(G123="","",XLOOKUP(D123,'プルダウンメニュー (SE用)'!$D$2:$D1028,'プルダウンメニュー (SE用)'!$C$2:$C1028))</f>
        <v>battle_se</v>
      </c>
      <c r="B123" s="926" t="str">
        <f>iferror(if(H123="GLOW流用","-",if(G123="","","SSE_"&amp;TEXT(vlookup(E123,'プルダウンメニュー (SE用)'!$E$2:$F1028,2,false),"000")&amp;"_"&amp;TEXT(COUNTIF($E$4:E123,E123),"000"))),"")</f>
        <v>SSE_051_045</v>
      </c>
      <c r="C123" s="860"/>
      <c r="D123" s="861" t="s">
        <v>3887</v>
      </c>
      <c r="E123" s="861" t="s">
        <v>3888</v>
      </c>
      <c r="F123" s="861" t="s">
        <v>3888</v>
      </c>
      <c r="G123" s="861" t="s">
        <v>4129</v>
      </c>
      <c r="H123" s="862" t="s">
        <v>3843</v>
      </c>
      <c r="I123" s="901" t="s">
        <v>3758</v>
      </c>
      <c r="J123" s="902" t="s">
        <v>4130</v>
      </c>
      <c r="K123" s="902"/>
      <c r="L123" s="903" t="s">
        <v>3846</v>
      </c>
      <c r="M123" s="862"/>
      <c r="N123" s="904"/>
      <c r="O123" s="904"/>
      <c r="P123" s="930">
        <v>660.0</v>
      </c>
      <c r="Q123" s="930">
        <v>600.0</v>
      </c>
      <c r="R123" s="869" t="s">
        <v>3847</v>
      </c>
      <c r="S123" s="143"/>
      <c r="T123" s="869" t="s">
        <v>3848</v>
      </c>
      <c r="U123" s="942"/>
    </row>
    <row r="124">
      <c r="A124" s="926" t="str">
        <f t="array" ref="A124">if(G124="","",XLOOKUP(D124,'プルダウンメニュー (SE用)'!$D$2:$D1028,'プルダウンメニュー (SE用)'!$C$2:$C1028))</f>
        <v>battle_se</v>
      </c>
      <c r="B124" s="926" t="str">
        <f>iferror(if(H124="GLOW流用","-",if(G124="","","SSE_"&amp;TEXT(vlookup(E124,'プルダウンメニュー (SE用)'!$E$2:$F1028,2,false),"000")&amp;"_"&amp;TEXT(COUNTIF($E$4:E124,E124),"000"))),"")</f>
        <v>SSE_051_046</v>
      </c>
      <c r="C124" s="860"/>
      <c r="D124" s="861" t="s">
        <v>3887</v>
      </c>
      <c r="E124" s="861" t="s">
        <v>3888</v>
      </c>
      <c r="F124" s="861" t="s">
        <v>3888</v>
      </c>
      <c r="G124" s="861" t="s">
        <v>4131</v>
      </c>
      <c r="H124" s="862" t="s">
        <v>3843</v>
      </c>
      <c r="I124" s="901" t="s">
        <v>3758</v>
      </c>
      <c r="J124" s="902" t="s">
        <v>4132</v>
      </c>
      <c r="K124" s="902"/>
      <c r="L124" s="903" t="s">
        <v>3846</v>
      </c>
      <c r="M124" s="862"/>
      <c r="N124" s="904"/>
      <c r="O124" s="904"/>
      <c r="P124" s="930">
        <v>660.0</v>
      </c>
      <c r="Q124" s="930">
        <v>600.0</v>
      </c>
      <c r="R124" s="869" t="s">
        <v>3847</v>
      </c>
      <c r="S124" s="143"/>
      <c r="T124" s="869" t="s">
        <v>3848</v>
      </c>
      <c r="U124" s="942"/>
    </row>
    <row r="125">
      <c r="A125" s="926" t="str">
        <f t="array" ref="A125">if(G125="","",XLOOKUP(D125,'プルダウンメニュー (SE用)'!$D$2:$D1028,'プルダウンメニュー (SE用)'!$C$2:$C1028))</f>
        <v>battle_se</v>
      </c>
      <c r="B125" s="926" t="str">
        <f>iferror(if(H125="GLOW流用","-",if(G125="","","SSE_"&amp;TEXT(vlookup(E125,'プルダウンメニュー (SE用)'!$E$2:$F1028,2,false),"000")&amp;"_"&amp;TEXT(COUNTIF($E$4:E125,E125),"000"))),"")</f>
        <v>SSE_051_047</v>
      </c>
      <c r="C125" s="860"/>
      <c r="D125" s="861" t="s">
        <v>3887</v>
      </c>
      <c r="E125" s="861" t="s">
        <v>3888</v>
      </c>
      <c r="F125" s="861" t="s">
        <v>3888</v>
      </c>
      <c r="G125" s="861" t="s">
        <v>4133</v>
      </c>
      <c r="H125" s="862" t="s">
        <v>3843</v>
      </c>
      <c r="I125" s="901" t="s">
        <v>3978</v>
      </c>
      <c r="J125" s="911" t="s">
        <v>4134</v>
      </c>
      <c r="K125" s="902"/>
      <c r="L125" s="903" t="s">
        <v>3846</v>
      </c>
      <c r="M125" s="862"/>
      <c r="N125" s="904"/>
      <c r="O125" s="904"/>
      <c r="P125" s="930">
        <v>660.0</v>
      </c>
      <c r="Q125" s="930">
        <v>600.0</v>
      </c>
      <c r="R125" s="869" t="s">
        <v>3847</v>
      </c>
      <c r="S125" s="143"/>
      <c r="T125" s="869" t="s">
        <v>3848</v>
      </c>
      <c r="U125" s="942"/>
    </row>
    <row r="126">
      <c r="A126" s="926" t="str">
        <f t="array" ref="A126">if(G126="","",XLOOKUP(D126,'プルダウンメニュー (SE用)'!$D$2:$D1028,'プルダウンメニュー (SE用)'!$C$2:$C1028))</f>
        <v>battle_se</v>
      </c>
      <c r="B126" s="926" t="str">
        <f>iferror(if(H126="GLOW流用","-",if(G126="","","SSE_"&amp;TEXT(vlookup(E126,'プルダウンメニュー (SE用)'!$E$2:$F1028,2,false),"000")&amp;"_"&amp;TEXT(COUNTIF($E$4:E126,E126),"000"))),"")</f>
        <v>-</v>
      </c>
      <c r="C126" s="860"/>
      <c r="D126" s="861" t="s">
        <v>3887</v>
      </c>
      <c r="E126" s="861" t="s">
        <v>3888</v>
      </c>
      <c r="F126" s="861" t="s">
        <v>3888</v>
      </c>
      <c r="G126" s="861" t="s">
        <v>4135</v>
      </c>
      <c r="H126" s="862" t="s">
        <v>3913</v>
      </c>
      <c r="I126" s="901"/>
      <c r="J126" s="902"/>
      <c r="K126" s="902"/>
      <c r="L126" s="903" t="s">
        <v>3846</v>
      </c>
      <c r="M126" s="862"/>
      <c r="N126" s="904" t="s">
        <v>4127</v>
      </c>
      <c r="O126" s="904"/>
      <c r="P126" s="868"/>
      <c r="Q126" s="868"/>
      <c r="R126" s="869"/>
      <c r="S126" s="143"/>
      <c r="T126" s="869"/>
      <c r="U126" s="942"/>
    </row>
    <row r="127">
      <c r="A127" s="926" t="str">
        <f t="array" ref="A127">if(G127="","",XLOOKUP(D127,'プルダウンメニュー (SE用)'!$D$2:$D1028,'プルダウンメニュー (SE用)'!$C$2:$C1028))</f>
        <v>battle_se</v>
      </c>
      <c r="B127" s="926" t="str">
        <f>iferror(if(H127="GLOW流用","-",if(G127="","","SSE_"&amp;TEXT(vlookup(E127,'プルダウンメニュー (SE用)'!$E$2:$F1028,2,false),"000")&amp;"_"&amp;TEXT(COUNTIF($E$4:E127,E127),"000"))),"")</f>
        <v>SSE_051_049</v>
      </c>
      <c r="C127" s="860"/>
      <c r="D127" s="861" t="s">
        <v>3887</v>
      </c>
      <c r="E127" s="861" t="s">
        <v>3888</v>
      </c>
      <c r="F127" s="861" t="s">
        <v>3888</v>
      </c>
      <c r="G127" s="861" t="s">
        <v>4136</v>
      </c>
      <c r="H127" s="862" t="s">
        <v>3843</v>
      </c>
      <c r="I127" s="901" t="s">
        <v>3758</v>
      </c>
      <c r="J127" s="902" t="s">
        <v>4137</v>
      </c>
      <c r="K127" s="902"/>
      <c r="L127" s="903" t="s">
        <v>3846</v>
      </c>
      <c r="M127" s="862"/>
      <c r="N127" s="904"/>
      <c r="O127" s="904"/>
      <c r="P127" s="930">
        <v>660.0</v>
      </c>
      <c r="Q127" s="930">
        <v>600.0</v>
      </c>
      <c r="R127" s="869" t="s">
        <v>3847</v>
      </c>
      <c r="S127" s="143"/>
      <c r="T127" s="869" t="s">
        <v>3848</v>
      </c>
      <c r="U127" s="869"/>
    </row>
    <row r="128">
      <c r="A128" s="926" t="str">
        <f t="array" ref="A128">if(G128="","",XLOOKUP(D128,'プルダウンメニュー (SE用)'!$D$2:$D1028,'プルダウンメニュー (SE用)'!$C$2:$C1028))</f>
        <v>battle_se</v>
      </c>
      <c r="B128" s="926" t="str">
        <f>iferror(if(H128="GLOW流用","-",if(G128="","","SSE_"&amp;TEXT(vlookup(E128,'プルダウンメニュー (SE用)'!$E$2:$F1028,2,false),"000")&amp;"_"&amp;TEXT(COUNTIF($E$4:E128,E128),"000"))),"")</f>
        <v>SSE_051_050</v>
      </c>
      <c r="C128" s="860"/>
      <c r="D128" s="861" t="s">
        <v>3887</v>
      </c>
      <c r="E128" s="861" t="s">
        <v>3888</v>
      </c>
      <c r="F128" s="861" t="s">
        <v>3888</v>
      </c>
      <c r="G128" s="861" t="s">
        <v>4138</v>
      </c>
      <c r="H128" s="862" t="s">
        <v>3843</v>
      </c>
      <c r="I128" s="901" t="s">
        <v>3864</v>
      </c>
      <c r="J128" s="902" t="s">
        <v>4139</v>
      </c>
      <c r="K128" s="902"/>
      <c r="L128" s="903" t="s">
        <v>3846</v>
      </c>
      <c r="M128" s="862"/>
      <c r="N128" s="904"/>
      <c r="O128" s="904"/>
      <c r="P128" s="930">
        <v>660.0</v>
      </c>
      <c r="Q128" s="930">
        <v>600.0</v>
      </c>
      <c r="R128" s="869" t="s">
        <v>3847</v>
      </c>
      <c r="S128" s="143"/>
      <c r="T128" s="869" t="s">
        <v>3848</v>
      </c>
      <c r="U128" s="869"/>
    </row>
    <row r="129">
      <c r="A129" s="926" t="str">
        <f t="array" ref="A129">if(G129="","",XLOOKUP(D129,'プルダウンメニュー (SE用)'!$D$2:$D1028,'プルダウンメニュー (SE用)'!$C$2:$C1028))</f>
        <v>battle_se</v>
      </c>
      <c r="B129" s="926" t="str">
        <f>iferror(if(H129="GLOW流用","-",if(G129="","","SSE_"&amp;TEXT(vlookup(E129,'プルダウンメニュー (SE用)'!$E$2:$F1028,2,false),"000")&amp;"_"&amp;TEXT(COUNTIF($E$4:E129,E129),"000"))),"")</f>
        <v>-</v>
      </c>
      <c r="C129" s="860"/>
      <c r="D129" s="861" t="s">
        <v>3887</v>
      </c>
      <c r="E129" s="861" t="s">
        <v>3888</v>
      </c>
      <c r="F129" s="861" t="s">
        <v>3888</v>
      </c>
      <c r="G129" s="861" t="s">
        <v>4140</v>
      </c>
      <c r="H129" s="862" t="s">
        <v>3913</v>
      </c>
      <c r="I129" s="901"/>
      <c r="J129" s="902"/>
      <c r="K129" s="902"/>
      <c r="L129" s="903" t="s">
        <v>3846</v>
      </c>
      <c r="M129" s="862"/>
      <c r="N129" s="947" t="s">
        <v>4141</v>
      </c>
      <c r="O129" s="904"/>
      <c r="P129" s="868"/>
      <c r="Q129" s="868"/>
      <c r="R129" s="869"/>
      <c r="S129" s="143"/>
      <c r="T129" s="869"/>
      <c r="U129" s="869"/>
    </row>
    <row r="130">
      <c r="A130" s="926" t="str">
        <f t="array" ref="A130">if(G130="","",XLOOKUP(D130,'プルダウンメニュー (SE用)'!$D$2:$D1028,'プルダウンメニュー (SE用)'!$C$2:$C1028))</f>
        <v>battle_se</v>
      </c>
      <c r="B130" s="926" t="str">
        <f>iferror(if(H130="GLOW流用","-",if(G130="","","SSE_"&amp;TEXT(vlookup(E130,'プルダウンメニュー (SE用)'!$E$2:$F1028,2,false),"000")&amp;"_"&amp;TEXT(COUNTIF($E$4:E130,E130),"000"))),"")</f>
        <v>-</v>
      </c>
      <c r="C130" s="860"/>
      <c r="D130" s="861" t="s">
        <v>3887</v>
      </c>
      <c r="E130" s="861" t="s">
        <v>3888</v>
      </c>
      <c r="F130" s="861" t="s">
        <v>3888</v>
      </c>
      <c r="G130" s="861" t="s">
        <v>4142</v>
      </c>
      <c r="H130" s="862" t="s">
        <v>3913</v>
      </c>
      <c r="I130" s="901"/>
      <c r="J130" s="902"/>
      <c r="K130" s="902"/>
      <c r="L130" s="903" t="s">
        <v>3846</v>
      </c>
      <c r="M130" s="862"/>
      <c r="N130" s="947" t="s">
        <v>4143</v>
      </c>
      <c r="O130" s="904"/>
      <c r="P130" s="868"/>
      <c r="Q130" s="868"/>
      <c r="R130" s="869"/>
      <c r="S130" s="143"/>
      <c r="T130" s="869"/>
      <c r="U130" s="869"/>
    </row>
    <row r="131">
      <c r="A131" s="926" t="str">
        <f t="array" ref="A131">if(G131="","",XLOOKUP(D131,'プルダウンメニュー (SE用)'!$D$2:$D1028,'プルダウンメニュー (SE用)'!$C$2:$C1028))</f>
        <v>battle_se</v>
      </c>
      <c r="B131" s="926" t="str">
        <f>iferror(if(H131="GLOW流用","-",if(G131="","","SSE_"&amp;TEXT(vlookup(E131,'プルダウンメニュー (SE用)'!$E$2:$F1028,2,false),"000")&amp;"_"&amp;TEXT(COUNTIF($E$4:E131,E131),"000"))),"")</f>
        <v>-</v>
      </c>
      <c r="C131" s="860"/>
      <c r="D131" s="861" t="s">
        <v>3887</v>
      </c>
      <c r="E131" s="861" t="s">
        <v>3875</v>
      </c>
      <c r="F131" s="861" t="s">
        <v>3875</v>
      </c>
      <c r="G131" s="861" t="s">
        <v>4144</v>
      </c>
      <c r="H131" s="862" t="s">
        <v>3913</v>
      </c>
      <c r="I131" s="901"/>
      <c r="J131" s="902" t="s">
        <v>4097</v>
      </c>
      <c r="K131" s="902"/>
      <c r="L131" s="903" t="s">
        <v>3846</v>
      </c>
      <c r="M131" s="862"/>
      <c r="N131" s="904" t="s">
        <v>4127</v>
      </c>
      <c r="O131" s="904"/>
      <c r="P131" s="868"/>
      <c r="Q131" s="868"/>
      <c r="R131" s="869"/>
      <c r="S131" s="143"/>
      <c r="T131" s="869"/>
      <c r="U131" s="869"/>
    </row>
    <row r="132">
      <c r="A132" s="926" t="str">
        <f t="array" ref="A132">if(G132="","",XLOOKUP(D132,'プルダウンメニュー (SE用)'!$D$2:$D1028,'プルダウンメニュー (SE用)'!$C$2:$C1028))</f>
        <v>battle_se</v>
      </c>
      <c r="B132" s="926" t="str">
        <f>iferror(if(H132="GLOW流用","-",if(G132="","","SSE_"&amp;TEXT(vlookup(E132,'プルダウンメニュー (SE用)'!$E$2:$F1028,2,false),"000")&amp;"_"&amp;TEXT(COUNTIF($E$4:E132,E132),"000"))),"")</f>
        <v>-</v>
      </c>
      <c r="C132" s="860"/>
      <c r="D132" s="861" t="s">
        <v>3887</v>
      </c>
      <c r="E132" s="861" t="s">
        <v>3875</v>
      </c>
      <c r="F132" s="861" t="s">
        <v>3875</v>
      </c>
      <c r="G132" s="861" t="s">
        <v>4145</v>
      </c>
      <c r="H132" s="862" t="s">
        <v>3913</v>
      </c>
      <c r="I132" s="901"/>
      <c r="J132" s="911" t="s">
        <v>4092</v>
      </c>
      <c r="K132" s="902"/>
      <c r="L132" s="903" t="s">
        <v>3846</v>
      </c>
      <c r="M132" s="862"/>
      <c r="N132" s="904" t="s">
        <v>4099</v>
      </c>
      <c r="O132" s="904"/>
      <c r="P132" s="868"/>
      <c r="Q132" s="868"/>
      <c r="R132" s="869"/>
      <c r="S132" s="143"/>
      <c r="T132" s="869"/>
      <c r="U132" s="869"/>
    </row>
    <row r="133">
      <c r="A133" s="926" t="str">
        <f t="array" ref="A133">if(G133="","",XLOOKUP(D133,'プルダウンメニュー (SE用)'!$D$2:$D1028,'プルダウンメニュー (SE用)'!$C$2:$C1028))</f>
        <v>battle_se</v>
      </c>
      <c r="B133" s="926" t="str">
        <f>iferror(if(H133="GLOW流用","-",if(G133="","","SSE_"&amp;TEXT(vlookup(E133,'プルダウンメニュー (SE用)'!$E$2:$F1028,2,false),"000")&amp;"_"&amp;TEXT(COUNTIF($E$4:E133,E133),"000"))),"")</f>
        <v>SSE_053_008</v>
      </c>
      <c r="C133" s="860"/>
      <c r="D133" s="861" t="s">
        <v>3887</v>
      </c>
      <c r="E133" s="861" t="s">
        <v>3875</v>
      </c>
      <c r="F133" s="861" t="s">
        <v>3875</v>
      </c>
      <c r="G133" s="861" t="s">
        <v>4146</v>
      </c>
      <c r="H133" s="862" t="s">
        <v>3843</v>
      </c>
      <c r="I133" s="901" t="s">
        <v>3978</v>
      </c>
      <c r="J133" s="911" t="s">
        <v>4147</v>
      </c>
      <c r="K133" s="902"/>
      <c r="L133" s="903" t="s">
        <v>3846</v>
      </c>
      <c r="M133" s="862"/>
      <c r="N133" s="904"/>
      <c r="O133" s="904"/>
      <c r="P133" s="930">
        <v>660.0</v>
      </c>
      <c r="Q133" s="930">
        <v>600.0</v>
      </c>
      <c r="R133" s="869" t="s">
        <v>3847</v>
      </c>
      <c r="S133" s="143"/>
      <c r="T133" s="869" t="s">
        <v>3848</v>
      </c>
      <c r="U133" s="869"/>
    </row>
    <row r="134">
      <c r="A134" s="926" t="str">
        <f t="array" ref="A134">if(G134="","",XLOOKUP(D134,'プルダウンメニュー (SE用)'!$D$2:$D1028,'プルダウンメニュー (SE用)'!$C$2:$C1028))</f>
        <v>battle_se</v>
      </c>
      <c r="B134" s="926" t="str">
        <f>iferror(if(H134="GLOW流用","-",if(G134="","","SSE_"&amp;TEXT(vlookup(E134,'プルダウンメニュー (SE用)'!$E$2:$F1028,2,false),"000")&amp;"_"&amp;TEXT(COUNTIF($E$4:E134,E134),"000"))),"")</f>
        <v>SSE_053_009</v>
      </c>
      <c r="C134" s="860"/>
      <c r="D134" s="861" t="s">
        <v>3887</v>
      </c>
      <c r="E134" s="861" t="s">
        <v>3875</v>
      </c>
      <c r="F134" s="861" t="s">
        <v>3875</v>
      </c>
      <c r="G134" s="861" t="s">
        <v>4148</v>
      </c>
      <c r="H134" s="862" t="s">
        <v>4066</v>
      </c>
      <c r="I134" s="901" t="s">
        <v>3978</v>
      </c>
      <c r="J134" s="902" t="s">
        <v>4147</v>
      </c>
      <c r="K134" s="902"/>
      <c r="L134" s="903" t="s">
        <v>3846</v>
      </c>
      <c r="M134" s="862"/>
      <c r="N134" s="904" t="s">
        <v>4149</v>
      </c>
      <c r="O134" s="904"/>
      <c r="P134" s="868"/>
      <c r="Q134" s="868"/>
      <c r="R134" s="869"/>
      <c r="S134" s="143"/>
      <c r="T134" s="869"/>
      <c r="U134" s="869"/>
    </row>
    <row r="135">
      <c r="A135" s="926" t="str">
        <f t="array" ref="A135">if(G135="","",XLOOKUP(D135,'プルダウンメニュー (SE用)'!$D$2:$D1028,'プルダウンメニュー (SE用)'!$C$2:$C1028))</f>
        <v>battle_se</v>
      </c>
      <c r="B135" s="926" t="str">
        <f>iferror(if(H135="GLOW流用","-",if(G135="","","SSE_"&amp;TEXT(vlookup(E135,'プルダウンメニュー (SE用)'!$E$2:$F1028,2,false),"000")&amp;"_"&amp;TEXT(COUNTIF($E$4:E135,E135),"000"))),"")</f>
        <v>SSE_053_010</v>
      </c>
      <c r="C135" s="860"/>
      <c r="D135" s="861" t="s">
        <v>3887</v>
      </c>
      <c r="E135" s="861" t="s">
        <v>3875</v>
      </c>
      <c r="F135" s="861" t="s">
        <v>3875</v>
      </c>
      <c r="G135" s="861" t="s">
        <v>4150</v>
      </c>
      <c r="H135" s="862" t="s">
        <v>3843</v>
      </c>
      <c r="I135" s="901" t="s">
        <v>3758</v>
      </c>
      <c r="J135" s="902" t="s">
        <v>4151</v>
      </c>
      <c r="K135" s="902"/>
      <c r="L135" s="903" t="s">
        <v>3846</v>
      </c>
      <c r="M135" s="862"/>
      <c r="N135" s="904"/>
      <c r="O135" s="904"/>
      <c r="P135" s="930">
        <v>660.0</v>
      </c>
      <c r="Q135" s="930">
        <v>600.0</v>
      </c>
      <c r="R135" s="869" t="s">
        <v>3847</v>
      </c>
      <c r="S135" s="143"/>
      <c r="T135" s="869" t="s">
        <v>3848</v>
      </c>
      <c r="U135" s="869"/>
    </row>
    <row r="136">
      <c r="A136" s="926" t="str">
        <f t="array" ref="A136">if(G136="","",XLOOKUP(D136,'プルダウンメニュー (SE用)'!$D$2:$D1028,'プルダウンメニュー (SE用)'!$C$2:$C1028))</f>
        <v>battle_se</v>
      </c>
      <c r="B136" s="926" t="str">
        <f>iferror(if(H136="GLOW流用","-",if(G136="","","SSE_"&amp;TEXT(vlookup(E136,'プルダウンメニュー (SE用)'!$E$2:$F1028,2,false),"000")&amp;"_"&amp;TEXT(COUNTIF($E$4:E136,E136),"000"))),"")</f>
        <v>-</v>
      </c>
      <c r="C136" s="860"/>
      <c r="D136" s="861" t="s">
        <v>3887</v>
      </c>
      <c r="E136" s="861" t="s">
        <v>3875</v>
      </c>
      <c r="F136" s="861" t="s">
        <v>3875</v>
      </c>
      <c r="G136" s="861" t="s">
        <v>4152</v>
      </c>
      <c r="H136" s="862" t="s">
        <v>3913</v>
      </c>
      <c r="I136" s="901"/>
      <c r="J136" s="902"/>
      <c r="K136" s="902"/>
      <c r="L136" s="903" t="s">
        <v>3846</v>
      </c>
      <c r="M136" s="862"/>
      <c r="N136" s="904" t="s">
        <v>4153</v>
      </c>
      <c r="O136" s="904"/>
      <c r="P136" s="868"/>
      <c r="Q136" s="868"/>
      <c r="R136" s="869"/>
      <c r="S136" s="143"/>
      <c r="T136" s="869"/>
      <c r="U136" s="869"/>
    </row>
    <row r="137">
      <c r="A137" s="926" t="str">
        <f t="array" ref="A137">if(G137="","",XLOOKUP(D137,'プルダウンメニュー (SE用)'!$D$2:$D1028,'プルダウンメニュー (SE用)'!$C$2:$C1028))</f>
        <v>battle_se</v>
      </c>
      <c r="B137" s="926" t="str">
        <f>iferror(if(H137="GLOW流用","-",if(G137="","","SSE_"&amp;TEXT(vlookup(E137,'プルダウンメニュー (SE用)'!$E$2:$F1028,2,false),"000")&amp;"_"&amp;TEXT(COUNTIF($E$4:E137,E137),"000"))),"")</f>
        <v>SSE_053_012</v>
      </c>
      <c r="C137" s="860"/>
      <c r="D137" s="861" t="s">
        <v>3887</v>
      </c>
      <c r="E137" s="861" t="s">
        <v>3875</v>
      </c>
      <c r="F137" s="861" t="s">
        <v>3875</v>
      </c>
      <c r="G137" s="861" t="s">
        <v>4154</v>
      </c>
      <c r="H137" s="862" t="s">
        <v>3843</v>
      </c>
      <c r="I137" s="901" t="s">
        <v>3758</v>
      </c>
      <c r="J137" s="902" t="s">
        <v>4155</v>
      </c>
      <c r="K137" s="902"/>
      <c r="L137" s="903" t="s">
        <v>3846</v>
      </c>
      <c r="M137" s="862"/>
      <c r="N137" s="904"/>
      <c r="O137" s="904"/>
      <c r="P137" s="930">
        <v>660.0</v>
      </c>
      <c r="Q137" s="930">
        <v>600.0</v>
      </c>
      <c r="R137" s="869" t="s">
        <v>3847</v>
      </c>
      <c r="S137" s="143"/>
      <c r="T137" s="869" t="s">
        <v>3848</v>
      </c>
      <c r="U137" s="869"/>
    </row>
    <row r="138">
      <c r="A138" s="926" t="str">
        <f t="array" ref="A138">if(G138="","",XLOOKUP(D138,'プルダウンメニュー (SE用)'!$D$2:$D1028,'プルダウンメニュー (SE用)'!$C$2:$C1028))</f>
        <v>battle_se</v>
      </c>
      <c r="B138" s="926" t="str">
        <f>iferror(if(H138="GLOW流用","-",if(G138="","","SSE_"&amp;TEXT(vlookup(E138,'プルダウンメニュー (SE用)'!$E$2:$F1028,2,false),"000")&amp;"_"&amp;TEXT(COUNTIF($E$4:E138,E138),"000"))),"")</f>
        <v>-</v>
      </c>
      <c r="C138" s="860"/>
      <c r="D138" s="861" t="s">
        <v>3887</v>
      </c>
      <c r="E138" s="861" t="s">
        <v>3875</v>
      </c>
      <c r="F138" s="861" t="s">
        <v>3875</v>
      </c>
      <c r="G138" s="861" t="s">
        <v>4156</v>
      </c>
      <c r="H138" s="862" t="s">
        <v>3913</v>
      </c>
      <c r="I138" s="901"/>
      <c r="J138" s="902"/>
      <c r="K138" s="902"/>
      <c r="L138" s="903" t="s">
        <v>3846</v>
      </c>
      <c r="M138" s="862"/>
      <c r="N138" s="904" t="s">
        <v>4157</v>
      </c>
      <c r="O138" s="904"/>
      <c r="P138" s="868"/>
      <c r="Q138" s="868"/>
      <c r="R138" s="869"/>
      <c r="S138" s="143"/>
      <c r="T138" s="869"/>
      <c r="U138" s="869"/>
    </row>
    <row r="139">
      <c r="A139" s="926" t="str">
        <f t="array" ref="A139">if(G139="","",XLOOKUP(D139,'プルダウンメニュー (SE用)'!$D$2:$D1028,'プルダウンメニュー (SE用)'!$C$2:$C1028))</f>
        <v>battle_se</v>
      </c>
      <c r="B139" s="926" t="str">
        <f>iferror(if(H139="GLOW流用","-",if(G139="","","SSE_"&amp;TEXT(vlookup(E139,'プルダウンメニュー (SE用)'!$E$2:$F1028,2,false),"000")&amp;"_"&amp;TEXT(COUNTIF($E$4:E139,E139),"000"))),"")</f>
        <v>SSE_051_053</v>
      </c>
      <c r="C139" s="860"/>
      <c r="D139" s="861" t="s">
        <v>3887</v>
      </c>
      <c r="E139" s="861" t="s">
        <v>3888</v>
      </c>
      <c r="F139" s="861" t="s">
        <v>3888</v>
      </c>
      <c r="G139" s="861" t="s">
        <v>4158</v>
      </c>
      <c r="H139" s="862" t="s">
        <v>3843</v>
      </c>
      <c r="I139" s="901" t="s">
        <v>3758</v>
      </c>
      <c r="J139" s="911" t="s">
        <v>4159</v>
      </c>
      <c r="K139" s="902"/>
      <c r="L139" s="903" t="s">
        <v>3846</v>
      </c>
      <c r="M139" s="862"/>
      <c r="N139" s="904"/>
      <c r="O139" s="904"/>
      <c r="P139" s="930">
        <v>660.0</v>
      </c>
      <c r="Q139" s="930">
        <v>600.0</v>
      </c>
      <c r="R139" s="869" t="s">
        <v>3847</v>
      </c>
      <c r="S139" s="143"/>
      <c r="T139" s="869" t="s">
        <v>3848</v>
      </c>
      <c r="U139" s="869"/>
    </row>
    <row r="140">
      <c r="A140" s="926" t="str">
        <f t="array" ref="A140">if(G140="","",XLOOKUP(D140,'プルダウンメニュー (SE用)'!$D$2:$D1028,'プルダウンメニュー (SE用)'!$C$2:$C1028))</f>
        <v>battle_se</v>
      </c>
      <c r="B140" s="926" t="str">
        <f>iferror(if(H140="GLOW流用","-",if(G140="","","SSE_"&amp;TEXT(vlookup(E140,'プルダウンメニュー (SE用)'!$E$2:$F1028,2,false),"000")&amp;"_"&amp;TEXT(COUNTIF($E$4:E140,E140),"000"))),"")</f>
        <v>SSE_051_054</v>
      </c>
      <c r="C140" s="860"/>
      <c r="D140" s="861" t="s">
        <v>3887</v>
      </c>
      <c r="E140" s="861" t="s">
        <v>3888</v>
      </c>
      <c r="F140" s="861" t="s">
        <v>3888</v>
      </c>
      <c r="G140" s="861" t="s">
        <v>4160</v>
      </c>
      <c r="H140" s="862" t="s">
        <v>3843</v>
      </c>
      <c r="I140" s="901" t="s">
        <v>3758</v>
      </c>
      <c r="J140" s="902" t="s">
        <v>4161</v>
      </c>
      <c r="K140" s="902"/>
      <c r="L140" s="903" t="s">
        <v>3846</v>
      </c>
      <c r="M140" s="862"/>
      <c r="N140" s="904"/>
      <c r="O140" s="904"/>
      <c r="P140" s="930">
        <v>660.0</v>
      </c>
      <c r="Q140" s="930">
        <v>600.0</v>
      </c>
      <c r="R140" s="869" t="s">
        <v>3847</v>
      </c>
      <c r="S140" s="143"/>
      <c r="T140" s="869" t="s">
        <v>3848</v>
      </c>
      <c r="U140" s="869"/>
    </row>
    <row r="141">
      <c r="A141" s="926" t="str">
        <f t="array" ref="A141">if(G141="","",XLOOKUP(D141,'プルダウンメニュー (SE用)'!$D$2:$D1028,'プルダウンメニュー (SE用)'!$C$2:$C1028))</f>
        <v>battle_se</v>
      </c>
      <c r="B141" s="926" t="str">
        <f>iferror(if(H141="GLOW流用","-",if(G141="","","SSE_"&amp;TEXT(vlookup(E141,'プルダウンメニュー (SE用)'!$E$2:$F1028,2,false),"000")&amp;"_"&amp;TEXT(COUNTIF($E$4:E141,E141),"000"))),"")</f>
        <v>SSE_051_055</v>
      </c>
      <c r="C141" s="860"/>
      <c r="D141" s="861" t="s">
        <v>3887</v>
      </c>
      <c r="E141" s="861" t="s">
        <v>3888</v>
      </c>
      <c r="F141" s="861" t="s">
        <v>3888</v>
      </c>
      <c r="G141" s="861" t="s">
        <v>4162</v>
      </c>
      <c r="H141" s="862" t="s">
        <v>3843</v>
      </c>
      <c r="I141" s="901" t="s">
        <v>3758</v>
      </c>
      <c r="J141" s="902" t="s">
        <v>4163</v>
      </c>
      <c r="K141" s="902"/>
      <c r="L141" s="903" t="s">
        <v>3846</v>
      </c>
      <c r="M141" s="862"/>
      <c r="N141" s="904"/>
      <c r="O141" s="904"/>
      <c r="P141" s="930">
        <v>660.0</v>
      </c>
      <c r="Q141" s="930">
        <v>600.0</v>
      </c>
      <c r="R141" s="869" t="s">
        <v>3847</v>
      </c>
      <c r="S141" s="143"/>
      <c r="T141" s="869" t="s">
        <v>3848</v>
      </c>
      <c r="U141" s="869"/>
    </row>
    <row r="142">
      <c r="A142" s="926" t="str">
        <f t="array" ref="A142">if(G142="","",XLOOKUP(D142,'プルダウンメニュー (SE用)'!$D$2:$D1028,'プルダウンメニュー (SE用)'!$C$2:$C1028))</f>
        <v>battle_se</v>
      </c>
      <c r="B142" s="926" t="str">
        <f>iferror(if(H142="GLOW流用","-",if(G142="","","SSE_"&amp;TEXT(vlookup(E142,'プルダウンメニュー (SE用)'!$E$2:$F1028,2,false),"000")&amp;"_"&amp;TEXT(COUNTIF($E$4:E142,E142),"000"))),"")</f>
        <v>-</v>
      </c>
      <c r="C142" s="860"/>
      <c r="D142" s="861" t="s">
        <v>3887</v>
      </c>
      <c r="E142" s="861" t="s">
        <v>3875</v>
      </c>
      <c r="F142" s="861" t="s">
        <v>3875</v>
      </c>
      <c r="G142" s="861" t="s">
        <v>4164</v>
      </c>
      <c r="H142" s="862" t="s">
        <v>3913</v>
      </c>
      <c r="I142" s="901" t="s">
        <v>3758</v>
      </c>
      <c r="J142" s="911" t="s">
        <v>4147</v>
      </c>
      <c r="K142" s="902"/>
      <c r="L142" s="903" t="s">
        <v>3846</v>
      </c>
      <c r="M142" s="862"/>
      <c r="N142" s="904" t="s">
        <v>4165</v>
      </c>
      <c r="O142" s="904"/>
      <c r="P142" s="868"/>
      <c r="Q142" s="868"/>
      <c r="R142" s="869"/>
      <c r="S142" s="143"/>
      <c r="T142" s="869"/>
      <c r="U142" s="869"/>
    </row>
    <row r="143">
      <c r="A143" s="926" t="str">
        <f t="array" ref="A143">if(G143="","",XLOOKUP(D143,'プルダウンメニュー (SE用)'!$D$2:$D1028,'プルダウンメニュー (SE用)'!$C$2:$C1028))</f>
        <v>battle_se</v>
      </c>
      <c r="B143" s="926" t="str">
        <f>iferror(if(H143="GLOW流用","-",if(G143="","","SSE_"&amp;TEXT(vlookup(E143,'プルダウンメニュー (SE用)'!$E$2:$F1028,2,false),"000")&amp;"_"&amp;TEXT(COUNTIF($E$4:E143,E143),"000"))),"")</f>
        <v>SSE_053_015</v>
      </c>
      <c r="C143" s="860"/>
      <c r="D143" s="861" t="s">
        <v>3887</v>
      </c>
      <c r="E143" s="861" t="s">
        <v>3875</v>
      </c>
      <c r="F143" s="861" t="s">
        <v>3875</v>
      </c>
      <c r="G143" s="861" t="s">
        <v>4166</v>
      </c>
      <c r="H143" s="862" t="s">
        <v>3843</v>
      </c>
      <c r="I143" s="901" t="s">
        <v>3978</v>
      </c>
      <c r="J143" s="911" t="s">
        <v>4167</v>
      </c>
      <c r="K143" s="902"/>
      <c r="L143" s="903" t="s">
        <v>3846</v>
      </c>
      <c r="M143" s="862"/>
      <c r="N143" s="904"/>
      <c r="O143" s="904"/>
      <c r="P143" s="930">
        <v>660.0</v>
      </c>
      <c r="Q143" s="930">
        <v>600.0</v>
      </c>
      <c r="R143" s="869" t="s">
        <v>3847</v>
      </c>
      <c r="S143" s="143" t="s">
        <v>4005</v>
      </c>
      <c r="T143" s="869" t="s">
        <v>3848</v>
      </c>
      <c r="U143" s="869"/>
    </row>
    <row r="144">
      <c r="A144" s="926" t="str">
        <f t="array" ref="A144">if(G144="","",XLOOKUP(D144,'プルダウンメニュー (SE用)'!$D$2:$D1028,'プルダウンメニュー (SE用)'!$C$2:$C1028))</f>
        <v>battle_se</v>
      </c>
      <c r="B144" s="926" t="str">
        <f>iferror(if(H144="GLOW流用","-",if(G144="","","SSE_"&amp;TEXT(vlookup(E144,'プルダウンメニュー (SE用)'!$E$2:$F1028,2,false),"000")&amp;"_"&amp;TEXT(COUNTIF($E$4:E144,E144),"000"))),"")</f>
        <v>SSE_051_056</v>
      </c>
      <c r="C144" s="860"/>
      <c r="D144" s="861" t="s">
        <v>3887</v>
      </c>
      <c r="E144" s="861" t="s">
        <v>3888</v>
      </c>
      <c r="F144" s="861" t="s">
        <v>3888</v>
      </c>
      <c r="G144" s="861" t="s">
        <v>4168</v>
      </c>
      <c r="H144" s="862" t="s">
        <v>3843</v>
      </c>
      <c r="I144" s="901" t="s">
        <v>3978</v>
      </c>
      <c r="J144" s="902" t="s">
        <v>4169</v>
      </c>
      <c r="K144" s="902"/>
      <c r="L144" s="903" t="s">
        <v>3846</v>
      </c>
      <c r="M144" s="862"/>
      <c r="N144" s="904"/>
      <c r="O144" s="904"/>
      <c r="P144" s="930">
        <v>660.0</v>
      </c>
      <c r="Q144" s="930">
        <v>600.0</v>
      </c>
      <c r="R144" s="869" t="s">
        <v>3847</v>
      </c>
      <c r="S144" s="143"/>
      <c r="T144" s="869" t="s">
        <v>3848</v>
      </c>
      <c r="U144" s="869"/>
    </row>
    <row r="145">
      <c r="A145" s="926" t="str">
        <f t="array" ref="A145">if(G145="","",XLOOKUP(D145,'プルダウンメニュー (SE用)'!$D$2:$D1028,'プルダウンメニュー (SE用)'!$C$2:$C1028))</f>
        <v>battle_se</v>
      </c>
      <c r="B145" s="926" t="str">
        <f>iferror(if(H145="GLOW流用","-",if(G145="","","SSE_"&amp;TEXT(vlookup(E145,'プルダウンメニュー (SE用)'!$E$2:$F1028,2,false),"000")&amp;"_"&amp;TEXT(COUNTIF($E$4:E145,E145),"000"))),"")</f>
        <v>-</v>
      </c>
      <c r="C145" s="860"/>
      <c r="D145" s="861" t="s">
        <v>3887</v>
      </c>
      <c r="E145" s="861" t="s">
        <v>3888</v>
      </c>
      <c r="F145" s="861" t="s">
        <v>3888</v>
      </c>
      <c r="G145" s="861" t="s">
        <v>4170</v>
      </c>
      <c r="H145" s="862" t="s">
        <v>3913</v>
      </c>
      <c r="I145" s="901" t="s">
        <v>3758</v>
      </c>
      <c r="J145" s="902" t="s">
        <v>4073</v>
      </c>
      <c r="K145" s="902"/>
      <c r="L145" s="903" t="s">
        <v>3846</v>
      </c>
      <c r="M145" s="862"/>
      <c r="N145" s="904" t="s">
        <v>4171</v>
      </c>
      <c r="O145" s="904"/>
      <c r="P145" s="868"/>
      <c r="Q145" s="868"/>
      <c r="R145" s="869"/>
      <c r="S145" s="143"/>
      <c r="T145" s="869"/>
      <c r="U145" s="869"/>
    </row>
    <row r="146">
      <c r="A146" s="926" t="str">
        <f t="array" ref="A146">if(G146="","",XLOOKUP(D146,'プルダウンメニュー (SE用)'!$D$2:$D1028,'プルダウンメニュー (SE用)'!$C$2:$C1028))</f>
        <v>battle_se</v>
      </c>
      <c r="B146" s="926" t="str">
        <f>iferror(if(H146="GLOW流用","-",if(G146="","","SSE_"&amp;TEXT(vlookup(E146,'プルダウンメニュー (SE用)'!$E$2:$F1028,2,false),"000")&amp;"_"&amp;TEXT(COUNTIF($E$4:E146,E146),"000"))),"")</f>
        <v>SSE_051_058</v>
      </c>
      <c r="C146" s="860"/>
      <c r="D146" s="861" t="s">
        <v>3887</v>
      </c>
      <c r="E146" s="861" t="s">
        <v>3888</v>
      </c>
      <c r="F146" s="861" t="s">
        <v>3888</v>
      </c>
      <c r="G146" s="861" t="s">
        <v>4172</v>
      </c>
      <c r="H146" s="862" t="s">
        <v>3843</v>
      </c>
      <c r="I146" s="901" t="s">
        <v>3758</v>
      </c>
      <c r="J146" s="911" t="s">
        <v>4173</v>
      </c>
      <c r="K146" s="902"/>
      <c r="L146" s="903" t="s">
        <v>3846</v>
      </c>
      <c r="M146" s="862"/>
      <c r="N146" s="948" t="s">
        <v>4174</v>
      </c>
      <c r="O146" s="904"/>
      <c r="P146" s="868">
        <v>660.0</v>
      </c>
      <c r="Q146" s="868">
        <v>660.0</v>
      </c>
      <c r="R146" s="869" t="s">
        <v>3847</v>
      </c>
      <c r="S146" s="143" t="s">
        <v>4005</v>
      </c>
      <c r="T146" s="869" t="s">
        <v>3848</v>
      </c>
      <c r="U146" s="869"/>
    </row>
    <row r="147">
      <c r="A147" s="926" t="str">
        <f t="array" ref="A147">if(G147="","",XLOOKUP(D147,'プルダウンメニュー (SE用)'!$D$2:$D1028,'プルダウンメニュー (SE用)'!$C$2:$C1028))</f>
        <v>battle_se</v>
      </c>
      <c r="B147" s="926" t="str">
        <f>iferror(if(H147="GLOW流用","-",if(G147="","","SSE_"&amp;TEXT(vlookup(E147,'プルダウンメニュー (SE用)'!$E$2:$F1028,2,false),"000")&amp;"_"&amp;TEXT(COUNTIF($E$4:E147,E147),"000"))),"")</f>
        <v>-</v>
      </c>
      <c r="C147" s="860"/>
      <c r="D147" s="861" t="s">
        <v>3887</v>
      </c>
      <c r="E147" s="861" t="s">
        <v>3888</v>
      </c>
      <c r="F147" s="861" t="s">
        <v>3888</v>
      </c>
      <c r="G147" s="949" t="s">
        <v>4175</v>
      </c>
      <c r="H147" s="862" t="s">
        <v>3913</v>
      </c>
      <c r="I147" s="901" t="s">
        <v>3758</v>
      </c>
      <c r="J147" s="902" t="s">
        <v>4117</v>
      </c>
      <c r="K147" s="902"/>
      <c r="L147" s="903" t="s">
        <v>3846</v>
      </c>
      <c r="M147" s="862"/>
      <c r="N147" s="904" t="s">
        <v>4176</v>
      </c>
      <c r="O147" s="904"/>
      <c r="P147" s="868"/>
      <c r="Q147" s="868"/>
      <c r="R147" s="869"/>
      <c r="S147" s="143"/>
      <c r="T147" s="869"/>
      <c r="U147" s="869"/>
    </row>
    <row r="148">
      <c r="A148" s="926" t="str">
        <f t="array" ref="A148">if(G148="","",XLOOKUP(D148,'プルダウンメニュー (SE用)'!$D$2:$D1028,'プルダウンメニュー (SE用)'!$C$2:$C1028))</f>
        <v>battle_se</v>
      </c>
      <c r="B148" s="926" t="str">
        <f>iferror(if(H148="GLOW流用","-",if(G148="","","SSE_"&amp;TEXT(vlookup(E148,'プルダウンメニュー (SE用)'!$E$2:$F1028,2,false),"000")&amp;"_"&amp;TEXT(COUNTIF($E$4:E148,E148),"000"))),"")</f>
        <v>SSE_051_060</v>
      </c>
      <c r="C148" s="860"/>
      <c r="D148" s="861" t="s">
        <v>3887</v>
      </c>
      <c r="E148" s="861" t="s">
        <v>3888</v>
      </c>
      <c r="F148" s="861" t="s">
        <v>3888</v>
      </c>
      <c r="G148" s="949" t="s">
        <v>4177</v>
      </c>
      <c r="H148" s="862" t="s">
        <v>4066</v>
      </c>
      <c r="I148" s="901" t="s">
        <v>3758</v>
      </c>
      <c r="J148" s="902" t="s">
        <v>4169</v>
      </c>
      <c r="K148" s="902"/>
      <c r="L148" s="903" t="s">
        <v>3846</v>
      </c>
      <c r="M148" s="862"/>
      <c r="N148" s="904" t="s">
        <v>4178</v>
      </c>
      <c r="O148" s="904"/>
      <c r="P148" s="868"/>
      <c r="Q148" s="868"/>
      <c r="R148" s="869"/>
      <c r="S148" s="143"/>
      <c r="T148" s="869"/>
      <c r="U148" s="869"/>
    </row>
    <row r="149">
      <c r="A149" s="926" t="str">
        <f t="array" ref="A149">if(G149="","",XLOOKUP(D149,'プルダウンメニュー (SE用)'!$D$2:$D1028,'プルダウンメニュー (SE用)'!$C$2:$C1028))</f>
        <v>battle_se</v>
      </c>
      <c r="B149" s="926" t="str">
        <f>iferror(if(H149="GLOW流用","-",if(G149="","","SSE_"&amp;TEXT(vlookup(E149,'プルダウンメニュー (SE用)'!$E$2:$F1028,2,false),"000")&amp;"_"&amp;TEXT(COUNTIF($E$4:E149,E149),"000"))),"")</f>
        <v>-</v>
      </c>
      <c r="C149" s="860"/>
      <c r="D149" s="861" t="s">
        <v>3887</v>
      </c>
      <c r="E149" s="861" t="s">
        <v>3888</v>
      </c>
      <c r="F149" s="861" t="s">
        <v>3888</v>
      </c>
      <c r="G149" s="949" t="s">
        <v>4179</v>
      </c>
      <c r="H149" s="862" t="s">
        <v>3913</v>
      </c>
      <c r="I149" s="901"/>
      <c r="J149" s="911" t="s">
        <v>4092</v>
      </c>
      <c r="K149" s="902"/>
      <c r="L149" s="903" t="s">
        <v>3846</v>
      </c>
      <c r="M149" s="862"/>
      <c r="N149" s="904" t="s">
        <v>4099</v>
      </c>
      <c r="O149" s="904"/>
      <c r="P149" s="868"/>
      <c r="Q149" s="868"/>
      <c r="R149" s="869"/>
      <c r="S149" s="143"/>
      <c r="T149" s="869"/>
      <c r="U149" s="869"/>
    </row>
    <row r="150">
      <c r="A150" s="926" t="str">
        <f t="array" ref="A150">if(G150="","",XLOOKUP(D150,'プルダウンメニュー (SE用)'!$D$2:$D1028,'プルダウンメニュー (SE用)'!$C$2:$C1028))</f>
        <v>battle_se</v>
      </c>
      <c r="B150" s="926" t="str">
        <f>iferror(if(H150="GLOW流用","-",if(G150="","","SSE_"&amp;TEXT(vlookup(E150,'プルダウンメニュー (SE用)'!$E$2:$F1028,2,false),"000")&amp;"_"&amp;TEXT(COUNTIF($E$4:E150,E150),"000"))),"")</f>
        <v>-</v>
      </c>
      <c r="C150" s="860"/>
      <c r="D150" s="861" t="s">
        <v>3887</v>
      </c>
      <c r="E150" s="861" t="s">
        <v>3888</v>
      </c>
      <c r="F150" s="861" t="s">
        <v>3888</v>
      </c>
      <c r="G150" s="861" t="s">
        <v>4180</v>
      </c>
      <c r="H150" s="862" t="s">
        <v>3913</v>
      </c>
      <c r="I150" s="901"/>
      <c r="J150" s="902" t="s">
        <v>4130</v>
      </c>
      <c r="K150" s="902"/>
      <c r="L150" s="903" t="s">
        <v>3846</v>
      </c>
      <c r="M150" s="862"/>
      <c r="N150" s="904" t="s">
        <v>4181</v>
      </c>
      <c r="O150" s="904"/>
      <c r="P150" s="868"/>
      <c r="Q150" s="868"/>
      <c r="R150" s="869"/>
      <c r="S150" s="143"/>
      <c r="T150" s="869"/>
      <c r="U150" s="869"/>
    </row>
    <row r="151">
      <c r="A151" s="926" t="str">
        <f t="array" ref="A151">if(G151="","",XLOOKUP(D151,'プルダウンメニュー (SE用)'!$D$2:$D1028,'プルダウンメニュー (SE用)'!$C$2:$C1028))</f>
        <v>battle_se</v>
      </c>
      <c r="B151" s="926" t="str">
        <f>iferror(if(H151="GLOW流用","-",if(G151="","","SSE_"&amp;TEXT(vlookup(E151,'プルダウンメニュー (SE用)'!$E$2:$F1028,2,false),"000")&amp;"_"&amp;TEXT(COUNTIF($E$4:E151,E151),"000"))),"")</f>
        <v>SSE_051_063</v>
      </c>
      <c r="C151" s="860"/>
      <c r="D151" s="861" t="s">
        <v>3887</v>
      </c>
      <c r="E151" s="861" t="s">
        <v>3888</v>
      </c>
      <c r="F151" s="861" t="s">
        <v>3888</v>
      </c>
      <c r="G151" s="861" t="s">
        <v>4182</v>
      </c>
      <c r="H151" s="862" t="s">
        <v>3843</v>
      </c>
      <c r="I151" s="901" t="s">
        <v>3758</v>
      </c>
      <c r="J151" s="911" t="s">
        <v>4183</v>
      </c>
      <c r="K151" s="902"/>
      <c r="L151" s="903" t="s">
        <v>3846</v>
      </c>
      <c r="M151" s="862"/>
      <c r="N151" s="904"/>
      <c r="O151" s="904"/>
      <c r="P151" s="930">
        <v>660.0</v>
      </c>
      <c r="Q151" s="930">
        <v>600.0</v>
      </c>
      <c r="R151" s="869" t="s">
        <v>3847</v>
      </c>
      <c r="S151" s="143"/>
      <c r="T151" s="869" t="s">
        <v>3848</v>
      </c>
      <c r="U151" s="869"/>
    </row>
    <row r="152">
      <c r="A152" s="926" t="str">
        <f t="array" ref="A152">if(G152="","",XLOOKUP(D152,'プルダウンメニュー (SE用)'!$D$2:$D1028,'プルダウンメニュー (SE用)'!$C$2:$C1028))</f>
        <v>battle_se</v>
      </c>
      <c r="B152" s="926" t="str">
        <f>iferror(if(H152="GLOW流用","-",if(G152="","","SSE_"&amp;TEXT(vlookup(E152,'プルダウンメニュー (SE用)'!$E$2:$F1028,2,false),"000")&amp;"_"&amp;TEXT(COUNTIF($E$4:E152,E152),"000"))),"")</f>
        <v>-</v>
      </c>
      <c r="C152" s="860"/>
      <c r="D152" s="861" t="s">
        <v>3887</v>
      </c>
      <c r="E152" s="861" t="s">
        <v>3888</v>
      </c>
      <c r="F152" s="861" t="s">
        <v>3888</v>
      </c>
      <c r="G152" s="861" t="s">
        <v>4184</v>
      </c>
      <c r="H152" s="862" t="s">
        <v>3913</v>
      </c>
      <c r="I152" s="901"/>
      <c r="J152" s="911" t="s">
        <v>4073</v>
      </c>
      <c r="K152" s="902"/>
      <c r="L152" s="903" t="s">
        <v>3846</v>
      </c>
      <c r="M152" s="862"/>
      <c r="N152" s="904" t="s">
        <v>4171</v>
      </c>
      <c r="O152" s="904"/>
      <c r="P152" s="868"/>
      <c r="Q152" s="868"/>
      <c r="R152" s="869"/>
      <c r="S152" s="143"/>
      <c r="T152" s="869"/>
      <c r="U152" s="869"/>
    </row>
    <row r="153">
      <c r="A153" s="926" t="str">
        <f t="array" ref="A153">if(G153="","",XLOOKUP(D153,'プルダウンメニュー (SE用)'!$D$2:$D1028,'プルダウンメニュー (SE用)'!$C$2:$C1028))</f>
        <v>battle_se</v>
      </c>
      <c r="B153" s="926" t="str">
        <f>iferror(if(H153="GLOW流用","-",if(G153="","","SSE_"&amp;TEXT(vlookup(E153,'プルダウンメニュー (SE用)'!$E$2:$F1028,2,false),"000")&amp;"_"&amp;TEXT(COUNTIF($E$4:E153,E153),"000"))),"")</f>
        <v>SSE_051_065</v>
      </c>
      <c r="C153" s="860"/>
      <c r="D153" s="861" t="s">
        <v>3887</v>
      </c>
      <c r="E153" s="861" t="s">
        <v>3888</v>
      </c>
      <c r="F153" s="861" t="s">
        <v>3888</v>
      </c>
      <c r="G153" s="861" t="s">
        <v>4185</v>
      </c>
      <c r="H153" s="862" t="s">
        <v>3843</v>
      </c>
      <c r="I153" s="901" t="s">
        <v>3758</v>
      </c>
      <c r="J153" s="902" t="s">
        <v>4186</v>
      </c>
      <c r="K153" s="902"/>
      <c r="L153" s="903" t="s">
        <v>3846</v>
      </c>
      <c r="M153" s="862"/>
      <c r="N153" s="904"/>
      <c r="O153" s="904"/>
      <c r="P153" s="930">
        <v>660.0</v>
      </c>
      <c r="Q153" s="930">
        <v>600.0</v>
      </c>
      <c r="R153" s="869" t="s">
        <v>3847</v>
      </c>
      <c r="S153" s="143"/>
      <c r="T153" s="869" t="s">
        <v>3848</v>
      </c>
      <c r="U153" s="869"/>
    </row>
    <row r="154">
      <c r="A154" s="926" t="str">
        <f t="array" ref="A154">if(G154="","",XLOOKUP(D154,'プルダウンメニュー (SE用)'!$D$2:$D1028,'プルダウンメニュー (SE用)'!$C$2:$C1028))</f>
        <v>battle_se</v>
      </c>
      <c r="B154" s="926" t="str">
        <f>iferror(if(H154="GLOW流用","-",if(G154="","","SSE_"&amp;TEXT(vlookup(E154,'プルダウンメニュー (SE用)'!$E$2:$F1028,2,false),"000")&amp;"_"&amp;TEXT(COUNTIF($E$4:E154,E154),"000"))),"")</f>
        <v>SSE_051_066</v>
      </c>
      <c r="C154" s="860"/>
      <c r="D154" s="861" t="s">
        <v>3887</v>
      </c>
      <c r="E154" s="861" t="s">
        <v>3888</v>
      </c>
      <c r="F154" s="861" t="s">
        <v>3888</v>
      </c>
      <c r="G154" s="861" t="s">
        <v>4187</v>
      </c>
      <c r="H154" s="862" t="s">
        <v>3843</v>
      </c>
      <c r="I154" s="901" t="s">
        <v>3758</v>
      </c>
      <c r="J154" s="911" t="s">
        <v>4188</v>
      </c>
      <c r="K154" s="902"/>
      <c r="L154" s="903" t="s">
        <v>3846</v>
      </c>
      <c r="M154" s="862"/>
      <c r="N154" s="904"/>
      <c r="O154" s="904"/>
      <c r="P154" s="930">
        <v>660.0</v>
      </c>
      <c r="Q154" s="930">
        <v>600.0</v>
      </c>
      <c r="R154" s="869" t="s">
        <v>3847</v>
      </c>
      <c r="S154" s="143"/>
      <c r="T154" s="869" t="s">
        <v>3848</v>
      </c>
      <c r="U154" s="869"/>
    </row>
    <row r="155">
      <c r="A155" s="926" t="str">
        <f t="array" ref="A155">if(G155="","",XLOOKUP(D155,'プルダウンメニュー (SE用)'!$D$2:$D1028,'プルダウンメニュー (SE用)'!$C$2:$C1028))</f>
        <v>battle_se</v>
      </c>
      <c r="B155" s="926" t="str">
        <f>iferror(if(H155="GLOW流用","-",if(G155="","","SSE_"&amp;TEXT(vlookup(E155,'プルダウンメニュー (SE用)'!$E$2:$F1028,2,false),"000")&amp;"_"&amp;TEXT(COUNTIF($E$4:E155,E155),"000"))),"")</f>
        <v>SSE_051_067</v>
      </c>
      <c r="C155" s="860"/>
      <c r="D155" s="861" t="s">
        <v>3887</v>
      </c>
      <c r="E155" s="861" t="s">
        <v>3888</v>
      </c>
      <c r="F155" s="861" t="s">
        <v>3888</v>
      </c>
      <c r="G155" s="861" t="s">
        <v>4189</v>
      </c>
      <c r="H155" s="862" t="s">
        <v>3843</v>
      </c>
      <c r="I155" s="901" t="s">
        <v>3758</v>
      </c>
      <c r="J155" s="911" t="s">
        <v>4190</v>
      </c>
      <c r="K155" s="902"/>
      <c r="L155" s="903" t="s">
        <v>3846</v>
      </c>
      <c r="M155" s="862"/>
      <c r="N155" s="904"/>
      <c r="O155" s="904"/>
      <c r="P155" s="930">
        <v>660.0</v>
      </c>
      <c r="Q155" s="930">
        <v>600.0</v>
      </c>
      <c r="R155" s="869" t="s">
        <v>3847</v>
      </c>
      <c r="S155" s="143" t="s">
        <v>4005</v>
      </c>
      <c r="T155" s="869" t="s">
        <v>3848</v>
      </c>
      <c r="U155" s="869"/>
    </row>
    <row r="156">
      <c r="A156" s="860" t="str">
        <f t="array" ref="A156">if(G156="","",XLOOKUP(D156,'プルダウンメニュー (SE用)'!$D$2:$D1028,'プルダウンメニュー (SE用)'!$C$2:$C1028))</f>
        <v>battle_se</v>
      </c>
      <c r="B156" s="860" t="str">
        <f>iferror(if(H156="GLOW流用","-",if(G156="","","SSE_"&amp;TEXT(vlookup(E156,'プルダウンメニュー (SE用)'!$E$2:$F1028,2,false),"000")&amp;"_"&amp;TEXT(COUNTIF($E$4:E156,E156),"000"))),"")</f>
        <v>SSE_051_068</v>
      </c>
      <c r="C156" s="860"/>
      <c r="D156" s="950" t="s">
        <v>3887</v>
      </c>
      <c r="E156" s="950" t="s">
        <v>3888</v>
      </c>
      <c r="F156" s="950" t="s">
        <v>3888</v>
      </c>
      <c r="G156" s="951" t="s">
        <v>4191</v>
      </c>
      <c r="H156" s="952" t="s">
        <v>4066</v>
      </c>
      <c r="I156" s="953" t="s">
        <v>3978</v>
      </c>
      <c r="J156" s="911" t="s">
        <v>4090</v>
      </c>
      <c r="K156" s="902"/>
      <c r="L156" s="903" t="s">
        <v>3846</v>
      </c>
      <c r="M156" s="862"/>
      <c r="N156" s="954" t="s">
        <v>4192</v>
      </c>
      <c r="O156" s="904"/>
      <c r="P156" s="868"/>
      <c r="Q156" s="868"/>
      <c r="R156" s="869"/>
      <c r="S156" s="143"/>
      <c r="T156" s="869"/>
      <c r="U156" s="869"/>
    </row>
    <row r="157">
      <c r="A157" s="860" t="str">
        <f t="array" ref="A157">if(G157="","",XLOOKUP(D157,'プルダウンメニュー (SE用)'!$D$2:$D1028,'プルダウンメニュー (SE用)'!$C$2:$C1028))</f>
        <v>battle_se</v>
      </c>
      <c r="B157" s="955"/>
      <c r="C157" s="860"/>
      <c r="D157" s="861" t="s">
        <v>3887</v>
      </c>
      <c r="E157" s="861" t="s">
        <v>3888</v>
      </c>
      <c r="F157" s="861" t="s">
        <v>3888</v>
      </c>
      <c r="G157" s="951" t="s">
        <v>4193</v>
      </c>
      <c r="H157" s="952" t="s">
        <v>4066</v>
      </c>
      <c r="I157" s="953" t="s">
        <v>3758</v>
      </c>
      <c r="J157" s="911" t="s">
        <v>4090</v>
      </c>
      <c r="K157" s="902"/>
      <c r="L157" s="903" t="s">
        <v>3846</v>
      </c>
      <c r="M157" s="862"/>
      <c r="N157" s="954" t="s">
        <v>4194</v>
      </c>
      <c r="O157" s="904"/>
      <c r="P157" s="868"/>
      <c r="Q157" s="868"/>
      <c r="R157" s="869"/>
      <c r="S157" s="143"/>
      <c r="T157" s="869"/>
      <c r="U157" s="869"/>
    </row>
    <row r="158">
      <c r="A158" s="860" t="str">
        <f t="array" ref="A158">if(G158="","",XLOOKUP(D158,'プルダウンメニュー (SE用)'!$D$2:$D1028,'プルダウンメニュー (SE用)'!$C$2:$C1028))</f>
        <v>common_se</v>
      </c>
      <c r="B158" s="860" t="str">
        <f>iferror(if(H158="GLOW流用","-",if(G158="","","SSE_"&amp;TEXT(vlookup(E158,'プルダウンメニュー (SE用)'!$E$2:$F1028,2,false),"000")&amp;"_"&amp;TEXT(COUNTIF($E$4:E158,E158),"000"))),"")</f>
        <v>-</v>
      </c>
      <c r="C158" s="926"/>
      <c r="D158" s="861" t="s">
        <v>2788</v>
      </c>
      <c r="E158" s="861" t="s">
        <v>2788</v>
      </c>
      <c r="F158" s="861" t="s">
        <v>2788</v>
      </c>
      <c r="G158" s="956" t="s">
        <v>4195</v>
      </c>
      <c r="H158" s="862" t="s">
        <v>3913</v>
      </c>
      <c r="I158" s="901"/>
      <c r="J158" s="911" t="s">
        <v>4051</v>
      </c>
      <c r="K158" s="902"/>
      <c r="L158" s="903" t="s">
        <v>3846</v>
      </c>
      <c r="M158" s="862"/>
      <c r="N158" s="904" t="s">
        <v>4196</v>
      </c>
      <c r="O158" s="904"/>
      <c r="P158" s="868"/>
      <c r="Q158" s="868"/>
      <c r="R158" s="869"/>
      <c r="S158" s="143"/>
      <c r="T158" s="869"/>
      <c r="U158" s="869"/>
    </row>
    <row r="159">
      <c r="A159" s="926" t="str">
        <f t="array" ref="A159">if(G159="","",XLOOKUP(D159,'プルダウンメニュー (SE用)'!$D$2:$D1028,'プルダウンメニュー (SE用)'!$C$2:$C1028))</f>
        <v>common_se</v>
      </c>
      <c r="B159" s="955"/>
      <c r="C159" s="860"/>
      <c r="D159" s="861" t="s">
        <v>2788</v>
      </c>
      <c r="E159" s="861" t="s">
        <v>2788</v>
      </c>
      <c r="F159" s="861" t="s">
        <v>2788</v>
      </c>
      <c r="G159" s="957" t="s">
        <v>4197</v>
      </c>
      <c r="H159" s="862" t="s">
        <v>4066</v>
      </c>
      <c r="I159" s="901"/>
      <c r="J159" s="911" t="s">
        <v>4090</v>
      </c>
      <c r="K159" s="902"/>
      <c r="L159" s="903" t="s">
        <v>3846</v>
      </c>
      <c r="M159" s="862"/>
      <c r="N159" s="954" t="s">
        <v>4194</v>
      </c>
      <c r="O159" s="904"/>
      <c r="P159" s="868"/>
      <c r="Q159" s="868"/>
      <c r="R159" s="869"/>
      <c r="S159" s="143"/>
      <c r="T159" s="869"/>
      <c r="U159" s="869"/>
    </row>
    <row r="160">
      <c r="A160" s="926" t="str">
        <f t="array" ref="A160">if(G160="","",XLOOKUP(D160,'プルダウンメニュー (SE用)'!$D$2:$D1028,'プルダウンメニュー (SE用)'!$C$2:$C1028))</f>
        <v>common_se</v>
      </c>
      <c r="B160" s="955"/>
      <c r="C160" s="860"/>
      <c r="D160" s="861" t="s">
        <v>2788</v>
      </c>
      <c r="E160" s="861" t="s">
        <v>2788</v>
      </c>
      <c r="F160" s="861" t="s">
        <v>2788</v>
      </c>
      <c r="G160" s="957" t="s">
        <v>4198</v>
      </c>
      <c r="H160" s="862" t="s">
        <v>4066</v>
      </c>
      <c r="I160" s="901"/>
      <c r="J160" s="911" t="s">
        <v>4090</v>
      </c>
      <c r="K160" s="902"/>
      <c r="L160" s="903" t="s">
        <v>3846</v>
      </c>
      <c r="M160" s="862"/>
      <c r="N160" s="954" t="s">
        <v>4194</v>
      </c>
      <c r="O160" s="904"/>
      <c r="P160" s="868"/>
      <c r="Q160" s="868"/>
      <c r="R160" s="869"/>
      <c r="S160" s="143"/>
      <c r="T160" s="869"/>
      <c r="U160" s="869"/>
    </row>
    <row r="161">
      <c r="A161" s="926" t="str">
        <f t="array" ref="A161">if(G161="","",XLOOKUP(D161,'プルダウンメニュー (SE用)'!$D$2:$D1028,'プルダウンメニュー (SE用)'!$C$2:$C1028))</f>
        <v>common_se</v>
      </c>
      <c r="B161" s="955"/>
      <c r="C161" s="860"/>
      <c r="D161" s="861" t="s">
        <v>2788</v>
      </c>
      <c r="E161" s="861" t="s">
        <v>2788</v>
      </c>
      <c r="F161" s="861" t="s">
        <v>2788</v>
      </c>
      <c r="G161" s="957" t="s">
        <v>4199</v>
      </c>
      <c r="H161" s="862" t="s">
        <v>4066</v>
      </c>
      <c r="I161" s="901"/>
      <c r="J161" s="911" t="s">
        <v>4090</v>
      </c>
      <c r="K161" s="902"/>
      <c r="L161" s="903" t="s">
        <v>3846</v>
      </c>
      <c r="M161" s="862"/>
      <c r="N161" s="954" t="s">
        <v>4194</v>
      </c>
      <c r="O161" s="904"/>
      <c r="P161" s="868"/>
      <c r="Q161" s="868"/>
      <c r="R161" s="869"/>
      <c r="S161" s="143"/>
      <c r="T161" s="869"/>
      <c r="U161" s="869"/>
    </row>
    <row r="162">
      <c r="A162" s="926" t="str">
        <f t="array" ref="A162">if(G162="","",XLOOKUP(D162,'プルダウンメニュー (SE用)'!$D$2:$D1028,'プルダウンメニュー (SE用)'!$C$2:$C1028))</f>
        <v>common_se</v>
      </c>
      <c r="B162" s="926" t="str">
        <f>iferror(if(H162="GLOW流用","-",if(G162="","","SSE_"&amp;TEXT(vlookup(E162,'プルダウンメニュー (SE用)'!$E$2:$F1028,2,false),"000")&amp;"_"&amp;TEXT(COUNTIF($E$4:E162,E162),"000"))),"")</f>
        <v>-</v>
      </c>
      <c r="C162" s="860"/>
      <c r="D162" s="861" t="s">
        <v>2788</v>
      </c>
      <c r="E162" s="861" t="s">
        <v>2788</v>
      </c>
      <c r="F162" s="861" t="s">
        <v>2788</v>
      </c>
      <c r="G162" s="957" t="s">
        <v>4200</v>
      </c>
      <c r="H162" s="862" t="s">
        <v>3913</v>
      </c>
      <c r="I162" s="901"/>
      <c r="J162" s="911" t="s">
        <v>4049</v>
      </c>
      <c r="K162" s="902"/>
      <c r="L162" s="903" t="s">
        <v>3846</v>
      </c>
      <c r="M162" s="862"/>
      <c r="N162" s="904" t="s">
        <v>4201</v>
      </c>
      <c r="O162" s="904"/>
      <c r="P162" s="868"/>
      <c r="Q162" s="868"/>
      <c r="R162" s="869"/>
      <c r="S162" s="143"/>
      <c r="T162" s="869"/>
      <c r="U162" s="869"/>
    </row>
    <row r="163">
      <c r="A163" s="926" t="str">
        <f t="array" ref="A163">if(G163="","",XLOOKUP(D163,'プルダウンメニュー (SE用)'!$D$2:$D1028,'プルダウンメニュー (SE用)'!$C$2:$C1028))</f>
        <v>adv_se</v>
      </c>
      <c r="B163" s="926" t="str">
        <f>iferror(if(H163="GLOW流用","-",if(G163="","","SSE_"&amp;TEXT(vlookup(E163,'プルダウンメニュー (SE用)'!$E$2:$F1028,2,false),"000")&amp;"_"&amp;TEXT(COUNTIF($E$4:E163,E163),"000"))),"")</f>
        <v>SSE_051_070</v>
      </c>
      <c r="C163" s="860"/>
      <c r="D163" s="861" t="s">
        <v>4202</v>
      </c>
      <c r="E163" s="861" t="s">
        <v>3888</v>
      </c>
      <c r="F163" s="861" t="s">
        <v>3888</v>
      </c>
      <c r="G163" s="949" t="s">
        <v>4203</v>
      </c>
      <c r="H163" s="862" t="s">
        <v>3843</v>
      </c>
      <c r="I163" s="901" t="s">
        <v>3864</v>
      </c>
      <c r="J163" s="911" t="s">
        <v>4204</v>
      </c>
      <c r="K163" s="902"/>
      <c r="L163" s="903" t="s">
        <v>3846</v>
      </c>
      <c r="M163" s="862"/>
      <c r="N163" s="904"/>
      <c r="O163" s="904"/>
      <c r="P163" s="930">
        <v>660.0</v>
      </c>
      <c r="Q163" s="930">
        <v>600.0</v>
      </c>
      <c r="R163" s="869" t="s">
        <v>3847</v>
      </c>
      <c r="S163" s="143"/>
      <c r="T163" s="869" t="s">
        <v>3848</v>
      </c>
      <c r="U163" s="869"/>
    </row>
    <row r="164">
      <c r="A164" s="926" t="str">
        <f t="array" ref="A164">if(G164="","",XLOOKUP(D164,'プルダウンメニュー (SE用)'!$D$2:$D1028,'プルダウンメニュー (SE用)'!$C$2:$C1028))</f>
        <v>adv_se</v>
      </c>
      <c r="B164" s="926" t="str">
        <f>iferror(if(H164="GLOW流用","-",if(G164="","","SSE_"&amp;TEXT(vlookup(E164,'プルダウンメニュー (SE用)'!$E$2:$F1028,2,false),"000")&amp;"_"&amp;TEXT(COUNTIF($E$4:E164,E164),"000"))),"")</f>
        <v>-</v>
      </c>
      <c r="C164" s="860"/>
      <c r="D164" s="861" t="s">
        <v>4202</v>
      </c>
      <c r="E164" s="861" t="s">
        <v>3888</v>
      </c>
      <c r="F164" s="861" t="s">
        <v>3888</v>
      </c>
      <c r="G164" s="949" t="s">
        <v>4205</v>
      </c>
      <c r="H164" s="862" t="s">
        <v>3913</v>
      </c>
      <c r="I164" s="901"/>
      <c r="J164" s="902" t="s">
        <v>4097</v>
      </c>
      <c r="K164" s="902"/>
      <c r="L164" s="903" t="s">
        <v>3846</v>
      </c>
      <c r="M164" s="862"/>
      <c r="N164" s="904" t="s">
        <v>4127</v>
      </c>
      <c r="O164" s="904"/>
      <c r="P164" s="868"/>
      <c r="Q164" s="868"/>
      <c r="R164" s="869"/>
      <c r="S164" s="143"/>
      <c r="T164" s="869"/>
      <c r="U164" s="869"/>
    </row>
    <row r="165">
      <c r="A165" s="926" t="str">
        <f t="array" ref="A165">if(G165="","",XLOOKUP(D165,'プルダウンメニュー (SE用)'!$D$2:$D1028,'プルダウンメニュー (SE用)'!$C$2:$C1028))</f>
        <v>battle_se</v>
      </c>
      <c r="B165" s="926" t="str">
        <f>iferror(if(H165="GLOW流用","-",if(G165="","","SSE_"&amp;TEXT(vlookup(E165,'プルダウンメニュー (SE用)'!$E$2:$F1028,2,false),"000")&amp;"_"&amp;TEXT(COUNTIF($E$4:E165,E165),"000"))),"")</f>
        <v>-</v>
      </c>
      <c r="C165" s="860"/>
      <c r="D165" s="861" t="s">
        <v>3887</v>
      </c>
      <c r="E165" s="861" t="s">
        <v>3875</v>
      </c>
      <c r="F165" s="861" t="s">
        <v>3875</v>
      </c>
      <c r="G165" s="861" t="s">
        <v>4206</v>
      </c>
      <c r="H165" s="862" t="s">
        <v>3913</v>
      </c>
      <c r="I165" s="901"/>
      <c r="J165" s="902" t="s">
        <v>3911</v>
      </c>
      <c r="K165" s="902"/>
      <c r="L165" s="903" t="s">
        <v>3846</v>
      </c>
      <c r="M165" s="862"/>
      <c r="N165" s="904" t="s">
        <v>4207</v>
      </c>
      <c r="O165" s="904"/>
      <c r="P165" s="868"/>
      <c r="Q165" s="868"/>
      <c r="R165" s="869"/>
      <c r="S165" s="143"/>
      <c r="T165" s="869"/>
      <c r="U165" s="869"/>
    </row>
    <row r="166">
      <c r="A166" s="926" t="str">
        <f t="array" ref="A166">if(G166="","",XLOOKUP(D166,'プルダウンメニュー (SE用)'!$D$2:$D1028,'プルダウンメニュー (SE用)'!$C$2:$C1028))</f>
        <v>common_se</v>
      </c>
      <c r="B166" s="926" t="str">
        <f>iferror(if(H166="GLOW流用","-",if(G166="","","SSE_"&amp;TEXT(vlookup(E166,'プルダウンメニュー (SE用)'!$E$2:$F1028,2,false),"000")&amp;"_"&amp;TEXT(COUNTIF($E$4:E166,E166),"000"))),"")</f>
        <v>SSE_000_013</v>
      </c>
      <c r="C166" s="860"/>
      <c r="D166" s="861" t="s">
        <v>2788</v>
      </c>
      <c r="E166" s="861" t="s">
        <v>2788</v>
      </c>
      <c r="F166" s="861" t="s">
        <v>2788</v>
      </c>
      <c r="G166" s="861" t="s">
        <v>4208</v>
      </c>
      <c r="H166" s="862" t="s">
        <v>3843</v>
      </c>
      <c r="I166" s="901" t="s">
        <v>3758</v>
      </c>
      <c r="J166" s="911" t="s">
        <v>4209</v>
      </c>
      <c r="K166" s="902"/>
      <c r="L166" s="903" t="s">
        <v>3846</v>
      </c>
      <c r="M166" s="862"/>
      <c r="N166" s="904"/>
      <c r="O166" s="904"/>
      <c r="P166" s="868">
        <v>660.0</v>
      </c>
      <c r="Q166" s="868">
        <v>660.0</v>
      </c>
      <c r="R166" s="869" t="s">
        <v>3847</v>
      </c>
      <c r="S166" s="143" t="s">
        <v>4005</v>
      </c>
      <c r="T166" s="869" t="s">
        <v>3848</v>
      </c>
      <c r="U166" s="869"/>
    </row>
    <row r="167">
      <c r="A167" s="926" t="str">
        <f t="array" ref="A167">if(G167="","",XLOOKUP(D167,'プルダウンメニュー (SE用)'!$D$2:$D1028,'プルダウンメニュー (SE用)'!$C$2:$C1028))</f>
        <v>common_se</v>
      </c>
      <c r="B167" s="926" t="str">
        <f>iferror(if(H167="GLOW流用","-",if(G167="","","SSE_"&amp;TEXT(vlookup(E167,'プルダウンメニュー (SE用)'!$E$2:$F1028,2,false),"000")&amp;"_"&amp;TEXT(COUNTIF($E$4:E167,E167),"000"))),"")</f>
        <v>-</v>
      </c>
      <c r="C167" s="860"/>
      <c r="D167" s="861" t="s">
        <v>2788</v>
      </c>
      <c r="E167" s="861" t="s">
        <v>2788</v>
      </c>
      <c r="F167" s="861" t="s">
        <v>2788</v>
      </c>
      <c r="G167" s="861" t="s">
        <v>4210</v>
      </c>
      <c r="H167" s="862" t="s">
        <v>3913</v>
      </c>
      <c r="I167" s="901"/>
      <c r="J167" s="902"/>
      <c r="K167" s="902"/>
      <c r="L167" s="903" t="s">
        <v>3846</v>
      </c>
      <c r="M167" s="862"/>
      <c r="N167" s="904" t="s">
        <v>4196</v>
      </c>
      <c r="O167" s="904"/>
      <c r="P167" s="868"/>
      <c r="Q167" s="868"/>
      <c r="R167" s="869"/>
      <c r="S167" s="143"/>
      <c r="T167" s="869"/>
      <c r="U167" s="869"/>
    </row>
    <row r="168">
      <c r="A168" s="926" t="str">
        <f t="array" ref="A168">if(G168="","",XLOOKUP(D168,'プルダウンメニュー (SE用)'!$D$2:$D1028,'プルダウンメニュー (SE用)'!$C$2:$C1028))</f>
        <v>common_se</v>
      </c>
      <c r="B168" s="926" t="str">
        <f>iferror(if(H168="GLOW流用","-",if(G168="","","SSE_"&amp;TEXT(vlookup(E168,'プルダウンメニュー (SE用)'!$E$2:$F1028,2,false),"000")&amp;"_"&amp;TEXT(COUNTIF($E$4:E168,E168),"000"))),"")</f>
        <v>SSE_000_015</v>
      </c>
      <c r="C168" s="860"/>
      <c r="D168" s="861" t="s">
        <v>2788</v>
      </c>
      <c r="E168" s="861" t="s">
        <v>2788</v>
      </c>
      <c r="F168" s="861" t="s">
        <v>2788</v>
      </c>
      <c r="G168" s="861" t="s">
        <v>4211</v>
      </c>
      <c r="H168" s="862" t="s">
        <v>3843</v>
      </c>
      <c r="I168" s="901" t="s">
        <v>3758</v>
      </c>
      <c r="J168" s="911" t="s">
        <v>4212</v>
      </c>
      <c r="K168" s="902"/>
      <c r="L168" s="903" t="s">
        <v>3846</v>
      </c>
      <c r="M168" s="862" t="s">
        <v>4213</v>
      </c>
      <c r="N168" s="904"/>
      <c r="O168" s="904"/>
      <c r="P168" s="868">
        <v>660.0</v>
      </c>
      <c r="Q168" s="868">
        <v>660.0</v>
      </c>
      <c r="R168" s="869" t="s">
        <v>3847</v>
      </c>
      <c r="S168" s="143" t="s">
        <v>4005</v>
      </c>
      <c r="T168" s="869" t="s">
        <v>3848</v>
      </c>
      <c r="U168" s="869"/>
    </row>
    <row r="169">
      <c r="A169" s="926" t="str">
        <f t="array" ref="A169">if(G169="","",XLOOKUP(D169,'プルダウンメニュー (SE用)'!$D$2:$D1028,'プルダウンメニュー (SE用)'!$C$2:$C1028))</f>
        <v>common_se</v>
      </c>
      <c r="B169" s="926" t="str">
        <f>iferror(if(H169="GLOW流用","-",if(G169="","","SSE_"&amp;TEXT(vlookup(E169,'プルダウンメニュー (SE用)'!$E$2:$F1028,2,false),"000")&amp;"_"&amp;TEXT(COUNTIF($E$4:E169,E169),"000"))),"")</f>
        <v>-</v>
      </c>
      <c r="C169" s="860"/>
      <c r="D169" s="861" t="s">
        <v>2788</v>
      </c>
      <c r="E169" s="861" t="s">
        <v>2788</v>
      </c>
      <c r="F169" s="861" t="s">
        <v>2788</v>
      </c>
      <c r="G169" s="861" t="s">
        <v>4214</v>
      </c>
      <c r="H169" s="862" t="s">
        <v>3913</v>
      </c>
      <c r="I169" s="901"/>
      <c r="J169" s="902"/>
      <c r="K169" s="902"/>
      <c r="L169" s="903" t="s">
        <v>3934</v>
      </c>
      <c r="M169" s="862" t="s">
        <v>4215</v>
      </c>
      <c r="N169" s="904" t="s">
        <v>4216</v>
      </c>
      <c r="O169" s="904"/>
      <c r="P169" s="868"/>
      <c r="Q169" s="868"/>
      <c r="R169" s="869"/>
      <c r="S169" s="143"/>
      <c r="T169" s="869"/>
      <c r="U169" s="869"/>
    </row>
    <row r="170">
      <c r="A170" s="860" t="str">
        <f t="array" ref="A170">if(G170="","",XLOOKUP(D170,'プルダウンメニュー (SE用)'!$D$2:$D1028,'プルダウンメニュー (SE用)'!$C$2:$C1028))</f>
        <v>battle_se</v>
      </c>
      <c r="B170" s="860" t="str">
        <f>iferror(if(H170="GLOW流用","-",if(G170="","","SSE_"&amp;TEXT(vlookup(E170,'プルダウンメニュー (SE用)'!$E$2:$F1028,2,false),"000")&amp;"_"&amp;TEXT(COUNTIF($E$4:E170,E170),"000"))),"")</f>
        <v>SSE_051_072</v>
      </c>
      <c r="C170" s="860"/>
      <c r="D170" s="927" t="s">
        <v>3887</v>
      </c>
      <c r="E170" s="927" t="s">
        <v>3888</v>
      </c>
      <c r="F170" s="927" t="s">
        <v>3888</v>
      </c>
      <c r="G170" s="861" t="s">
        <v>4217</v>
      </c>
      <c r="H170" s="862" t="s">
        <v>3843</v>
      </c>
      <c r="I170" s="901" t="s">
        <v>3758</v>
      </c>
      <c r="J170" s="902" t="s">
        <v>4218</v>
      </c>
      <c r="K170" s="935"/>
      <c r="L170" s="903" t="s">
        <v>3846</v>
      </c>
      <c r="M170" s="862" t="s">
        <v>4219</v>
      </c>
      <c r="N170" s="904"/>
      <c r="O170" s="904"/>
      <c r="P170" s="868">
        <v>660.0</v>
      </c>
      <c r="Q170" s="868">
        <v>660.0</v>
      </c>
      <c r="R170" s="869" t="s">
        <v>3847</v>
      </c>
      <c r="S170" s="143" t="s">
        <v>4005</v>
      </c>
      <c r="T170" s="869" t="s">
        <v>3848</v>
      </c>
      <c r="U170" s="869"/>
    </row>
    <row r="171">
      <c r="A171" s="860" t="str">
        <f t="array" ref="A171">if(G171="","",XLOOKUP(D171,'プルダウンメニュー (SE用)'!$D$2:$D1028,'プルダウンメニュー (SE用)'!$C$2:$C1028))</f>
        <v>battle_se</v>
      </c>
      <c r="B171" s="860" t="str">
        <f>iferror(if(H171="GLOW流用","-",if(G171="","","SSE_"&amp;TEXT(vlookup(E171,'プルダウンメニュー (SE用)'!$E$2:$F1028,2,false),"000")&amp;"_"&amp;TEXT(COUNTIF($E$4:E171,E171),"000"))),"")</f>
        <v>SSE_051_073</v>
      </c>
      <c r="C171" s="860"/>
      <c r="D171" s="861" t="s">
        <v>3887</v>
      </c>
      <c r="E171" s="861" t="s">
        <v>3888</v>
      </c>
      <c r="F171" s="861" t="s">
        <v>3888</v>
      </c>
      <c r="G171" s="861" t="s">
        <v>4220</v>
      </c>
      <c r="H171" s="862" t="s">
        <v>3843</v>
      </c>
      <c r="I171" s="901" t="s">
        <v>3978</v>
      </c>
      <c r="J171" s="902" t="s">
        <v>4221</v>
      </c>
      <c r="K171" s="935"/>
      <c r="L171" s="903" t="s">
        <v>3846</v>
      </c>
      <c r="M171" s="862"/>
      <c r="N171" s="904"/>
      <c r="O171" s="904"/>
      <c r="P171" s="868">
        <v>660.0</v>
      </c>
      <c r="Q171" s="868">
        <v>660.0</v>
      </c>
      <c r="R171" s="869" t="s">
        <v>3847</v>
      </c>
      <c r="S171" s="143" t="s">
        <v>4005</v>
      </c>
      <c r="T171" s="869" t="s">
        <v>3848</v>
      </c>
      <c r="U171" s="869"/>
    </row>
    <row r="172">
      <c r="A172" s="926" t="str">
        <f t="array" ref="A172">if(G172="","",XLOOKUP(D172,'プルダウンメニュー (SE用)'!$D$2:$D1028,'プルダウンメニュー (SE用)'!$C$2:$C1028))</f>
        <v>battle_se</v>
      </c>
      <c r="B172" s="926" t="str">
        <f>iferror(if(H172="GLOW流用","-",if(G172="","","SSE_"&amp;TEXT(vlookup(E172,'プルダウンメニュー (SE用)'!$E$2:$F1028,2,false),"000")&amp;"_"&amp;TEXT(COUNTIF($E$4:E172,E172),"000"))),"")</f>
        <v>SSE_051_074</v>
      </c>
      <c r="C172" s="860"/>
      <c r="D172" s="861" t="s">
        <v>3887</v>
      </c>
      <c r="E172" s="861" t="s">
        <v>3888</v>
      </c>
      <c r="F172" s="861" t="s">
        <v>3888</v>
      </c>
      <c r="G172" s="861" t="s">
        <v>4222</v>
      </c>
      <c r="H172" s="862" t="s">
        <v>3843</v>
      </c>
      <c r="I172" s="901" t="s">
        <v>3978</v>
      </c>
      <c r="J172" s="911" t="s">
        <v>4223</v>
      </c>
      <c r="K172" s="902"/>
      <c r="L172" s="903" t="s">
        <v>3846</v>
      </c>
      <c r="M172" s="862" t="s">
        <v>4224</v>
      </c>
      <c r="N172" s="904"/>
      <c r="O172" s="904"/>
      <c r="P172" s="868">
        <v>660.0</v>
      </c>
      <c r="Q172" s="868">
        <v>660.0</v>
      </c>
      <c r="R172" s="869" t="s">
        <v>3847</v>
      </c>
      <c r="S172" s="143" t="s">
        <v>4005</v>
      </c>
      <c r="T172" s="869" t="s">
        <v>3848</v>
      </c>
      <c r="U172" s="869"/>
    </row>
    <row r="173">
      <c r="A173" s="926" t="str">
        <f t="array" ref="A173">if(G173="","",XLOOKUP(D173,'プルダウンメニュー (SE用)'!$D$2:$D1028,'プルダウンメニュー (SE用)'!$C$2:$C1028))</f>
        <v>battle_se</v>
      </c>
      <c r="B173" s="926" t="str">
        <f>iferror(if(H173="GLOW流用","-",if(G173="","","SSE_"&amp;TEXT(vlookup(E173,'プルダウンメニュー (SE用)'!$E$2:$F1028,2,false),"000")&amp;"_"&amp;TEXT(COUNTIF($E$4:E173,E173),"000"))),"")</f>
        <v>SSE_051_075</v>
      </c>
      <c r="C173" s="860"/>
      <c r="D173" s="861" t="s">
        <v>3887</v>
      </c>
      <c r="E173" s="861" t="s">
        <v>3888</v>
      </c>
      <c r="F173" s="861" t="s">
        <v>3888</v>
      </c>
      <c r="G173" s="861" t="s">
        <v>4225</v>
      </c>
      <c r="H173" s="862" t="s">
        <v>3843</v>
      </c>
      <c r="I173" s="901" t="s">
        <v>3758</v>
      </c>
      <c r="J173" s="911" t="s">
        <v>4226</v>
      </c>
      <c r="K173" s="902"/>
      <c r="L173" s="903" t="s">
        <v>3846</v>
      </c>
      <c r="M173" s="862" t="s">
        <v>4224</v>
      </c>
      <c r="N173" s="904"/>
      <c r="O173" s="904"/>
      <c r="P173" s="868">
        <v>660.0</v>
      </c>
      <c r="Q173" s="868">
        <v>660.0</v>
      </c>
      <c r="R173" s="869" t="s">
        <v>3847</v>
      </c>
      <c r="S173" s="143" t="s">
        <v>4005</v>
      </c>
      <c r="T173" s="869" t="s">
        <v>3848</v>
      </c>
      <c r="U173" s="942"/>
    </row>
    <row r="174" ht="15.75" customHeight="1">
      <c r="A174" s="860" t="str">
        <f t="array" ref="A174">if(G174="","",XLOOKUP(D174,'プルダウンメニュー (SE用)'!$D$2:$D1028,'プルダウンメニュー (SE用)'!$C$2:$C1028))</f>
        <v>battle_se</v>
      </c>
      <c r="B174" s="860" t="str">
        <f>iferror(if(H174="GLOW流用","-",if(G174="","","SSE_"&amp;TEXT(vlookup(E174,'プルダウンメニュー (SE用)'!$E$2:$F1028,2,false),"000")&amp;"_"&amp;TEXT(COUNTIF($E$4:E174,E174),"000"))),"")</f>
        <v>SSE_051_076</v>
      </c>
      <c r="C174" s="926"/>
      <c r="D174" s="927" t="s">
        <v>3887</v>
      </c>
      <c r="E174" s="927" t="s">
        <v>3888</v>
      </c>
      <c r="F174" s="927" t="s">
        <v>3888</v>
      </c>
      <c r="G174" s="861" t="s">
        <v>4227</v>
      </c>
      <c r="H174" s="862" t="s">
        <v>3843</v>
      </c>
      <c r="I174" s="901" t="s">
        <v>3978</v>
      </c>
      <c r="J174" s="902" t="s">
        <v>4228</v>
      </c>
      <c r="K174" s="935"/>
      <c r="L174" s="903" t="s">
        <v>3846</v>
      </c>
      <c r="M174" s="862" t="s">
        <v>4229</v>
      </c>
      <c r="N174" s="904"/>
      <c r="O174" s="904"/>
      <c r="P174" s="868">
        <v>660.0</v>
      </c>
      <c r="Q174" s="868">
        <v>660.0</v>
      </c>
      <c r="R174" s="869" t="s">
        <v>3847</v>
      </c>
      <c r="S174" s="143" t="s">
        <v>4005</v>
      </c>
      <c r="T174" s="869" t="s">
        <v>3848</v>
      </c>
      <c r="U174" s="869"/>
    </row>
    <row r="175">
      <c r="A175" s="958" t="str">
        <f t="array" ref="A175">if(G175="","",XLOOKUP(D175,'プルダウンメニュー (SE用)'!$D$2:$D1028,'プルダウンメニュー (SE用)'!$C$2:$C1028))</f>
        <v>battle_se</v>
      </c>
      <c r="B175" s="958" t="str">
        <f>iferror(if(H175="GLOW流用","-",if(G175="","","SSE_"&amp;TEXT(vlookup(E175,'プルダウンメニュー (SE用)'!$E$2:$F1028,2,false),"000")&amp;"_"&amp;TEXT(COUNTIF($E$4:E175,E175),"000"))),"")</f>
        <v>SSE_051_077</v>
      </c>
      <c r="C175" s="958"/>
      <c r="D175" s="950" t="s">
        <v>3887</v>
      </c>
      <c r="E175" s="950" t="s">
        <v>3888</v>
      </c>
      <c r="F175" s="950" t="s">
        <v>3888</v>
      </c>
      <c r="G175" s="950" t="s">
        <v>4230</v>
      </c>
      <c r="H175" s="959" t="s">
        <v>3843</v>
      </c>
      <c r="I175" s="863" t="s">
        <v>3758</v>
      </c>
      <c r="J175" s="960" t="s">
        <v>4231</v>
      </c>
      <c r="K175" s="961"/>
      <c r="L175" s="865" t="s">
        <v>3846</v>
      </c>
      <c r="M175" s="959"/>
      <c r="N175" s="867" t="s">
        <v>4020</v>
      </c>
      <c r="O175" s="867"/>
      <c r="P175" s="868">
        <v>660.0</v>
      </c>
      <c r="Q175" s="868">
        <v>660.0</v>
      </c>
      <c r="R175" s="869" t="s">
        <v>3847</v>
      </c>
      <c r="S175" s="143" t="s">
        <v>4005</v>
      </c>
      <c r="T175" s="869" t="s">
        <v>3848</v>
      </c>
      <c r="U175" s="962"/>
    </row>
    <row r="176">
      <c r="A176" s="860" t="str">
        <f t="array" ref="A176">if(G176="","",XLOOKUP(D176,'プルダウンメニュー (SE用)'!$D$2:$D1028,'プルダウンメニュー (SE用)'!$C$2:$C1028))</f>
        <v>battle_se</v>
      </c>
      <c r="B176" s="860" t="str">
        <f>iferror(if(H176="GLOW流用","-",if(G176="","","SSE_"&amp;TEXT(vlookup(E176,'プルダウンメニュー (SE用)'!$E$2:$F1028,2,false),"000")&amp;"_"&amp;TEXT(COUNTIF($E$4:E176,E176),"000"))),"")</f>
        <v>-</v>
      </c>
      <c r="C176" s="860"/>
      <c r="D176" s="950" t="s">
        <v>3887</v>
      </c>
      <c r="E176" s="950" t="s">
        <v>3888</v>
      </c>
      <c r="F176" s="950" t="s">
        <v>3888</v>
      </c>
      <c r="G176" s="861" t="s">
        <v>4232</v>
      </c>
      <c r="H176" s="862" t="s">
        <v>3913</v>
      </c>
      <c r="I176" s="901"/>
      <c r="J176" s="902"/>
      <c r="K176" s="902"/>
      <c r="L176" s="903" t="s">
        <v>3846</v>
      </c>
      <c r="M176" s="862"/>
      <c r="N176" s="904" t="s">
        <v>4233</v>
      </c>
      <c r="O176" s="904"/>
      <c r="P176" s="868"/>
      <c r="Q176" s="868"/>
      <c r="R176" s="869"/>
      <c r="S176" s="143"/>
      <c r="T176" s="869"/>
      <c r="U176" s="942"/>
    </row>
    <row r="177">
      <c r="A177" s="926" t="str">
        <f t="array" ref="A177">if(G177="","",XLOOKUP(D177,'プルダウンメニュー (SE用)'!$D$2:$D1028,'プルダウンメニュー (SE用)'!$C$2:$C1028))</f>
        <v>battle_se</v>
      </c>
      <c r="B177" s="926" t="str">
        <f>iferror(if(H177="GLOW流用","-",if(G177="","","SSE_"&amp;TEXT(vlookup(E177,'プルダウンメニュー (SE用)'!$E$2:$F1028,2,false),"000")&amp;"_"&amp;TEXT(COUNTIF($E$4:E177,E177),"000"))),"")</f>
        <v>SSE_051_079</v>
      </c>
      <c r="C177" s="860"/>
      <c r="D177" s="950" t="s">
        <v>3887</v>
      </c>
      <c r="E177" s="950" t="s">
        <v>3888</v>
      </c>
      <c r="F177" s="950" t="s">
        <v>3888</v>
      </c>
      <c r="G177" s="861" t="s">
        <v>4234</v>
      </c>
      <c r="H177" s="862" t="s">
        <v>3843</v>
      </c>
      <c r="I177" s="901" t="s">
        <v>3758</v>
      </c>
      <c r="J177" s="902" t="s">
        <v>4235</v>
      </c>
      <c r="K177" s="902"/>
      <c r="L177" s="903" t="s">
        <v>3846</v>
      </c>
      <c r="M177" s="862"/>
      <c r="N177" s="904"/>
      <c r="O177" s="904"/>
      <c r="P177" s="868">
        <v>660.0</v>
      </c>
      <c r="Q177" s="868">
        <v>660.0</v>
      </c>
      <c r="R177" s="869" t="s">
        <v>3847</v>
      </c>
      <c r="S177" s="143" t="s">
        <v>4005</v>
      </c>
      <c r="T177" s="869" t="s">
        <v>3848</v>
      </c>
      <c r="U177" s="942"/>
    </row>
    <row r="178">
      <c r="A178" s="963" t="str">
        <f t="array" ref="A178">if(G178="","",XLOOKUP(D178,'プルダウンメニュー (SE用)'!$D$2:$D1028,'プルダウンメニュー (SE用)'!$C$2:$C1028))</f>
        <v>battle_se</v>
      </c>
      <c r="B178" s="963" t="str">
        <f>iferror(if(H178="GLOW流用","-",if(G178="","","SSE_"&amp;TEXT(vlookup(E178,'プルダウンメニュー (SE用)'!$E$2:$F1028,2,false),"000")&amp;"_"&amp;TEXT(COUNTIF($E$4:E178,E178),"000"))),"")</f>
        <v>SSE_051_080</v>
      </c>
      <c r="C178" s="964"/>
      <c r="D178" s="965" t="s">
        <v>3887</v>
      </c>
      <c r="E178" s="965" t="s">
        <v>3888</v>
      </c>
      <c r="F178" s="965" t="s">
        <v>3888</v>
      </c>
      <c r="G178" s="966" t="s">
        <v>4236</v>
      </c>
      <c r="H178" s="967" t="s">
        <v>3843</v>
      </c>
      <c r="I178" s="968" t="s">
        <v>3758</v>
      </c>
      <c r="J178" s="969" t="s">
        <v>4237</v>
      </c>
      <c r="K178" s="969"/>
      <c r="L178" s="970" t="s">
        <v>3846</v>
      </c>
      <c r="M178" s="967" t="s">
        <v>4238</v>
      </c>
      <c r="N178" s="971"/>
      <c r="O178" s="971"/>
      <c r="P178" s="972">
        <v>660.0</v>
      </c>
      <c r="Q178" s="972">
        <v>660.0</v>
      </c>
      <c r="R178" s="973" t="s">
        <v>3847</v>
      </c>
      <c r="S178" s="974" t="s">
        <v>4005</v>
      </c>
      <c r="T178" s="973" t="s">
        <v>3848</v>
      </c>
      <c r="U178" s="975"/>
    </row>
    <row r="179">
      <c r="A179" s="926" t="str">
        <f t="array" ref="A179">if(G179="","",XLOOKUP(D179,'プルダウンメニュー (SE用)'!$D$2:$D1028,'プルダウンメニュー (SE用)'!$C$2:$C1028))</f>
        <v>battle_se</v>
      </c>
      <c r="B179" s="926" t="str">
        <f>iferror(if(H179="GLOW流用","-",if(G179="","","SSE_"&amp;TEXT(vlookup(E179,'プルダウンメニュー (SE用)'!$E$2:$F1028,2,false),"000")&amp;"_"&amp;TEXT(COUNTIF($E$4:E179,E179),"000"))),"")</f>
        <v>-</v>
      </c>
      <c r="C179" s="860"/>
      <c r="D179" s="861" t="s">
        <v>3887</v>
      </c>
      <c r="E179" s="861" t="s">
        <v>3888</v>
      </c>
      <c r="F179" s="861" t="s">
        <v>3888</v>
      </c>
      <c r="G179" s="861" t="s">
        <v>4239</v>
      </c>
      <c r="H179" s="862" t="s">
        <v>3913</v>
      </c>
      <c r="I179" s="901"/>
      <c r="J179" s="902"/>
      <c r="K179" s="902"/>
      <c r="L179" s="903" t="s">
        <v>3846</v>
      </c>
      <c r="M179" s="862"/>
      <c r="N179" s="904" t="s">
        <v>4099</v>
      </c>
      <c r="O179" s="904"/>
      <c r="P179" s="868"/>
      <c r="Q179" s="868"/>
      <c r="R179" s="869"/>
      <c r="S179" s="143"/>
      <c r="T179" s="869"/>
      <c r="U179" s="942"/>
    </row>
    <row r="180" ht="15.75" customHeight="1">
      <c r="A180" s="926" t="str">
        <f t="array" ref="A180">if(G180="","",XLOOKUP(D180,'プルダウンメニュー (SE用)'!$D$2:$D1028,'プルダウンメニュー (SE用)'!$C$2:$C1028))</f>
        <v>common_se</v>
      </c>
      <c r="B180" s="926" t="str">
        <f>iferror(if(H180="GLOW流用","-",if(G180="","","SSE_"&amp;TEXT(vlookup(E180,'プルダウンメニュー (SE用)'!$E$2:$F1028,2,false),"000")&amp;"_"&amp;TEXT(COUNTIF($E$4:E180,E180),"000"))),"")</f>
        <v>SSE_072_037</v>
      </c>
      <c r="C180" s="860"/>
      <c r="D180" s="861" t="s">
        <v>2788</v>
      </c>
      <c r="E180" s="861" t="s">
        <v>4047</v>
      </c>
      <c r="F180" s="861" t="s">
        <v>4047</v>
      </c>
      <c r="G180" s="945" t="s">
        <v>4058</v>
      </c>
      <c r="H180" s="862" t="s">
        <v>4066</v>
      </c>
      <c r="I180" s="901" t="s">
        <v>3864</v>
      </c>
      <c r="J180" s="902"/>
      <c r="K180" s="902"/>
      <c r="L180" s="903" t="s">
        <v>3846</v>
      </c>
      <c r="M180" s="862" t="s">
        <v>4240</v>
      </c>
      <c r="N180" s="904" t="s">
        <v>4241</v>
      </c>
      <c r="O180" s="904"/>
      <c r="P180" s="868"/>
      <c r="Q180" s="868"/>
      <c r="R180" s="869"/>
      <c r="S180" s="143"/>
      <c r="T180" s="869"/>
      <c r="U180" s="942"/>
    </row>
    <row r="181" ht="15.75" customHeight="1">
      <c r="A181" s="926" t="str">
        <f t="array" ref="A181">if(G181="","",XLOOKUP(D181,'プルダウンメニュー (SE用)'!$D$2:$D1028,'プルダウンメニュー (SE用)'!$C$2:$C1028))</f>
        <v>common_se</v>
      </c>
      <c r="B181" s="926" t="str">
        <f>iferror(if(H181="GLOW流用","-",if(G181="","","SSE_"&amp;TEXT(vlookup(E181,'プルダウンメニュー (SE用)'!$E$2:$F1028,2,false),"000")&amp;"_"&amp;TEXT(COUNTIF($E$4:E181,E181),"000"))),"")</f>
        <v>SSE_072_038</v>
      </c>
      <c r="C181" s="860"/>
      <c r="D181" s="861" t="s">
        <v>2788</v>
      </c>
      <c r="E181" s="861" t="s">
        <v>4047</v>
      </c>
      <c r="F181" s="861" t="s">
        <v>2788</v>
      </c>
      <c r="G181" s="861" t="s">
        <v>4242</v>
      </c>
      <c r="H181" s="862" t="s">
        <v>4066</v>
      </c>
      <c r="I181" s="901"/>
      <c r="J181" s="902"/>
      <c r="K181" s="902"/>
      <c r="L181" s="903"/>
      <c r="M181" s="862" t="s">
        <v>4243</v>
      </c>
      <c r="N181" s="904"/>
      <c r="O181" s="904"/>
      <c r="P181" s="868"/>
      <c r="Q181" s="868"/>
      <c r="R181" s="869"/>
      <c r="S181" s="143"/>
      <c r="T181" s="869"/>
      <c r="U181" s="942"/>
    </row>
    <row r="182" ht="15.75" customHeight="1">
      <c r="A182" s="926" t="str">
        <f t="array" ref="A182">if(G182="","",XLOOKUP(D182,'プルダウンメニュー (SE用)'!$D$2:$D1028,'プルダウンメニュー (SE用)'!$C$2:$C1028))</f>
        <v>common_se</v>
      </c>
      <c r="B182" s="926" t="str">
        <f>iferror(if(H182="GLOW流用","-",if(G182="","","SSE_"&amp;TEXT(vlookup(E182,'プルダウンメニュー (SE用)'!$E$2:$F1028,2,false),"000")&amp;"_"&amp;TEXT(COUNTIF($E$4:E182,E182),"000"))),"")</f>
        <v>SSE_072_039</v>
      </c>
      <c r="C182" s="860"/>
      <c r="D182" s="861" t="s">
        <v>2788</v>
      </c>
      <c r="E182" s="976" t="s">
        <v>4047</v>
      </c>
      <c r="F182" s="976" t="s">
        <v>2788</v>
      </c>
      <c r="G182" s="861" t="s">
        <v>4244</v>
      </c>
      <c r="H182" s="862" t="s">
        <v>4066</v>
      </c>
      <c r="I182" s="901"/>
      <c r="J182" s="902"/>
      <c r="K182" s="902"/>
      <c r="L182" s="903"/>
      <c r="M182" s="862" t="s">
        <v>4243</v>
      </c>
      <c r="N182" s="904"/>
      <c r="O182" s="904"/>
      <c r="P182" s="868"/>
      <c r="Q182" s="868"/>
      <c r="R182" s="869"/>
      <c r="S182" s="143"/>
      <c r="T182" s="869"/>
      <c r="U182" s="942"/>
    </row>
    <row r="183" ht="15.75" customHeight="1">
      <c r="A183" s="926" t="str">
        <f t="array" ref="A183">if(G183="","",XLOOKUP(D183,'プルダウンメニュー (SE用)'!$D$2:$D1028,'プルダウンメニュー (SE用)'!$C$2:$C1028))</f>
        <v>adv_se</v>
      </c>
      <c r="B183" s="926" t="str">
        <f>iferror(if(H183="GLOW流用","-",if(G183="","","SSE_"&amp;TEXT(vlookup(E183,'プルダウンメニュー (SE用)'!$E$2:$F1028,2,false),"000")&amp;"_"&amp;TEXT(COUNTIF($E$4:E183,E183),"000"))),"")</f>
        <v>SSE_051_082</v>
      </c>
      <c r="C183" s="860"/>
      <c r="D183" s="861" t="s">
        <v>4202</v>
      </c>
      <c r="E183" s="976" t="s">
        <v>3888</v>
      </c>
      <c r="F183" s="976" t="s">
        <v>3888</v>
      </c>
      <c r="G183" s="861" t="s">
        <v>4245</v>
      </c>
      <c r="H183" s="862" t="s">
        <v>3859</v>
      </c>
      <c r="I183" s="901" t="s">
        <v>3758</v>
      </c>
      <c r="J183" s="911" t="s">
        <v>4246</v>
      </c>
      <c r="K183" s="902"/>
      <c r="L183" s="903" t="s">
        <v>3934</v>
      </c>
      <c r="M183" s="862"/>
      <c r="N183" s="904"/>
      <c r="O183" s="904"/>
      <c r="P183" s="868"/>
      <c r="Q183" s="868"/>
      <c r="R183" s="869"/>
      <c r="S183" s="143"/>
      <c r="T183" s="869" t="s">
        <v>3848</v>
      </c>
      <c r="U183" s="942"/>
    </row>
    <row r="184">
      <c r="A184" s="926" t="str">
        <f t="array" ref="A184">if(G184="","",XLOOKUP(D184,'プルダウンメニュー (SE用)'!$D$2:$D1028,'プルダウンメニュー (SE用)'!$C$2:$C1028))</f>
        <v>battle_se</v>
      </c>
      <c r="B184" s="926" t="str">
        <f>iferror(if(H184="GLOW流用","-",if(G184="","","SSE_"&amp;TEXT(vlookup(E184,'プルダウンメニュー (SE用)'!$E$2:$F1028,2,false),"000")&amp;"_"&amp;TEXT(COUNTIF($E$4:E184,E184),"000"))),"")</f>
        <v>SSE_051_083</v>
      </c>
      <c r="C184" s="860"/>
      <c r="D184" s="861" t="s">
        <v>3887</v>
      </c>
      <c r="E184" s="976" t="s">
        <v>3888</v>
      </c>
      <c r="F184" s="976" t="s">
        <v>3888</v>
      </c>
      <c r="G184" s="861" t="s">
        <v>4247</v>
      </c>
      <c r="H184" s="862" t="s">
        <v>3843</v>
      </c>
      <c r="I184" s="901" t="s">
        <v>3864</v>
      </c>
      <c r="J184" s="911" t="s">
        <v>4248</v>
      </c>
      <c r="K184" s="862" t="s">
        <v>3933</v>
      </c>
      <c r="L184" s="903" t="s">
        <v>3846</v>
      </c>
      <c r="M184" s="862"/>
      <c r="N184" s="904"/>
      <c r="O184" s="904"/>
      <c r="P184" s="868">
        <v>660.0</v>
      </c>
      <c r="Q184" s="868">
        <v>600.0</v>
      </c>
      <c r="R184" s="869" t="s">
        <v>3847</v>
      </c>
      <c r="S184" s="143" t="s">
        <v>4000</v>
      </c>
      <c r="T184" s="869" t="s">
        <v>3848</v>
      </c>
      <c r="U184" s="869"/>
    </row>
    <row r="185">
      <c r="A185" s="926" t="str">
        <f t="array" ref="A185">if(G185="","",XLOOKUP(D185,'プルダウンメニュー (SE用)'!$D$2:$D1028,'プルダウンメニュー (SE用)'!$C$2:$C1028))</f>
        <v>battle_se</v>
      </c>
      <c r="B185" s="926" t="str">
        <f>iferror(if(H185="GLOW流用","-",if(G185="","","SSE_"&amp;TEXT(vlookup(E185,'プルダウンメニュー (SE用)'!$E$2:$F1028,2,false),"000")&amp;"_"&amp;TEXT(COUNTIF($E$4:E185,E185),"000"))),"")</f>
        <v>SSE_051_084</v>
      </c>
      <c r="C185" s="860"/>
      <c r="D185" s="861" t="s">
        <v>3887</v>
      </c>
      <c r="E185" s="976" t="s">
        <v>3888</v>
      </c>
      <c r="F185" s="976" t="s">
        <v>3888</v>
      </c>
      <c r="G185" s="861" t="s">
        <v>4249</v>
      </c>
      <c r="H185" s="862" t="s">
        <v>3843</v>
      </c>
      <c r="I185" s="901" t="s">
        <v>3864</v>
      </c>
      <c r="J185" s="911" t="s">
        <v>4250</v>
      </c>
      <c r="K185" s="862" t="s">
        <v>3933</v>
      </c>
      <c r="L185" s="903" t="s">
        <v>3846</v>
      </c>
      <c r="M185" s="862"/>
      <c r="N185" s="904"/>
      <c r="O185" s="904"/>
      <c r="P185" s="868">
        <v>660.0</v>
      </c>
      <c r="Q185" s="868">
        <v>600.0</v>
      </c>
      <c r="R185" s="869" t="s">
        <v>3847</v>
      </c>
      <c r="S185" s="143" t="s">
        <v>4000</v>
      </c>
      <c r="T185" s="869" t="s">
        <v>3848</v>
      </c>
      <c r="U185" s="869"/>
    </row>
    <row r="186">
      <c r="A186" s="926" t="str">
        <f t="array" ref="A186">if(G186="","",XLOOKUP(D186,'プルダウンメニュー (SE用)'!$D$2:$D1028,'プルダウンメニュー (SE用)'!$C$2:$C1028))</f>
        <v>battle_se</v>
      </c>
      <c r="B186" s="926" t="str">
        <f>iferror(if(H186="GLOW流用","-",if(G186="","","SSE_"&amp;TEXT(vlookup(E186,'プルダウンメニュー (SE用)'!$E$2:$F1028,2,false),"000")&amp;"_"&amp;TEXT(COUNTIF($E$4:E186,E186),"000"))),"")</f>
        <v>SSE_051_085</v>
      </c>
      <c r="C186" s="860"/>
      <c r="D186" s="861" t="s">
        <v>3887</v>
      </c>
      <c r="E186" s="976" t="s">
        <v>3888</v>
      </c>
      <c r="F186" s="976" t="s">
        <v>3888</v>
      </c>
      <c r="G186" s="861" t="s">
        <v>4251</v>
      </c>
      <c r="H186" s="862" t="s">
        <v>3843</v>
      </c>
      <c r="I186" s="901" t="s">
        <v>3864</v>
      </c>
      <c r="J186" s="911" t="s">
        <v>4252</v>
      </c>
      <c r="K186" s="862" t="s">
        <v>3933</v>
      </c>
      <c r="L186" s="903" t="s">
        <v>3846</v>
      </c>
      <c r="M186" s="862"/>
      <c r="N186" s="904"/>
      <c r="O186" s="904"/>
      <c r="P186" s="868">
        <v>660.0</v>
      </c>
      <c r="Q186" s="868">
        <v>600.0</v>
      </c>
      <c r="R186" s="869" t="s">
        <v>3847</v>
      </c>
      <c r="S186" s="143" t="s">
        <v>4000</v>
      </c>
      <c r="T186" s="869" t="s">
        <v>3848</v>
      </c>
      <c r="U186" s="869"/>
    </row>
    <row r="187">
      <c r="A187" s="926" t="str">
        <f t="array" ref="A187">if(G187="","",XLOOKUP(D187,'プルダウンメニュー (SE用)'!$D$2:$D1028,'プルダウンメニュー (SE用)'!$C$2:$C1028))</f>
        <v>battle_se</v>
      </c>
      <c r="B187" s="926" t="str">
        <f>iferror(if(H187="GLOW流用","-",if(G187="","","SSE_"&amp;TEXT(vlookup(E187,'プルダウンメニュー (SE用)'!$E$2:$F1028,2,false),"000")&amp;"_"&amp;TEXT(COUNTIF($E$4:E187,E187),"000"))),"")</f>
        <v>SSE_051_086</v>
      </c>
      <c r="C187" s="860"/>
      <c r="D187" s="861" t="s">
        <v>3887</v>
      </c>
      <c r="E187" s="976" t="s">
        <v>3888</v>
      </c>
      <c r="F187" s="976" t="s">
        <v>3888</v>
      </c>
      <c r="G187" s="861" t="s">
        <v>4253</v>
      </c>
      <c r="H187" s="862" t="s">
        <v>3843</v>
      </c>
      <c r="I187" s="901" t="s">
        <v>3864</v>
      </c>
      <c r="J187" s="911" t="s">
        <v>4254</v>
      </c>
      <c r="K187" s="862" t="s">
        <v>3933</v>
      </c>
      <c r="L187" s="903" t="s">
        <v>3846</v>
      </c>
      <c r="M187" s="862"/>
      <c r="N187" s="904"/>
      <c r="O187" s="904"/>
      <c r="P187" s="868">
        <v>660.0</v>
      </c>
      <c r="Q187" s="868">
        <v>600.0</v>
      </c>
      <c r="R187" s="869" t="s">
        <v>3847</v>
      </c>
      <c r="S187" s="143" t="s">
        <v>4000</v>
      </c>
      <c r="T187" s="869" t="s">
        <v>3848</v>
      </c>
      <c r="U187" s="869"/>
    </row>
    <row r="188">
      <c r="A188" s="926" t="str">
        <f t="array" ref="A188">if(G188="","",XLOOKUP(D188,'プルダウンメニュー (SE用)'!$D$2:$D1028,'プルダウンメニュー (SE用)'!$C$2:$C1028))</f>
        <v>battle_se</v>
      </c>
      <c r="B188" s="926" t="str">
        <f>iferror(if(H188="GLOW流用","-",if(G188="","","SSE_"&amp;TEXT(vlookup(E188,'プルダウンメニュー (SE用)'!$E$2:$F1028,2,false),"000")&amp;"_"&amp;TEXT(COUNTIF($E$4:E188,E188),"000"))),"")</f>
        <v>SSE_051_087</v>
      </c>
      <c r="C188" s="860"/>
      <c r="D188" s="861" t="s">
        <v>3887</v>
      </c>
      <c r="E188" s="976" t="s">
        <v>3888</v>
      </c>
      <c r="F188" s="976" t="s">
        <v>3888</v>
      </c>
      <c r="G188" s="861" t="s">
        <v>4255</v>
      </c>
      <c r="H188" s="862" t="s">
        <v>3843</v>
      </c>
      <c r="I188" s="901" t="s">
        <v>3864</v>
      </c>
      <c r="J188" s="902" t="s">
        <v>4256</v>
      </c>
      <c r="K188" s="862" t="s">
        <v>3933</v>
      </c>
      <c r="L188" s="903" t="s">
        <v>3846</v>
      </c>
      <c r="M188" s="862"/>
      <c r="N188" s="904"/>
      <c r="O188" s="904"/>
      <c r="P188" s="868">
        <v>660.0</v>
      </c>
      <c r="Q188" s="868">
        <v>600.0</v>
      </c>
      <c r="R188" s="869" t="s">
        <v>3847</v>
      </c>
      <c r="S188" s="143" t="s">
        <v>4000</v>
      </c>
      <c r="T188" s="869" t="s">
        <v>3848</v>
      </c>
      <c r="U188" s="869"/>
    </row>
    <row r="189">
      <c r="A189" s="926" t="str">
        <f t="array" ref="A189">if(G189="","",XLOOKUP(D189,'プルダウンメニュー (SE用)'!$D$2:$D1028,'プルダウンメニュー (SE用)'!$C$2:$C1028))</f>
        <v>battle_se</v>
      </c>
      <c r="B189" s="926" t="str">
        <f>iferror(if(H189="GLOW流用","-",if(G189="","","SSE_"&amp;TEXT(vlookup(E189,'プルダウンメニュー (SE用)'!$E$2:$F1028,2,false),"000")&amp;"_"&amp;TEXT(COUNTIF($E$4:E189,E189),"000"))),"")</f>
        <v>SSE_051_088</v>
      </c>
      <c r="C189" s="860"/>
      <c r="D189" s="861" t="s">
        <v>3887</v>
      </c>
      <c r="E189" s="976" t="s">
        <v>3888</v>
      </c>
      <c r="F189" s="976" t="s">
        <v>3888</v>
      </c>
      <c r="G189" s="861" t="s">
        <v>4257</v>
      </c>
      <c r="H189" s="862" t="s">
        <v>3843</v>
      </c>
      <c r="I189" s="901" t="s">
        <v>3864</v>
      </c>
      <c r="J189" s="911" t="s">
        <v>4258</v>
      </c>
      <c r="K189" s="862" t="s">
        <v>3933</v>
      </c>
      <c r="L189" s="903" t="s">
        <v>3846</v>
      </c>
      <c r="M189" s="862"/>
      <c r="N189" s="904"/>
      <c r="O189" s="904"/>
      <c r="P189" s="868">
        <v>660.0</v>
      </c>
      <c r="Q189" s="868">
        <v>600.0</v>
      </c>
      <c r="R189" s="869" t="s">
        <v>3847</v>
      </c>
      <c r="S189" s="143" t="s">
        <v>4000</v>
      </c>
      <c r="T189" s="869" t="s">
        <v>3848</v>
      </c>
      <c r="U189" s="869"/>
    </row>
    <row r="190">
      <c r="A190" s="926" t="str">
        <f t="array" ref="A190">if(G190="","",XLOOKUP(D190,'プルダウンメニュー (SE用)'!$D$2:$D1028,'プルダウンメニュー (SE用)'!$C$2:$C1028))</f>
        <v>battle_se</v>
      </c>
      <c r="B190" s="926" t="str">
        <f>iferror(if(H190="GLOW流用","-",if(G190="","","SSE_"&amp;TEXT(vlookup(E190,'プルダウンメニュー (SE用)'!$E$2:$F1028,2,false),"000")&amp;"_"&amp;TEXT(COUNTIF($E$4:E190,E190),"000"))),"")</f>
        <v>SSE_051_089</v>
      </c>
      <c r="C190" s="860"/>
      <c r="D190" s="861" t="s">
        <v>3887</v>
      </c>
      <c r="E190" s="976" t="s">
        <v>3888</v>
      </c>
      <c r="F190" s="976" t="s">
        <v>3888</v>
      </c>
      <c r="G190" s="861" t="s">
        <v>4259</v>
      </c>
      <c r="H190" s="862" t="s">
        <v>3843</v>
      </c>
      <c r="I190" s="901" t="s">
        <v>3864</v>
      </c>
      <c r="J190" s="911" t="s">
        <v>4260</v>
      </c>
      <c r="K190" s="862" t="s">
        <v>3933</v>
      </c>
      <c r="L190" s="903" t="s">
        <v>3846</v>
      </c>
      <c r="M190" s="862"/>
      <c r="N190" s="904"/>
      <c r="O190" s="904"/>
      <c r="P190" s="868">
        <v>660.0</v>
      </c>
      <c r="Q190" s="868">
        <v>600.0</v>
      </c>
      <c r="R190" s="869" t="s">
        <v>3847</v>
      </c>
      <c r="S190" s="143" t="s">
        <v>4000</v>
      </c>
      <c r="T190" s="869" t="s">
        <v>3848</v>
      </c>
      <c r="U190" s="869"/>
    </row>
    <row r="191">
      <c r="A191" s="926" t="str">
        <f t="array" ref="A191">if(G191="","",XLOOKUP(D191,'プルダウンメニュー (SE用)'!$D$2:$D1028,'プルダウンメニュー (SE用)'!$C$2:$C1028))</f>
        <v>battle_se</v>
      </c>
      <c r="B191" s="926" t="str">
        <f>iferror(if(H191="GLOW流用","-",if(G191="","","SSE_"&amp;TEXT(vlookup(E191,'プルダウンメニュー (SE用)'!$E$2:$F1028,2,false),"000")&amp;"_"&amp;TEXT(COUNTIF($E$4:E191,E191),"000"))),"")</f>
        <v>SSE_051_090</v>
      </c>
      <c r="C191" s="860"/>
      <c r="D191" s="861" t="s">
        <v>3887</v>
      </c>
      <c r="E191" s="976" t="s">
        <v>3888</v>
      </c>
      <c r="F191" s="976" t="s">
        <v>3888</v>
      </c>
      <c r="G191" s="861" t="s">
        <v>4261</v>
      </c>
      <c r="H191" s="862" t="s">
        <v>3859</v>
      </c>
      <c r="I191" s="901" t="s">
        <v>3864</v>
      </c>
      <c r="J191" s="911" t="s">
        <v>4262</v>
      </c>
      <c r="K191" s="862" t="s">
        <v>3933</v>
      </c>
      <c r="L191" s="903" t="s">
        <v>3846</v>
      </c>
      <c r="M191" s="862" t="s">
        <v>4263</v>
      </c>
      <c r="N191" s="904"/>
      <c r="O191" s="904"/>
      <c r="P191" s="868"/>
      <c r="Q191" s="868"/>
      <c r="R191" s="869"/>
      <c r="S191" s="143"/>
      <c r="T191" s="869" t="s">
        <v>3848</v>
      </c>
      <c r="U191" s="869"/>
    </row>
    <row r="192">
      <c r="A192" s="926" t="str">
        <f t="array" ref="A192">if(G192="","",XLOOKUP(D192,'プルダウンメニュー (SE用)'!$D$2:$D1028,'プルダウンメニュー (SE用)'!$C$2:$C1028))</f>
        <v>battle_se</v>
      </c>
      <c r="B192" s="926" t="str">
        <f>iferror(if(H192="GLOW流用","-",if(G192="","","SSE_"&amp;TEXT(vlookup(E192,'プルダウンメニュー (SE用)'!$E$2:$F1028,2,false),"000")&amp;"_"&amp;TEXT(COUNTIF($E$4:E192,E192),"000"))),"")</f>
        <v>SSE_051_091</v>
      </c>
      <c r="C192" s="860"/>
      <c r="D192" s="861" t="s">
        <v>3887</v>
      </c>
      <c r="E192" s="976" t="s">
        <v>3888</v>
      </c>
      <c r="F192" s="976" t="s">
        <v>3888</v>
      </c>
      <c r="G192" s="861" t="s">
        <v>4264</v>
      </c>
      <c r="H192" s="862" t="s">
        <v>3843</v>
      </c>
      <c r="I192" s="901" t="s">
        <v>3864</v>
      </c>
      <c r="J192" s="911" t="s">
        <v>4265</v>
      </c>
      <c r="K192" s="862" t="s">
        <v>3933</v>
      </c>
      <c r="L192" s="903" t="s">
        <v>3846</v>
      </c>
      <c r="M192" s="862"/>
      <c r="N192" s="904"/>
      <c r="O192" s="904"/>
      <c r="P192" s="868">
        <v>660.0</v>
      </c>
      <c r="Q192" s="868">
        <v>600.0</v>
      </c>
      <c r="R192" s="869" t="s">
        <v>3847</v>
      </c>
      <c r="S192" s="143" t="s">
        <v>4000</v>
      </c>
      <c r="T192" s="869" t="s">
        <v>3848</v>
      </c>
      <c r="U192" s="869"/>
    </row>
    <row r="193">
      <c r="A193" s="926" t="str">
        <f t="array" ref="A193">if(G193="","",XLOOKUP(D193,'プルダウンメニュー (SE用)'!$D$2:$D1028,'プルダウンメニュー (SE用)'!$C$2:$C1028))</f>
        <v>battle_se</v>
      </c>
      <c r="B193" s="926" t="str">
        <f>iferror(if(H193="GLOW流用","-",if(G193="","","SSE_"&amp;TEXT(vlookup(E193,'プルダウンメニュー (SE用)'!$E$2:$F1028,2,false),"000")&amp;"_"&amp;TEXT(COUNTIF($E$4:E193,E193),"000"))),"")</f>
        <v>SSE_051_092</v>
      </c>
      <c r="C193" s="860"/>
      <c r="D193" s="861" t="s">
        <v>3887</v>
      </c>
      <c r="E193" s="976" t="s">
        <v>3888</v>
      </c>
      <c r="F193" s="976" t="s">
        <v>3888</v>
      </c>
      <c r="G193" s="861" t="s">
        <v>4266</v>
      </c>
      <c r="H193" s="862" t="s">
        <v>3843</v>
      </c>
      <c r="I193" s="901" t="s">
        <v>3864</v>
      </c>
      <c r="J193" s="911" t="s">
        <v>4267</v>
      </c>
      <c r="K193" s="862" t="s">
        <v>3933</v>
      </c>
      <c r="L193" s="903" t="s">
        <v>3846</v>
      </c>
      <c r="M193" s="862"/>
      <c r="N193" s="904"/>
      <c r="O193" s="904"/>
      <c r="P193" s="868">
        <v>660.0</v>
      </c>
      <c r="Q193" s="868">
        <v>600.0</v>
      </c>
      <c r="R193" s="869" t="s">
        <v>3847</v>
      </c>
      <c r="S193" s="143" t="s">
        <v>4000</v>
      </c>
      <c r="T193" s="869" t="s">
        <v>3848</v>
      </c>
      <c r="U193" s="869"/>
    </row>
    <row r="194">
      <c r="A194" s="926" t="str">
        <f t="array" ref="A194">if(G194="","",XLOOKUP(D194,'プルダウンメニュー (SE用)'!$D$2:$D1028,'プルダウンメニュー (SE用)'!$C$2:$C1028))</f>
        <v>battle_se</v>
      </c>
      <c r="B194" s="926" t="str">
        <f>iferror(if(H194="GLOW流用","-",if(G194="","","SSE_"&amp;TEXT(vlookup(E194,'プルダウンメニュー (SE用)'!$E$2:$F1028,2,false),"000")&amp;"_"&amp;TEXT(COUNTIF($E$4:E194,E194),"000"))),"")</f>
        <v>SSE_051_093</v>
      </c>
      <c r="C194" s="860"/>
      <c r="D194" s="861" t="s">
        <v>3887</v>
      </c>
      <c r="E194" s="976" t="s">
        <v>3888</v>
      </c>
      <c r="F194" s="976" t="s">
        <v>3888</v>
      </c>
      <c r="G194" s="861" t="s">
        <v>4268</v>
      </c>
      <c r="H194" s="862" t="s">
        <v>3843</v>
      </c>
      <c r="I194" s="901" t="s">
        <v>3864</v>
      </c>
      <c r="J194" s="911" t="s">
        <v>4269</v>
      </c>
      <c r="K194" s="862" t="s">
        <v>3933</v>
      </c>
      <c r="L194" s="903" t="s">
        <v>3846</v>
      </c>
      <c r="M194" s="862"/>
      <c r="N194" s="904"/>
      <c r="O194" s="904"/>
      <c r="P194" s="868">
        <v>660.0</v>
      </c>
      <c r="Q194" s="868">
        <v>600.0</v>
      </c>
      <c r="R194" s="869" t="s">
        <v>3847</v>
      </c>
      <c r="S194" s="143" t="s">
        <v>4000</v>
      </c>
      <c r="T194" s="869" t="s">
        <v>3848</v>
      </c>
      <c r="U194" s="869"/>
    </row>
    <row r="195">
      <c r="A195" s="926" t="str">
        <f t="array" ref="A195">if(G195="","",XLOOKUP(D195,'プルダウンメニュー (SE用)'!$D$2:$D1028,'プルダウンメニュー (SE用)'!$C$2:$C1028))</f>
        <v>battle_se</v>
      </c>
      <c r="B195" s="926" t="str">
        <f>iferror(if(H195="GLOW流用","-",if(G195="","","SSE_"&amp;TEXT(vlookup(E195,'プルダウンメニュー (SE用)'!$E$2:$F1028,2,false),"000")&amp;"_"&amp;TEXT(COUNTIF($E$4:E195,E195),"000"))),"")</f>
        <v>SSE_051_094</v>
      </c>
      <c r="C195" s="860"/>
      <c r="D195" s="861" t="s">
        <v>3887</v>
      </c>
      <c r="E195" s="976" t="s">
        <v>3888</v>
      </c>
      <c r="F195" s="976" t="s">
        <v>3888</v>
      </c>
      <c r="G195" s="861" t="s">
        <v>4270</v>
      </c>
      <c r="H195" s="862" t="s">
        <v>3843</v>
      </c>
      <c r="I195" s="901" t="s">
        <v>3864</v>
      </c>
      <c r="J195" s="977" t="s">
        <v>4271</v>
      </c>
      <c r="K195" s="862" t="s">
        <v>3933</v>
      </c>
      <c r="L195" s="903" t="s">
        <v>3846</v>
      </c>
      <c r="M195" s="978"/>
      <c r="N195" s="904"/>
      <c r="O195" s="904"/>
      <c r="P195" s="868">
        <v>660.0</v>
      </c>
      <c r="Q195" s="868">
        <v>600.0</v>
      </c>
      <c r="R195" s="869" t="s">
        <v>3847</v>
      </c>
      <c r="S195" s="143" t="s">
        <v>4000</v>
      </c>
      <c r="T195" s="869" t="s">
        <v>3848</v>
      </c>
      <c r="U195" s="869"/>
    </row>
    <row r="196">
      <c r="A196" s="926" t="str">
        <f t="array" ref="A196">if(G196="","",XLOOKUP(D196,'プルダウンメニュー (SE用)'!$D$2:$D1028,'プルダウンメニュー (SE用)'!$C$2:$C1028))</f>
        <v>battle_se</v>
      </c>
      <c r="B196" s="926" t="str">
        <f>iferror(if(H196="GLOW流用","-",if(G196="","","SSE_"&amp;TEXT(vlookup(E196,'プルダウンメニュー (SE用)'!$E$2:$F1028,2,false),"000")&amp;"_"&amp;TEXT(COUNTIF($E$4:E196,E196),"000"))),"")</f>
        <v>SSE_051_095</v>
      </c>
      <c r="C196" s="860"/>
      <c r="D196" s="861" t="s">
        <v>3887</v>
      </c>
      <c r="E196" s="976" t="s">
        <v>3888</v>
      </c>
      <c r="F196" s="976" t="s">
        <v>3888</v>
      </c>
      <c r="G196" s="861" t="s">
        <v>4272</v>
      </c>
      <c r="H196" s="862" t="s">
        <v>3843</v>
      </c>
      <c r="I196" s="901" t="s">
        <v>3864</v>
      </c>
      <c r="J196" s="911" t="s">
        <v>4273</v>
      </c>
      <c r="K196" s="862" t="s">
        <v>3933</v>
      </c>
      <c r="L196" s="903" t="s">
        <v>3846</v>
      </c>
      <c r="M196" s="862"/>
      <c r="N196" s="904"/>
      <c r="O196" s="904"/>
      <c r="P196" s="868">
        <v>660.0</v>
      </c>
      <c r="Q196" s="868">
        <v>600.0</v>
      </c>
      <c r="R196" s="869" t="s">
        <v>3847</v>
      </c>
      <c r="S196" s="143" t="s">
        <v>4000</v>
      </c>
      <c r="T196" s="869" t="s">
        <v>3848</v>
      </c>
      <c r="U196" s="869"/>
    </row>
    <row r="197">
      <c r="A197" s="926" t="str">
        <f t="array" ref="A197">if(G197="","",XLOOKUP(D197,'プルダウンメニュー (SE用)'!$D$2:$D1028,'プルダウンメニュー (SE用)'!$C$2:$C1028))</f>
        <v>battle_se</v>
      </c>
      <c r="B197" s="926" t="str">
        <f>iferror(if(H197="GLOW流用","-",if(G197="","","SSE_"&amp;TEXT(vlookup(E197,'プルダウンメニュー (SE用)'!$E$2:$F1028,2,false),"000")&amp;"_"&amp;TEXT(COUNTIF($E$4:E197,E197),"000"))),"")</f>
        <v>SSE_051_096</v>
      </c>
      <c r="C197" s="860"/>
      <c r="D197" s="861" t="s">
        <v>3887</v>
      </c>
      <c r="E197" s="976" t="s">
        <v>3888</v>
      </c>
      <c r="F197" s="976" t="s">
        <v>3888</v>
      </c>
      <c r="G197" s="861" t="s">
        <v>4274</v>
      </c>
      <c r="H197" s="862" t="s">
        <v>3843</v>
      </c>
      <c r="I197" s="901" t="s">
        <v>3864</v>
      </c>
      <c r="J197" s="911" t="s">
        <v>4275</v>
      </c>
      <c r="K197" s="862" t="s">
        <v>3933</v>
      </c>
      <c r="L197" s="903" t="s">
        <v>3846</v>
      </c>
      <c r="M197" s="979"/>
      <c r="N197" s="904"/>
      <c r="O197" s="904"/>
      <c r="P197" s="868">
        <v>660.0</v>
      </c>
      <c r="Q197" s="868">
        <v>600.0</v>
      </c>
      <c r="R197" s="869" t="s">
        <v>3847</v>
      </c>
      <c r="S197" s="143" t="s">
        <v>4000</v>
      </c>
      <c r="T197" s="869" t="s">
        <v>3848</v>
      </c>
      <c r="U197" s="869"/>
    </row>
    <row r="198">
      <c r="A198" s="926" t="str">
        <f t="array" ref="A198">if(G198="","",XLOOKUP(D198,'プルダウンメニュー (SE用)'!$D$2:$D1028,'プルダウンメニュー (SE用)'!$C$2:$C1028))</f>
        <v>battle_se</v>
      </c>
      <c r="B198" s="926" t="str">
        <f>iferror(if(H198="GLOW流用","-",if(G198="","","SSE_"&amp;TEXT(vlookup(E198,'プルダウンメニュー (SE用)'!$E$2:$F1028,2,false),"000")&amp;"_"&amp;TEXT(COUNTIF($E$4:E198,E198),"000"))),"")</f>
        <v>SSE_051_097</v>
      </c>
      <c r="C198" s="860"/>
      <c r="D198" s="861" t="s">
        <v>3887</v>
      </c>
      <c r="E198" s="976" t="s">
        <v>3888</v>
      </c>
      <c r="F198" s="976" t="s">
        <v>3888</v>
      </c>
      <c r="G198" s="861" t="s">
        <v>4276</v>
      </c>
      <c r="H198" s="862" t="s">
        <v>3843</v>
      </c>
      <c r="I198" s="901" t="s">
        <v>3864</v>
      </c>
      <c r="J198" s="911" t="s">
        <v>4277</v>
      </c>
      <c r="K198" s="862" t="s">
        <v>3933</v>
      </c>
      <c r="L198" s="903" t="s">
        <v>3846</v>
      </c>
      <c r="M198" s="979"/>
      <c r="N198" s="904"/>
      <c r="O198" s="904"/>
      <c r="P198" s="868">
        <v>660.0</v>
      </c>
      <c r="Q198" s="868">
        <v>600.0</v>
      </c>
      <c r="R198" s="869" t="s">
        <v>3847</v>
      </c>
      <c r="S198" s="143" t="s">
        <v>4000</v>
      </c>
      <c r="T198" s="869" t="s">
        <v>3848</v>
      </c>
      <c r="U198" s="869"/>
    </row>
    <row r="199">
      <c r="A199" s="926" t="str">
        <f t="array" ref="A199">if(G199="","",XLOOKUP(D199,'プルダウンメニュー (SE用)'!$D$2:$D1028,'プルダウンメニュー (SE用)'!$C$2:$C1028))</f>
        <v>battle_se</v>
      </c>
      <c r="B199" s="926" t="str">
        <f>iferror(if(H199="GLOW流用","-",if(G199="","","SSE_"&amp;TEXT(vlookup(E199,'プルダウンメニュー (SE用)'!$E$2:$F1028,2,false),"000")&amp;"_"&amp;TEXT(COUNTIF($E$4:E199,E199),"000"))),"")</f>
        <v>SSE_043_001</v>
      </c>
      <c r="C199" s="860"/>
      <c r="D199" s="861" t="s">
        <v>3887</v>
      </c>
      <c r="E199" s="976" t="s">
        <v>3363</v>
      </c>
      <c r="F199" s="976" t="s">
        <v>3888</v>
      </c>
      <c r="G199" s="861" t="s">
        <v>4278</v>
      </c>
      <c r="H199" s="862" t="s">
        <v>3843</v>
      </c>
      <c r="I199" s="901" t="s">
        <v>3758</v>
      </c>
      <c r="J199" s="911" t="s">
        <v>4279</v>
      </c>
      <c r="K199" s="862" t="s">
        <v>3933</v>
      </c>
      <c r="L199" s="903" t="s">
        <v>3846</v>
      </c>
      <c r="M199" s="862"/>
      <c r="N199" s="904"/>
      <c r="O199" s="904"/>
      <c r="P199" s="868">
        <v>660.0</v>
      </c>
      <c r="Q199" s="868">
        <v>600.0</v>
      </c>
      <c r="R199" s="869" t="s">
        <v>3847</v>
      </c>
      <c r="S199" s="143" t="s">
        <v>4280</v>
      </c>
      <c r="T199" s="869" t="s">
        <v>3848</v>
      </c>
      <c r="U199" s="869"/>
    </row>
    <row r="200">
      <c r="A200" s="926" t="str">
        <f t="array" ref="A200">if(G200="","",XLOOKUP(D200,'プルダウンメニュー (SE用)'!$D$2:$D1028,'プルダウンメニュー (SE用)'!$C$2:$C1028))</f>
        <v>battle_se</v>
      </c>
      <c r="B200" s="926" t="str">
        <f>iferror(if(H200="GLOW流用","-",if(G200="","","SSE_"&amp;TEXT(vlookup(E200,'プルダウンメニュー (SE用)'!$E$2:$F1028,2,false),"000")&amp;"_"&amp;TEXT(COUNTIF($E$4:E200,E200),"000"))),"")</f>
        <v>SSE_043_002</v>
      </c>
      <c r="C200" s="860"/>
      <c r="D200" s="861" t="s">
        <v>3887</v>
      </c>
      <c r="E200" s="976" t="s">
        <v>3363</v>
      </c>
      <c r="F200" s="976" t="s">
        <v>3888</v>
      </c>
      <c r="G200" s="861" t="s">
        <v>4281</v>
      </c>
      <c r="H200" s="862" t="s">
        <v>3843</v>
      </c>
      <c r="I200" s="901" t="s">
        <v>3758</v>
      </c>
      <c r="J200" s="911" t="s">
        <v>4282</v>
      </c>
      <c r="K200" s="862" t="s">
        <v>3933</v>
      </c>
      <c r="L200" s="903" t="s">
        <v>3846</v>
      </c>
      <c r="M200" s="979"/>
      <c r="N200" s="904"/>
      <c r="O200" s="904"/>
      <c r="P200" s="868">
        <v>660.0</v>
      </c>
      <c r="Q200" s="868">
        <v>600.0</v>
      </c>
      <c r="R200" s="869" t="s">
        <v>3847</v>
      </c>
      <c r="S200" s="143" t="s">
        <v>4280</v>
      </c>
      <c r="T200" s="869" t="s">
        <v>3848</v>
      </c>
      <c r="U200" s="869"/>
    </row>
    <row r="201" ht="15.75" customHeight="1">
      <c r="A201" s="926" t="str">
        <f t="array" ref="A201">if(G201="","",XLOOKUP(D201,'プルダウンメニュー (SE用)'!$D$2:$D1028,'プルダウンメニュー (SE用)'!$C$2:$C1028))</f>
        <v>battle_se</v>
      </c>
      <c r="B201" s="926" t="str">
        <f>iferror(if(H201="GLOW流用","-",if(G201="","","SSE_"&amp;TEXT(vlookup(E201,'プルダウンメニュー (SE用)'!$E$2:$F1028,2,false),"000")&amp;"_"&amp;TEXT(COUNTIF($E$4:E201,E201),"000"))),"")</f>
        <v>SSE_043_003</v>
      </c>
      <c r="C201" s="860"/>
      <c r="D201" s="861" t="s">
        <v>3887</v>
      </c>
      <c r="E201" s="976" t="s">
        <v>3363</v>
      </c>
      <c r="F201" s="976" t="s">
        <v>3888</v>
      </c>
      <c r="G201" s="861" t="s">
        <v>4283</v>
      </c>
      <c r="H201" s="862" t="s">
        <v>3843</v>
      </c>
      <c r="I201" s="901" t="s">
        <v>3758</v>
      </c>
      <c r="J201" s="911" t="s">
        <v>4284</v>
      </c>
      <c r="K201" s="862" t="s">
        <v>3933</v>
      </c>
      <c r="L201" s="903" t="s">
        <v>3846</v>
      </c>
      <c r="M201" s="979"/>
      <c r="N201" s="904"/>
      <c r="O201" s="904"/>
      <c r="P201" s="868">
        <v>660.0</v>
      </c>
      <c r="Q201" s="868">
        <v>600.0</v>
      </c>
      <c r="R201" s="869" t="s">
        <v>3847</v>
      </c>
      <c r="S201" s="143" t="s">
        <v>4280</v>
      </c>
      <c r="T201" s="869" t="s">
        <v>3848</v>
      </c>
      <c r="U201" s="869"/>
    </row>
    <row r="202">
      <c r="A202" s="926" t="str">
        <f t="array" ref="A202">if(G202="","",XLOOKUP(D202,'プルダウンメニュー (SE用)'!$D$2:$D1028,'プルダウンメニュー (SE用)'!$C$2:$C1028))</f>
        <v>battle_se</v>
      </c>
      <c r="B202" s="926" t="str">
        <f>iferror(if(H202="GLOW流用","-",if(G202="","","SSE_"&amp;TEXT(vlookup(E202,'プルダウンメニュー (SE用)'!$E$2:$F1028,2,false),"000")&amp;"_"&amp;TEXT(COUNTIF($E$4:E202,E202),"000"))),"")</f>
        <v>SSE_043_004</v>
      </c>
      <c r="C202" s="860"/>
      <c r="D202" s="861" t="s">
        <v>3887</v>
      </c>
      <c r="E202" s="976" t="s">
        <v>3363</v>
      </c>
      <c r="F202" s="976" t="s">
        <v>3888</v>
      </c>
      <c r="G202" s="861" t="s">
        <v>4285</v>
      </c>
      <c r="H202" s="862" t="s">
        <v>3843</v>
      </c>
      <c r="I202" s="901" t="s">
        <v>3758</v>
      </c>
      <c r="J202" s="911" t="s">
        <v>4286</v>
      </c>
      <c r="K202" s="862" t="s">
        <v>3933</v>
      </c>
      <c r="L202" s="903" t="s">
        <v>3846</v>
      </c>
      <c r="M202" s="979"/>
      <c r="N202" s="904"/>
      <c r="O202" s="904"/>
      <c r="P202" s="868">
        <v>660.0</v>
      </c>
      <c r="Q202" s="868">
        <v>600.0</v>
      </c>
      <c r="R202" s="869" t="s">
        <v>3847</v>
      </c>
      <c r="S202" s="143" t="s">
        <v>4280</v>
      </c>
      <c r="T202" s="869" t="s">
        <v>3848</v>
      </c>
      <c r="U202" s="869"/>
    </row>
    <row r="203">
      <c r="A203" s="926" t="str">
        <f t="array" ref="A203">if(G203="","",XLOOKUP(D203,'プルダウンメニュー (SE用)'!$D$2:$D1028,'プルダウンメニュー (SE用)'!$C$2:$C1028))</f>
        <v>battle_se</v>
      </c>
      <c r="B203" s="926" t="str">
        <f>iferror(if(H203="GLOW流用","-",if(G203="","","SSE_"&amp;TEXT(vlookup(E203,'プルダウンメニュー (SE用)'!$E$2:$F1028,2,false),"000")&amp;"_"&amp;TEXT(COUNTIF($E$4:E203,E203),"000"))),"")</f>
        <v>SSE_043_005</v>
      </c>
      <c r="C203" s="860"/>
      <c r="D203" s="861" t="s">
        <v>3887</v>
      </c>
      <c r="E203" s="976" t="s">
        <v>3363</v>
      </c>
      <c r="F203" s="976" t="s">
        <v>3888</v>
      </c>
      <c r="G203" s="861" t="s">
        <v>4287</v>
      </c>
      <c r="H203" s="862" t="s">
        <v>3843</v>
      </c>
      <c r="I203" s="901" t="s">
        <v>3758</v>
      </c>
      <c r="J203" s="902" t="s">
        <v>4288</v>
      </c>
      <c r="K203" s="862" t="s">
        <v>3933</v>
      </c>
      <c r="L203" s="903" t="s">
        <v>3846</v>
      </c>
      <c r="M203" s="979"/>
      <c r="N203" s="904"/>
      <c r="O203" s="904"/>
      <c r="P203" s="868">
        <v>660.0</v>
      </c>
      <c r="Q203" s="868">
        <v>600.0</v>
      </c>
      <c r="R203" s="869" t="s">
        <v>3847</v>
      </c>
      <c r="S203" s="143" t="s">
        <v>4280</v>
      </c>
      <c r="T203" s="869" t="s">
        <v>3848</v>
      </c>
      <c r="U203" s="869"/>
    </row>
    <row r="204" ht="15.75" customHeight="1">
      <c r="A204" s="926" t="str">
        <f t="array" ref="A204">if(G204="","",XLOOKUP(D204,'プルダウンメニュー (SE用)'!$D$2:$D1028,'プルダウンメニュー (SE用)'!$C$2:$C1028))</f>
        <v>battle_se</v>
      </c>
      <c r="B204" s="926" t="str">
        <f>iferror(if(H204="GLOW流用","-",if(G204="","","SSE_"&amp;TEXT(vlookup(E204,'プルダウンメニュー (SE用)'!$E$2:$F1028,2,false),"000")&amp;"_"&amp;TEXT(COUNTIF($E$4:E204,E204),"000"))),"")</f>
        <v>SSE_043_006</v>
      </c>
      <c r="C204" s="860"/>
      <c r="D204" s="861" t="s">
        <v>3887</v>
      </c>
      <c r="E204" s="976" t="s">
        <v>3363</v>
      </c>
      <c r="F204" s="976" t="s">
        <v>3888</v>
      </c>
      <c r="G204" s="861" t="s">
        <v>4289</v>
      </c>
      <c r="H204" s="862" t="s">
        <v>3843</v>
      </c>
      <c r="I204" s="901" t="s">
        <v>3758</v>
      </c>
      <c r="J204" s="902" t="s">
        <v>4290</v>
      </c>
      <c r="K204" s="862" t="s">
        <v>3933</v>
      </c>
      <c r="L204" s="903" t="s">
        <v>3846</v>
      </c>
      <c r="M204" s="862" t="s">
        <v>4291</v>
      </c>
      <c r="N204" s="904"/>
      <c r="O204" s="904"/>
      <c r="P204" s="868">
        <v>660.0</v>
      </c>
      <c r="Q204" s="868">
        <v>600.0</v>
      </c>
      <c r="R204" s="869" t="s">
        <v>3847</v>
      </c>
      <c r="S204" s="143" t="s">
        <v>4280</v>
      </c>
      <c r="T204" s="869" t="s">
        <v>3848</v>
      </c>
      <c r="U204" s="869"/>
    </row>
    <row r="205" ht="15.75" customHeight="1">
      <c r="A205" s="926" t="str">
        <f t="array" ref="A205">if(G205="","",XLOOKUP(D205,'プルダウンメニュー (SE用)'!$D$2:$D1028,'プルダウンメニュー (SE用)'!$C$2:$C1028))</f>
        <v>battle_se</v>
      </c>
      <c r="B205" s="926" t="str">
        <f>iferror(if(H205="GLOW流用","-",if(G205="","","SSE_"&amp;TEXT(vlookup(E205,'プルダウンメニュー (SE用)'!$E$2:$F1028,2,false),"000")&amp;"_"&amp;TEXT(COUNTIF($E$4:E205,E205),"000"))),"")</f>
        <v>SSE_043_007</v>
      </c>
      <c r="C205" s="860"/>
      <c r="D205" s="861" t="s">
        <v>3887</v>
      </c>
      <c r="E205" s="976" t="s">
        <v>3363</v>
      </c>
      <c r="F205" s="976" t="s">
        <v>3888</v>
      </c>
      <c r="G205" s="861" t="s">
        <v>4292</v>
      </c>
      <c r="H205" s="862" t="s">
        <v>3843</v>
      </c>
      <c r="I205" s="901" t="s">
        <v>3758</v>
      </c>
      <c r="J205" s="911" t="s">
        <v>4293</v>
      </c>
      <c r="K205" s="862" t="s">
        <v>3933</v>
      </c>
      <c r="L205" s="903" t="s">
        <v>3846</v>
      </c>
      <c r="M205" s="862"/>
      <c r="N205" s="904"/>
      <c r="O205" s="904"/>
      <c r="P205" s="868">
        <v>660.0</v>
      </c>
      <c r="Q205" s="868">
        <v>600.0</v>
      </c>
      <c r="R205" s="869" t="s">
        <v>3847</v>
      </c>
      <c r="S205" s="143" t="s">
        <v>4280</v>
      </c>
      <c r="T205" s="869" t="s">
        <v>3848</v>
      </c>
      <c r="U205" s="869"/>
    </row>
    <row r="206" ht="15.75" customHeight="1">
      <c r="A206" s="926" t="str">
        <f t="array" ref="A206">if(G206="","",XLOOKUP(D206,'プルダウンメニュー (SE用)'!$D$2:$D1028,'プルダウンメニュー (SE用)'!$C$2:$C1028))</f>
        <v>battle_se</v>
      </c>
      <c r="B206" s="926" t="str">
        <f>iferror(if(H206="GLOW流用","-",if(G206="","","SSE_"&amp;TEXT(vlookup(E206,'プルダウンメニュー (SE用)'!$E$2:$F1028,2,false),"000")&amp;"_"&amp;TEXT(COUNTIF($E$4:E206,E206),"000"))),"")</f>
        <v>SSE_043_008</v>
      </c>
      <c r="C206" s="860"/>
      <c r="D206" s="861" t="s">
        <v>3887</v>
      </c>
      <c r="E206" s="976" t="s">
        <v>3363</v>
      </c>
      <c r="F206" s="976" t="s">
        <v>3888</v>
      </c>
      <c r="G206" s="861" t="s">
        <v>4294</v>
      </c>
      <c r="H206" s="862" t="s">
        <v>3843</v>
      </c>
      <c r="I206" s="901" t="s">
        <v>3758</v>
      </c>
      <c r="J206" s="911" t="s">
        <v>4295</v>
      </c>
      <c r="K206" s="862" t="s">
        <v>3933</v>
      </c>
      <c r="L206" s="903" t="s">
        <v>3846</v>
      </c>
      <c r="M206" s="862"/>
      <c r="N206" s="904"/>
      <c r="O206" s="904"/>
      <c r="P206" s="868">
        <v>660.0</v>
      </c>
      <c r="Q206" s="868">
        <v>600.0</v>
      </c>
      <c r="R206" s="869" t="s">
        <v>3847</v>
      </c>
      <c r="S206" s="143" t="s">
        <v>4280</v>
      </c>
      <c r="T206" s="869" t="s">
        <v>3848</v>
      </c>
      <c r="U206" s="869"/>
    </row>
    <row r="207" ht="15.75" customHeight="1">
      <c r="A207" s="926" t="str">
        <f t="array" ref="A207">if(G207="","",XLOOKUP(D207,'プルダウンメニュー (SE用)'!$D$2:$D1028,'プルダウンメニュー (SE用)'!$C$2:$C1028))</f>
        <v>battle_se</v>
      </c>
      <c r="B207" s="926" t="str">
        <f>iferror(if(H207="GLOW流用","-",if(G207="","","SSE_"&amp;TEXT(vlookup(E207,'プルダウンメニュー (SE用)'!$E$2:$F1028,2,false),"000")&amp;"_"&amp;TEXT(COUNTIF($E$4:E207,E207),"000"))),"")</f>
        <v>SSE_043_009</v>
      </c>
      <c r="C207" s="860"/>
      <c r="D207" s="861" t="s">
        <v>3887</v>
      </c>
      <c r="E207" s="976" t="s">
        <v>3363</v>
      </c>
      <c r="F207" s="976" t="s">
        <v>3888</v>
      </c>
      <c r="G207" s="861" t="s">
        <v>4296</v>
      </c>
      <c r="H207" s="862" t="s">
        <v>3843</v>
      </c>
      <c r="I207" s="901" t="s">
        <v>3758</v>
      </c>
      <c r="J207" s="911" t="s">
        <v>4297</v>
      </c>
      <c r="K207" s="862" t="s">
        <v>3933</v>
      </c>
      <c r="L207" s="903" t="s">
        <v>3846</v>
      </c>
      <c r="M207" s="862"/>
      <c r="N207" s="904"/>
      <c r="O207" s="904"/>
      <c r="P207" s="868">
        <v>660.0</v>
      </c>
      <c r="Q207" s="868">
        <v>600.0</v>
      </c>
      <c r="R207" s="869" t="s">
        <v>3847</v>
      </c>
      <c r="S207" s="143" t="s">
        <v>4280</v>
      </c>
      <c r="T207" s="869" t="s">
        <v>3848</v>
      </c>
      <c r="U207" s="869"/>
    </row>
    <row r="208" ht="15.75" customHeight="1">
      <c r="A208" s="926" t="str">
        <f t="array" ref="A208">if(G208="","",XLOOKUP(D208,'プルダウンメニュー (SE用)'!$D$2:$D1028,'プルダウンメニュー (SE用)'!$C$2:$C1028))</f>
        <v>battle_se</v>
      </c>
      <c r="B208" s="926" t="str">
        <f>iferror(if(H208="GLOW流用","-",if(G208="","","SSE_"&amp;TEXT(vlookup(E208,'プルダウンメニュー (SE用)'!$E$2:$F1028,2,false),"000")&amp;"_"&amp;TEXT(COUNTIF($E$4:E208,E208),"000"))),"")</f>
        <v>SSE_043_010</v>
      </c>
      <c r="C208" s="860"/>
      <c r="D208" s="861" t="s">
        <v>3887</v>
      </c>
      <c r="E208" s="976" t="s">
        <v>3363</v>
      </c>
      <c r="F208" s="976" t="s">
        <v>3888</v>
      </c>
      <c r="G208" s="861" t="s">
        <v>4298</v>
      </c>
      <c r="H208" s="862" t="s">
        <v>3843</v>
      </c>
      <c r="I208" s="901" t="s">
        <v>3758</v>
      </c>
      <c r="J208" s="911" t="s">
        <v>4299</v>
      </c>
      <c r="K208" s="862" t="s">
        <v>3933</v>
      </c>
      <c r="L208" s="903" t="s">
        <v>3846</v>
      </c>
      <c r="M208" s="862"/>
      <c r="N208" s="904"/>
      <c r="O208" s="904"/>
      <c r="P208" s="868">
        <v>660.0</v>
      </c>
      <c r="Q208" s="868">
        <v>600.0</v>
      </c>
      <c r="R208" s="869" t="s">
        <v>3847</v>
      </c>
      <c r="S208" s="143" t="s">
        <v>4280</v>
      </c>
      <c r="T208" s="869" t="s">
        <v>3848</v>
      </c>
      <c r="U208" s="869"/>
    </row>
    <row r="209" ht="15.75" customHeight="1">
      <c r="A209" s="926" t="str">
        <f t="array" ref="A209">if(G209="","",XLOOKUP(D209,'プルダウンメニュー (SE用)'!$D$2:$D1028,'プルダウンメニュー (SE用)'!$C$2:$C1028))</f>
        <v>battle_se</v>
      </c>
      <c r="B209" s="926" t="str">
        <f>iferror(if(H209="GLOW流用","-",if(G209="","","SSE_"&amp;TEXT(vlookup(E209,'プルダウンメニュー (SE用)'!$E$2:$F1028,2,false),"000")&amp;"_"&amp;TEXT(COUNTIF($E$4:E209,E209),"000"))),"")</f>
        <v>SSE_051_098</v>
      </c>
      <c r="C209" s="860"/>
      <c r="D209" s="861" t="s">
        <v>3887</v>
      </c>
      <c r="E209" s="976" t="s">
        <v>3888</v>
      </c>
      <c r="F209" s="976" t="s">
        <v>3888</v>
      </c>
      <c r="G209" s="861" t="s">
        <v>4300</v>
      </c>
      <c r="H209" s="862" t="s">
        <v>3859</v>
      </c>
      <c r="I209" s="901" t="s">
        <v>3978</v>
      </c>
      <c r="J209" s="902" t="s">
        <v>4301</v>
      </c>
      <c r="K209" s="862" t="s">
        <v>3933</v>
      </c>
      <c r="L209" s="903" t="s">
        <v>3934</v>
      </c>
      <c r="M209" s="862" t="s">
        <v>4302</v>
      </c>
      <c r="N209" s="904" t="s">
        <v>4303</v>
      </c>
      <c r="O209" s="904"/>
      <c r="P209" s="868"/>
      <c r="Q209" s="868"/>
      <c r="R209" s="869"/>
      <c r="S209" s="143"/>
      <c r="T209" s="869"/>
      <c r="U209" s="869"/>
    </row>
    <row r="210" ht="15.75" customHeight="1">
      <c r="A210" s="926" t="str">
        <f t="array" ref="A210">if(G210="","",XLOOKUP(D210,'プルダウンメニュー (SE用)'!$D$2:$D1028,'プルダウンメニュー (SE用)'!$C$2:$C1028))</f>
        <v/>
      </c>
      <c r="B210" s="926" t="str">
        <f>iferror(if(H210="GLOW流用","-",if(G210="","","SSE_"&amp;TEXT(vlookup(E210,'プルダウンメニュー (SE用)'!$E$2:$F1028,2,false),"000")&amp;"_"&amp;TEXT(COUNTIF($E$4:E210,E210),"000"))),"")</f>
        <v/>
      </c>
      <c r="C210" s="860"/>
      <c r="D210" s="861"/>
      <c r="E210" s="976"/>
      <c r="F210" s="976"/>
      <c r="G210" s="861"/>
      <c r="H210" s="979"/>
      <c r="I210" s="980"/>
      <c r="J210" s="981"/>
      <c r="K210" s="981"/>
      <c r="L210" s="982"/>
      <c r="M210" s="979"/>
      <c r="N210" s="904"/>
      <c r="O210" s="904"/>
      <c r="P210" s="868"/>
      <c r="Q210" s="868"/>
      <c r="R210" s="869"/>
      <c r="S210" s="143"/>
      <c r="T210" s="869"/>
      <c r="U210" s="869"/>
    </row>
    <row r="211" ht="15.75" customHeight="1">
      <c r="A211" s="926" t="str">
        <f t="array" ref="A211">if(G211="","",XLOOKUP(D211,'プルダウンメニュー (SE用)'!$D$2:$D1028,'プルダウンメニュー (SE用)'!$C$2:$C1028))</f>
        <v/>
      </c>
      <c r="B211" s="926" t="str">
        <f>iferror(if(H211="GLOW流用","-",if(G211="","","SSE_"&amp;TEXT(vlookup(E211,'プルダウンメニュー (SE用)'!$E$2:$F1028,2,false),"000")&amp;"_"&amp;TEXT(COUNTIF($E$4:E211,E211),"000"))),"")</f>
        <v/>
      </c>
      <c r="C211" s="860"/>
      <c r="D211" s="861"/>
      <c r="E211" s="976"/>
      <c r="F211" s="976"/>
      <c r="G211" s="861"/>
      <c r="H211" s="979"/>
      <c r="I211" s="980"/>
      <c r="J211" s="981"/>
      <c r="K211" s="981"/>
      <c r="L211" s="982"/>
      <c r="M211" s="979"/>
      <c r="N211" s="904"/>
      <c r="O211" s="904"/>
      <c r="P211" s="868"/>
      <c r="Q211" s="868"/>
      <c r="R211" s="869"/>
      <c r="S211" s="143"/>
      <c r="T211" s="869"/>
      <c r="U211" s="869"/>
    </row>
    <row r="212" ht="15.75" customHeight="1">
      <c r="A212" s="926" t="str">
        <f t="array" ref="A212">if(G212="","",XLOOKUP(D212,'プルダウンメニュー (SE用)'!$D$2:$D1028,'プルダウンメニュー (SE用)'!$C$2:$C1028))</f>
        <v/>
      </c>
      <c r="B212" s="926" t="str">
        <f>iferror(if(H212="GLOW流用","-",if(G212="","","SSE_"&amp;TEXT(vlookup(E212,'プルダウンメニュー (SE用)'!$E$2:$F1028,2,false),"000")&amp;"_"&amp;TEXT(COUNTIF($E$4:E212,E212),"000"))),"")</f>
        <v/>
      </c>
      <c r="C212" s="860"/>
      <c r="D212" s="861"/>
      <c r="E212" s="976"/>
      <c r="F212" s="976"/>
      <c r="G212" s="861"/>
      <c r="H212" s="862"/>
      <c r="I212" s="901"/>
      <c r="J212" s="902"/>
      <c r="K212" s="902"/>
      <c r="L212" s="903"/>
      <c r="M212" s="862"/>
      <c r="N212" s="904"/>
      <c r="O212" s="904"/>
      <c r="P212" s="868"/>
      <c r="Q212" s="868"/>
      <c r="R212" s="869"/>
      <c r="S212" s="143"/>
      <c r="T212" s="869"/>
      <c r="U212" s="869"/>
    </row>
    <row r="213" ht="15.75" customHeight="1">
      <c r="A213" s="926" t="str">
        <f t="array" ref="A213">if(G213="","",XLOOKUP(D213,'プルダウンメニュー (SE用)'!$D$2:$D1028,'プルダウンメニュー (SE用)'!$C$2:$C1028))</f>
        <v/>
      </c>
      <c r="B213" s="926" t="str">
        <f>iferror(if(H213="GLOW流用","-",if(G213="","","SSE_"&amp;TEXT(vlookup(E213,'プルダウンメニュー (SE用)'!$E$2:$F1028,2,false),"000")&amp;"_"&amp;TEXT(COUNTIF($E$4:E213,E213),"000"))),"")</f>
        <v/>
      </c>
      <c r="C213" s="860"/>
      <c r="D213" s="861"/>
      <c r="E213" s="976"/>
      <c r="F213" s="976"/>
      <c r="G213" s="861"/>
      <c r="H213" s="862"/>
      <c r="I213" s="901"/>
      <c r="J213" s="902"/>
      <c r="K213" s="902"/>
      <c r="L213" s="903"/>
      <c r="M213" s="862"/>
      <c r="N213" s="904"/>
      <c r="O213" s="904"/>
      <c r="P213" s="868"/>
      <c r="Q213" s="868"/>
      <c r="R213" s="869"/>
      <c r="S213" s="143"/>
      <c r="T213" s="869"/>
      <c r="U213" s="869"/>
    </row>
    <row r="214" ht="15.75" customHeight="1">
      <c r="A214" s="926" t="str">
        <f t="array" ref="A214">if(G214="","",XLOOKUP(D214,'プルダウンメニュー (SE用)'!$D$2:$D1028,'プルダウンメニュー (SE用)'!$C$2:$C1028))</f>
        <v/>
      </c>
      <c r="B214" s="926" t="str">
        <f>iferror(if(H214="GLOW流用","-",if(G214="","","SSE_"&amp;TEXT(vlookup(E214,'プルダウンメニュー (SE用)'!$E$2:$F1028,2,false),"000")&amp;"_"&amp;TEXT(COUNTIF($E$4:E214,E214),"000"))),"")</f>
        <v/>
      </c>
      <c r="C214" s="860"/>
      <c r="D214" s="861"/>
      <c r="E214" s="976"/>
      <c r="F214" s="976"/>
      <c r="G214" s="861"/>
      <c r="H214" s="979"/>
      <c r="I214" s="980"/>
      <c r="J214" s="981"/>
      <c r="K214" s="981"/>
      <c r="L214" s="982"/>
      <c r="M214" s="979"/>
      <c r="N214" s="904"/>
      <c r="O214" s="904"/>
      <c r="P214" s="868"/>
      <c r="Q214" s="868"/>
      <c r="R214" s="869"/>
      <c r="S214" s="143"/>
      <c r="T214" s="869"/>
      <c r="U214" s="869"/>
    </row>
    <row r="215" ht="15.75" customHeight="1">
      <c r="A215" s="926" t="str">
        <f t="array" ref="A215">if(G215="","",XLOOKUP(D215,'プルダウンメニュー (SE用)'!$D$2:$D1028,'プルダウンメニュー (SE用)'!$C$2:$C1028))</f>
        <v/>
      </c>
      <c r="B215" s="926" t="str">
        <f>iferror(if(H215="GLOW流用","-",if(G215="","","SSE_"&amp;TEXT(vlookup(E215,'プルダウンメニュー (SE用)'!$E$2:$F1028,2,false),"000")&amp;"_"&amp;TEXT(COUNTIF($E$4:E215,E215),"000"))),"")</f>
        <v/>
      </c>
      <c r="C215" s="860"/>
      <c r="D215" s="861"/>
      <c r="E215" s="976"/>
      <c r="F215" s="976"/>
      <c r="G215" s="861"/>
      <c r="H215" s="862"/>
      <c r="I215" s="901"/>
      <c r="J215" s="902"/>
      <c r="K215" s="902"/>
      <c r="L215" s="903"/>
      <c r="M215" s="862"/>
      <c r="N215" s="904"/>
      <c r="O215" s="904"/>
      <c r="P215" s="868"/>
      <c r="Q215" s="868"/>
      <c r="R215" s="869"/>
      <c r="S215" s="143"/>
      <c r="T215" s="869"/>
      <c r="U215" s="869"/>
    </row>
    <row r="216" ht="15.75" customHeight="1">
      <c r="A216" s="926" t="str">
        <f t="array" ref="A216">if(G216="","",XLOOKUP(D216,'プルダウンメニュー (SE用)'!$D$2:$D1028,'プルダウンメニュー (SE用)'!$C$2:$C1028))</f>
        <v/>
      </c>
      <c r="B216" s="926" t="str">
        <f>iferror(if(H216="GLOW流用","-",if(G216="","","SSE_"&amp;TEXT(vlookup(E216,'プルダウンメニュー (SE用)'!$E$2:$F1028,2,false),"000")&amp;"_"&amp;TEXT(COUNTIF($E$4:E216,E216),"000"))),"")</f>
        <v/>
      </c>
      <c r="C216" s="860"/>
      <c r="D216" s="861"/>
      <c r="E216" s="976"/>
      <c r="F216" s="976"/>
      <c r="G216" s="861"/>
      <c r="H216" s="979"/>
      <c r="I216" s="980"/>
      <c r="J216" s="981"/>
      <c r="K216" s="981"/>
      <c r="L216" s="982"/>
      <c r="M216" s="979"/>
      <c r="N216" s="904"/>
      <c r="O216" s="904"/>
      <c r="P216" s="868"/>
      <c r="Q216" s="868"/>
      <c r="R216" s="869"/>
      <c r="S216" s="143"/>
      <c r="T216" s="869"/>
      <c r="U216" s="869"/>
    </row>
    <row r="217" ht="15.75" customHeight="1">
      <c r="A217" s="926" t="str">
        <f t="array" ref="A217">if(G217="","",XLOOKUP(D217,'プルダウンメニュー (SE用)'!$D$2:$D1028,'プルダウンメニュー (SE用)'!$C$2:$C1028))</f>
        <v/>
      </c>
      <c r="B217" s="926" t="str">
        <f>iferror(if(H217="GLOW流用","-",if(G217="","","SSE_"&amp;TEXT(vlookup(E217,'プルダウンメニュー (SE用)'!$E$2:$F1028,2,false),"000")&amp;"_"&amp;TEXT(COUNTIF($E$4:E217,E217),"000"))),"")</f>
        <v/>
      </c>
      <c r="C217" s="860"/>
      <c r="D217" s="861"/>
      <c r="E217" s="976"/>
      <c r="F217" s="976"/>
      <c r="G217" s="861"/>
      <c r="H217" s="862"/>
      <c r="I217" s="901"/>
      <c r="J217" s="902"/>
      <c r="K217" s="902"/>
      <c r="L217" s="903"/>
      <c r="M217" s="862"/>
      <c r="N217" s="904"/>
      <c r="O217" s="904"/>
      <c r="P217" s="868"/>
      <c r="Q217" s="868"/>
      <c r="R217" s="869"/>
      <c r="S217" s="143"/>
      <c r="T217" s="869"/>
      <c r="U217" s="869"/>
    </row>
    <row r="218" ht="15.75" customHeight="1">
      <c r="A218" s="926" t="str">
        <f t="array" ref="A218">if(G218="","",XLOOKUP(D218,'プルダウンメニュー (SE用)'!$D$2:$D1028,'プルダウンメニュー (SE用)'!$C$2:$C1028))</f>
        <v/>
      </c>
      <c r="B218" s="926" t="str">
        <f>iferror(if(H218="GLOW流用","-",if(G218="","","SSE_"&amp;TEXT(vlookup(E218,'プルダウンメニュー (SE用)'!$E$2:$F1028,2,false),"000")&amp;"_"&amp;TEXT(COUNTIF($E$4:E218,E218),"000"))),"")</f>
        <v/>
      </c>
      <c r="C218" s="860"/>
      <c r="D218" s="861"/>
      <c r="E218" s="976"/>
      <c r="F218" s="976"/>
      <c r="G218" s="861"/>
      <c r="H218" s="979"/>
      <c r="I218" s="980"/>
      <c r="J218" s="981"/>
      <c r="K218" s="981"/>
      <c r="L218" s="982"/>
      <c r="M218" s="979"/>
      <c r="N218" s="904"/>
      <c r="O218" s="904"/>
      <c r="P218" s="868"/>
      <c r="Q218" s="868"/>
      <c r="R218" s="869"/>
      <c r="S218" s="143"/>
      <c r="T218" s="869"/>
      <c r="U218" s="869"/>
    </row>
    <row r="219" ht="15.75" customHeight="1">
      <c r="A219" s="926" t="str">
        <f t="array" ref="A219">if(G219="","",XLOOKUP(D219,'プルダウンメニュー (SE用)'!$D$2:$D1028,'プルダウンメニュー (SE用)'!$C$2:$C1028))</f>
        <v/>
      </c>
      <c r="B219" s="926" t="str">
        <f>iferror(if(H219="GLOW流用","-",if(G219="","","SSE_"&amp;TEXT(vlookup(E219,'プルダウンメニュー (SE用)'!$E$2:$F1028,2,false),"000")&amp;"_"&amp;TEXT(COUNTIF($E$4:E219,E219),"000"))),"")</f>
        <v/>
      </c>
      <c r="C219" s="860"/>
      <c r="D219" s="861"/>
      <c r="E219" s="976"/>
      <c r="F219" s="976"/>
      <c r="G219" s="861"/>
      <c r="H219" s="862"/>
      <c r="I219" s="901"/>
      <c r="J219" s="902"/>
      <c r="K219" s="902"/>
      <c r="L219" s="903"/>
      <c r="M219" s="862"/>
      <c r="N219" s="904"/>
      <c r="O219" s="904"/>
      <c r="P219" s="868"/>
      <c r="Q219" s="868"/>
      <c r="R219" s="869"/>
      <c r="S219" s="143"/>
      <c r="T219" s="869"/>
      <c r="U219" s="869"/>
    </row>
    <row r="220">
      <c r="A220" s="926" t="str">
        <f t="array" ref="A220">if(G220="","",XLOOKUP(D220,'プルダウンメニュー (SE用)'!$D$2:$D1028,'プルダウンメニュー (SE用)'!$C$2:$C1028))</f>
        <v/>
      </c>
      <c r="B220" s="926" t="str">
        <f>iferror(if(H220="GLOW流用","-",if(G220="","","SSE_"&amp;TEXT(vlookup(E220,'プルダウンメニュー (SE用)'!$E$2:$F1028,2,false),"000")&amp;"_"&amp;TEXT(COUNTIF($E$4:E220,E220),"000"))),"")</f>
        <v/>
      </c>
      <c r="C220" s="860"/>
      <c r="D220" s="861"/>
      <c r="E220" s="976"/>
      <c r="F220" s="976"/>
      <c r="G220" s="861"/>
      <c r="H220" s="862"/>
      <c r="I220" s="901"/>
      <c r="J220" s="902"/>
      <c r="K220" s="902"/>
      <c r="L220" s="903"/>
      <c r="M220" s="862"/>
      <c r="N220" s="904"/>
      <c r="O220" s="904"/>
      <c r="P220" s="868"/>
      <c r="Q220" s="868"/>
      <c r="R220" s="869"/>
      <c r="S220" s="143"/>
      <c r="T220" s="869"/>
      <c r="U220" s="869"/>
    </row>
    <row r="221">
      <c r="A221" s="926" t="str">
        <f t="array" ref="A221">if(G221="","",XLOOKUP(D221,'プルダウンメニュー (SE用)'!$D$2:$D1028,'プルダウンメニュー (SE用)'!$C$2:$C1028))</f>
        <v/>
      </c>
      <c r="B221" s="926" t="str">
        <f>iferror(if(H221="GLOW流用","-",if(G221="","","SSE_"&amp;TEXT(vlookup(E221,'プルダウンメニュー (SE用)'!$E$2:$F1028,2,false),"000")&amp;"_"&amp;TEXT(COUNTIF($E$4:E221,E221),"000"))),"")</f>
        <v/>
      </c>
      <c r="C221" s="860"/>
      <c r="D221" s="861"/>
      <c r="E221" s="976"/>
      <c r="F221" s="976"/>
      <c r="G221" s="861"/>
      <c r="H221" s="862"/>
      <c r="I221" s="901"/>
      <c r="J221" s="902"/>
      <c r="K221" s="902"/>
      <c r="L221" s="903"/>
      <c r="M221" s="862"/>
      <c r="N221" s="904"/>
      <c r="O221" s="904"/>
      <c r="P221" s="868"/>
      <c r="Q221" s="868"/>
      <c r="R221" s="869"/>
      <c r="S221" s="143"/>
      <c r="T221" s="869"/>
      <c r="U221" s="869"/>
    </row>
    <row r="222">
      <c r="A222" s="926" t="str">
        <f t="array" ref="A222">if(G222="","",XLOOKUP(D222,'プルダウンメニュー (SE用)'!$D$2:$D1028,'プルダウンメニュー (SE用)'!$C$2:$C1028))</f>
        <v/>
      </c>
      <c r="B222" s="926" t="str">
        <f>iferror(if(H222="GLOW流用","-",if(G222="","","SSE_"&amp;TEXT(vlookup(E222,'プルダウンメニュー (SE用)'!$E$2:$F1028,2,false),"000")&amp;"_"&amp;TEXT(COUNTIF($E$4:E222,E222),"000"))),"")</f>
        <v/>
      </c>
      <c r="C222" s="860"/>
      <c r="D222" s="861"/>
      <c r="E222" s="976"/>
      <c r="F222" s="976"/>
      <c r="G222" s="861"/>
      <c r="H222" s="979"/>
      <c r="I222" s="980"/>
      <c r="J222" s="981"/>
      <c r="K222" s="981"/>
      <c r="L222" s="982"/>
      <c r="M222" s="979"/>
      <c r="N222" s="904"/>
      <c r="O222" s="904"/>
      <c r="P222" s="868"/>
      <c r="Q222" s="868"/>
      <c r="R222" s="869"/>
      <c r="S222" s="143"/>
      <c r="T222" s="869"/>
      <c r="U222" s="869"/>
    </row>
    <row r="223">
      <c r="A223" s="926" t="str">
        <f t="array" ref="A223">if(G223="","",XLOOKUP(D223,'プルダウンメニュー (SE用)'!$D$2:$D1028,'プルダウンメニュー (SE用)'!$C$2:$C1028))</f>
        <v/>
      </c>
      <c r="B223" s="926" t="str">
        <f>iferror(if(H223="GLOW流用","-",if(G223="","","SSE_"&amp;TEXT(vlookup(E223,'プルダウンメニュー (SE用)'!$E$2:$F1028,2,false),"000")&amp;"_"&amp;TEXT(COUNTIF($E$4:E223,E223),"000"))),"")</f>
        <v/>
      </c>
      <c r="C223" s="860"/>
      <c r="D223" s="861"/>
      <c r="E223" s="976"/>
      <c r="F223" s="976"/>
      <c r="G223" s="861"/>
      <c r="H223" s="862"/>
      <c r="I223" s="901"/>
      <c r="J223" s="902"/>
      <c r="K223" s="902"/>
      <c r="L223" s="903"/>
      <c r="M223" s="862"/>
      <c r="N223" s="904"/>
      <c r="O223" s="904"/>
      <c r="P223" s="868"/>
      <c r="Q223" s="868"/>
      <c r="R223" s="869"/>
      <c r="S223" s="143"/>
      <c r="T223" s="869"/>
      <c r="U223" s="869"/>
    </row>
    <row r="224">
      <c r="A224" s="926" t="str">
        <f t="array" ref="A224">if(G224="","",XLOOKUP(D224,'プルダウンメニュー (SE用)'!$D$2:$D1028,'プルダウンメニュー (SE用)'!$C$2:$C1028))</f>
        <v/>
      </c>
      <c r="B224" s="926" t="str">
        <f>iferror(if(H224="GLOW流用","-",if(G224="","","SSE_"&amp;TEXT(vlookup(E224,'プルダウンメニュー (SE用)'!$E$2:$F1028,2,false),"000")&amp;"_"&amp;TEXT(COUNTIF($E$4:E224,E224),"000"))),"")</f>
        <v/>
      </c>
      <c r="C224" s="860"/>
      <c r="D224" s="861"/>
      <c r="E224" s="976"/>
      <c r="F224" s="976"/>
      <c r="G224" s="861"/>
      <c r="H224" s="862"/>
      <c r="I224" s="901"/>
      <c r="J224" s="902"/>
      <c r="K224" s="902"/>
      <c r="L224" s="903"/>
      <c r="M224" s="862"/>
      <c r="N224" s="904"/>
      <c r="O224" s="904"/>
      <c r="P224" s="868"/>
      <c r="Q224" s="868"/>
      <c r="R224" s="869"/>
      <c r="S224" s="143"/>
      <c r="T224" s="869"/>
      <c r="U224" s="869"/>
    </row>
    <row r="225">
      <c r="A225" s="926" t="str">
        <f t="array" ref="A225">if(G225="","",XLOOKUP(D225,'プルダウンメニュー (SE用)'!$D$2:$D1028,'プルダウンメニュー (SE用)'!$C$2:$C1028))</f>
        <v/>
      </c>
      <c r="B225" s="926" t="str">
        <f>iferror(if(H225="GLOW流用","-",if(G225="","","SSE_"&amp;TEXT(vlookup(E225,'プルダウンメニュー (SE用)'!$E$2:$F1028,2,false),"000")&amp;"_"&amp;TEXT(COUNTIF($E$4:E225,E225),"000"))),"")</f>
        <v/>
      </c>
      <c r="C225" s="860"/>
      <c r="D225" s="861"/>
      <c r="E225" s="976"/>
      <c r="F225" s="976"/>
      <c r="G225" s="861"/>
      <c r="H225" s="862"/>
      <c r="I225" s="901"/>
      <c r="J225" s="902"/>
      <c r="K225" s="902"/>
      <c r="L225" s="903"/>
      <c r="M225" s="862"/>
      <c r="N225" s="904"/>
      <c r="O225" s="904"/>
      <c r="P225" s="868"/>
      <c r="Q225" s="868"/>
      <c r="R225" s="869"/>
      <c r="S225" s="143"/>
      <c r="T225" s="869"/>
      <c r="U225" s="869"/>
    </row>
    <row r="226">
      <c r="A226" s="926" t="str">
        <f t="array" ref="A226">if(G226="","",XLOOKUP(D226,'プルダウンメニュー (SE用)'!$D$2:$D1028,'プルダウンメニュー (SE用)'!$C$2:$C1028))</f>
        <v/>
      </c>
      <c r="B226" s="926" t="str">
        <f>iferror(if(H226="GLOW流用","-",if(G226="","","SSE_"&amp;TEXT(vlookup(E226,'プルダウンメニュー (SE用)'!$E$2:$F1028,2,false),"000")&amp;"_"&amp;TEXT(COUNTIF($E$4:E226,E226),"000"))),"")</f>
        <v/>
      </c>
      <c r="C226" s="860"/>
      <c r="D226" s="861"/>
      <c r="E226" s="976"/>
      <c r="F226" s="976"/>
      <c r="G226" s="861"/>
      <c r="H226" s="862"/>
      <c r="I226" s="901"/>
      <c r="J226" s="902"/>
      <c r="K226" s="902"/>
      <c r="L226" s="903"/>
      <c r="M226" s="862"/>
      <c r="N226" s="904"/>
      <c r="O226" s="904"/>
      <c r="P226" s="868"/>
      <c r="Q226" s="868"/>
      <c r="R226" s="869"/>
      <c r="S226" s="143"/>
      <c r="T226" s="869"/>
      <c r="U226" s="869"/>
    </row>
    <row r="227">
      <c r="A227" s="926" t="str">
        <f t="array" ref="A227">if(G227="","",XLOOKUP(D227,'プルダウンメニュー (SE用)'!$D$2:$D1028,'プルダウンメニュー (SE用)'!$C$2:$C1028))</f>
        <v/>
      </c>
      <c r="B227" s="926" t="str">
        <f>iferror(if(H227="GLOW流用","-",if(G227="","","SSE_"&amp;TEXT(vlookup(E227,'プルダウンメニュー (SE用)'!$E$2:$F1028,2,false),"000")&amp;"_"&amp;TEXT(COUNTIF($E$4:E227,E227),"000"))),"")</f>
        <v/>
      </c>
      <c r="C227" s="860"/>
      <c r="D227" s="861"/>
      <c r="E227" s="976"/>
      <c r="F227" s="976"/>
      <c r="G227" s="861"/>
      <c r="H227" s="862"/>
      <c r="I227" s="901"/>
      <c r="J227" s="902"/>
      <c r="K227" s="902"/>
      <c r="L227" s="903"/>
      <c r="M227" s="862"/>
      <c r="N227" s="904"/>
      <c r="O227" s="904"/>
      <c r="P227" s="868"/>
      <c r="Q227" s="868"/>
      <c r="R227" s="869"/>
      <c r="S227" s="143"/>
      <c r="T227" s="869"/>
      <c r="U227" s="869"/>
    </row>
    <row r="228">
      <c r="A228" s="926" t="str">
        <f t="array" ref="A228">if(G228="","",XLOOKUP(D228,'プルダウンメニュー (SE用)'!$D$2:$D1028,'プルダウンメニュー (SE用)'!$C$2:$C1028))</f>
        <v/>
      </c>
      <c r="B228" s="926" t="str">
        <f>iferror(if(H228="GLOW流用","-",if(G228="","","SSE_"&amp;TEXT(vlookup(E228,'プルダウンメニュー (SE用)'!$E$2:$F1028,2,false),"000")&amp;"_"&amp;TEXT(COUNTIF($E$4:E228,E228),"000"))),"")</f>
        <v/>
      </c>
      <c r="C228" s="860"/>
      <c r="D228" s="861"/>
      <c r="E228" s="976"/>
      <c r="F228" s="976"/>
      <c r="G228" s="861"/>
      <c r="H228" s="862"/>
      <c r="I228" s="901"/>
      <c r="J228" s="902"/>
      <c r="K228" s="902"/>
      <c r="L228" s="903"/>
      <c r="M228" s="862"/>
      <c r="N228" s="904"/>
      <c r="O228" s="904"/>
      <c r="P228" s="868"/>
      <c r="Q228" s="868"/>
      <c r="R228" s="869"/>
      <c r="S228" s="143"/>
      <c r="T228" s="869"/>
      <c r="U228" s="869"/>
    </row>
    <row r="229">
      <c r="A229" s="926" t="str">
        <f t="array" ref="A229">if(G229="","",XLOOKUP(D229,'プルダウンメニュー (SE用)'!$D$2:$D1028,'プルダウンメニュー (SE用)'!$C$2:$C1028))</f>
        <v/>
      </c>
      <c r="B229" s="926" t="str">
        <f>iferror(if(H229="GLOW流用","-",if(G229="","","SSE_"&amp;TEXT(vlookup(E229,'プルダウンメニュー (SE用)'!$E$2:$F1028,2,false),"000")&amp;"_"&amp;TEXT(COUNTIF($E$4:E229,E229),"000"))),"")</f>
        <v/>
      </c>
      <c r="C229" s="860"/>
      <c r="D229" s="861"/>
      <c r="E229" s="976"/>
      <c r="F229" s="976"/>
      <c r="G229" s="861"/>
      <c r="H229" s="862"/>
      <c r="I229" s="901"/>
      <c r="J229" s="902"/>
      <c r="K229" s="902"/>
      <c r="L229" s="903"/>
      <c r="M229" s="862"/>
      <c r="N229" s="904"/>
      <c r="O229" s="904"/>
      <c r="P229" s="868"/>
      <c r="Q229" s="868"/>
      <c r="R229" s="869"/>
      <c r="S229" s="143"/>
      <c r="T229" s="869"/>
      <c r="U229" s="869"/>
    </row>
    <row r="230">
      <c r="A230" s="926" t="str">
        <f t="array" ref="A230">if(G230="","",XLOOKUP(D230,'プルダウンメニュー (SE用)'!$D$2:$D1028,'プルダウンメニュー (SE用)'!$C$2:$C1028))</f>
        <v/>
      </c>
      <c r="B230" s="926" t="str">
        <f>iferror(if(H230="GLOW流用","-",if(G230="","","SSE_"&amp;TEXT(vlookup(E230,'プルダウンメニュー (SE用)'!$E$2:$F1028,2,false),"000")&amp;"_"&amp;TEXT(COUNTIF($E$4:E230,E230),"000"))),"")</f>
        <v/>
      </c>
      <c r="C230" s="860"/>
      <c r="D230" s="861"/>
      <c r="E230" s="976"/>
      <c r="F230" s="976"/>
      <c r="G230" s="861"/>
      <c r="H230" s="862"/>
      <c r="I230" s="901"/>
      <c r="J230" s="902"/>
      <c r="K230" s="902"/>
      <c r="L230" s="903"/>
      <c r="M230" s="862"/>
      <c r="N230" s="904"/>
      <c r="O230" s="904"/>
      <c r="P230" s="868"/>
      <c r="Q230" s="868"/>
      <c r="R230" s="869"/>
      <c r="S230" s="143"/>
      <c r="T230" s="869"/>
      <c r="U230" s="869"/>
    </row>
    <row r="231">
      <c r="A231" s="926" t="str">
        <f t="array" ref="A231">if(G231="","",XLOOKUP(D231,'プルダウンメニュー (SE用)'!$D$2:$D1028,'プルダウンメニュー (SE用)'!$C$2:$C1028))</f>
        <v/>
      </c>
      <c r="B231" s="926" t="str">
        <f>iferror(if(H231="GLOW流用","-",if(G231="","","SSE_"&amp;TEXT(vlookup(E231,'プルダウンメニュー (SE用)'!$E$2:$F1028,2,false),"000")&amp;"_"&amp;TEXT(COUNTIF($E$4:E231,E231),"000"))),"")</f>
        <v/>
      </c>
      <c r="C231" s="860"/>
      <c r="D231" s="861"/>
      <c r="E231" s="976"/>
      <c r="F231" s="976"/>
      <c r="G231" s="861"/>
      <c r="H231" s="862"/>
      <c r="I231" s="901"/>
      <c r="J231" s="902"/>
      <c r="K231" s="902"/>
      <c r="L231" s="903"/>
      <c r="M231" s="862"/>
      <c r="N231" s="904"/>
      <c r="O231" s="904"/>
      <c r="P231" s="868"/>
      <c r="Q231" s="868"/>
      <c r="R231" s="869"/>
      <c r="S231" s="143"/>
      <c r="T231" s="869"/>
      <c r="U231" s="869"/>
    </row>
    <row r="232">
      <c r="A232" s="926" t="str">
        <f t="array" ref="A232">if(G232="","",XLOOKUP(D232,'プルダウンメニュー (SE用)'!$D$2:$D1028,'プルダウンメニュー (SE用)'!$C$2:$C1028))</f>
        <v/>
      </c>
      <c r="B232" s="926" t="str">
        <f>iferror(if(H232="GLOW流用","-",if(G232="","","SSE_"&amp;TEXT(vlookup(E232,'プルダウンメニュー (SE用)'!$E$2:$F1028,2,false),"000")&amp;"_"&amp;TEXT(COUNTIF($E$4:E232,E232),"000"))),"")</f>
        <v/>
      </c>
      <c r="C232" s="860"/>
      <c r="D232" s="861"/>
      <c r="E232" s="976"/>
      <c r="F232" s="976"/>
      <c r="G232" s="861"/>
      <c r="H232" s="862"/>
      <c r="I232" s="901"/>
      <c r="J232" s="902"/>
      <c r="K232" s="902"/>
      <c r="L232" s="903"/>
      <c r="M232" s="862"/>
      <c r="N232" s="904"/>
      <c r="O232" s="904"/>
      <c r="P232" s="868"/>
      <c r="Q232" s="868"/>
      <c r="R232" s="869"/>
      <c r="S232" s="143"/>
      <c r="T232" s="869"/>
      <c r="U232" s="869"/>
    </row>
    <row r="233">
      <c r="A233" s="926" t="str">
        <f t="array" ref="A233">if(G233="","",XLOOKUP(D233,'プルダウンメニュー (SE用)'!$D$2:$D1028,'プルダウンメニュー (SE用)'!$C$2:$C1028))</f>
        <v/>
      </c>
      <c r="B233" s="926" t="str">
        <f>iferror(if(H233="GLOW流用","-",if(G233="","","SSE_"&amp;TEXT(vlookup(E233,'プルダウンメニュー (SE用)'!$E$2:$F1028,2,false),"000")&amp;"_"&amp;TEXT(COUNTIF($E$4:E233,E233),"000"))),"")</f>
        <v/>
      </c>
      <c r="C233" s="860"/>
      <c r="D233" s="861"/>
      <c r="E233" s="976"/>
      <c r="F233" s="976"/>
      <c r="G233" s="861"/>
      <c r="H233" s="862"/>
      <c r="I233" s="901"/>
      <c r="J233" s="902"/>
      <c r="K233" s="902"/>
      <c r="L233" s="903"/>
      <c r="M233" s="862"/>
      <c r="N233" s="904"/>
      <c r="O233" s="904"/>
      <c r="P233" s="868"/>
      <c r="Q233" s="868"/>
      <c r="R233" s="869"/>
      <c r="S233" s="143"/>
      <c r="T233" s="869"/>
      <c r="U233" s="869"/>
    </row>
    <row r="234">
      <c r="A234" s="926" t="str">
        <f t="array" ref="A234">if(G234="","",XLOOKUP(D234,'プルダウンメニュー (SE用)'!$D$2:$D1028,'プルダウンメニュー (SE用)'!$C$2:$C1028))</f>
        <v/>
      </c>
      <c r="B234" s="926" t="str">
        <f>iferror(if(H234="GLOW流用","-",if(G234="","","SSE_"&amp;TEXT(vlookup(E234,'プルダウンメニュー (SE用)'!$E$2:$F1028,2,false),"000")&amp;"_"&amp;TEXT(COUNTIF($E$4:E234,E234),"000"))),"")</f>
        <v/>
      </c>
      <c r="C234" s="860"/>
      <c r="D234" s="861"/>
      <c r="E234" s="976"/>
      <c r="F234" s="976"/>
      <c r="G234" s="861"/>
      <c r="H234" s="862"/>
      <c r="I234" s="901"/>
      <c r="J234" s="902"/>
      <c r="K234" s="902"/>
      <c r="L234" s="903"/>
      <c r="M234" s="862"/>
      <c r="N234" s="904"/>
      <c r="O234" s="904"/>
      <c r="P234" s="868"/>
      <c r="Q234" s="868"/>
      <c r="R234" s="869"/>
      <c r="S234" s="143"/>
      <c r="T234" s="869"/>
      <c r="U234" s="869"/>
    </row>
    <row r="235">
      <c r="A235" s="926" t="str">
        <f t="array" ref="A235">if(G235="","",XLOOKUP(D235,'プルダウンメニュー (SE用)'!$D$2:$D1028,'プルダウンメニュー (SE用)'!$C$2:$C1028))</f>
        <v/>
      </c>
      <c r="B235" s="926" t="str">
        <f>iferror(if(H235="GLOW流用","-",if(G235="","","SSE_"&amp;TEXT(vlookup(E235,'プルダウンメニュー (SE用)'!$E$2:$F1028,2,false),"000")&amp;"_"&amp;TEXT(COUNTIF($E$4:E235,E235),"000"))),"")</f>
        <v/>
      </c>
      <c r="C235" s="860"/>
      <c r="D235" s="861"/>
      <c r="E235" s="976"/>
      <c r="F235" s="976"/>
      <c r="G235" s="861"/>
      <c r="H235" s="862"/>
      <c r="I235" s="901"/>
      <c r="J235" s="902"/>
      <c r="K235" s="902"/>
      <c r="L235" s="903"/>
      <c r="M235" s="862"/>
      <c r="N235" s="904"/>
      <c r="O235" s="904"/>
      <c r="P235" s="868"/>
      <c r="Q235" s="868"/>
      <c r="R235" s="869"/>
      <c r="S235" s="143"/>
      <c r="T235" s="869"/>
      <c r="U235" s="869"/>
    </row>
    <row r="236">
      <c r="A236" s="926" t="str">
        <f t="array" ref="A236">if(G236="","",XLOOKUP(D236,'プルダウンメニュー (SE用)'!$D$2:$D1028,'プルダウンメニュー (SE用)'!$C$2:$C1028))</f>
        <v/>
      </c>
      <c r="B236" s="926" t="str">
        <f>iferror(if(H236="GLOW流用","-",if(G236="","","SSE_"&amp;TEXT(vlookup(E236,'プルダウンメニュー (SE用)'!$E$2:$F1028,2,false),"000")&amp;"_"&amp;TEXT(COUNTIF($E$4:E236,E236),"000"))),"")</f>
        <v/>
      </c>
      <c r="C236" s="860"/>
      <c r="D236" s="861"/>
      <c r="E236" s="976"/>
      <c r="F236" s="976"/>
      <c r="G236" s="861"/>
      <c r="H236" s="862"/>
      <c r="I236" s="901"/>
      <c r="J236" s="902"/>
      <c r="K236" s="902"/>
      <c r="L236" s="903"/>
      <c r="M236" s="862"/>
      <c r="N236" s="904"/>
      <c r="O236" s="904"/>
      <c r="P236" s="868"/>
      <c r="Q236" s="868"/>
      <c r="R236" s="869"/>
      <c r="S236" s="143"/>
      <c r="T236" s="869"/>
      <c r="U236" s="869"/>
    </row>
    <row r="237">
      <c r="A237" s="926" t="str">
        <f t="array" ref="A237">if(G237="","",XLOOKUP(D237,'プルダウンメニュー (SE用)'!$D$2:$D1028,'プルダウンメニュー (SE用)'!$C$2:$C1028))</f>
        <v/>
      </c>
      <c r="B237" s="926" t="str">
        <f>iferror(if(H237="GLOW流用","-",if(G237="","","SSE_"&amp;TEXT(vlookup(E237,'プルダウンメニュー (SE用)'!$E$2:$F1028,2,false),"000")&amp;"_"&amp;TEXT(COUNTIF($E$4:E237,E237),"000"))),"")</f>
        <v/>
      </c>
      <c r="C237" s="860"/>
      <c r="D237" s="861"/>
      <c r="E237" s="976"/>
      <c r="F237" s="976"/>
      <c r="G237" s="861"/>
      <c r="H237" s="862"/>
      <c r="I237" s="901"/>
      <c r="J237" s="902"/>
      <c r="K237" s="902"/>
      <c r="L237" s="903"/>
      <c r="M237" s="862"/>
      <c r="N237" s="904"/>
      <c r="O237" s="904"/>
      <c r="P237" s="868"/>
      <c r="Q237" s="868"/>
      <c r="R237" s="869"/>
      <c r="S237" s="143"/>
      <c r="T237" s="869"/>
      <c r="U237" s="869"/>
    </row>
    <row r="238">
      <c r="A238" s="926" t="str">
        <f t="array" ref="A238">if(G238="","",XLOOKUP(D238,'プルダウンメニュー (SE用)'!$D$2:$D1028,'プルダウンメニュー (SE用)'!$C$2:$C1028))</f>
        <v/>
      </c>
      <c r="B238" s="926" t="str">
        <f>iferror(if(H238="GLOW流用","-",if(G238="","","SSE_"&amp;TEXT(vlookup(E238,'プルダウンメニュー (SE用)'!$E$2:$F1028,2,false),"000")&amp;"_"&amp;TEXT(COUNTIF($E$4:E238,E238),"000"))),"")</f>
        <v/>
      </c>
      <c r="C238" s="860"/>
      <c r="D238" s="861"/>
      <c r="E238" s="976"/>
      <c r="F238" s="976"/>
      <c r="G238" s="861"/>
      <c r="H238" s="862"/>
      <c r="I238" s="901"/>
      <c r="J238" s="902"/>
      <c r="K238" s="902"/>
      <c r="L238" s="903"/>
      <c r="M238" s="862"/>
      <c r="N238" s="904"/>
      <c r="O238" s="904"/>
      <c r="P238" s="868"/>
      <c r="Q238" s="868"/>
      <c r="R238" s="869"/>
      <c r="S238" s="143"/>
      <c r="T238" s="869"/>
      <c r="U238" s="869"/>
    </row>
    <row r="239">
      <c r="A239" s="926" t="str">
        <f t="array" ref="A239">if(G239="","",XLOOKUP(D239,'プルダウンメニュー (SE用)'!$D$2:$D1028,'プルダウンメニュー (SE用)'!$C$2:$C1028))</f>
        <v/>
      </c>
      <c r="B239" s="926" t="str">
        <f>iferror(if(H239="GLOW流用","-",if(G239="","","SSE_"&amp;TEXT(vlookup(E239,'プルダウンメニュー (SE用)'!$E$2:$F1028,2,false),"000")&amp;"_"&amp;TEXT(COUNTIF($E$4:E239,E239),"000"))),"")</f>
        <v/>
      </c>
      <c r="C239" s="860"/>
      <c r="D239" s="861"/>
      <c r="E239" s="976"/>
      <c r="F239" s="976"/>
      <c r="G239" s="861"/>
      <c r="H239" s="862"/>
      <c r="I239" s="901"/>
      <c r="J239" s="902"/>
      <c r="K239" s="902"/>
      <c r="L239" s="903"/>
      <c r="M239" s="862"/>
      <c r="N239" s="904"/>
      <c r="O239" s="904"/>
      <c r="P239" s="868"/>
      <c r="Q239" s="868"/>
      <c r="R239" s="869"/>
      <c r="S239" s="143"/>
      <c r="T239" s="869"/>
      <c r="U239" s="869"/>
    </row>
    <row r="240">
      <c r="A240" s="926" t="str">
        <f t="array" ref="A240">if(G240="","",XLOOKUP(D240,'プルダウンメニュー (SE用)'!$D$2:$D1028,'プルダウンメニュー (SE用)'!$C$2:$C1028))</f>
        <v/>
      </c>
      <c r="B240" s="926" t="str">
        <f>iferror(if(H240="GLOW流用","-",if(G240="","","SSE_"&amp;TEXT(vlookup(E240,'プルダウンメニュー (SE用)'!$E$2:$F1028,2,false),"000")&amp;"_"&amp;TEXT(COUNTIF($E$4:E240,E240),"000"))),"")</f>
        <v/>
      </c>
      <c r="C240" s="860"/>
      <c r="D240" s="861"/>
      <c r="E240" s="976"/>
      <c r="F240" s="976"/>
      <c r="G240" s="861"/>
      <c r="H240" s="862"/>
      <c r="I240" s="901"/>
      <c r="J240" s="902"/>
      <c r="K240" s="902"/>
      <c r="L240" s="903"/>
      <c r="M240" s="862"/>
      <c r="N240" s="904"/>
      <c r="O240" s="904"/>
      <c r="P240" s="868"/>
      <c r="Q240" s="868"/>
      <c r="R240" s="869"/>
      <c r="S240" s="143"/>
      <c r="T240" s="869"/>
      <c r="U240" s="869"/>
    </row>
    <row r="241">
      <c r="A241" s="926" t="str">
        <f t="array" ref="A241">if(G241="","",XLOOKUP(D241,'プルダウンメニュー (SE用)'!$D$2:$D1028,'プルダウンメニュー (SE用)'!$C$2:$C1028))</f>
        <v/>
      </c>
      <c r="B241" s="926" t="str">
        <f>iferror(if(H241="GLOW流用","-",if(G241="","","SSE_"&amp;TEXT(vlookup(E241,'プルダウンメニュー (SE用)'!$E$2:$F1028,2,false),"000")&amp;"_"&amp;TEXT(COUNTIF($E$4:E241,E241),"000"))),"")</f>
        <v/>
      </c>
      <c r="C241" s="860"/>
      <c r="D241" s="861"/>
      <c r="E241" s="976"/>
      <c r="F241" s="976"/>
      <c r="G241" s="861"/>
      <c r="H241" s="862"/>
      <c r="I241" s="901"/>
      <c r="J241" s="902"/>
      <c r="K241" s="902"/>
      <c r="L241" s="903"/>
      <c r="M241" s="862"/>
      <c r="N241" s="904"/>
      <c r="O241" s="904"/>
      <c r="P241" s="868"/>
      <c r="Q241" s="868"/>
      <c r="R241" s="869"/>
      <c r="S241" s="143"/>
      <c r="T241" s="869"/>
      <c r="U241" s="869"/>
    </row>
    <row r="242">
      <c r="A242" s="926" t="str">
        <f t="array" ref="A242">if(G242="","",XLOOKUP(D242,'プルダウンメニュー (SE用)'!$D$2:$D1028,'プルダウンメニュー (SE用)'!$C$2:$C1028))</f>
        <v/>
      </c>
      <c r="B242" s="926" t="str">
        <f>iferror(if(H242="GLOW流用","-",if(G242="","","SSE_"&amp;TEXT(vlookup(E242,'プルダウンメニュー (SE用)'!$E$2:$F1028,2,false),"000")&amp;"_"&amp;TEXT(COUNTIF($E$4:E242,E242),"000"))),"")</f>
        <v/>
      </c>
      <c r="C242" s="860"/>
      <c r="D242" s="861"/>
      <c r="E242" s="976"/>
      <c r="F242" s="976"/>
      <c r="G242" s="861"/>
      <c r="H242" s="862"/>
      <c r="I242" s="901"/>
      <c r="J242" s="902"/>
      <c r="K242" s="902"/>
      <c r="L242" s="903"/>
      <c r="M242" s="862"/>
      <c r="N242" s="904"/>
      <c r="O242" s="904"/>
      <c r="P242" s="868"/>
      <c r="Q242" s="868"/>
      <c r="R242" s="869"/>
      <c r="S242" s="143"/>
      <c r="T242" s="869"/>
      <c r="U242" s="869"/>
    </row>
    <row r="243">
      <c r="A243" s="926" t="str">
        <f t="array" ref="A243">if(G243="","",XLOOKUP(D243,'プルダウンメニュー (SE用)'!$D$2:$D1028,'プルダウンメニュー (SE用)'!$C$2:$C1028))</f>
        <v/>
      </c>
      <c r="B243" s="926" t="str">
        <f>iferror(if(H243="GLOW流用","-",if(G243="","","SSE_"&amp;TEXT(vlookup(E243,'プルダウンメニュー (SE用)'!$E$2:$F1028,2,false),"000")&amp;"_"&amp;TEXT(COUNTIF($E$4:E243,E243),"000"))),"")</f>
        <v/>
      </c>
      <c r="C243" s="860"/>
      <c r="D243" s="861"/>
      <c r="E243" s="976"/>
      <c r="F243" s="976"/>
      <c r="G243" s="861"/>
      <c r="H243" s="862"/>
      <c r="I243" s="901"/>
      <c r="J243" s="902"/>
      <c r="K243" s="902"/>
      <c r="L243" s="903"/>
      <c r="M243" s="862"/>
      <c r="N243" s="904"/>
      <c r="O243" s="904"/>
      <c r="P243" s="868"/>
      <c r="Q243" s="868"/>
      <c r="R243" s="869"/>
      <c r="S243" s="143"/>
      <c r="T243" s="869"/>
      <c r="U243" s="869"/>
    </row>
    <row r="244">
      <c r="A244" s="926" t="str">
        <f t="array" ref="A244">if(G244="","",XLOOKUP(D244,'プルダウンメニュー (SE用)'!$D$2:$D1028,'プルダウンメニュー (SE用)'!$C$2:$C1028))</f>
        <v/>
      </c>
      <c r="B244" s="926" t="str">
        <f>iferror(if(H244="GLOW流用","-",if(G244="","","SSE_"&amp;TEXT(vlookup(E244,'プルダウンメニュー (SE用)'!$E$2:$F1028,2,false),"000")&amp;"_"&amp;TEXT(COUNTIF($E$4:E244,E244),"000"))),"")</f>
        <v/>
      </c>
      <c r="C244" s="860"/>
      <c r="D244" s="861"/>
      <c r="E244" s="976"/>
      <c r="F244" s="976"/>
      <c r="G244" s="861"/>
      <c r="H244" s="862"/>
      <c r="I244" s="901"/>
      <c r="J244" s="902"/>
      <c r="K244" s="902"/>
      <c r="L244" s="903"/>
      <c r="M244" s="862"/>
      <c r="N244" s="904"/>
      <c r="O244" s="904"/>
      <c r="P244" s="868"/>
      <c r="Q244" s="868"/>
      <c r="R244" s="869"/>
      <c r="S244" s="143"/>
      <c r="T244" s="869"/>
      <c r="U244" s="869"/>
    </row>
    <row r="245">
      <c r="A245" s="926" t="str">
        <f t="array" ref="A245">if(G245="","",XLOOKUP(D245,'プルダウンメニュー (SE用)'!$D$2:$D1028,'プルダウンメニュー (SE用)'!$C$2:$C1028))</f>
        <v/>
      </c>
      <c r="B245" s="926" t="str">
        <f>iferror(if(H245="GLOW流用","-",if(G245="","","SSE_"&amp;TEXT(vlookup(E245,'プルダウンメニュー (SE用)'!$E$2:$F1028,2,false),"000")&amp;"_"&amp;TEXT(COUNTIF($E$4:E245,E245),"000"))),"")</f>
        <v/>
      </c>
      <c r="C245" s="860"/>
      <c r="D245" s="861"/>
      <c r="E245" s="976"/>
      <c r="F245" s="976"/>
      <c r="G245" s="861"/>
      <c r="H245" s="862"/>
      <c r="I245" s="901"/>
      <c r="J245" s="902"/>
      <c r="K245" s="902"/>
      <c r="L245" s="903"/>
      <c r="M245" s="862"/>
      <c r="N245" s="904"/>
      <c r="O245" s="904"/>
      <c r="P245" s="868"/>
      <c r="Q245" s="868"/>
      <c r="R245" s="869"/>
      <c r="S245" s="143"/>
      <c r="T245" s="869"/>
      <c r="U245" s="869"/>
    </row>
    <row r="246">
      <c r="A246" s="926" t="str">
        <f t="array" ref="A246">if(G246="","",XLOOKUP(D246,'プルダウンメニュー (SE用)'!$D$2:$D1028,'プルダウンメニュー (SE用)'!$C$2:$C1028))</f>
        <v/>
      </c>
      <c r="B246" s="926" t="str">
        <f>iferror(if(H246="GLOW流用","-",if(G246="","","SSE_"&amp;TEXT(vlookup(E246,'プルダウンメニュー (SE用)'!$E$2:$F1028,2,false),"000")&amp;"_"&amp;TEXT(COUNTIF($E$4:E246,E246),"000"))),"")</f>
        <v/>
      </c>
      <c r="C246" s="860"/>
      <c r="D246" s="861"/>
      <c r="E246" s="976"/>
      <c r="F246" s="976"/>
      <c r="G246" s="861"/>
      <c r="H246" s="862"/>
      <c r="I246" s="901"/>
      <c r="J246" s="902"/>
      <c r="K246" s="902"/>
      <c r="L246" s="903"/>
      <c r="M246" s="862"/>
      <c r="N246" s="904"/>
      <c r="O246" s="904"/>
      <c r="P246" s="868"/>
      <c r="Q246" s="868"/>
      <c r="R246" s="869"/>
      <c r="S246" s="143"/>
      <c r="T246" s="869"/>
      <c r="U246" s="869"/>
    </row>
    <row r="247">
      <c r="A247" s="926" t="str">
        <f t="array" ref="A247">if(G247="","",XLOOKUP(D247,'プルダウンメニュー (SE用)'!$D$2:$D1028,'プルダウンメニュー (SE用)'!$C$2:$C1028))</f>
        <v/>
      </c>
      <c r="B247" s="926" t="str">
        <f>iferror(if(H247="GLOW流用","-",if(G247="","","SSE_"&amp;TEXT(vlookup(E247,'プルダウンメニュー (SE用)'!$E$2:$F1028,2,false),"000")&amp;"_"&amp;TEXT(COUNTIF($E$4:E247,E247),"000"))),"")</f>
        <v/>
      </c>
      <c r="C247" s="860"/>
      <c r="D247" s="861"/>
      <c r="E247" s="976"/>
      <c r="F247" s="976"/>
      <c r="G247" s="861"/>
      <c r="H247" s="862"/>
      <c r="I247" s="901"/>
      <c r="J247" s="902"/>
      <c r="K247" s="902"/>
      <c r="L247" s="903"/>
      <c r="M247" s="862"/>
      <c r="N247" s="904"/>
      <c r="O247" s="904"/>
      <c r="P247" s="868"/>
      <c r="Q247" s="868"/>
      <c r="R247" s="869"/>
      <c r="S247" s="143"/>
      <c r="T247" s="869"/>
      <c r="U247" s="869"/>
    </row>
    <row r="248">
      <c r="A248" s="926" t="str">
        <f t="array" ref="A248">if(G248="","",XLOOKUP(D248,'プルダウンメニュー (SE用)'!$D$2:$D1028,'プルダウンメニュー (SE用)'!$C$2:$C1028))</f>
        <v/>
      </c>
      <c r="B248" s="926" t="str">
        <f>iferror(if(H248="GLOW流用","-",if(G248="","","SSE_"&amp;TEXT(vlookup(E248,'プルダウンメニュー (SE用)'!$E$2:$F1028,2,false),"000")&amp;"_"&amp;TEXT(COUNTIF($E$4:E248,E248),"000"))),"")</f>
        <v/>
      </c>
      <c r="C248" s="860"/>
      <c r="D248" s="861"/>
      <c r="E248" s="976"/>
      <c r="F248" s="976"/>
      <c r="G248" s="861"/>
      <c r="H248" s="862"/>
      <c r="I248" s="901"/>
      <c r="J248" s="902"/>
      <c r="K248" s="902"/>
      <c r="L248" s="903"/>
      <c r="M248" s="862"/>
      <c r="N248" s="904"/>
      <c r="O248" s="904"/>
      <c r="P248" s="868"/>
      <c r="Q248" s="868"/>
      <c r="R248" s="869"/>
      <c r="S248" s="143"/>
      <c r="T248" s="869"/>
      <c r="U248" s="869"/>
    </row>
    <row r="249">
      <c r="A249" s="926" t="str">
        <f t="array" ref="A249">if(G249="","",XLOOKUP(D249,'プルダウンメニュー (SE用)'!$D$2:$D1028,'プルダウンメニュー (SE用)'!$C$2:$C1028))</f>
        <v/>
      </c>
      <c r="B249" s="926" t="str">
        <f>iferror(if(H249="GLOW流用","-",if(G249="","","SSE_"&amp;TEXT(vlookup(E249,'プルダウンメニュー (SE用)'!$E$2:$F1028,2,false),"000")&amp;"_"&amp;TEXT(COUNTIF($E$4:E249,E249),"000"))),"")</f>
        <v/>
      </c>
      <c r="C249" s="860"/>
      <c r="D249" s="861"/>
      <c r="E249" s="976"/>
      <c r="F249" s="976"/>
      <c r="G249" s="861"/>
      <c r="H249" s="862"/>
      <c r="I249" s="901"/>
      <c r="J249" s="902"/>
      <c r="K249" s="902"/>
      <c r="L249" s="903"/>
      <c r="M249" s="862"/>
      <c r="N249" s="904"/>
      <c r="O249" s="904"/>
      <c r="P249" s="868"/>
      <c r="Q249" s="868"/>
      <c r="R249" s="869"/>
      <c r="S249" s="143"/>
      <c r="T249" s="869"/>
      <c r="U249" s="869"/>
    </row>
    <row r="250">
      <c r="A250" s="926" t="str">
        <f t="array" ref="A250">if(G250="","",XLOOKUP(D250,'プルダウンメニュー (SE用)'!$D$2:$D1028,'プルダウンメニュー (SE用)'!$C$2:$C1028))</f>
        <v/>
      </c>
      <c r="B250" s="926" t="str">
        <f>iferror(if(H250="GLOW流用","-",if(G250="","","SSE_"&amp;TEXT(vlookup(E250,'プルダウンメニュー (SE用)'!$E$2:$F1028,2,false),"000")&amp;"_"&amp;TEXT(COUNTIF($E$4:E250,E250),"000"))),"")</f>
        <v/>
      </c>
      <c r="C250" s="860"/>
      <c r="D250" s="861"/>
      <c r="E250" s="976"/>
      <c r="F250" s="976"/>
      <c r="G250" s="861"/>
      <c r="H250" s="862"/>
      <c r="I250" s="901"/>
      <c r="J250" s="902"/>
      <c r="K250" s="902"/>
      <c r="L250" s="903"/>
      <c r="M250" s="862"/>
      <c r="N250" s="904"/>
      <c r="O250" s="904"/>
      <c r="P250" s="868"/>
      <c r="Q250" s="868"/>
      <c r="R250" s="869"/>
      <c r="S250" s="143"/>
      <c r="T250" s="869"/>
      <c r="U250" s="869"/>
    </row>
    <row r="251">
      <c r="A251" s="926" t="str">
        <f t="array" ref="A251">if(G251="","",XLOOKUP(D251,'プルダウンメニュー (SE用)'!$D$2:$D1028,'プルダウンメニュー (SE用)'!$C$2:$C1028))</f>
        <v/>
      </c>
      <c r="B251" s="926" t="str">
        <f>iferror(if(H251="GLOW流用","-",if(G251="","","SSE_"&amp;TEXT(vlookup(E251,'プルダウンメニュー (SE用)'!$E$2:$F1028,2,false),"000")&amp;"_"&amp;TEXT(COUNTIF($E$4:E251,E251),"000"))),"")</f>
        <v/>
      </c>
      <c r="C251" s="860"/>
      <c r="D251" s="861"/>
      <c r="E251" s="976"/>
      <c r="F251" s="976"/>
      <c r="G251" s="861"/>
      <c r="H251" s="862"/>
      <c r="I251" s="901"/>
      <c r="J251" s="902"/>
      <c r="K251" s="902"/>
      <c r="L251" s="903"/>
      <c r="M251" s="862"/>
      <c r="N251" s="904"/>
      <c r="O251" s="904"/>
      <c r="P251" s="868"/>
      <c r="Q251" s="868"/>
      <c r="R251" s="869"/>
      <c r="S251" s="143"/>
      <c r="T251" s="869"/>
      <c r="U251" s="869"/>
    </row>
    <row r="252">
      <c r="A252" s="926" t="str">
        <f t="array" ref="A252">if(G252="","",XLOOKUP(D252,'プルダウンメニュー (SE用)'!$D$2:$D1028,'プルダウンメニュー (SE用)'!$C$2:$C1028))</f>
        <v/>
      </c>
      <c r="B252" s="926" t="str">
        <f>iferror(if(H252="GLOW流用","-",if(G252="","","SSE_"&amp;TEXT(vlookup(E252,'プルダウンメニュー (SE用)'!$E$2:$F1028,2,false),"000")&amp;"_"&amp;TEXT(COUNTIF($E$4:E252,E252),"000"))),"")</f>
        <v/>
      </c>
      <c r="C252" s="860"/>
      <c r="D252" s="861"/>
      <c r="E252" s="976"/>
      <c r="F252" s="976"/>
      <c r="G252" s="861"/>
      <c r="H252" s="862"/>
      <c r="I252" s="901"/>
      <c r="J252" s="902"/>
      <c r="K252" s="902"/>
      <c r="L252" s="903"/>
      <c r="M252" s="862"/>
      <c r="N252" s="904"/>
      <c r="O252" s="904"/>
      <c r="P252" s="868"/>
      <c r="Q252" s="868"/>
      <c r="R252" s="869"/>
      <c r="S252" s="143"/>
      <c r="T252" s="869"/>
      <c r="U252" s="869"/>
    </row>
    <row r="253">
      <c r="A253" s="926" t="str">
        <f t="array" ref="A253">if(G253="","",XLOOKUP(D253,'プルダウンメニュー (SE用)'!$D$2:$D1028,'プルダウンメニュー (SE用)'!$C$2:$C1028))</f>
        <v/>
      </c>
      <c r="B253" s="926" t="str">
        <f>iferror(if(H253="GLOW流用","-",if(G253="","","SSE_"&amp;TEXT(vlookup(E253,'プルダウンメニュー (SE用)'!$E$2:$F1028,2,false),"000")&amp;"_"&amp;TEXT(COUNTIF($E$4:E253,E253),"000"))),"")</f>
        <v/>
      </c>
      <c r="C253" s="860"/>
      <c r="D253" s="861"/>
      <c r="E253" s="976"/>
      <c r="F253" s="976"/>
      <c r="G253" s="861"/>
      <c r="H253" s="862"/>
      <c r="I253" s="901"/>
      <c r="J253" s="902"/>
      <c r="K253" s="902"/>
      <c r="L253" s="903"/>
      <c r="M253" s="862"/>
      <c r="N253" s="904"/>
      <c r="O253" s="904"/>
      <c r="P253" s="868"/>
      <c r="Q253" s="868"/>
      <c r="R253" s="869"/>
      <c r="S253" s="143"/>
      <c r="T253" s="869"/>
      <c r="U253" s="869"/>
    </row>
    <row r="254">
      <c r="A254" s="926" t="str">
        <f t="array" ref="A254">if(G254="","",XLOOKUP(D254,'プルダウンメニュー (SE用)'!$D$2:$D1028,'プルダウンメニュー (SE用)'!$C$2:$C1028))</f>
        <v/>
      </c>
      <c r="B254" s="926" t="str">
        <f>iferror(if(H254="GLOW流用","-",if(G254="","","SSE_"&amp;TEXT(vlookup(E254,'プルダウンメニュー (SE用)'!$E$2:$F1028,2,false),"000")&amp;"_"&amp;TEXT(COUNTIF($E$4:E254,E254),"000"))),"")</f>
        <v/>
      </c>
      <c r="C254" s="860"/>
      <c r="D254" s="861"/>
      <c r="E254" s="976"/>
      <c r="F254" s="976"/>
      <c r="G254" s="861"/>
      <c r="H254" s="862"/>
      <c r="I254" s="901"/>
      <c r="J254" s="902"/>
      <c r="K254" s="902"/>
      <c r="L254" s="903"/>
      <c r="M254" s="862"/>
      <c r="N254" s="904"/>
      <c r="O254" s="904"/>
      <c r="P254" s="868"/>
      <c r="Q254" s="868"/>
      <c r="R254" s="869"/>
      <c r="S254" s="143"/>
      <c r="T254" s="869"/>
      <c r="U254" s="869"/>
    </row>
    <row r="255">
      <c r="A255" s="926" t="str">
        <f t="array" ref="A255">if(G255="","",XLOOKUP(D255,'プルダウンメニュー (SE用)'!$D$2:$D1028,'プルダウンメニュー (SE用)'!$C$2:$C1028))</f>
        <v/>
      </c>
      <c r="B255" s="926" t="str">
        <f>iferror(if(H255="GLOW流用","-",if(G255="","","SSE_"&amp;TEXT(vlookup(E255,'プルダウンメニュー (SE用)'!$E$2:$F1028,2,false),"000")&amp;"_"&amp;TEXT(COUNTIF($E$4:E255,E255),"000"))),"")</f>
        <v/>
      </c>
      <c r="C255" s="860"/>
      <c r="D255" s="861"/>
      <c r="E255" s="976"/>
      <c r="F255" s="976"/>
      <c r="G255" s="861"/>
      <c r="H255" s="862"/>
      <c r="I255" s="901"/>
      <c r="J255" s="902"/>
      <c r="K255" s="902"/>
      <c r="L255" s="903"/>
      <c r="M255" s="862"/>
      <c r="N255" s="904"/>
      <c r="O255" s="904"/>
      <c r="P255" s="868"/>
      <c r="Q255" s="868"/>
      <c r="R255" s="869"/>
      <c r="S255" s="143"/>
      <c r="T255" s="869"/>
      <c r="U255" s="869"/>
    </row>
    <row r="256">
      <c r="A256" s="926" t="str">
        <f t="array" ref="A256">if(G256="","",XLOOKUP(D256,'プルダウンメニュー (SE用)'!$D$2:$D1028,'プルダウンメニュー (SE用)'!$C$2:$C1028))</f>
        <v/>
      </c>
      <c r="B256" s="926" t="str">
        <f>iferror(if(H256="GLOW流用","-",if(G256="","","SSE_"&amp;TEXT(vlookup(E256,'プルダウンメニュー (SE用)'!$E$2:$F1028,2,false),"000")&amp;"_"&amp;TEXT(COUNTIF($E$4:E256,E256),"000"))),"")</f>
        <v/>
      </c>
      <c r="C256" s="860"/>
      <c r="D256" s="861"/>
      <c r="E256" s="976"/>
      <c r="F256" s="976"/>
      <c r="G256" s="861"/>
      <c r="H256" s="862"/>
      <c r="I256" s="901"/>
      <c r="J256" s="902"/>
      <c r="K256" s="902"/>
      <c r="L256" s="903"/>
      <c r="M256" s="862"/>
      <c r="N256" s="904"/>
      <c r="O256" s="904"/>
      <c r="P256" s="868"/>
      <c r="Q256" s="868"/>
      <c r="R256" s="869"/>
      <c r="S256" s="143"/>
      <c r="T256" s="983"/>
      <c r="U256" s="869"/>
    </row>
    <row r="257">
      <c r="A257" s="926" t="str">
        <f t="array" ref="A257">if(G257="","",XLOOKUP(D257,'プルダウンメニュー (SE用)'!$D$2:$D1028,'プルダウンメニュー (SE用)'!$C$2:$C1028))</f>
        <v/>
      </c>
      <c r="B257" s="926" t="str">
        <f>iferror(if(H257="GLOW流用","-",if(G257="","","SSE_"&amp;TEXT(vlookup(E257,'プルダウンメニュー (SE用)'!$E$2:$F1028,2,false),"000")&amp;"_"&amp;TEXT(COUNTIF($E$4:E257,E257),"000"))),"")</f>
        <v/>
      </c>
      <c r="C257" s="984"/>
      <c r="D257" s="985"/>
      <c r="E257" s="986"/>
      <c r="F257" s="986"/>
      <c r="G257" s="861"/>
      <c r="H257" s="862"/>
      <c r="I257" s="901"/>
      <c r="J257" s="902"/>
      <c r="K257" s="902"/>
      <c r="L257" s="903"/>
      <c r="M257" s="862"/>
      <c r="N257" s="904"/>
      <c r="O257" s="904"/>
      <c r="P257" s="868"/>
      <c r="Q257" s="868"/>
      <c r="R257" s="869"/>
      <c r="S257" s="143"/>
      <c r="T257" s="983"/>
      <c r="U257" s="869"/>
    </row>
    <row r="258">
      <c r="A258" s="926" t="str">
        <f t="array" ref="A258">if(G258="","",XLOOKUP(D258,'プルダウンメニュー (SE用)'!$D$2:$D1028,'プルダウンメニュー (SE用)'!$C$2:$C1028))</f>
        <v/>
      </c>
      <c r="B258" s="926" t="str">
        <f>iferror(if(H258="GLOW流用","-",if(G258="","","SSE_"&amp;TEXT(vlookup(E258,'プルダウンメニュー (SE用)'!$E$2:$F1028,2,false),"000")&amp;"_"&amp;TEXT(COUNTIF($E$4:E258,E258),"000"))),"")</f>
        <v/>
      </c>
      <c r="C258" s="860"/>
      <c r="D258" s="861"/>
      <c r="E258" s="976"/>
      <c r="F258" s="976"/>
      <c r="G258" s="861"/>
      <c r="H258" s="862"/>
      <c r="I258" s="901"/>
      <c r="J258" s="902"/>
      <c r="K258" s="902"/>
      <c r="L258" s="903"/>
      <c r="M258" s="862"/>
      <c r="N258" s="904"/>
      <c r="O258" s="904"/>
      <c r="P258" s="868"/>
      <c r="Q258" s="868"/>
      <c r="R258" s="869"/>
      <c r="S258" s="143"/>
      <c r="T258" s="869"/>
      <c r="U258" s="869"/>
    </row>
    <row r="259">
      <c r="A259" s="926" t="str">
        <f t="array" ref="A259">if(G259="","",XLOOKUP(D259,'プルダウンメニュー (SE用)'!$D$2:$D1028,'プルダウンメニュー (SE用)'!$C$2:$C1028))</f>
        <v/>
      </c>
      <c r="B259" s="926" t="str">
        <f>iferror(if(H259="GLOW流用","-",if(G259="","","SSE_"&amp;TEXT(vlookup(E259,'プルダウンメニュー (SE用)'!$E$2:$F1028,2,false),"000")&amp;"_"&amp;TEXT(COUNTIF($E$4:E259,E259),"000"))),"")</f>
        <v/>
      </c>
      <c r="C259" s="860"/>
      <c r="D259" s="861"/>
      <c r="E259" s="976"/>
      <c r="F259" s="976"/>
      <c r="G259" s="861"/>
      <c r="H259" s="862"/>
      <c r="I259" s="901"/>
      <c r="J259" s="902"/>
      <c r="K259" s="902"/>
      <c r="L259" s="903"/>
      <c r="M259" s="862"/>
      <c r="N259" s="904"/>
      <c r="O259" s="904"/>
      <c r="P259" s="868"/>
      <c r="Q259" s="868"/>
      <c r="R259" s="869"/>
      <c r="S259" s="143"/>
      <c r="T259" s="869"/>
      <c r="U259" s="869"/>
    </row>
    <row r="260">
      <c r="A260" s="926" t="str">
        <f t="array" ref="A260">if(G260="","",XLOOKUP(D260,'プルダウンメニュー (SE用)'!$D$2:$D1028,'プルダウンメニュー (SE用)'!$C$2:$C1028))</f>
        <v/>
      </c>
      <c r="B260" s="926" t="str">
        <f>iferror(if(H260="GLOW流用","-",if(G260="","","SSE_"&amp;TEXT(vlookup(E260,'プルダウンメニュー (SE用)'!$E$2:$F1028,2,false),"000")&amp;"_"&amp;TEXT(COUNTIF($E$4:E260,E260),"000"))),"")</f>
        <v/>
      </c>
      <c r="C260" s="860"/>
      <c r="D260" s="861"/>
      <c r="E260" s="976"/>
      <c r="F260" s="976"/>
      <c r="G260" s="861"/>
      <c r="H260" s="862"/>
      <c r="I260" s="901"/>
      <c r="J260" s="902"/>
      <c r="K260" s="902"/>
      <c r="L260" s="903"/>
      <c r="M260" s="862"/>
      <c r="N260" s="904"/>
      <c r="O260" s="904"/>
      <c r="P260" s="868"/>
      <c r="Q260" s="868"/>
      <c r="R260" s="869"/>
      <c r="S260" s="143"/>
      <c r="T260" s="869"/>
      <c r="U260" s="869"/>
    </row>
    <row r="261">
      <c r="A261" s="926" t="str">
        <f t="array" ref="A261">if(G261="","",XLOOKUP(D261,'プルダウンメニュー (SE用)'!$D$2:$D1028,'プルダウンメニュー (SE用)'!$C$2:$C1028))</f>
        <v/>
      </c>
      <c r="B261" s="926" t="str">
        <f>iferror(if(H261="GLOW流用","-",if(G261="","","SSE_"&amp;TEXT(vlookup(E261,'プルダウンメニュー (SE用)'!$E$2:$F1028,2,false),"000")&amp;"_"&amp;TEXT(COUNTIF($E$4:E261,E261),"000"))),"")</f>
        <v/>
      </c>
      <c r="C261" s="860"/>
      <c r="D261" s="861"/>
      <c r="E261" s="976"/>
      <c r="F261" s="976"/>
      <c r="G261" s="861"/>
      <c r="H261" s="862"/>
      <c r="I261" s="901"/>
      <c r="J261" s="902"/>
      <c r="K261" s="902"/>
      <c r="L261" s="903"/>
      <c r="M261" s="862"/>
      <c r="N261" s="904"/>
      <c r="O261" s="904"/>
      <c r="P261" s="868"/>
      <c r="Q261" s="868"/>
      <c r="R261" s="869"/>
      <c r="S261" s="143"/>
      <c r="T261" s="869"/>
      <c r="U261" s="869"/>
    </row>
    <row r="262">
      <c r="A262" s="926" t="str">
        <f t="array" ref="A262">if(G262="","",XLOOKUP(D262,'プルダウンメニュー (SE用)'!$D$2:$D1028,'プルダウンメニュー (SE用)'!$C$2:$C1028))</f>
        <v/>
      </c>
      <c r="B262" s="926" t="str">
        <f>iferror(if(H262="GLOW流用","-",if(G262="","","SSE_"&amp;TEXT(vlookup(E262,'プルダウンメニュー (SE用)'!$E$2:$F1028,2,false),"000")&amp;"_"&amp;TEXT(COUNTIF($E$4:E262,E262),"000"))),"")</f>
        <v/>
      </c>
      <c r="C262" s="860"/>
      <c r="D262" s="861"/>
      <c r="E262" s="976"/>
      <c r="F262" s="976"/>
      <c r="G262" s="861"/>
      <c r="H262" s="987"/>
      <c r="I262" s="988"/>
      <c r="J262" s="989"/>
      <c r="K262" s="989"/>
      <c r="L262" s="990"/>
      <c r="M262" s="987"/>
      <c r="N262" s="914"/>
      <c r="O262" s="914"/>
      <c r="P262" s="868"/>
      <c r="Q262" s="868"/>
      <c r="R262" s="869"/>
      <c r="S262" s="143"/>
      <c r="T262" s="869"/>
      <c r="U262" s="869"/>
    </row>
    <row r="263">
      <c r="A263" s="926" t="str">
        <f t="array" ref="A263">if(G263="","",XLOOKUP(D263,'プルダウンメニュー (SE用)'!$D$2:$D1028,'プルダウンメニュー (SE用)'!$C$2:$C1028))</f>
        <v/>
      </c>
      <c r="B263" s="926" t="str">
        <f>iferror(if(H263="GLOW流用","-",if(G263="","","SSE_"&amp;TEXT(vlookup(E263,'プルダウンメニュー (SE用)'!$E$2:$F1028,2,false),"000")&amp;"_"&amp;TEXT(COUNTIF($E$4:E263,E263),"000"))),"")</f>
        <v/>
      </c>
      <c r="C263" s="860"/>
      <c r="D263" s="861"/>
      <c r="E263" s="976"/>
      <c r="F263" s="976"/>
      <c r="G263" s="861"/>
      <c r="H263" s="862"/>
      <c r="I263" s="901"/>
      <c r="J263" s="902"/>
      <c r="K263" s="902"/>
      <c r="L263" s="903"/>
      <c r="M263" s="862"/>
      <c r="N263" s="904"/>
      <c r="O263" s="904"/>
      <c r="P263" s="868"/>
      <c r="Q263" s="868"/>
      <c r="R263" s="869"/>
      <c r="S263" s="143"/>
      <c r="T263" s="869"/>
      <c r="U263" s="869"/>
    </row>
    <row r="264">
      <c r="A264" s="926" t="str">
        <f t="array" ref="A264">if(G264="","",XLOOKUP(D264,'プルダウンメニュー (SE用)'!$D$2:$D1028,'プルダウンメニュー (SE用)'!$C$2:$C1028))</f>
        <v/>
      </c>
      <c r="B264" s="926" t="str">
        <f>iferror(if(H264="GLOW流用","-",if(G264="","","SSE_"&amp;TEXT(vlookup(E264,'プルダウンメニュー (SE用)'!$E$2:$F1028,2,false),"000")&amp;"_"&amp;TEXT(COUNTIF($E$4:E264,E264),"000"))),"")</f>
        <v/>
      </c>
      <c r="C264" s="860"/>
      <c r="D264" s="861"/>
      <c r="E264" s="976"/>
      <c r="F264" s="976"/>
      <c r="G264" s="861"/>
      <c r="H264" s="862"/>
      <c r="I264" s="901"/>
      <c r="J264" s="902"/>
      <c r="K264" s="902"/>
      <c r="L264" s="903"/>
      <c r="M264" s="862"/>
      <c r="N264" s="904"/>
      <c r="O264" s="904"/>
      <c r="P264" s="868"/>
      <c r="Q264" s="868"/>
      <c r="R264" s="869"/>
      <c r="S264" s="143"/>
      <c r="T264" s="869"/>
      <c r="U264" s="869"/>
    </row>
    <row r="265">
      <c r="A265" s="926" t="str">
        <f t="array" ref="A265">if(G265="","",XLOOKUP(D265,'プルダウンメニュー (SE用)'!$D$2:$D1028,'プルダウンメニュー (SE用)'!$C$2:$C1028))</f>
        <v/>
      </c>
      <c r="B265" s="926" t="str">
        <f>iferror(if(H265="GLOW流用","-",if(G265="","","SSE_"&amp;TEXT(vlookup(E265,'プルダウンメニュー (SE用)'!$E$2:$F1028,2,false),"000")&amp;"_"&amp;TEXT(COUNTIF($E$4:E265,E265),"000"))),"")</f>
        <v/>
      </c>
      <c r="C265" s="860"/>
      <c r="D265" s="861"/>
      <c r="E265" s="976"/>
      <c r="F265" s="976"/>
      <c r="G265" s="861"/>
      <c r="H265" s="862"/>
      <c r="I265" s="901"/>
      <c r="J265" s="902"/>
      <c r="K265" s="902"/>
      <c r="L265" s="903"/>
      <c r="M265" s="862"/>
      <c r="N265" s="904"/>
      <c r="O265" s="904"/>
      <c r="P265" s="868"/>
      <c r="Q265" s="868"/>
      <c r="R265" s="869"/>
      <c r="S265" s="143"/>
      <c r="T265" s="869"/>
      <c r="U265" s="869"/>
    </row>
    <row r="266">
      <c r="A266" s="926" t="str">
        <f t="array" ref="A266">if(G266="","",XLOOKUP(D266,'プルダウンメニュー (SE用)'!$D$2:$D1028,'プルダウンメニュー (SE用)'!$C$2:$C1028))</f>
        <v/>
      </c>
      <c r="B266" s="926" t="str">
        <f>iferror(if(H266="GLOW流用","-",if(G266="","","SSE_"&amp;TEXT(vlookup(E266,'プルダウンメニュー (SE用)'!$E$2:$F1028,2,false),"000")&amp;"_"&amp;TEXT(COUNTIF($E$4:E266,E266),"000"))),"")</f>
        <v/>
      </c>
      <c r="C266" s="860"/>
      <c r="D266" s="861"/>
      <c r="E266" s="976"/>
      <c r="F266" s="976"/>
      <c r="G266" s="861"/>
      <c r="H266" s="862"/>
      <c r="I266" s="901"/>
      <c r="J266" s="902"/>
      <c r="K266" s="902"/>
      <c r="L266" s="903"/>
      <c r="M266" s="862"/>
      <c r="N266" s="904"/>
      <c r="O266" s="904"/>
      <c r="P266" s="868"/>
      <c r="Q266" s="868"/>
      <c r="R266" s="869"/>
      <c r="S266" s="143"/>
      <c r="T266" s="869"/>
      <c r="U266" s="869"/>
    </row>
    <row r="267">
      <c r="A267" s="926" t="str">
        <f t="array" ref="A267">if(G267="","",XLOOKUP(D267,'プルダウンメニュー (SE用)'!$D$2:$D1028,'プルダウンメニュー (SE用)'!$C$2:$C1028))</f>
        <v/>
      </c>
      <c r="B267" s="926" t="str">
        <f>iferror(if(H267="GLOW流用","-",if(G267="","","SSE_"&amp;TEXT(vlookup(E267,'プルダウンメニュー (SE用)'!$E$2:$F1028,2,false),"000")&amp;"_"&amp;TEXT(COUNTIF($E$4:E267,E267),"000"))),"")</f>
        <v/>
      </c>
      <c r="C267" s="860"/>
      <c r="D267" s="861"/>
      <c r="E267" s="976"/>
      <c r="F267" s="976"/>
      <c r="G267" s="861"/>
      <c r="H267" s="862"/>
      <c r="I267" s="901"/>
      <c r="J267" s="902"/>
      <c r="K267" s="902"/>
      <c r="L267" s="903"/>
      <c r="M267" s="862"/>
      <c r="N267" s="904"/>
      <c r="O267" s="904"/>
      <c r="P267" s="868"/>
      <c r="Q267" s="868"/>
      <c r="R267" s="869"/>
      <c r="S267" s="143"/>
      <c r="T267" s="869"/>
      <c r="U267" s="869"/>
    </row>
    <row r="268">
      <c r="A268" s="926" t="str">
        <f t="array" ref="A268">if(G268="","",XLOOKUP(D268,'プルダウンメニュー (SE用)'!$D$2:$D1028,'プルダウンメニュー (SE用)'!$C$2:$C1028))</f>
        <v/>
      </c>
      <c r="B268" s="926" t="str">
        <f>iferror(if(H268="GLOW流用","-",if(G268="","","SSE_"&amp;TEXT(vlookup(E268,'プルダウンメニュー (SE用)'!$E$2:$F1028,2,false),"000")&amp;"_"&amp;TEXT(COUNTIF($E$4:E268,E268),"000"))),"")</f>
        <v/>
      </c>
      <c r="C268" s="860"/>
      <c r="D268" s="861"/>
      <c r="E268" s="976"/>
      <c r="F268" s="976"/>
      <c r="G268" s="861"/>
      <c r="H268" s="862"/>
      <c r="I268" s="901"/>
      <c r="J268" s="902"/>
      <c r="K268" s="902"/>
      <c r="L268" s="903"/>
      <c r="M268" s="862"/>
      <c r="N268" s="904"/>
      <c r="O268" s="904"/>
      <c r="P268" s="868"/>
      <c r="Q268" s="868"/>
      <c r="R268" s="869"/>
      <c r="S268" s="143"/>
      <c r="T268" s="869"/>
      <c r="U268" s="869"/>
    </row>
    <row r="269">
      <c r="A269" s="926" t="str">
        <f t="array" ref="A269">if(G269="","",XLOOKUP(D269,'プルダウンメニュー (SE用)'!$D$2:$D1028,'プルダウンメニュー (SE用)'!$C$2:$C1028))</f>
        <v/>
      </c>
      <c r="B269" s="926" t="str">
        <f>iferror(if(H269="GLOW流用","-",if(G269="","","SSE_"&amp;TEXT(vlookup(E269,'プルダウンメニュー (SE用)'!$E$2:$F1028,2,false),"000")&amp;"_"&amp;TEXT(COUNTIF($E$4:E269,E269),"000"))),"")</f>
        <v/>
      </c>
      <c r="C269" s="860"/>
      <c r="D269" s="861"/>
      <c r="E269" s="976"/>
      <c r="F269" s="976"/>
      <c r="G269" s="861"/>
      <c r="H269" s="862"/>
      <c r="I269" s="901"/>
      <c r="J269" s="902"/>
      <c r="K269" s="902"/>
      <c r="L269" s="903"/>
      <c r="M269" s="862"/>
      <c r="N269" s="904"/>
      <c r="O269" s="904"/>
      <c r="P269" s="868"/>
      <c r="Q269" s="868"/>
      <c r="R269" s="869"/>
      <c r="S269" s="143"/>
      <c r="T269" s="869"/>
      <c r="U269" s="869"/>
    </row>
    <row r="270">
      <c r="A270" s="926" t="str">
        <f t="array" ref="A270">if(G270="","",XLOOKUP(D270,'プルダウンメニュー (SE用)'!$D$2:$D1028,'プルダウンメニュー (SE用)'!$C$2:$C1028))</f>
        <v/>
      </c>
      <c r="B270" s="926" t="str">
        <f>iferror(if(H270="GLOW流用","-",if(G270="","","SSE_"&amp;TEXT(vlookup(E270,'プルダウンメニュー (SE用)'!$E$2:$F1028,2,false),"000")&amp;"_"&amp;TEXT(COUNTIF($E$4:E270,E270),"000"))),"")</f>
        <v/>
      </c>
      <c r="C270" s="860"/>
      <c r="D270" s="861"/>
      <c r="E270" s="976"/>
      <c r="F270" s="976"/>
      <c r="G270" s="861"/>
      <c r="H270" s="862"/>
      <c r="I270" s="901"/>
      <c r="J270" s="902"/>
      <c r="K270" s="902"/>
      <c r="L270" s="903"/>
      <c r="M270" s="862"/>
      <c r="N270" s="904"/>
      <c r="O270" s="904"/>
      <c r="P270" s="868"/>
      <c r="Q270" s="868"/>
      <c r="R270" s="869"/>
      <c r="S270" s="143"/>
      <c r="T270" s="869"/>
      <c r="U270" s="869"/>
    </row>
    <row r="271">
      <c r="A271" s="926" t="str">
        <f t="array" ref="A271">if(G271="","",XLOOKUP(D271,'プルダウンメニュー (SE用)'!$D$2:$D1028,'プルダウンメニュー (SE用)'!$C$2:$C1028))</f>
        <v/>
      </c>
      <c r="B271" s="926" t="str">
        <f>iferror(if(H271="GLOW流用","-",if(G271="","","SSE_"&amp;TEXT(vlookup(E271,'プルダウンメニュー (SE用)'!$E$2:$F1028,2,false),"000")&amp;"_"&amp;TEXT(COUNTIF($E$4:E271,E271),"000"))),"")</f>
        <v/>
      </c>
      <c r="C271" s="860"/>
      <c r="D271" s="861"/>
      <c r="E271" s="976"/>
      <c r="F271" s="976"/>
      <c r="G271" s="861"/>
      <c r="H271" s="862"/>
      <c r="I271" s="901"/>
      <c r="J271" s="902"/>
      <c r="K271" s="902"/>
      <c r="L271" s="903"/>
      <c r="M271" s="862"/>
      <c r="N271" s="904"/>
      <c r="O271" s="904"/>
      <c r="P271" s="868"/>
      <c r="Q271" s="868"/>
      <c r="R271" s="869"/>
      <c r="S271" s="143"/>
      <c r="T271" s="869"/>
      <c r="U271" s="869"/>
    </row>
    <row r="272">
      <c r="A272" s="926" t="str">
        <f t="array" ref="A272">if(G272="","",XLOOKUP(D272,'プルダウンメニュー (SE用)'!$D$2:$D1028,'プルダウンメニュー (SE用)'!$C$2:$C1028))</f>
        <v/>
      </c>
      <c r="B272" s="926" t="str">
        <f>iferror(if(H272="GLOW流用","-",if(G272="","","SSE_"&amp;TEXT(vlookup(E272,'プルダウンメニュー (SE用)'!$E$2:$F1028,2,false),"000")&amp;"_"&amp;TEXT(COUNTIF($E$4:E272,E272),"000"))),"")</f>
        <v/>
      </c>
      <c r="C272" s="860"/>
      <c r="D272" s="861"/>
      <c r="E272" s="976"/>
      <c r="F272" s="976"/>
      <c r="G272" s="861"/>
      <c r="H272" s="862"/>
      <c r="I272" s="901"/>
      <c r="J272" s="902"/>
      <c r="K272" s="902"/>
      <c r="L272" s="903"/>
      <c r="M272" s="862"/>
      <c r="N272" s="904"/>
      <c r="O272" s="904"/>
      <c r="P272" s="868"/>
      <c r="Q272" s="868"/>
      <c r="R272" s="869"/>
      <c r="S272" s="143"/>
      <c r="T272" s="869"/>
      <c r="U272" s="869"/>
    </row>
    <row r="273">
      <c r="A273" s="926" t="str">
        <f t="array" ref="A273">if(G273="","",XLOOKUP(D273,'プルダウンメニュー (SE用)'!$D$2:$D1028,'プルダウンメニュー (SE用)'!$C$2:$C1028))</f>
        <v/>
      </c>
      <c r="B273" s="926" t="str">
        <f>iferror(if(H273="GLOW流用","-",if(G273="","","SSE_"&amp;TEXT(vlookup(E273,'プルダウンメニュー (SE用)'!$E$2:$F1028,2,false),"000")&amp;"_"&amp;TEXT(COUNTIF($E$4:E273,E273),"000"))),"")</f>
        <v/>
      </c>
      <c r="C273" s="860"/>
      <c r="D273" s="861"/>
      <c r="E273" s="976"/>
      <c r="F273" s="976"/>
      <c r="G273" s="861"/>
      <c r="H273" s="862"/>
      <c r="I273" s="901"/>
      <c r="J273" s="902"/>
      <c r="K273" s="902"/>
      <c r="L273" s="903"/>
      <c r="M273" s="862"/>
      <c r="N273" s="904"/>
      <c r="O273" s="904"/>
      <c r="P273" s="868"/>
      <c r="Q273" s="868"/>
      <c r="R273" s="869"/>
      <c r="S273" s="143"/>
      <c r="T273" s="869"/>
      <c r="U273" s="869"/>
    </row>
    <row r="274">
      <c r="A274" s="926" t="str">
        <f t="array" ref="A274">if(G274="","",XLOOKUP(D274,'プルダウンメニュー (SE用)'!$D$2:$D1028,'プルダウンメニュー (SE用)'!$C$2:$C1028))</f>
        <v/>
      </c>
      <c r="B274" s="926" t="str">
        <f>iferror(if(H274="GLOW流用","-",if(G274="","","SSE_"&amp;TEXT(vlookup(E274,'プルダウンメニュー (SE用)'!$E$2:$F1028,2,false),"000")&amp;"_"&amp;TEXT(COUNTIF($E$4:E274,E274),"000"))),"")</f>
        <v/>
      </c>
      <c r="C274" s="984"/>
      <c r="D274" s="985"/>
      <c r="E274" s="986"/>
      <c r="F274" s="986"/>
      <c r="G274" s="861"/>
      <c r="H274" s="862"/>
      <c r="I274" s="901"/>
      <c r="J274" s="902"/>
      <c r="K274" s="902"/>
      <c r="L274" s="903"/>
      <c r="M274" s="862"/>
      <c r="N274" s="904"/>
      <c r="O274" s="904"/>
      <c r="P274" s="868"/>
      <c r="Q274" s="868"/>
      <c r="R274" s="869"/>
      <c r="S274" s="143"/>
      <c r="T274" s="869"/>
      <c r="U274" s="869"/>
    </row>
    <row r="275">
      <c r="A275" s="926" t="str">
        <f t="array" ref="A275">if(G275="","",XLOOKUP(D275,'プルダウンメニュー (SE用)'!$D$2:$D1028,'プルダウンメニュー (SE用)'!$C$2:$C1028))</f>
        <v/>
      </c>
      <c r="B275" s="926" t="str">
        <f>iferror(if(H275="GLOW流用","-",if(G275="","","SSE_"&amp;TEXT(vlookup(E275,'プルダウンメニュー (SE用)'!$E$2:$F1028,2,false),"000")&amp;"_"&amp;TEXT(COUNTIF($E$4:E275,E275),"000"))),"")</f>
        <v/>
      </c>
      <c r="C275" s="984"/>
      <c r="D275" s="985"/>
      <c r="E275" s="986"/>
      <c r="F275" s="986"/>
      <c r="G275" s="861"/>
      <c r="H275" s="862"/>
      <c r="I275" s="901"/>
      <c r="J275" s="902"/>
      <c r="K275" s="902"/>
      <c r="L275" s="903"/>
      <c r="M275" s="862"/>
      <c r="N275" s="904"/>
      <c r="O275" s="904"/>
      <c r="P275" s="868"/>
      <c r="Q275" s="868"/>
      <c r="R275" s="869"/>
      <c r="S275" s="143"/>
      <c r="T275" s="869"/>
      <c r="U275" s="869"/>
    </row>
    <row r="276">
      <c r="A276" s="926" t="str">
        <f t="array" ref="A276">if(G276="","",XLOOKUP(D276,'プルダウンメニュー (SE用)'!$D$2:$D1028,'プルダウンメニュー (SE用)'!$C$2:$C1028))</f>
        <v/>
      </c>
      <c r="B276" s="926" t="str">
        <f>iferror(if(H276="GLOW流用","-",if(G276="","","SSE_"&amp;TEXT(vlookup(E276,'プルダウンメニュー (SE用)'!$E$2:$F1028,2,false),"000")&amp;"_"&amp;TEXT(COUNTIF($E$4:E276,E276),"000"))),"")</f>
        <v/>
      </c>
      <c r="C276" s="984"/>
      <c r="D276" s="985"/>
      <c r="E276" s="986"/>
      <c r="F276" s="986"/>
      <c r="G276" s="861"/>
      <c r="H276" s="862"/>
      <c r="I276" s="901"/>
      <c r="J276" s="902"/>
      <c r="K276" s="902"/>
      <c r="L276" s="903"/>
      <c r="M276" s="862"/>
      <c r="N276" s="904"/>
      <c r="O276" s="904"/>
      <c r="P276" s="868"/>
      <c r="Q276" s="868"/>
      <c r="R276" s="869"/>
      <c r="S276" s="143"/>
      <c r="T276" s="869"/>
      <c r="U276" s="869"/>
    </row>
    <row r="277">
      <c r="A277" s="926" t="str">
        <f t="array" ref="A277">if(G277="","",XLOOKUP(D277,'プルダウンメニュー (SE用)'!$D$2:$D1028,'プルダウンメニュー (SE用)'!$C$2:$C1028))</f>
        <v/>
      </c>
      <c r="B277" s="926" t="str">
        <f>iferror(if(H277="GLOW流用","-",if(G277="","","SSE_"&amp;TEXT(vlookup(E277,'プルダウンメニュー (SE用)'!$E$2:$F1028,2,false),"000")&amp;"_"&amp;TEXT(COUNTIF($E$4:E277,E277),"000"))),"")</f>
        <v/>
      </c>
      <c r="C277" s="860"/>
      <c r="D277" s="861"/>
      <c r="E277" s="976"/>
      <c r="F277" s="976"/>
      <c r="G277" s="861"/>
      <c r="H277" s="862"/>
      <c r="I277" s="901"/>
      <c r="J277" s="902"/>
      <c r="K277" s="902"/>
      <c r="L277" s="903"/>
      <c r="M277" s="862"/>
      <c r="N277" s="904"/>
      <c r="O277" s="904"/>
      <c r="P277" s="868"/>
      <c r="Q277" s="868"/>
      <c r="R277" s="869"/>
      <c r="S277" s="143"/>
      <c r="T277" s="869"/>
      <c r="U277" s="869"/>
    </row>
    <row r="278">
      <c r="A278" s="926" t="str">
        <f t="array" ref="A278">if(G278="","",XLOOKUP(D278,'プルダウンメニュー (SE用)'!$D$2:$D1028,'プルダウンメニュー (SE用)'!$C$2:$C1028))</f>
        <v/>
      </c>
      <c r="B278" s="926" t="str">
        <f>iferror(if(H278="GLOW流用","-",if(G278="","","SSE_"&amp;TEXT(vlookup(E278,'プルダウンメニュー (SE用)'!$E$2:$F1028,2,false),"000")&amp;"_"&amp;TEXT(COUNTIF($E$4:E278,E278),"000"))),"")</f>
        <v/>
      </c>
      <c r="C278" s="984"/>
      <c r="D278" s="985"/>
      <c r="E278" s="986"/>
      <c r="F278" s="986"/>
      <c r="G278" s="861"/>
      <c r="H278" s="991"/>
      <c r="I278" s="992"/>
      <c r="J278" s="993"/>
      <c r="K278" s="993"/>
      <c r="L278" s="994"/>
      <c r="M278" s="991"/>
      <c r="N278" s="904"/>
      <c r="O278" s="904"/>
      <c r="P278" s="868"/>
      <c r="Q278" s="868"/>
      <c r="R278" s="869"/>
      <c r="S278" s="143"/>
      <c r="T278" s="869"/>
      <c r="U278" s="869"/>
    </row>
    <row r="279">
      <c r="A279" s="926" t="str">
        <f t="array" ref="A279">if(G279="","",XLOOKUP(D279,'プルダウンメニュー (SE用)'!$D$2:$D1028,'プルダウンメニュー (SE用)'!$C$2:$C1028))</f>
        <v/>
      </c>
      <c r="B279" s="926" t="str">
        <f>iferror(if(H279="GLOW流用","-",if(G279="","","SSE_"&amp;TEXT(vlookup(E279,'プルダウンメニュー (SE用)'!$E$2:$F1028,2,false),"000")&amp;"_"&amp;TEXT(COUNTIF($E$4:E279,E279),"000"))),"")</f>
        <v/>
      </c>
      <c r="C279" s="984"/>
      <c r="D279" s="985"/>
      <c r="E279" s="986"/>
      <c r="F279" s="986"/>
      <c r="G279" s="861"/>
      <c r="H279" s="991"/>
      <c r="I279" s="992"/>
      <c r="J279" s="993"/>
      <c r="K279" s="993"/>
      <c r="L279" s="994"/>
      <c r="M279" s="991"/>
      <c r="N279" s="904"/>
      <c r="O279" s="904"/>
      <c r="P279" s="868"/>
      <c r="Q279" s="868"/>
      <c r="R279" s="869"/>
      <c r="S279" s="143"/>
      <c r="T279" s="869"/>
      <c r="U279" s="869"/>
    </row>
    <row r="280">
      <c r="A280" s="926" t="str">
        <f t="array" ref="A280">if(G280="","",XLOOKUP(D280,'プルダウンメニュー (SE用)'!$D$2:$D1028,'プルダウンメニュー (SE用)'!$C$2:$C1028))</f>
        <v/>
      </c>
      <c r="B280" s="926" t="str">
        <f>iferror(if(H280="GLOW流用","-",if(G280="","","SSE_"&amp;TEXT(vlookup(E280,'プルダウンメニュー (SE用)'!$E$2:$F1028,2,false),"000")&amp;"_"&amp;TEXT(COUNTIF($E$4:E280,E280),"000"))),"")</f>
        <v/>
      </c>
      <c r="C280" s="860"/>
      <c r="D280" s="861"/>
      <c r="E280" s="976"/>
      <c r="F280" s="976"/>
      <c r="G280" s="861"/>
      <c r="H280" s="862"/>
      <c r="I280" s="901"/>
      <c r="J280" s="902"/>
      <c r="K280" s="902"/>
      <c r="L280" s="903"/>
      <c r="M280" s="862"/>
      <c r="N280" s="904"/>
      <c r="O280" s="904"/>
      <c r="P280" s="868"/>
      <c r="Q280" s="868"/>
      <c r="R280" s="869"/>
      <c r="S280" s="143"/>
      <c r="T280" s="869"/>
      <c r="U280" s="869"/>
    </row>
    <row r="281">
      <c r="A281" s="926" t="str">
        <f t="array" ref="A281">if(G281="","",XLOOKUP(D281,'プルダウンメニュー (SE用)'!$D$2:$D1028,'プルダウンメニュー (SE用)'!$C$2:$C1028))</f>
        <v/>
      </c>
      <c r="B281" s="926" t="str">
        <f>iferror(if(H281="GLOW流用","-",if(G281="","","SSE_"&amp;TEXT(vlookup(E281,'プルダウンメニュー (SE用)'!$E$2:$F1028,2,false),"000")&amp;"_"&amp;TEXT(COUNTIF($E$4:E281,E281),"000"))),"")</f>
        <v/>
      </c>
      <c r="C281" s="860"/>
      <c r="D281" s="861"/>
      <c r="E281" s="976"/>
      <c r="F281" s="976"/>
      <c r="G281" s="861"/>
      <c r="H281" s="862"/>
      <c r="I281" s="901"/>
      <c r="J281" s="902"/>
      <c r="K281" s="902"/>
      <c r="L281" s="903"/>
      <c r="M281" s="862"/>
      <c r="N281" s="904"/>
      <c r="O281" s="904"/>
      <c r="P281" s="868"/>
      <c r="Q281" s="868"/>
      <c r="R281" s="869"/>
      <c r="S281" s="143"/>
      <c r="T281" s="869"/>
      <c r="U281" s="869"/>
    </row>
    <row r="282">
      <c r="A282" s="926" t="str">
        <f t="array" ref="A282">if(G282="","",XLOOKUP(D282,'プルダウンメニュー (SE用)'!$D$2:$D1028,'プルダウンメニュー (SE用)'!$C$2:$C1028))</f>
        <v/>
      </c>
      <c r="B282" s="926" t="str">
        <f>iferror(if(H282="GLOW流用","-",if(G282="","","SSE_"&amp;TEXT(vlookup(E282,'プルダウンメニュー (SE用)'!$E$2:$F1028,2,false),"000")&amp;"_"&amp;TEXT(COUNTIF($E$4:E282,E282),"000"))),"")</f>
        <v/>
      </c>
      <c r="C282" s="860"/>
      <c r="D282" s="861"/>
      <c r="E282" s="976"/>
      <c r="F282" s="976"/>
      <c r="G282" s="861"/>
      <c r="H282" s="862"/>
      <c r="I282" s="901"/>
      <c r="J282" s="902"/>
      <c r="K282" s="902"/>
      <c r="L282" s="903"/>
      <c r="M282" s="862"/>
      <c r="N282" s="904"/>
      <c r="O282" s="904"/>
      <c r="P282" s="868"/>
      <c r="Q282" s="868"/>
      <c r="R282" s="869"/>
      <c r="S282" s="143"/>
      <c r="T282" s="869"/>
      <c r="U282" s="869"/>
    </row>
    <row r="283">
      <c r="A283" s="926" t="str">
        <f t="array" ref="A283">if(G283="","",XLOOKUP(D283,'プルダウンメニュー (SE用)'!$D$2:$D1028,'プルダウンメニュー (SE用)'!$C$2:$C1028))</f>
        <v/>
      </c>
      <c r="B283" s="926" t="str">
        <f>iferror(if(H283="GLOW流用","-",if(G283="","","SSE_"&amp;TEXT(vlookup(E283,'プルダウンメニュー (SE用)'!$E$2:$F1028,2,false),"000")&amp;"_"&amp;TEXT(COUNTIF($E$4:E283,E283),"000"))),"")</f>
        <v/>
      </c>
      <c r="C283" s="860"/>
      <c r="D283" s="861"/>
      <c r="E283" s="976"/>
      <c r="F283" s="976"/>
      <c r="G283" s="861"/>
      <c r="H283" s="862"/>
      <c r="I283" s="901"/>
      <c r="J283" s="902"/>
      <c r="K283" s="902"/>
      <c r="L283" s="903"/>
      <c r="M283" s="862"/>
      <c r="N283" s="904"/>
      <c r="O283" s="904"/>
      <c r="P283" s="868"/>
      <c r="Q283" s="868"/>
      <c r="R283" s="869"/>
      <c r="S283" s="143"/>
      <c r="T283" s="869"/>
      <c r="U283" s="869"/>
    </row>
    <row r="284">
      <c r="A284" s="926" t="str">
        <f t="array" ref="A284">if(G284="","",XLOOKUP(D284,'プルダウンメニュー (SE用)'!$D$2:$D1028,'プルダウンメニュー (SE用)'!$C$2:$C1028))</f>
        <v/>
      </c>
      <c r="B284" s="926" t="str">
        <f>iferror(if(H284="GLOW流用","-",if(G284="","","SSE_"&amp;TEXT(vlookup(E284,'プルダウンメニュー (SE用)'!$E$2:$F1028,2,false),"000")&amp;"_"&amp;TEXT(COUNTIF($E$4:E284,E284),"000"))),"")</f>
        <v/>
      </c>
      <c r="C284" s="860"/>
      <c r="D284" s="861"/>
      <c r="E284" s="976"/>
      <c r="F284" s="976"/>
      <c r="G284" s="861"/>
      <c r="H284" s="862"/>
      <c r="I284" s="901"/>
      <c r="J284" s="902"/>
      <c r="K284" s="902"/>
      <c r="L284" s="903"/>
      <c r="M284" s="862"/>
      <c r="N284" s="904"/>
      <c r="O284" s="904"/>
      <c r="P284" s="868"/>
      <c r="Q284" s="868"/>
      <c r="R284" s="869"/>
      <c r="S284" s="143"/>
      <c r="T284" s="869"/>
      <c r="U284" s="869"/>
    </row>
    <row r="285">
      <c r="A285" s="926" t="str">
        <f t="array" ref="A285">if(G285="","",XLOOKUP(D285,'プルダウンメニュー (SE用)'!$D$2:$D1028,'プルダウンメニュー (SE用)'!$C$2:$C1028))</f>
        <v/>
      </c>
      <c r="B285" s="926" t="str">
        <f>iferror(if(H285="GLOW流用","-",if(G285="","","SSE_"&amp;TEXT(vlookup(E285,'プルダウンメニュー (SE用)'!$E$2:$F1028,2,false),"000")&amp;"_"&amp;TEXT(COUNTIF($E$4:E285,E285),"000"))),"")</f>
        <v/>
      </c>
      <c r="C285" s="860"/>
      <c r="D285" s="861"/>
      <c r="E285" s="976"/>
      <c r="F285" s="976"/>
      <c r="G285" s="861"/>
      <c r="H285" s="862"/>
      <c r="I285" s="901"/>
      <c r="J285" s="902"/>
      <c r="K285" s="902"/>
      <c r="L285" s="903"/>
      <c r="M285" s="862"/>
      <c r="N285" s="904"/>
      <c r="O285" s="904"/>
      <c r="P285" s="868"/>
      <c r="Q285" s="868"/>
      <c r="R285" s="869"/>
      <c r="S285" s="143"/>
      <c r="T285" s="869"/>
      <c r="U285" s="869"/>
    </row>
    <row r="286">
      <c r="A286" s="926" t="str">
        <f t="array" ref="A286">if(G286="","",XLOOKUP(D286,'プルダウンメニュー (SE用)'!$D$2:$D1028,'プルダウンメニュー (SE用)'!$C$2:$C1028))</f>
        <v/>
      </c>
      <c r="B286" s="926" t="str">
        <f>iferror(if(H286="GLOW流用","-",if(G286="","","SSE_"&amp;TEXT(vlookup(E286,'プルダウンメニュー (SE用)'!$E$2:$F1028,2,false),"000")&amp;"_"&amp;TEXT(COUNTIF($E$4:E286,E286),"000"))),"")</f>
        <v/>
      </c>
      <c r="C286" s="860"/>
      <c r="D286" s="861"/>
      <c r="E286" s="976"/>
      <c r="F286" s="976"/>
      <c r="G286" s="861"/>
      <c r="H286" s="862"/>
      <c r="I286" s="901"/>
      <c r="J286" s="902"/>
      <c r="K286" s="902"/>
      <c r="L286" s="903"/>
      <c r="M286" s="862"/>
      <c r="N286" s="904"/>
      <c r="O286" s="904"/>
      <c r="P286" s="868"/>
      <c r="Q286" s="868"/>
      <c r="R286" s="869"/>
      <c r="S286" s="143"/>
      <c r="T286" s="869"/>
      <c r="U286" s="869"/>
    </row>
    <row r="287">
      <c r="A287" s="926" t="str">
        <f t="array" ref="A287">if(G287="","",XLOOKUP(D287,'プルダウンメニュー (SE用)'!$D$2:$D1028,'プルダウンメニュー (SE用)'!$C$2:$C1028))</f>
        <v/>
      </c>
      <c r="B287" s="926" t="str">
        <f>iferror(if(H287="GLOW流用","-",if(G287="","","SSE_"&amp;TEXT(vlookup(E287,'プルダウンメニュー (SE用)'!$E$2:$F1028,2,false),"000")&amp;"_"&amp;TEXT(COUNTIF($E$4:E287,E287),"000"))),"")</f>
        <v/>
      </c>
      <c r="C287" s="860"/>
      <c r="D287" s="861"/>
      <c r="E287" s="976"/>
      <c r="F287" s="976"/>
      <c r="G287" s="861"/>
      <c r="H287" s="862"/>
      <c r="I287" s="901"/>
      <c r="J287" s="902"/>
      <c r="K287" s="902"/>
      <c r="L287" s="903"/>
      <c r="M287" s="862"/>
      <c r="N287" s="904"/>
      <c r="O287" s="904"/>
      <c r="P287" s="868"/>
      <c r="Q287" s="868"/>
      <c r="R287" s="869"/>
      <c r="S287" s="143"/>
      <c r="T287" s="869"/>
      <c r="U287" s="869"/>
    </row>
    <row r="288">
      <c r="A288" s="926" t="str">
        <f t="array" ref="A288">if(G288="","",XLOOKUP(D288,'プルダウンメニュー (SE用)'!$D$2:$D1028,'プルダウンメニュー (SE用)'!$C$2:$C1028))</f>
        <v/>
      </c>
      <c r="B288" s="926" t="str">
        <f>iferror(if(H288="GLOW流用","-",if(G288="","","SSE_"&amp;TEXT(vlookup(E288,'プルダウンメニュー (SE用)'!$E$2:$F1028,2,false),"000")&amp;"_"&amp;TEXT(COUNTIF($E$4:E288,E288),"000"))),"")</f>
        <v/>
      </c>
      <c r="C288" s="860"/>
      <c r="D288" s="861"/>
      <c r="E288" s="976"/>
      <c r="F288" s="976"/>
      <c r="G288" s="861"/>
      <c r="H288" s="862"/>
      <c r="I288" s="901"/>
      <c r="J288" s="902"/>
      <c r="K288" s="902"/>
      <c r="L288" s="903"/>
      <c r="M288" s="862"/>
      <c r="N288" s="904"/>
      <c r="O288" s="904"/>
      <c r="P288" s="868"/>
      <c r="Q288" s="868"/>
      <c r="R288" s="869"/>
      <c r="S288" s="143"/>
      <c r="T288" s="869"/>
      <c r="U288" s="869"/>
    </row>
    <row r="289">
      <c r="A289" s="926" t="str">
        <f t="array" ref="A289">if(G289="","",XLOOKUP(D289,'プルダウンメニュー (SE用)'!$D$2:$D1028,'プルダウンメニュー (SE用)'!$C$2:$C1028))</f>
        <v/>
      </c>
      <c r="B289" s="926" t="str">
        <f>iferror(if(H289="GLOW流用","-",if(G289="","","SSE_"&amp;TEXT(vlookup(E289,'プルダウンメニュー (SE用)'!$E$2:$F1028,2,false),"000")&amp;"_"&amp;TEXT(COUNTIF($E$4:E289,E289),"000"))),"")</f>
        <v/>
      </c>
      <c r="C289" s="860"/>
      <c r="D289" s="861"/>
      <c r="E289" s="976"/>
      <c r="F289" s="976"/>
      <c r="G289" s="861"/>
      <c r="H289" s="862"/>
      <c r="I289" s="901"/>
      <c r="J289" s="902"/>
      <c r="K289" s="902"/>
      <c r="L289" s="903"/>
      <c r="M289" s="862"/>
      <c r="N289" s="904"/>
      <c r="O289" s="904"/>
      <c r="P289" s="868"/>
      <c r="Q289" s="868"/>
      <c r="R289" s="869"/>
      <c r="S289" s="143"/>
      <c r="T289" s="869"/>
      <c r="U289" s="869"/>
    </row>
    <row r="290">
      <c r="A290" s="926" t="str">
        <f t="array" ref="A290">if(G290="","",XLOOKUP(D290,'プルダウンメニュー (SE用)'!$D$2:$D1028,'プルダウンメニュー (SE用)'!$C$2:$C1028))</f>
        <v/>
      </c>
      <c r="B290" s="926" t="str">
        <f>iferror(if(H290="GLOW流用","-",if(G290="","","SSE_"&amp;TEXT(vlookup(E290,'プルダウンメニュー (SE用)'!$E$2:$F1028,2,false),"000")&amp;"_"&amp;TEXT(COUNTIF($E$4:E290,E290),"000"))),"")</f>
        <v/>
      </c>
      <c r="C290" s="860"/>
      <c r="D290" s="861"/>
      <c r="E290" s="976"/>
      <c r="F290" s="976"/>
      <c r="G290" s="861"/>
      <c r="H290" s="862"/>
      <c r="I290" s="901"/>
      <c r="J290" s="902"/>
      <c r="K290" s="902"/>
      <c r="L290" s="903"/>
      <c r="M290" s="862"/>
      <c r="N290" s="904"/>
      <c r="O290" s="904"/>
      <c r="P290" s="868"/>
      <c r="Q290" s="868"/>
      <c r="R290" s="869"/>
      <c r="S290" s="143"/>
      <c r="T290" s="869"/>
      <c r="U290" s="869"/>
    </row>
    <row r="291">
      <c r="A291" s="926" t="str">
        <f t="array" ref="A291">if(G291="","",XLOOKUP(D291,'プルダウンメニュー (SE用)'!$D$2:$D1028,'プルダウンメニュー (SE用)'!$C$2:$C1028))</f>
        <v/>
      </c>
      <c r="B291" s="926" t="str">
        <f>iferror(if(H291="GLOW流用","-",if(G291="","","SSE_"&amp;TEXT(vlookup(E291,'プルダウンメニュー (SE用)'!$E$2:$F1028,2,false),"000")&amp;"_"&amp;TEXT(COUNTIF($E$4:E291,E291),"000"))),"")</f>
        <v/>
      </c>
      <c r="C291" s="860"/>
      <c r="D291" s="861"/>
      <c r="E291" s="976"/>
      <c r="F291" s="976"/>
      <c r="G291" s="861"/>
      <c r="H291" s="862"/>
      <c r="I291" s="901"/>
      <c r="J291" s="902"/>
      <c r="K291" s="902"/>
      <c r="L291" s="903"/>
      <c r="M291" s="862"/>
      <c r="N291" s="904"/>
      <c r="O291" s="904"/>
      <c r="P291" s="868"/>
      <c r="Q291" s="868"/>
      <c r="R291" s="869"/>
      <c r="S291" s="143"/>
      <c r="T291" s="869"/>
      <c r="U291" s="869"/>
    </row>
    <row r="292">
      <c r="A292" s="926" t="str">
        <f t="array" ref="A292">if(G292="","",XLOOKUP(D292,'プルダウンメニュー (SE用)'!$D$2:$D1028,'プルダウンメニュー (SE用)'!$C$2:$C1028))</f>
        <v/>
      </c>
      <c r="B292" s="926" t="str">
        <f>iferror(if(H292="GLOW流用","-",if(G292="","","SSE_"&amp;TEXT(vlookup(E292,'プルダウンメニュー (SE用)'!$E$2:$F1028,2,false),"000")&amp;"_"&amp;TEXT(COUNTIF($E$4:E292,E292),"000"))),"")</f>
        <v/>
      </c>
      <c r="C292" s="860"/>
      <c r="D292" s="861"/>
      <c r="E292" s="976"/>
      <c r="F292" s="976"/>
      <c r="G292" s="861"/>
      <c r="H292" s="862"/>
      <c r="I292" s="901"/>
      <c r="J292" s="902"/>
      <c r="K292" s="902"/>
      <c r="L292" s="903"/>
      <c r="M292" s="862"/>
      <c r="N292" s="904"/>
      <c r="O292" s="904"/>
      <c r="P292" s="868"/>
      <c r="Q292" s="868"/>
      <c r="R292" s="869"/>
      <c r="S292" s="143"/>
      <c r="T292" s="869"/>
      <c r="U292" s="869"/>
    </row>
    <row r="293">
      <c r="A293" s="926" t="str">
        <f t="array" ref="A293">if(G293="","",XLOOKUP(D293,'プルダウンメニュー (SE用)'!$D$2:$D1028,'プルダウンメニュー (SE用)'!$C$2:$C1028))</f>
        <v/>
      </c>
      <c r="B293" s="926" t="str">
        <f>iferror(if(H293="GLOW流用","-",if(G293="","","SSE_"&amp;TEXT(vlookup(E293,'プルダウンメニュー (SE用)'!$E$2:$F1028,2,false),"000")&amp;"_"&amp;TEXT(COUNTIF($E$4:E293,E293),"000"))),"")</f>
        <v/>
      </c>
      <c r="C293" s="860"/>
      <c r="D293" s="861"/>
      <c r="E293" s="976"/>
      <c r="F293" s="976"/>
      <c r="G293" s="861"/>
      <c r="H293" s="862"/>
      <c r="I293" s="901"/>
      <c r="J293" s="902"/>
      <c r="K293" s="902"/>
      <c r="L293" s="903"/>
      <c r="M293" s="862"/>
      <c r="N293" s="904"/>
      <c r="O293" s="904"/>
      <c r="P293" s="868"/>
      <c r="Q293" s="868"/>
      <c r="R293" s="869"/>
      <c r="S293" s="143"/>
      <c r="T293" s="869"/>
      <c r="U293" s="869"/>
    </row>
    <row r="294">
      <c r="A294" s="926" t="str">
        <f t="array" ref="A294">if(G294="","",XLOOKUP(D294,'プルダウンメニュー (SE用)'!$D$2:$D1028,'プルダウンメニュー (SE用)'!$C$2:$C1028))</f>
        <v/>
      </c>
      <c r="B294" s="926" t="str">
        <f>iferror(if(H294="GLOW流用","-",if(G294="","","SSE_"&amp;TEXT(vlookup(E294,'プルダウンメニュー (SE用)'!$E$2:$F1028,2,false),"000")&amp;"_"&amp;TEXT(COUNTIF($E$4:E294,E294),"000"))),"")</f>
        <v/>
      </c>
      <c r="C294" s="860"/>
      <c r="D294" s="861"/>
      <c r="E294" s="976"/>
      <c r="F294" s="976"/>
      <c r="G294" s="861"/>
      <c r="H294" s="862"/>
      <c r="I294" s="901"/>
      <c r="J294" s="902"/>
      <c r="K294" s="902"/>
      <c r="L294" s="903"/>
      <c r="M294" s="862"/>
      <c r="N294" s="904"/>
      <c r="O294" s="904"/>
      <c r="P294" s="868"/>
      <c r="Q294" s="868"/>
      <c r="R294" s="869"/>
      <c r="S294" s="143"/>
      <c r="T294" s="869"/>
      <c r="U294" s="869"/>
    </row>
    <row r="295">
      <c r="A295" s="926" t="str">
        <f t="array" ref="A295">if(G295="","",XLOOKUP(D295,'プルダウンメニュー (SE用)'!$D$2:$D1028,'プルダウンメニュー (SE用)'!$C$2:$C1028))</f>
        <v/>
      </c>
      <c r="B295" s="926" t="str">
        <f>iferror(if(H295="GLOW流用","-",if(G295="","","SSE_"&amp;TEXT(vlookup(E295,'プルダウンメニュー (SE用)'!$E$2:$F1028,2,false),"000")&amp;"_"&amp;TEXT(COUNTIF($E$4:E295,E295),"000"))),"")</f>
        <v/>
      </c>
      <c r="C295" s="860"/>
      <c r="D295" s="861"/>
      <c r="E295" s="976"/>
      <c r="F295" s="976"/>
      <c r="G295" s="861"/>
      <c r="H295" s="862"/>
      <c r="I295" s="901"/>
      <c r="J295" s="902"/>
      <c r="K295" s="902"/>
      <c r="L295" s="903"/>
      <c r="M295" s="862"/>
      <c r="N295" s="904"/>
      <c r="O295" s="904"/>
      <c r="P295" s="868"/>
      <c r="Q295" s="868"/>
      <c r="R295" s="869"/>
      <c r="S295" s="143"/>
      <c r="T295" s="869"/>
      <c r="U295" s="869"/>
    </row>
    <row r="296">
      <c r="A296" s="926" t="str">
        <f t="array" ref="A296">if(G296="","",XLOOKUP(D296,'プルダウンメニュー (SE用)'!$D$2:$D1028,'プルダウンメニュー (SE用)'!$C$2:$C1028))</f>
        <v/>
      </c>
      <c r="B296" s="926" t="str">
        <f>iferror(if(H296="GLOW流用","-",if(G296="","","SSE_"&amp;TEXT(vlookup(E296,'プルダウンメニュー (SE用)'!$E$2:$F1028,2,false),"000")&amp;"_"&amp;TEXT(COUNTIF($E$4:E296,E296),"000"))),"")</f>
        <v/>
      </c>
      <c r="C296" s="860"/>
      <c r="D296" s="861"/>
      <c r="E296" s="976"/>
      <c r="F296" s="976"/>
      <c r="G296" s="861"/>
      <c r="H296" s="862"/>
      <c r="I296" s="901"/>
      <c r="J296" s="902"/>
      <c r="K296" s="902"/>
      <c r="L296" s="903"/>
      <c r="M296" s="862"/>
      <c r="N296" s="904"/>
      <c r="O296" s="904"/>
      <c r="P296" s="868"/>
      <c r="Q296" s="868"/>
      <c r="R296" s="869"/>
      <c r="S296" s="143"/>
      <c r="T296" s="869"/>
      <c r="U296" s="869"/>
    </row>
    <row r="297">
      <c r="A297" s="926" t="str">
        <f t="array" ref="A297">if(G297="","",XLOOKUP(D297,'プルダウンメニュー (SE用)'!$D$2:$D1028,'プルダウンメニュー (SE用)'!$C$2:$C1028))</f>
        <v/>
      </c>
      <c r="B297" s="926" t="str">
        <f>iferror(if(H297="GLOW流用","-",if(G297="","","SSE_"&amp;TEXT(vlookup(E297,'プルダウンメニュー (SE用)'!$E$2:$F1028,2,false),"000")&amp;"_"&amp;TEXT(COUNTIF($E$4:E297,E297),"000"))),"")</f>
        <v/>
      </c>
      <c r="C297" s="860"/>
      <c r="D297" s="861"/>
      <c r="E297" s="976"/>
      <c r="F297" s="976"/>
      <c r="G297" s="861"/>
      <c r="H297" s="862"/>
      <c r="I297" s="901"/>
      <c r="J297" s="902"/>
      <c r="K297" s="902"/>
      <c r="L297" s="903"/>
      <c r="M297" s="862"/>
      <c r="N297" s="904"/>
      <c r="O297" s="904"/>
      <c r="P297" s="868"/>
      <c r="Q297" s="868"/>
      <c r="R297" s="869"/>
      <c r="S297" s="143"/>
      <c r="T297" s="869"/>
      <c r="U297" s="869"/>
    </row>
    <row r="298">
      <c r="A298" s="926" t="str">
        <f t="array" ref="A298">if(G298="","",XLOOKUP(D298,'プルダウンメニュー (SE用)'!$D$2:$D1028,'プルダウンメニュー (SE用)'!$C$2:$C1028))</f>
        <v/>
      </c>
      <c r="B298" s="926" t="str">
        <f>iferror(if(H298="GLOW流用","-",if(G298="","","SSE_"&amp;TEXT(vlookup(E298,'プルダウンメニュー (SE用)'!$E$2:$F1028,2,false),"000")&amp;"_"&amp;TEXT(COUNTIF($E$4:E298,E298),"000"))),"")</f>
        <v/>
      </c>
      <c r="C298" s="860"/>
      <c r="D298" s="861"/>
      <c r="E298" s="976"/>
      <c r="F298" s="976"/>
      <c r="G298" s="861"/>
      <c r="H298" s="862"/>
      <c r="I298" s="901"/>
      <c r="J298" s="902"/>
      <c r="K298" s="902"/>
      <c r="L298" s="903"/>
      <c r="M298" s="862"/>
      <c r="N298" s="904"/>
      <c r="O298" s="904"/>
      <c r="P298" s="868"/>
      <c r="Q298" s="868"/>
      <c r="R298" s="869"/>
      <c r="S298" s="143"/>
      <c r="T298" s="869"/>
      <c r="U298" s="869"/>
    </row>
    <row r="299">
      <c r="A299" s="926" t="str">
        <f t="array" ref="A299">if(G299="","",XLOOKUP(D299,'プルダウンメニュー (SE用)'!$D$2:$D1028,'プルダウンメニュー (SE用)'!$C$2:$C1028))</f>
        <v/>
      </c>
      <c r="B299" s="926" t="str">
        <f>iferror(if(H299="GLOW流用","-",if(G299="","","SSE_"&amp;TEXT(vlookup(E299,'プルダウンメニュー (SE用)'!$E$2:$F1028,2,false),"000")&amp;"_"&amp;TEXT(COUNTIF($E$4:E299,E299),"000"))),"")</f>
        <v/>
      </c>
      <c r="C299" s="860"/>
      <c r="D299" s="861"/>
      <c r="E299" s="976"/>
      <c r="F299" s="976"/>
      <c r="G299" s="861"/>
      <c r="H299" s="862"/>
      <c r="I299" s="901"/>
      <c r="J299" s="902"/>
      <c r="K299" s="902"/>
      <c r="L299" s="903"/>
      <c r="M299" s="862"/>
      <c r="N299" s="904"/>
      <c r="O299" s="904"/>
      <c r="P299" s="868"/>
      <c r="Q299" s="868"/>
      <c r="R299" s="869"/>
      <c r="S299" s="143"/>
      <c r="T299" s="869"/>
      <c r="U299" s="869"/>
    </row>
    <row r="300">
      <c r="A300" s="926" t="str">
        <f t="array" ref="A300">if(G300="","",XLOOKUP(D300,'プルダウンメニュー (SE用)'!$D$2:$D1028,'プルダウンメニュー (SE用)'!$C$2:$C1028))</f>
        <v/>
      </c>
      <c r="B300" s="926" t="str">
        <f>iferror(if(H300="GLOW流用","-",if(G300="","","SSE_"&amp;TEXT(vlookup(E300,'プルダウンメニュー (SE用)'!$E$2:$F1028,2,false),"000")&amp;"_"&amp;TEXT(COUNTIF($E$4:E300,E300),"000"))),"")</f>
        <v/>
      </c>
      <c r="C300" s="860"/>
      <c r="D300" s="861"/>
      <c r="E300" s="976"/>
      <c r="F300" s="976"/>
      <c r="G300" s="861"/>
      <c r="H300" s="862"/>
      <c r="I300" s="901"/>
      <c r="J300" s="902"/>
      <c r="K300" s="902"/>
      <c r="L300" s="903"/>
      <c r="M300" s="862"/>
      <c r="N300" s="904"/>
      <c r="O300" s="904"/>
      <c r="P300" s="868"/>
      <c r="Q300" s="868"/>
      <c r="R300" s="869"/>
      <c r="S300" s="143"/>
      <c r="T300" s="869"/>
      <c r="U300" s="869"/>
    </row>
    <row r="301">
      <c r="A301" s="926" t="str">
        <f t="array" ref="A301">if(G301="","",XLOOKUP(D301,'プルダウンメニュー (SE用)'!$D$2:$D1028,'プルダウンメニュー (SE用)'!$C$2:$C1028))</f>
        <v/>
      </c>
      <c r="B301" s="926" t="str">
        <f>iferror(if(H301="GLOW流用","-",if(G301="","","SSE_"&amp;TEXT(vlookup(E301,'プルダウンメニュー (SE用)'!$E$2:$F1028,2,false),"000")&amp;"_"&amp;TEXT(COUNTIF($E$4:E301,E301),"000"))),"")</f>
        <v/>
      </c>
      <c r="C301" s="860"/>
      <c r="D301" s="861"/>
      <c r="E301" s="976"/>
      <c r="F301" s="976"/>
      <c r="G301" s="861"/>
      <c r="H301" s="995"/>
      <c r="I301" s="996"/>
      <c r="J301" s="997"/>
      <c r="K301" s="997"/>
      <c r="L301" s="998"/>
      <c r="M301" s="995"/>
      <c r="N301" s="999"/>
      <c r="O301" s="999"/>
      <c r="P301" s="868"/>
      <c r="Q301" s="868"/>
      <c r="R301" s="869"/>
      <c r="S301" s="143"/>
      <c r="T301" s="869"/>
      <c r="U301" s="869"/>
    </row>
    <row r="302">
      <c r="A302" s="926" t="str">
        <f t="array" ref="A302">if(G302="","",XLOOKUP(D302,'プルダウンメニュー (SE用)'!$D$2:$D1028,'プルダウンメニュー (SE用)'!$C$2:$C1028))</f>
        <v/>
      </c>
      <c r="B302" s="926" t="str">
        <f>iferror(if(H302="GLOW流用","-",if(G302="","","SSE_"&amp;TEXT(vlookup(E302,'プルダウンメニュー (SE用)'!$E$2:$F1028,2,false),"000")&amp;"_"&amp;TEXT(COUNTIF($E$4:E302,E302),"000"))),"")</f>
        <v/>
      </c>
      <c r="C302" s="860"/>
      <c r="D302" s="861"/>
      <c r="E302" s="976"/>
      <c r="F302" s="976"/>
      <c r="G302" s="861"/>
      <c r="H302" s="987"/>
      <c r="I302" s="988"/>
      <c r="J302" s="989"/>
      <c r="K302" s="989"/>
      <c r="L302" s="990"/>
      <c r="M302" s="987"/>
      <c r="N302" s="914"/>
      <c r="O302" s="914"/>
      <c r="P302" s="868"/>
      <c r="Q302" s="868"/>
      <c r="R302" s="869"/>
      <c r="S302" s="143"/>
      <c r="T302" s="869"/>
      <c r="U302" s="869"/>
    </row>
    <row r="303">
      <c r="A303" s="926" t="str">
        <f t="array" ref="A303">if(G303="","",XLOOKUP(D303,'プルダウンメニュー (SE用)'!$D$2:$D1028,'プルダウンメニュー (SE用)'!$C$2:$C1028))</f>
        <v/>
      </c>
      <c r="B303" s="926" t="str">
        <f>iferror(if(H303="GLOW流用","-",if(G303="","","SSE_"&amp;TEXT(vlookup(E303,'プルダウンメニュー (SE用)'!$E$2:$F1028,2,false),"000")&amp;"_"&amp;TEXT(COUNTIF($E$4:E303,E303),"000"))),"")</f>
        <v/>
      </c>
      <c r="C303" s="860"/>
      <c r="D303" s="861"/>
      <c r="E303" s="976"/>
      <c r="F303" s="976"/>
      <c r="G303" s="861"/>
      <c r="H303" s="862"/>
      <c r="I303" s="901"/>
      <c r="J303" s="902"/>
      <c r="K303" s="902"/>
      <c r="L303" s="903"/>
      <c r="M303" s="862"/>
      <c r="N303" s="904"/>
      <c r="O303" s="904"/>
      <c r="P303" s="868"/>
      <c r="Q303" s="868"/>
      <c r="R303" s="869"/>
      <c r="S303" s="143"/>
      <c r="T303" s="869"/>
      <c r="U303" s="869"/>
    </row>
    <row r="304">
      <c r="A304" s="926" t="str">
        <f t="array" ref="A304">if(G304="","",XLOOKUP(D304,'プルダウンメニュー (SE用)'!$D$2:$D1028,'プルダウンメニュー (SE用)'!$C$2:$C1028))</f>
        <v/>
      </c>
      <c r="B304" s="926" t="str">
        <f>iferror(if(H304="GLOW流用","-",if(G304="","","SSE_"&amp;TEXT(vlookup(E304,'プルダウンメニュー (SE用)'!$E$2:$F1028,2,false),"000")&amp;"_"&amp;TEXT(COUNTIF($E$4:E304,E304),"000"))),"")</f>
        <v/>
      </c>
      <c r="C304" s="860"/>
      <c r="D304" s="861"/>
      <c r="E304" s="976"/>
      <c r="F304" s="976"/>
      <c r="G304" s="861"/>
      <c r="H304" s="862"/>
      <c r="I304" s="901"/>
      <c r="J304" s="902"/>
      <c r="K304" s="902"/>
      <c r="L304" s="903"/>
      <c r="M304" s="862"/>
      <c r="N304" s="904"/>
      <c r="O304" s="904"/>
      <c r="P304" s="868"/>
      <c r="Q304" s="868"/>
      <c r="R304" s="869"/>
      <c r="S304" s="143"/>
      <c r="T304" s="869"/>
      <c r="U304" s="869"/>
    </row>
    <row r="305">
      <c r="A305" s="926" t="str">
        <f t="array" ref="A305">if(G305="","",XLOOKUP(D305,'プルダウンメニュー (SE用)'!$D$2:$D1028,'プルダウンメニュー (SE用)'!$C$2:$C1028))</f>
        <v/>
      </c>
      <c r="B305" s="926" t="str">
        <f>iferror(if(H305="GLOW流用","-",if(G305="","","SSE_"&amp;TEXT(vlookup(E305,'プルダウンメニュー (SE用)'!$E$2:$F1028,2,false),"000")&amp;"_"&amp;TEXT(COUNTIF($E$4:E305,E305),"000"))),"")</f>
        <v/>
      </c>
      <c r="C305" s="860"/>
      <c r="D305" s="861"/>
      <c r="E305" s="976"/>
      <c r="F305" s="976"/>
      <c r="G305" s="861"/>
      <c r="H305" s="862"/>
      <c r="I305" s="901"/>
      <c r="J305" s="902"/>
      <c r="K305" s="902"/>
      <c r="L305" s="903"/>
      <c r="M305" s="862"/>
      <c r="N305" s="904"/>
      <c r="O305" s="904"/>
      <c r="P305" s="868"/>
      <c r="Q305" s="868"/>
      <c r="R305" s="869"/>
      <c r="S305" s="143"/>
      <c r="T305" s="869"/>
      <c r="U305" s="869"/>
    </row>
    <row r="306">
      <c r="A306" s="926" t="str">
        <f t="array" ref="A306">if(G306="","",XLOOKUP(D306,'プルダウンメニュー (SE用)'!$D$2:$D1028,'プルダウンメニュー (SE用)'!$C$2:$C1028))</f>
        <v/>
      </c>
      <c r="B306" s="926" t="str">
        <f>iferror(if(H306="GLOW流用","-",if(G306="","","SSE_"&amp;TEXT(vlookup(E306,'プルダウンメニュー (SE用)'!$E$2:$F1028,2,false),"000")&amp;"_"&amp;TEXT(COUNTIF($E$4:E306,E306),"000"))),"")</f>
        <v/>
      </c>
      <c r="C306" s="860"/>
      <c r="D306" s="861"/>
      <c r="E306" s="976"/>
      <c r="F306" s="976"/>
      <c r="G306" s="861"/>
      <c r="H306" s="862"/>
      <c r="I306" s="901"/>
      <c r="J306" s="902"/>
      <c r="K306" s="902"/>
      <c r="L306" s="903"/>
      <c r="M306" s="862"/>
      <c r="N306" s="904"/>
      <c r="O306" s="904"/>
      <c r="P306" s="868"/>
      <c r="Q306" s="868"/>
      <c r="R306" s="869"/>
      <c r="S306" s="143"/>
      <c r="T306" s="869"/>
      <c r="U306" s="869"/>
    </row>
    <row r="307">
      <c r="A307" s="926" t="str">
        <f t="array" ref="A307">if(G307="","",XLOOKUP(D307,'プルダウンメニュー (SE用)'!$D$2:$D1028,'プルダウンメニュー (SE用)'!$C$2:$C1028))</f>
        <v/>
      </c>
      <c r="B307" s="926" t="str">
        <f>iferror(if(H307="GLOW流用","-",if(G307="","","SSE_"&amp;TEXT(vlookup(E307,'プルダウンメニュー (SE用)'!$E$2:$F1028,2,false),"000")&amp;"_"&amp;TEXT(COUNTIF($E$4:E307,E307),"000"))),"")</f>
        <v/>
      </c>
      <c r="C307" s="860"/>
      <c r="D307" s="861"/>
      <c r="E307" s="976"/>
      <c r="F307" s="976"/>
      <c r="G307" s="861"/>
      <c r="H307" s="862"/>
      <c r="I307" s="901"/>
      <c r="J307" s="902"/>
      <c r="K307" s="902"/>
      <c r="L307" s="903"/>
      <c r="M307" s="862"/>
      <c r="N307" s="904"/>
      <c r="O307" s="904"/>
      <c r="P307" s="868"/>
      <c r="Q307" s="868"/>
      <c r="R307" s="869"/>
      <c r="S307" s="143"/>
      <c r="T307" s="869"/>
      <c r="U307" s="869"/>
    </row>
    <row r="308">
      <c r="A308" s="926" t="str">
        <f t="array" ref="A308">if(G308="","",XLOOKUP(D308,'プルダウンメニュー (SE用)'!$D$2:$D1028,'プルダウンメニュー (SE用)'!$C$2:$C1028))</f>
        <v/>
      </c>
      <c r="B308" s="926" t="str">
        <f>iferror(if(H308="GLOW流用","-",if(G308="","","SSE_"&amp;TEXT(vlookup(E308,'プルダウンメニュー (SE用)'!$E$2:$F1028,2,false),"000")&amp;"_"&amp;TEXT(COUNTIF($E$4:E308,E308),"000"))),"")</f>
        <v/>
      </c>
      <c r="C308" s="860"/>
      <c r="D308" s="861"/>
      <c r="E308" s="976"/>
      <c r="F308" s="976"/>
      <c r="G308" s="861"/>
      <c r="H308" s="862"/>
      <c r="I308" s="901"/>
      <c r="J308" s="902"/>
      <c r="K308" s="902"/>
      <c r="L308" s="903"/>
      <c r="M308" s="862"/>
      <c r="N308" s="904"/>
      <c r="O308" s="904"/>
      <c r="P308" s="868"/>
      <c r="Q308" s="868"/>
      <c r="R308" s="869"/>
      <c r="S308" s="143"/>
      <c r="T308" s="869"/>
      <c r="U308" s="869"/>
    </row>
    <row r="309">
      <c r="A309" s="926" t="str">
        <f t="array" ref="A309">if(G309="","",XLOOKUP(D309,'プルダウンメニュー (SE用)'!$D$2:$D1028,'プルダウンメニュー (SE用)'!$C$2:$C1028))</f>
        <v/>
      </c>
      <c r="B309" s="926" t="str">
        <f>iferror(if(H309="GLOW流用","-",if(G309="","","SSE_"&amp;TEXT(vlookup(E309,'プルダウンメニュー (SE用)'!$E$2:$F1028,2,false),"000")&amp;"_"&amp;TEXT(COUNTIF($E$4:E309,E309),"000"))),"")</f>
        <v/>
      </c>
      <c r="C309" s="984"/>
      <c r="D309" s="985"/>
      <c r="E309" s="986"/>
      <c r="F309" s="986"/>
      <c r="G309" s="1000"/>
      <c r="H309" s="952"/>
      <c r="I309" s="953"/>
      <c r="J309" s="1001"/>
      <c r="K309" s="1001"/>
      <c r="L309" s="1002"/>
      <c r="M309" s="862"/>
      <c r="N309" s="904"/>
      <c r="O309" s="904"/>
      <c r="P309" s="868"/>
      <c r="Q309" s="895"/>
      <c r="R309" s="869"/>
      <c r="S309" s="143"/>
      <c r="T309" s="869"/>
      <c r="U309" s="1003"/>
    </row>
    <row r="310">
      <c r="A310" s="926" t="str">
        <f t="array" ref="A310">if(G310="","",XLOOKUP(D310,'プルダウンメニュー (SE用)'!$D$2:$D1028,'プルダウンメニュー (SE用)'!$C$2:$C1028))</f>
        <v/>
      </c>
      <c r="B310" s="926" t="str">
        <f>iferror(if(H310="GLOW流用","-",if(G310="","","SSE_"&amp;TEXT(vlookup(E310,'プルダウンメニュー (SE用)'!$E$2:$F1028,2,false),"000")&amp;"_"&amp;TEXT(COUNTIF($E$4:E310,E310),"000"))),"")</f>
        <v/>
      </c>
      <c r="C310" s="984"/>
      <c r="D310" s="985"/>
      <c r="E310" s="986"/>
      <c r="F310" s="986"/>
      <c r="G310" s="1000"/>
      <c r="H310" s="952"/>
      <c r="I310" s="953"/>
      <c r="J310" s="1001"/>
      <c r="K310" s="1001"/>
      <c r="L310" s="1002"/>
      <c r="M310" s="862"/>
      <c r="N310" s="904"/>
      <c r="O310" s="904"/>
      <c r="P310" s="868"/>
      <c r="Q310" s="895"/>
      <c r="R310" s="869"/>
      <c r="S310" s="143"/>
      <c r="T310" s="869"/>
      <c r="U310" s="1003"/>
    </row>
    <row r="311">
      <c r="A311" s="926" t="str">
        <f t="array" ref="A311">if(G311="","",XLOOKUP(D311,'プルダウンメニュー (SE用)'!$D$2:$D1028,'プルダウンメニュー (SE用)'!$C$2:$C1028))</f>
        <v/>
      </c>
      <c r="B311" s="926" t="str">
        <f>iferror(if(H311="GLOW流用","-",if(G311="","","SSE_"&amp;TEXT(vlookup(E311,'プルダウンメニュー (SE用)'!$E$2:$F1028,2,false),"000")&amp;"_"&amp;TEXT(COUNTIF($E$4:E311,E311),"000"))),"")</f>
        <v/>
      </c>
      <c r="C311" s="984"/>
      <c r="D311" s="985"/>
      <c r="E311" s="986"/>
      <c r="F311" s="986"/>
      <c r="G311" s="1000"/>
      <c r="H311" s="952"/>
      <c r="I311" s="953"/>
      <c r="J311" s="1001"/>
      <c r="K311" s="1001"/>
      <c r="L311" s="1002"/>
      <c r="M311" s="862"/>
      <c r="N311" s="904"/>
      <c r="O311" s="904"/>
      <c r="P311" s="868"/>
      <c r="Q311" s="895"/>
      <c r="R311" s="869"/>
      <c r="S311" s="143"/>
      <c r="T311" s="869"/>
      <c r="U311" s="1003"/>
    </row>
    <row r="312">
      <c r="A312" s="926" t="str">
        <f t="array" ref="A312">if(G312="","",XLOOKUP(D312,'プルダウンメニュー (SE用)'!$D$2:$D1028,'プルダウンメニュー (SE用)'!$C$2:$C1028))</f>
        <v/>
      </c>
      <c r="B312" s="926" t="str">
        <f>iferror(if(H312="GLOW流用","-",if(G312="","","SSE_"&amp;TEXT(vlookup(E312,'プルダウンメニュー (SE用)'!$E$2:$F1028,2,false),"000")&amp;"_"&amp;TEXT(COUNTIF($E$4:E312,E312),"000"))),"")</f>
        <v/>
      </c>
      <c r="C312" s="984"/>
      <c r="D312" s="985"/>
      <c r="E312" s="986"/>
      <c r="F312" s="986"/>
      <c r="G312" s="1000"/>
      <c r="H312" s="952"/>
      <c r="I312" s="953"/>
      <c r="J312" s="1001"/>
      <c r="K312" s="1001"/>
      <c r="L312" s="1002"/>
      <c r="M312" s="862"/>
      <c r="N312" s="904"/>
      <c r="O312" s="904"/>
      <c r="P312" s="868"/>
      <c r="Q312" s="895"/>
      <c r="R312" s="869"/>
      <c r="S312" s="143"/>
      <c r="T312" s="869"/>
      <c r="U312" s="1003"/>
    </row>
    <row r="313">
      <c r="A313" s="926" t="str">
        <f t="array" ref="A313">if(G313="","",XLOOKUP(D313,'プルダウンメニュー (SE用)'!$D$2:$D1028,'プルダウンメニュー (SE用)'!$C$2:$C1028))</f>
        <v/>
      </c>
      <c r="B313" s="926" t="str">
        <f>iferror(if(H313="GLOW流用","-",if(G313="","","SSE_"&amp;TEXT(vlookup(E313,'プルダウンメニュー (SE用)'!$E$2:$F1028,2,false),"000")&amp;"_"&amp;TEXT(COUNTIF($E$4:E313,E313),"000"))),"")</f>
        <v/>
      </c>
      <c r="C313" s="984"/>
      <c r="D313" s="985"/>
      <c r="E313" s="986"/>
      <c r="F313" s="986"/>
      <c r="G313" s="1000"/>
      <c r="H313" s="952"/>
      <c r="I313" s="953"/>
      <c r="J313" s="1001"/>
      <c r="K313" s="1001"/>
      <c r="L313" s="1002"/>
      <c r="M313" s="862"/>
      <c r="N313" s="904"/>
      <c r="O313" s="904"/>
      <c r="P313" s="868"/>
      <c r="Q313" s="895"/>
      <c r="R313" s="869"/>
      <c r="S313" s="143"/>
      <c r="T313" s="869"/>
      <c r="U313" s="1003"/>
    </row>
    <row r="314">
      <c r="A314" s="926" t="str">
        <f t="array" ref="A314">if(G314="","",XLOOKUP(D314,'プルダウンメニュー (SE用)'!$D$2:$D1028,'プルダウンメニュー (SE用)'!$C$2:$C1028))</f>
        <v/>
      </c>
      <c r="B314" s="926" t="str">
        <f>iferror(if(H314="GLOW流用","-",if(G314="","","SSE_"&amp;TEXT(vlookup(E314,'プルダウンメニュー (SE用)'!$E$2:$F1028,2,false),"000")&amp;"_"&amp;TEXT(COUNTIF($E$4:E314,E314),"000"))),"")</f>
        <v/>
      </c>
      <c r="C314" s="984"/>
      <c r="D314" s="985"/>
      <c r="E314" s="986"/>
      <c r="F314" s="986"/>
      <c r="G314" s="1000"/>
      <c r="H314" s="952"/>
      <c r="I314" s="953"/>
      <c r="J314" s="1001"/>
      <c r="K314" s="1001"/>
      <c r="L314" s="1002"/>
      <c r="M314" s="862"/>
      <c r="N314" s="904"/>
      <c r="O314" s="904"/>
      <c r="P314" s="868"/>
      <c r="Q314" s="895"/>
      <c r="R314" s="869"/>
      <c r="S314" s="143"/>
      <c r="T314" s="869"/>
      <c r="U314" s="1003"/>
    </row>
    <row r="315">
      <c r="A315" s="926" t="str">
        <f t="array" ref="A315">if(G315="","",XLOOKUP(D315,'プルダウンメニュー (SE用)'!$D$2:$D1028,'プルダウンメニュー (SE用)'!$C$2:$C1028))</f>
        <v/>
      </c>
      <c r="B315" s="926" t="str">
        <f>iferror(if(H315="GLOW流用","-",if(G315="","","SSE_"&amp;TEXT(vlookup(E315,'プルダウンメニュー (SE用)'!$E$2:$F1028,2,false),"000")&amp;"_"&amp;TEXT(COUNTIF($E$4:E315,E315),"000"))),"")</f>
        <v/>
      </c>
      <c r="C315" s="984"/>
      <c r="D315" s="985"/>
      <c r="E315" s="986"/>
      <c r="F315" s="986"/>
      <c r="G315" s="1000"/>
      <c r="H315" s="952"/>
      <c r="I315" s="953"/>
      <c r="J315" s="1001"/>
      <c r="K315" s="1001"/>
      <c r="L315" s="1002"/>
      <c r="M315" s="862"/>
      <c r="N315" s="904"/>
      <c r="O315" s="904"/>
      <c r="P315" s="868"/>
      <c r="Q315" s="895"/>
      <c r="R315" s="869"/>
      <c r="S315" s="143"/>
      <c r="T315" s="869"/>
      <c r="U315" s="1003"/>
    </row>
    <row r="316">
      <c r="A316" s="926" t="str">
        <f t="array" ref="A316">if(G316="","",XLOOKUP(D316,'プルダウンメニュー (SE用)'!$D$2:$D1028,'プルダウンメニュー (SE用)'!$C$2:$C1028))</f>
        <v/>
      </c>
      <c r="B316" s="926" t="str">
        <f>iferror(if(H316="GLOW流用","-",if(G316="","","SSE_"&amp;TEXT(vlookup(E316,'プルダウンメニュー (SE用)'!$E$2:$F1028,2,false),"000")&amp;"_"&amp;TEXT(COUNTIF($E$4:E316,E316),"000"))),"")</f>
        <v/>
      </c>
      <c r="C316" s="984"/>
      <c r="D316" s="985"/>
      <c r="E316" s="986"/>
      <c r="F316" s="986"/>
      <c r="G316" s="1000"/>
      <c r="H316" s="952"/>
      <c r="I316" s="953"/>
      <c r="J316" s="1001"/>
      <c r="K316" s="1001"/>
      <c r="L316" s="1002"/>
      <c r="M316" s="862"/>
      <c r="N316" s="904"/>
      <c r="O316" s="904"/>
      <c r="P316" s="868"/>
      <c r="Q316" s="895"/>
      <c r="R316" s="869"/>
      <c r="S316" s="143"/>
      <c r="T316" s="869"/>
      <c r="U316" s="1003"/>
    </row>
    <row r="317">
      <c r="A317" s="926" t="str">
        <f t="array" ref="A317">if(G317="","",XLOOKUP(D317,'プルダウンメニュー (SE用)'!$D$2:$D1028,'プルダウンメニュー (SE用)'!$C$2:$C1028))</f>
        <v/>
      </c>
      <c r="B317" s="926" t="str">
        <f>iferror(if(H317="GLOW流用","-",if(G317="","","SSE_"&amp;TEXT(vlookup(E317,'プルダウンメニュー (SE用)'!$E$2:$F1028,2,false),"000")&amp;"_"&amp;TEXT(COUNTIF($E$4:E317,E317),"000"))),"")</f>
        <v/>
      </c>
      <c r="C317" s="984"/>
      <c r="D317" s="985"/>
      <c r="E317" s="986"/>
      <c r="F317" s="986"/>
      <c r="G317" s="1000"/>
      <c r="H317" s="952"/>
      <c r="I317" s="953"/>
      <c r="J317" s="1001"/>
      <c r="K317" s="1001"/>
      <c r="L317" s="1002"/>
      <c r="M317" s="862"/>
      <c r="N317" s="904"/>
      <c r="O317" s="904"/>
      <c r="P317" s="868"/>
      <c r="Q317" s="895"/>
      <c r="R317" s="869"/>
      <c r="S317" s="143"/>
      <c r="T317" s="869"/>
      <c r="U317" s="1003"/>
    </row>
    <row r="318">
      <c r="A318" s="926" t="str">
        <f t="array" ref="A318">if(G318="","",XLOOKUP(D318,'プルダウンメニュー (SE用)'!$D$2:$D1028,'プルダウンメニュー (SE用)'!$C$2:$C1028))</f>
        <v/>
      </c>
      <c r="B318" s="926" t="str">
        <f>iferror(if(H318="GLOW流用","-",if(G318="","","SSE_"&amp;TEXT(vlookup(E318,'プルダウンメニュー (SE用)'!$E$2:$F1028,2,false),"000")&amp;"_"&amp;TEXT(COUNTIF($E$4:E318,E318),"000"))),"")</f>
        <v/>
      </c>
      <c r="C318" s="984"/>
      <c r="D318" s="985"/>
      <c r="E318" s="986"/>
      <c r="F318" s="986"/>
      <c r="G318" s="1000"/>
      <c r="H318" s="952"/>
      <c r="I318" s="953"/>
      <c r="J318" s="1001"/>
      <c r="K318" s="1001"/>
      <c r="L318" s="1002"/>
      <c r="M318" s="862"/>
      <c r="N318" s="904"/>
      <c r="O318" s="904"/>
      <c r="P318" s="868"/>
      <c r="Q318" s="895"/>
      <c r="R318" s="869"/>
      <c r="S318" s="143"/>
      <c r="T318" s="869"/>
      <c r="U318" s="1003"/>
    </row>
    <row r="319">
      <c r="A319" s="926" t="str">
        <f t="array" ref="A319">if(G319="","",XLOOKUP(D319,'プルダウンメニュー (SE用)'!$D$2:$D1028,'プルダウンメニュー (SE用)'!$C$2:$C1028))</f>
        <v/>
      </c>
      <c r="B319" s="926" t="str">
        <f>iferror(if(H319="GLOW流用","-",if(G319="","","SSE_"&amp;TEXT(vlookup(E319,'プルダウンメニュー (SE用)'!$E$2:$F1028,2,false),"000")&amp;"_"&amp;TEXT(COUNTIF($E$4:E319,E319),"000"))),"")</f>
        <v/>
      </c>
      <c r="C319" s="860"/>
      <c r="D319" s="861"/>
      <c r="E319" s="976"/>
      <c r="F319" s="976"/>
      <c r="G319" s="861"/>
      <c r="H319" s="862"/>
      <c r="I319" s="901"/>
      <c r="J319" s="902"/>
      <c r="K319" s="902"/>
      <c r="L319" s="903"/>
      <c r="M319" s="862"/>
      <c r="N319" s="904"/>
      <c r="O319" s="904"/>
      <c r="P319" s="868"/>
      <c r="Q319" s="868"/>
      <c r="R319" s="869"/>
      <c r="S319" s="143"/>
      <c r="T319" s="869"/>
      <c r="U319" s="869"/>
    </row>
    <row r="320">
      <c r="A320" s="926" t="str">
        <f t="array" ref="A320">if(G320="","",XLOOKUP(D320,'プルダウンメニュー (SE用)'!$D$2:$D1028,'プルダウンメニュー (SE用)'!$C$2:$C1028))</f>
        <v/>
      </c>
      <c r="B320" s="926" t="str">
        <f>iferror(if(H320="GLOW流用","-",if(G320="","","SSE_"&amp;TEXT(vlookup(E320,'プルダウンメニュー (SE用)'!$E$2:$F1028,2,false),"000")&amp;"_"&amp;TEXT(COUNTIF($E$4:E320,E320),"000"))),"")</f>
        <v/>
      </c>
      <c r="C320" s="860"/>
      <c r="D320" s="861"/>
      <c r="E320" s="976"/>
      <c r="F320" s="976"/>
      <c r="G320" s="861"/>
      <c r="H320" s="862"/>
      <c r="I320" s="901"/>
      <c r="J320" s="902"/>
      <c r="K320" s="902"/>
      <c r="L320" s="903"/>
      <c r="M320" s="862"/>
      <c r="N320" s="904"/>
      <c r="O320" s="904"/>
      <c r="P320" s="868"/>
      <c r="Q320" s="868"/>
      <c r="R320" s="869"/>
      <c r="S320" s="143"/>
      <c r="T320" s="869"/>
      <c r="U320" s="869"/>
    </row>
    <row r="321">
      <c r="A321" s="926" t="str">
        <f t="array" ref="A321">if(G321="","",XLOOKUP(D321,'プルダウンメニュー (SE用)'!$D$2:$D1028,'プルダウンメニュー (SE用)'!$C$2:$C1028))</f>
        <v/>
      </c>
      <c r="B321" s="926" t="str">
        <f>iferror(if(H321="GLOW流用","-",if(G321="","","SSE_"&amp;TEXT(vlookup(E321,'プルダウンメニュー (SE用)'!$E$2:$F1028,2,false),"000")&amp;"_"&amp;TEXT(COUNTIF($E$4:E321,E321),"000"))),"")</f>
        <v/>
      </c>
      <c r="C321" s="860"/>
      <c r="D321" s="861"/>
      <c r="E321" s="976"/>
      <c r="F321" s="976"/>
      <c r="G321" s="861"/>
      <c r="H321" s="862"/>
      <c r="I321" s="901"/>
      <c r="J321" s="902"/>
      <c r="K321" s="902"/>
      <c r="L321" s="903"/>
      <c r="M321" s="862"/>
      <c r="N321" s="904"/>
      <c r="O321" s="904"/>
      <c r="P321" s="868"/>
      <c r="Q321" s="868"/>
      <c r="R321" s="869"/>
      <c r="S321" s="143"/>
      <c r="T321" s="869"/>
      <c r="U321" s="869"/>
    </row>
    <row r="322">
      <c r="A322" s="926" t="str">
        <f t="array" ref="A322">if(G322="","",XLOOKUP(D322,'プルダウンメニュー (SE用)'!$D$2:$D1028,'プルダウンメニュー (SE用)'!$C$2:$C1028))</f>
        <v/>
      </c>
      <c r="B322" s="926" t="str">
        <f>iferror(if(H322="GLOW流用","-",if(G322="","","SSE_"&amp;TEXT(vlookup(E322,'プルダウンメニュー (SE用)'!$E$2:$F1028,2,false),"000")&amp;"_"&amp;TEXT(COUNTIF($E$4:E322,E322),"000"))),"")</f>
        <v/>
      </c>
      <c r="C322" s="860"/>
      <c r="D322" s="861"/>
      <c r="E322" s="976"/>
      <c r="F322" s="976"/>
      <c r="G322" s="861"/>
      <c r="H322" s="862"/>
      <c r="I322" s="901"/>
      <c r="J322" s="902"/>
      <c r="K322" s="902"/>
      <c r="L322" s="903"/>
      <c r="M322" s="862"/>
      <c r="N322" s="904"/>
      <c r="O322" s="904"/>
      <c r="P322" s="868"/>
      <c r="Q322" s="868"/>
      <c r="R322" s="869"/>
      <c r="S322" s="143"/>
      <c r="T322" s="869"/>
      <c r="U322" s="869"/>
    </row>
    <row r="323">
      <c r="A323" s="926" t="str">
        <f t="array" ref="A323">if(G323="","",XLOOKUP(D323,'プルダウンメニュー (SE用)'!$D$2:$D1028,'プルダウンメニュー (SE用)'!$C$2:$C1028))</f>
        <v/>
      </c>
      <c r="B323" s="926" t="str">
        <f>iferror(if(H323="GLOW流用","-",if(G323="","","SSE_"&amp;TEXT(vlookup(E323,'プルダウンメニュー (SE用)'!$E$2:$F1028,2,false),"000")&amp;"_"&amp;TEXT(COUNTIF($E$4:E323,E323),"000"))),"")</f>
        <v/>
      </c>
      <c r="C323" s="860"/>
      <c r="D323" s="861"/>
      <c r="E323" s="976"/>
      <c r="F323" s="976"/>
      <c r="G323" s="861"/>
      <c r="H323" s="862"/>
      <c r="I323" s="901"/>
      <c r="J323" s="902"/>
      <c r="K323" s="902"/>
      <c r="L323" s="903"/>
      <c r="M323" s="862"/>
      <c r="N323" s="904"/>
      <c r="O323" s="904"/>
      <c r="P323" s="868"/>
      <c r="Q323" s="868"/>
      <c r="R323" s="869"/>
      <c r="S323" s="143"/>
      <c r="T323" s="869"/>
      <c r="U323" s="869"/>
    </row>
    <row r="324">
      <c r="A324" s="926" t="str">
        <f t="array" ref="A324">if(G324="","",XLOOKUP(D324,'プルダウンメニュー (SE用)'!$D$2:$D1028,'プルダウンメニュー (SE用)'!$C$2:$C1028))</f>
        <v/>
      </c>
      <c r="B324" s="926" t="str">
        <f>iferror(if(H324="GLOW流用","-",if(G324="","","SSE_"&amp;TEXT(vlookup(E324,'プルダウンメニュー (SE用)'!$E$2:$F1028,2,false),"000")&amp;"_"&amp;TEXT(COUNTIF($E$4:E324,E324),"000"))),"")</f>
        <v/>
      </c>
      <c r="C324" s="860"/>
      <c r="D324" s="861"/>
      <c r="E324" s="976"/>
      <c r="F324" s="976"/>
      <c r="G324" s="861"/>
      <c r="H324" s="862"/>
      <c r="I324" s="901"/>
      <c r="J324" s="902"/>
      <c r="K324" s="902"/>
      <c r="L324" s="903"/>
      <c r="M324" s="862"/>
      <c r="N324" s="904"/>
      <c r="O324" s="904"/>
      <c r="P324" s="868"/>
      <c r="Q324" s="868"/>
      <c r="R324" s="869"/>
      <c r="S324" s="143"/>
      <c r="T324" s="869"/>
      <c r="U324" s="869"/>
    </row>
    <row r="325">
      <c r="A325" s="926" t="str">
        <f t="array" ref="A325">if(G325="","",XLOOKUP(D325,'プルダウンメニュー (SE用)'!$D$2:$D1028,'プルダウンメニュー (SE用)'!$C$2:$C1028))</f>
        <v/>
      </c>
      <c r="B325" s="926" t="str">
        <f>iferror(if(H325="GLOW流用","-",if(G325="","","SSE_"&amp;TEXT(vlookup(E325,'プルダウンメニュー (SE用)'!$E$2:$F1028,2,false),"000")&amp;"_"&amp;TEXT(COUNTIF($E$4:E325,E325),"000"))),"")</f>
        <v/>
      </c>
      <c r="C325" s="860"/>
      <c r="D325" s="861"/>
      <c r="E325" s="976"/>
      <c r="F325" s="976"/>
      <c r="G325" s="861"/>
      <c r="H325" s="862"/>
      <c r="I325" s="901"/>
      <c r="J325" s="902"/>
      <c r="K325" s="902"/>
      <c r="L325" s="903"/>
      <c r="M325" s="862"/>
      <c r="N325" s="904"/>
      <c r="O325" s="904"/>
      <c r="P325" s="868"/>
      <c r="Q325" s="868"/>
      <c r="R325" s="869"/>
      <c r="S325" s="143"/>
      <c r="T325" s="869"/>
      <c r="U325" s="869"/>
    </row>
    <row r="326">
      <c r="A326" s="926" t="str">
        <f t="array" ref="A326">if(G326="","",XLOOKUP(D326,'プルダウンメニュー (SE用)'!$D$2:$D1028,'プルダウンメニュー (SE用)'!$C$2:$C1028))</f>
        <v/>
      </c>
      <c r="B326" s="926" t="str">
        <f>iferror(if(H326="GLOW流用","-",if(G326="","","SSE_"&amp;TEXT(vlookup(E326,'プルダウンメニュー (SE用)'!$E$2:$F1028,2,false),"000")&amp;"_"&amp;TEXT(COUNTIF($E$4:E326,E326),"000"))),"")</f>
        <v/>
      </c>
      <c r="C326" s="860"/>
      <c r="D326" s="861"/>
      <c r="E326" s="976"/>
      <c r="F326" s="976"/>
      <c r="G326" s="861"/>
      <c r="H326" s="862"/>
      <c r="I326" s="901"/>
      <c r="J326" s="902"/>
      <c r="K326" s="902"/>
      <c r="L326" s="903"/>
      <c r="M326" s="862"/>
      <c r="N326" s="904"/>
      <c r="O326" s="904"/>
      <c r="P326" s="868"/>
      <c r="Q326" s="868"/>
      <c r="R326" s="869"/>
      <c r="S326" s="143"/>
      <c r="T326" s="869"/>
      <c r="U326" s="869"/>
    </row>
    <row r="327">
      <c r="A327" s="926" t="str">
        <f t="array" ref="A327">if(G327="","",XLOOKUP(D327,'プルダウンメニュー (SE用)'!$D$2:$D1028,'プルダウンメニュー (SE用)'!$C$2:$C1028))</f>
        <v/>
      </c>
      <c r="B327" s="926" t="str">
        <f>iferror(if(H327="GLOW流用","-",if(G327="","","SSE_"&amp;TEXT(vlookup(E327,'プルダウンメニュー (SE用)'!$E$2:$F1028,2,false),"000")&amp;"_"&amp;TEXT(COUNTIF($E$4:E327,E327),"000"))),"")</f>
        <v/>
      </c>
      <c r="C327" s="860"/>
      <c r="D327" s="861"/>
      <c r="E327" s="976"/>
      <c r="F327" s="976"/>
      <c r="G327" s="861"/>
      <c r="H327" s="862"/>
      <c r="I327" s="901"/>
      <c r="J327" s="902"/>
      <c r="K327" s="902"/>
      <c r="L327" s="903"/>
      <c r="M327" s="862"/>
      <c r="N327" s="904"/>
      <c r="O327" s="904"/>
      <c r="P327" s="868"/>
      <c r="Q327" s="868"/>
      <c r="R327" s="1004"/>
      <c r="S327" s="143"/>
      <c r="T327" s="869"/>
      <c r="U327" s="869"/>
    </row>
    <row r="328">
      <c r="A328" s="926" t="str">
        <f t="array" ref="A328">if(G328="","",XLOOKUP(D328,'プルダウンメニュー (SE用)'!$D$2:$D1028,'プルダウンメニュー (SE用)'!$C$2:$C1028))</f>
        <v/>
      </c>
      <c r="B328" s="926" t="str">
        <f>iferror(if(H328="GLOW流用","-",if(G328="","","SSE_"&amp;TEXT(vlookup(E328,'プルダウンメニュー (SE用)'!$E$2:$F1028,2,false),"000")&amp;"_"&amp;TEXT(COUNTIF($E$4:E328,E328),"000"))),"")</f>
        <v/>
      </c>
      <c r="C328" s="860"/>
      <c r="D328" s="861"/>
      <c r="E328" s="976"/>
      <c r="F328" s="976"/>
      <c r="G328" s="861"/>
      <c r="H328" s="862"/>
      <c r="I328" s="901"/>
      <c r="J328" s="902"/>
      <c r="K328" s="902"/>
      <c r="L328" s="903"/>
      <c r="M328" s="862"/>
      <c r="N328" s="904"/>
      <c r="O328" s="904"/>
      <c r="P328" s="868"/>
      <c r="Q328" s="868"/>
      <c r="R328" s="1004"/>
      <c r="S328" s="143"/>
      <c r="T328" s="869"/>
      <c r="U328" s="869"/>
    </row>
    <row r="329">
      <c r="A329" s="926" t="str">
        <f t="array" ref="A329">if(G329="","",XLOOKUP(D329,'プルダウンメニュー (SE用)'!$D$2:$D1028,'プルダウンメニュー (SE用)'!$C$2:$C1028))</f>
        <v/>
      </c>
      <c r="B329" s="926" t="str">
        <f>iferror(if(H329="GLOW流用","-",if(G329="","","SSE_"&amp;TEXT(vlookup(E329,'プルダウンメニュー (SE用)'!$E$2:$F1028,2,false),"000")&amp;"_"&amp;TEXT(COUNTIF($E$4:E329,E329),"000"))),"")</f>
        <v/>
      </c>
      <c r="C329" s="860"/>
      <c r="D329" s="861"/>
      <c r="E329" s="976"/>
      <c r="F329" s="976"/>
      <c r="G329" s="861"/>
      <c r="H329" s="862"/>
      <c r="I329" s="901"/>
      <c r="J329" s="902"/>
      <c r="K329" s="902"/>
      <c r="L329" s="903"/>
      <c r="M329" s="862"/>
      <c r="N329" s="904"/>
      <c r="O329" s="904"/>
      <c r="P329" s="868"/>
      <c r="Q329" s="868"/>
      <c r="R329" s="869"/>
      <c r="S329" s="143"/>
      <c r="T329" s="869"/>
      <c r="U329" s="869"/>
    </row>
    <row r="330">
      <c r="A330" s="926" t="str">
        <f t="array" ref="A330">if(G330="","",XLOOKUP(D330,'プルダウンメニュー (SE用)'!$D$2:$D1028,'プルダウンメニュー (SE用)'!$C$2:$C1028))</f>
        <v/>
      </c>
      <c r="B330" s="926" t="str">
        <f>iferror(if(H330="GLOW流用","-",if(G330="","","SSE_"&amp;TEXT(vlookup(E330,'プルダウンメニュー (SE用)'!$E$2:$F1028,2,false),"000")&amp;"_"&amp;TEXT(COUNTIF($E$4:E330,E330),"000"))),"")</f>
        <v/>
      </c>
      <c r="C330" s="860"/>
      <c r="D330" s="861"/>
      <c r="E330" s="976"/>
      <c r="F330" s="976"/>
      <c r="G330" s="861"/>
      <c r="H330" s="862"/>
      <c r="I330" s="901"/>
      <c r="J330" s="902"/>
      <c r="K330" s="902"/>
      <c r="L330" s="903"/>
      <c r="M330" s="862"/>
      <c r="N330" s="904"/>
      <c r="O330" s="904"/>
      <c r="P330" s="868"/>
      <c r="Q330" s="868"/>
      <c r="R330" s="869"/>
      <c r="S330" s="143"/>
      <c r="T330" s="869"/>
      <c r="U330" s="869"/>
    </row>
    <row r="331">
      <c r="A331" s="926" t="str">
        <f t="array" ref="A331">if(G331="","",XLOOKUP(D331,'プルダウンメニュー (SE用)'!$D$2:$D1028,'プルダウンメニュー (SE用)'!$C$2:$C1028))</f>
        <v/>
      </c>
      <c r="B331" s="926" t="str">
        <f>iferror(if(H331="GLOW流用","-",if(G331="","","SSE_"&amp;TEXT(vlookup(E331,'プルダウンメニュー (SE用)'!$E$2:$F1028,2,false),"000")&amp;"_"&amp;TEXT(COUNTIF($E$4:E331,E331),"000"))),"")</f>
        <v/>
      </c>
      <c r="C331" s="860"/>
      <c r="D331" s="861"/>
      <c r="E331" s="976"/>
      <c r="F331" s="976"/>
      <c r="G331" s="861"/>
      <c r="H331" s="862"/>
      <c r="I331" s="901"/>
      <c r="J331" s="902"/>
      <c r="K331" s="902"/>
      <c r="L331" s="903"/>
      <c r="M331" s="862"/>
      <c r="N331" s="904"/>
      <c r="O331" s="904"/>
      <c r="P331" s="868"/>
      <c r="Q331" s="868"/>
      <c r="R331" s="869"/>
      <c r="S331" s="143"/>
      <c r="T331" s="869"/>
      <c r="U331" s="869"/>
    </row>
    <row r="332">
      <c r="A332" s="926" t="str">
        <f t="array" ref="A332">if(G332="","",XLOOKUP(D332,'プルダウンメニュー (SE用)'!$D$2:$D1028,'プルダウンメニュー (SE用)'!$C$2:$C1028))</f>
        <v/>
      </c>
      <c r="B332" s="926" t="str">
        <f>iferror(if(H332="GLOW流用","-",if(G332="","","SSE_"&amp;TEXT(vlookup(E332,'プルダウンメニュー (SE用)'!$E$2:$F1028,2,false),"000")&amp;"_"&amp;TEXT(COUNTIF($E$4:E332,E332),"000"))),"")</f>
        <v/>
      </c>
      <c r="C332" s="860"/>
      <c r="D332" s="861"/>
      <c r="E332" s="976"/>
      <c r="F332" s="976"/>
      <c r="G332" s="861"/>
      <c r="H332" s="862"/>
      <c r="I332" s="901"/>
      <c r="J332" s="902"/>
      <c r="K332" s="902"/>
      <c r="L332" s="903"/>
      <c r="M332" s="862"/>
      <c r="N332" s="904"/>
      <c r="O332" s="904"/>
      <c r="P332" s="868"/>
      <c r="Q332" s="868"/>
      <c r="R332" s="869"/>
      <c r="S332" s="143"/>
      <c r="T332" s="869"/>
      <c r="U332" s="869"/>
    </row>
    <row r="333">
      <c r="A333" s="926" t="str">
        <f t="array" ref="A333">if(G333="","",XLOOKUP(D333,'プルダウンメニュー (SE用)'!$D$2:$D1028,'プルダウンメニュー (SE用)'!$C$2:$C1028))</f>
        <v/>
      </c>
      <c r="B333" s="926" t="str">
        <f>iferror(if(H333="GLOW流用","-",if(G333="","","SSE_"&amp;TEXT(vlookup(E333,'プルダウンメニュー (SE用)'!$E$2:$F1028,2,false),"000")&amp;"_"&amp;TEXT(COUNTIF($E$4:E333,E333),"000"))),"")</f>
        <v/>
      </c>
      <c r="C333" s="860"/>
      <c r="D333" s="861"/>
      <c r="E333" s="976"/>
      <c r="F333" s="976"/>
      <c r="G333" s="861"/>
      <c r="H333" s="862"/>
      <c r="I333" s="901"/>
      <c r="J333" s="902"/>
      <c r="K333" s="902"/>
      <c r="L333" s="903"/>
      <c r="M333" s="862"/>
      <c r="N333" s="904"/>
      <c r="O333" s="904"/>
      <c r="P333" s="868"/>
      <c r="Q333" s="868"/>
      <c r="R333" s="869"/>
      <c r="S333" s="143"/>
      <c r="T333" s="869"/>
      <c r="U333" s="869"/>
    </row>
    <row r="334">
      <c r="A334" s="926" t="str">
        <f t="array" ref="A334">if(G334="","",XLOOKUP(D334,'プルダウンメニュー (SE用)'!$D$2:$D1028,'プルダウンメニュー (SE用)'!$C$2:$C1028))</f>
        <v/>
      </c>
      <c r="B334" s="926" t="str">
        <f>iferror(if(H334="GLOW流用","-",if(G334="","","SSE_"&amp;TEXT(vlookup(E334,'プルダウンメニュー (SE用)'!$E$2:$F1028,2,false),"000")&amp;"_"&amp;TEXT(COUNTIF($E$4:E334,E334),"000"))),"")</f>
        <v/>
      </c>
      <c r="C334" s="860"/>
      <c r="D334" s="861"/>
      <c r="E334" s="976"/>
      <c r="F334" s="976"/>
      <c r="G334" s="861"/>
      <c r="H334" s="862"/>
      <c r="I334" s="901"/>
      <c r="J334" s="902"/>
      <c r="K334" s="902"/>
      <c r="L334" s="903"/>
      <c r="M334" s="862"/>
      <c r="N334" s="904"/>
      <c r="O334" s="904"/>
      <c r="P334" s="868"/>
      <c r="Q334" s="868"/>
      <c r="R334" s="869"/>
      <c r="S334" s="143"/>
      <c r="T334" s="869"/>
      <c r="U334" s="869"/>
    </row>
    <row r="335">
      <c r="A335" s="926" t="str">
        <f t="array" ref="A335">if(G335="","",XLOOKUP(D335,'プルダウンメニュー (SE用)'!$D$2:$D1028,'プルダウンメニュー (SE用)'!$C$2:$C1028))</f>
        <v/>
      </c>
      <c r="B335" s="926" t="str">
        <f>iferror(if(H335="GLOW流用","-",if(G335="","","SSE_"&amp;TEXT(vlookup(E335,'プルダウンメニュー (SE用)'!$E$2:$F1028,2,false),"000")&amp;"_"&amp;TEXT(COUNTIF($E$4:E335,E335),"000"))),"")</f>
        <v/>
      </c>
      <c r="C335" s="860"/>
      <c r="D335" s="861"/>
      <c r="E335" s="976"/>
      <c r="F335" s="976"/>
      <c r="G335" s="861"/>
      <c r="H335" s="862"/>
      <c r="I335" s="901"/>
      <c r="J335" s="902"/>
      <c r="K335" s="902"/>
      <c r="L335" s="903"/>
      <c r="M335" s="862"/>
      <c r="N335" s="904"/>
      <c r="O335" s="904"/>
      <c r="P335" s="868"/>
      <c r="Q335" s="868"/>
      <c r="R335" s="869"/>
      <c r="S335" s="143"/>
      <c r="T335" s="869"/>
      <c r="U335" s="869"/>
    </row>
    <row r="336">
      <c r="A336" s="926" t="str">
        <f t="array" ref="A336">if(G336="","",XLOOKUP(D336,'プルダウンメニュー (SE用)'!$D$2:$D1028,'プルダウンメニュー (SE用)'!$C$2:$C1028))</f>
        <v/>
      </c>
      <c r="B336" s="926" t="str">
        <f>iferror(if(H336="GLOW流用","-",if(G336="","","SSE_"&amp;TEXT(vlookup(E336,'プルダウンメニュー (SE用)'!$E$2:$F1028,2,false),"000")&amp;"_"&amp;TEXT(COUNTIF($E$4:E336,E336),"000"))),"")</f>
        <v/>
      </c>
      <c r="C336" s="860"/>
      <c r="D336" s="861"/>
      <c r="E336" s="976"/>
      <c r="F336" s="976"/>
      <c r="G336" s="861"/>
      <c r="H336" s="862"/>
      <c r="I336" s="901"/>
      <c r="J336" s="902"/>
      <c r="K336" s="902"/>
      <c r="L336" s="903"/>
      <c r="M336" s="862"/>
      <c r="N336" s="904"/>
      <c r="O336" s="904"/>
      <c r="P336" s="868"/>
      <c r="Q336" s="868"/>
      <c r="R336" s="869"/>
      <c r="S336" s="143"/>
      <c r="T336" s="869"/>
      <c r="U336" s="869"/>
    </row>
    <row r="337">
      <c r="A337" s="926" t="str">
        <f t="array" ref="A337">if(G337="","",XLOOKUP(D337,'プルダウンメニュー (SE用)'!$D$2:$D1028,'プルダウンメニュー (SE用)'!$C$2:$C1028))</f>
        <v/>
      </c>
      <c r="B337" s="926" t="str">
        <f>iferror(if(H337="GLOW流用","-",if(G337="","","SSE_"&amp;TEXT(vlookup(E337,'プルダウンメニュー (SE用)'!$E$2:$F1028,2,false),"000")&amp;"_"&amp;TEXT(COUNTIF($E$4:E337,E337),"000"))),"")</f>
        <v/>
      </c>
      <c r="C337" s="860"/>
      <c r="D337" s="861"/>
      <c r="E337" s="976"/>
      <c r="F337" s="976"/>
      <c r="G337" s="861"/>
      <c r="H337" s="862"/>
      <c r="I337" s="901"/>
      <c r="J337" s="902"/>
      <c r="K337" s="902"/>
      <c r="L337" s="903"/>
      <c r="M337" s="862"/>
      <c r="N337" s="904"/>
      <c r="O337" s="904"/>
      <c r="P337" s="868"/>
      <c r="Q337" s="868"/>
      <c r="R337" s="869"/>
      <c r="S337" s="143"/>
      <c r="T337" s="869"/>
      <c r="U337" s="869"/>
    </row>
    <row r="338">
      <c r="A338" s="926" t="str">
        <f t="array" ref="A338">if(G338="","",XLOOKUP(D338,'プルダウンメニュー (SE用)'!$D$2:$D1028,'プルダウンメニュー (SE用)'!$C$2:$C1028))</f>
        <v/>
      </c>
      <c r="B338" s="926" t="str">
        <f>iferror(if(H338="GLOW流用","-",if(G338="","","SSE_"&amp;TEXT(vlookup(E338,'プルダウンメニュー (SE用)'!$E$2:$F1028,2,false),"000")&amp;"_"&amp;TEXT(COUNTIF($E$4:E338,E338),"000"))),"")</f>
        <v/>
      </c>
      <c r="C338" s="860"/>
      <c r="D338" s="861"/>
      <c r="E338" s="976"/>
      <c r="F338" s="976"/>
      <c r="G338" s="861"/>
      <c r="H338" s="862"/>
      <c r="I338" s="901"/>
      <c r="J338" s="902"/>
      <c r="K338" s="902"/>
      <c r="L338" s="903"/>
      <c r="M338" s="862"/>
      <c r="N338" s="904"/>
      <c r="O338" s="904"/>
      <c r="P338" s="868"/>
      <c r="Q338" s="868"/>
      <c r="R338" s="869"/>
      <c r="S338" s="143"/>
      <c r="T338" s="869"/>
      <c r="U338" s="869"/>
    </row>
    <row r="339">
      <c r="A339" s="926" t="str">
        <f t="array" ref="A339">if(G339="","",XLOOKUP(D339,'プルダウンメニュー (SE用)'!$D$2:$D1028,'プルダウンメニュー (SE用)'!$C$2:$C1028))</f>
        <v/>
      </c>
      <c r="B339" s="926" t="str">
        <f>iferror(if(H339="GLOW流用","-",if(G339="","","SSE_"&amp;TEXT(vlookup(E339,'プルダウンメニュー (SE用)'!$E$2:$F1028,2,false),"000")&amp;"_"&amp;TEXT(COUNTIF($E$4:E339,E339),"000"))),"")</f>
        <v/>
      </c>
      <c r="C339" s="860"/>
      <c r="D339" s="861"/>
      <c r="E339" s="976"/>
      <c r="F339" s="976"/>
      <c r="G339" s="861"/>
      <c r="H339" s="862"/>
      <c r="I339" s="901"/>
      <c r="J339" s="902"/>
      <c r="K339" s="902"/>
      <c r="L339" s="903"/>
      <c r="M339" s="862"/>
      <c r="N339" s="904"/>
      <c r="O339" s="904"/>
      <c r="P339" s="868"/>
      <c r="Q339" s="868"/>
      <c r="R339" s="869"/>
      <c r="S339" s="143"/>
      <c r="T339" s="869"/>
      <c r="U339" s="869"/>
    </row>
    <row r="340">
      <c r="A340" s="926" t="str">
        <f t="array" ref="A340">if(G340="","",XLOOKUP(D340,'プルダウンメニュー (SE用)'!$D$2:$D1028,'プルダウンメニュー (SE用)'!$C$2:$C1028))</f>
        <v/>
      </c>
      <c r="B340" s="926" t="str">
        <f>iferror(if(H340="GLOW流用","-",if(G340="","","SSE_"&amp;TEXT(vlookup(E340,'プルダウンメニュー (SE用)'!$E$2:$F1028,2,false),"000")&amp;"_"&amp;TEXT(COUNTIF($E$4:E340,E340),"000"))),"")</f>
        <v/>
      </c>
      <c r="C340" s="860"/>
      <c r="D340" s="861"/>
      <c r="E340" s="976"/>
      <c r="F340" s="976"/>
      <c r="G340" s="861"/>
      <c r="H340" s="862"/>
      <c r="I340" s="901"/>
      <c r="J340" s="902"/>
      <c r="K340" s="902"/>
      <c r="L340" s="903"/>
      <c r="M340" s="862"/>
      <c r="N340" s="904"/>
      <c r="O340" s="904"/>
      <c r="P340" s="868"/>
      <c r="Q340" s="868"/>
      <c r="R340" s="869"/>
      <c r="S340" s="143"/>
      <c r="T340" s="869"/>
      <c r="U340" s="869"/>
    </row>
    <row r="341">
      <c r="A341" s="926" t="str">
        <f t="array" ref="A341">if(G341="","",XLOOKUP(D341,'プルダウンメニュー (SE用)'!$D$2:$D1028,'プルダウンメニュー (SE用)'!$C$2:$C1028))</f>
        <v/>
      </c>
      <c r="B341" s="926" t="str">
        <f>iferror(if(H341="GLOW流用","-",if(G341="","","SSE_"&amp;TEXT(vlookup(E341,'プルダウンメニュー (SE用)'!$E$2:$F1028,2,false),"000")&amp;"_"&amp;TEXT(COUNTIF($E$4:E341,E341),"000"))),"")</f>
        <v/>
      </c>
      <c r="C341" s="860"/>
      <c r="D341" s="861"/>
      <c r="E341" s="976"/>
      <c r="F341" s="976"/>
      <c r="G341" s="861"/>
      <c r="H341" s="862"/>
      <c r="I341" s="901"/>
      <c r="J341" s="902"/>
      <c r="K341" s="902"/>
      <c r="L341" s="903"/>
      <c r="M341" s="862"/>
      <c r="N341" s="904"/>
      <c r="O341" s="904"/>
      <c r="P341" s="868"/>
      <c r="Q341" s="868"/>
      <c r="R341" s="869"/>
      <c r="S341" s="143"/>
      <c r="T341" s="869"/>
      <c r="U341" s="869"/>
    </row>
    <row r="342">
      <c r="A342" s="926" t="str">
        <f t="array" ref="A342">if(G342="","",XLOOKUP(D342,'プルダウンメニュー (SE用)'!$D$2:$D1028,'プルダウンメニュー (SE用)'!$C$2:$C1028))</f>
        <v/>
      </c>
      <c r="B342" s="926" t="str">
        <f>iferror(if(H342="GLOW流用","-",if(G342="","","SSE_"&amp;TEXT(vlookup(E342,'プルダウンメニュー (SE用)'!$E$2:$F1028,2,false),"000")&amp;"_"&amp;TEXT(COUNTIF($E$4:E342,E342),"000"))),"")</f>
        <v/>
      </c>
      <c r="C342" s="860"/>
      <c r="D342" s="861"/>
      <c r="E342" s="976"/>
      <c r="F342" s="976"/>
      <c r="G342" s="861"/>
      <c r="H342" s="862"/>
      <c r="I342" s="901"/>
      <c r="J342" s="902"/>
      <c r="K342" s="902"/>
      <c r="L342" s="903"/>
      <c r="M342" s="862"/>
      <c r="N342" s="904"/>
      <c r="O342" s="904"/>
      <c r="P342" s="868"/>
      <c r="Q342" s="868"/>
      <c r="R342" s="869"/>
      <c r="S342" s="143"/>
      <c r="T342" s="869"/>
      <c r="U342" s="869"/>
    </row>
    <row r="343">
      <c r="A343" s="926" t="str">
        <f t="array" ref="A343">if(G343="","",XLOOKUP(D343,'プルダウンメニュー (SE用)'!$D$2:$D1028,'プルダウンメニュー (SE用)'!$C$2:$C1028))</f>
        <v/>
      </c>
      <c r="B343" s="926" t="str">
        <f>iferror(if(H343="GLOW流用","-",if(G343="","","SSE_"&amp;TEXT(vlookup(E343,'プルダウンメニュー (SE用)'!$E$2:$F1028,2,false),"000")&amp;"_"&amp;TEXT(COUNTIF($E$4:E343,E343),"000"))),"")</f>
        <v/>
      </c>
      <c r="C343" s="860"/>
      <c r="D343" s="861"/>
      <c r="E343" s="976"/>
      <c r="F343" s="976"/>
      <c r="G343" s="861"/>
      <c r="H343" s="862"/>
      <c r="I343" s="901"/>
      <c r="J343" s="902"/>
      <c r="K343" s="902"/>
      <c r="L343" s="903"/>
      <c r="M343" s="862"/>
      <c r="N343" s="904"/>
      <c r="O343" s="904"/>
      <c r="P343" s="868"/>
      <c r="Q343" s="868"/>
      <c r="R343" s="869"/>
      <c r="S343" s="143"/>
      <c r="T343" s="869"/>
      <c r="U343" s="869"/>
    </row>
    <row r="344">
      <c r="A344" s="926" t="str">
        <f t="array" ref="A344">if(G344="","",XLOOKUP(D344,'プルダウンメニュー (SE用)'!$D$2:$D1028,'プルダウンメニュー (SE用)'!$C$2:$C1028))</f>
        <v/>
      </c>
      <c r="B344" s="926" t="str">
        <f>iferror(if(H344="GLOW流用","-",if(G344="","","SSE_"&amp;TEXT(vlookup(E344,'プルダウンメニュー (SE用)'!$E$2:$F1028,2,false),"000")&amp;"_"&amp;TEXT(COUNTIF($E$4:E344,E344),"000"))),"")</f>
        <v/>
      </c>
      <c r="C344" s="860"/>
      <c r="D344" s="861"/>
      <c r="E344" s="976"/>
      <c r="F344" s="976"/>
      <c r="G344" s="861"/>
      <c r="H344" s="862"/>
      <c r="I344" s="901"/>
      <c r="J344" s="902"/>
      <c r="K344" s="902"/>
      <c r="L344" s="903"/>
      <c r="M344" s="862"/>
      <c r="N344" s="904"/>
      <c r="O344" s="904"/>
      <c r="P344" s="868"/>
      <c r="Q344" s="868"/>
      <c r="R344" s="869"/>
      <c r="S344" s="143"/>
      <c r="T344" s="869"/>
      <c r="U344" s="869"/>
    </row>
    <row r="345">
      <c r="A345" s="926" t="str">
        <f t="array" ref="A345">if(G345="","",XLOOKUP(D345,'プルダウンメニュー (SE用)'!$D$2:$D1028,'プルダウンメニュー (SE用)'!$C$2:$C1028))</f>
        <v/>
      </c>
      <c r="B345" s="926" t="str">
        <f>iferror(if(H345="GLOW流用","-",if(G345="","","SSE_"&amp;TEXT(vlookup(E345,'プルダウンメニュー (SE用)'!$E$2:$F1028,2,false),"000")&amp;"_"&amp;TEXT(COUNTIF($E$4:E345,E345),"000"))),"")</f>
        <v/>
      </c>
      <c r="C345" s="860"/>
      <c r="D345" s="861"/>
      <c r="E345" s="976"/>
      <c r="F345" s="976"/>
      <c r="G345" s="861"/>
      <c r="H345" s="862"/>
      <c r="I345" s="901"/>
      <c r="J345" s="902"/>
      <c r="K345" s="902"/>
      <c r="L345" s="903"/>
      <c r="M345" s="862"/>
      <c r="N345" s="904"/>
      <c r="O345" s="904"/>
      <c r="P345" s="868"/>
      <c r="Q345" s="868"/>
      <c r="R345" s="869"/>
      <c r="S345" s="143"/>
      <c r="T345" s="869"/>
      <c r="U345" s="869"/>
    </row>
    <row r="346">
      <c r="A346" s="926" t="str">
        <f t="array" ref="A346">if(G346="","",XLOOKUP(D346,'プルダウンメニュー (SE用)'!$D$2:$D1028,'プルダウンメニュー (SE用)'!$C$2:$C1028))</f>
        <v/>
      </c>
      <c r="B346" s="926" t="str">
        <f>iferror(if(H346="GLOW流用","-",if(G346="","","SSE_"&amp;TEXT(vlookup(E346,'プルダウンメニュー (SE用)'!$E$2:$F1028,2,false),"000")&amp;"_"&amp;TEXT(COUNTIF($E$4:E346,E346),"000"))),"")</f>
        <v/>
      </c>
      <c r="C346" s="860"/>
      <c r="D346" s="861"/>
      <c r="E346" s="976"/>
      <c r="F346" s="976"/>
      <c r="G346" s="861"/>
      <c r="H346" s="862"/>
      <c r="I346" s="901"/>
      <c r="J346" s="902"/>
      <c r="K346" s="902"/>
      <c r="L346" s="903"/>
      <c r="M346" s="862"/>
      <c r="N346" s="904"/>
      <c r="O346" s="904"/>
      <c r="P346" s="868"/>
      <c r="Q346" s="868"/>
      <c r="R346" s="869"/>
      <c r="S346" s="143"/>
      <c r="T346" s="869"/>
      <c r="U346" s="869"/>
    </row>
    <row r="347">
      <c r="A347" s="926" t="str">
        <f t="array" ref="A347">if(G347="","",XLOOKUP(D347,'プルダウンメニュー (SE用)'!$D$2:$D1028,'プルダウンメニュー (SE用)'!$C$2:$C1028))</f>
        <v/>
      </c>
      <c r="B347" s="926" t="str">
        <f>iferror(if(H347="GLOW流用","-",if(G347="","","SSE_"&amp;TEXT(vlookup(E347,'プルダウンメニュー (SE用)'!$E$2:$F1028,2,false),"000")&amp;"_"&amp;TEXT(COUNTIF($E$4:E347,E347),"000"))),"")</f>
        <v/>
      </c>
      <c r="C347" s="860"/>
      <c r="D347" s="861"/>
      <c r="E347" s="976"/>
      <c r="F347" s="976"/>
      <c r="G347" s="861"/>
      <c r="H347" s="862"/>
      <c r="I347" s="901"/>
      <c r="J347" s="902"/>
      <c r="K347" s="902"/>
      <c r="L347" s="903"/>
      <c r="M347" s="862"/>
      <c r="N347" s="904"/>
      <c r="O347" s="904"/>
      <c r="P347" s="868"/>
      <c r="Q347" s="868"/>
      <c r="R347" s="869"/>
      <c r="S347" s="143"/>
      <c r="T347" s="869"/>
      <c r="U347" s="869"/>
    </row>
    <row r="348">
      <c r="A348" s="926" t="str">
        <f t="array" ref="A348">if(G348="","",XLOOKUP(D348,'プルダウンメニュー (SE用)'!$D$2:$D1028,'プルダウンメニュー (SE用)'!$C$2:$C1028))</f>
        <v/>
      </c>
      <c r="B348" s="926" t="str">
        <f>iferror(if(H348="GLOW流用","-",if(G348="","","SSE_"&amp;TEXT(vlookup(E348,'プルダウンメニュー (SE用)'!$E$2:$F1028,2,false),"000")&amp;"_"&amp;TEXT(COUNTIF($E$4:E348,E348),"000"))),"")</f>
        <v/>
      </c>
      <c r="C348" s="860"/>
      <c r="D348" s="861"/>
      <c r="E348" s="976"/>
      <c r="F348" s="976"/>
      <c r="G348" s="861"/>
      <c r="H348" s="862"/>
      <c r="I348" s="901"/>
      <c r="J348" s="902"/>
      <c r="K348" s="902"/>
      <c r="L348" s="903"/>
      <c r="M348" s="862"/>
      <c r="N348" s="904"/>
      <c r="O348" s="904"/>
      <c r="P348" s="868"/>
      <c r="Q348" s="868"/>
      <c r="R348" s="869"/>
      <c r="S348" s="143"/>
      <c r="T348" s="869"/>
      <c r="U348" s="869"/>
    </row>
    <row r="349">
      <c r="A349" s="926" t="str">
        <f t="array" ref="A349">if(G349="","",XLOOKUP(D349,'プルダウンメニュー (SE用)'!$D$2:$D1028,'プルダウンメニュー (SE用)'!$C$2:$C1028))</f>
        <v/>
      </c>
      <c r="B349" s="926" t="str">
        <f>iferror(if(H349="GLOW流用","-",if(G349="","","SSE_"&amp;TEXT(vlookup(E349,'プルダウンメニュー (SE用)'!$E$2:$F1028,2,false),"000")&amp;"_"&amp;TEXT(COUNTIF($E$4:E349,E349),"000"))),"")</f>
        <v/>
      </c>
      <c r="C349" s="860"/>
      <c r="D349" s="861"/>
      <c r="E349" s="976"/>
      <c r="F349" s="976"/>
      <c r="G349" s="861"/>
      <c r="H349" s="862"/>
      <c r="I349" s="901"/>
      <c r="J349" s="902"/>
      <c r="K349" s="902"/>
      <c r="L349" s="903"/>
      <c r="M349" s="862"/>
      <c r="N349" s="904"/>
      <c r="O349" s="904"/>
      <c r="P349" s="868"/>
      <c r="Q349" s="868"/>
      <c r="R349" s="869"/>
      <c r="S349" s="143"/>
      <c r="T349" s="869"/>
      <c r="U349" s="869"/>
    </row>
    <row r="350">
      <c r="A350" s="926" t="str">
        <f t="array" ref="A350">if(G350="","",XLOOKUP(D350,'プルダウンメニュー (SE用)'!$D$2:$D1028,'プルダウンメニュー (SE用)'!$C$2:$C1028))</f>
        <v/>
      </c>
      <c r="B350" s="926" t="str">
        <f>iferror(if(H350="GLOW流用","-",if(G350="","","SSE_"&amp;TEXT(vlookup(E350,'プルダウンメニュー (SE用)'!$E$2:$F1028,2,false),"000")&amp;"_"&amp;TEXT(COUNTIF($E$4:E350,E350),"000"))),"")</f>
        <v/>
      </c>
      <c r="C350" s="860"/>
      <c r="D350" s="861"/>
      <c r="E350" s="976"/>
      <c r="F350" s="976"/>
      <c r="G350" s="861"/>
      <c r="H350" s="862"/>
      <c r="I350" s="901"/>
      <c r="J350" s="902"/>
      <c r="K350" s="902"/>
      <c r="L350" s="903"/>
      <c r="M350" s="862"/>
      <c r="N350" s="904"/>
      <c r="O350" s="904"/>
      <c r="P350" s="868"/>
      <c r="Q350" s="868"/>
      <c r="R350" s="869"/>
      <c r="S350" s="143"/>
      <c r="T350" s="869"/>
      <c r="U350" s="869"/>
    </row>
    <row r="351">
      <c r="A351" s="926" t="str">
        <f t="array" ref="A351">if(G351="","",XLOOKUP(D351,'プルダウンメニュー (SE用)'!$D$2:$D1028,'プルダウンメニュー (SE用)'!$C$2:$C1028))</f>
        <v/>
      </c>
      <c r="B351" s="926" t="str">
        <f>iferror(if(H351="GLOW流用","-",if(G351="","","SSE_"&amp;TEXT(vlookup(E351,'プルダウンメニュー (SE用)'!$E$2:$F1028,2,false),"000")&amp;"_"&amp;TEXT(COUNTIF($E$4:E351,E351),"000"))),"")</f>
        <v/>
      </c>
      <c r="C351" s="860"/>
      <c r="D351" s="861"/>
      <c r="E351" s="976"/>
      <c r="F351" s="976"/>
      <c r="G351" s="861"/>
      <c r="H351" s="862"/>
      <c r="I351" s="901"/>
      <c r="J351" s="902"/>
      <c r="K351" s="902"/>
      <c r="L351" s="903"/>
      <c r="M351" s="862"/>
      <c r="N351" s="904"/>
      <c r="O351" s="904"/>
      <c r="P351" s="868"/>
      <c r="Q351" s="868"/>
      <c r="R351" s="869"/>
      <c r="S351" s="143"/>
      <c r="T351" s="869"/>
      <c r="U351" s="869"/>
    </row>
    <row r="352">
      <c r="A352" s="926" t="str">
        <f t="array" ref="A352">if(G352="","",XLOOKUP(D352,'プルダウンメニュー (SE用)'!$D$2:$D1028,'プルダウンメニュー (SE用)'!$C$2:$C1028))</f>
        <v/>
      </c>
      <c r="B352" s="926" t="str">
        <f>iferror(if(H352="GLOW流用","-",if(G352="","","SSE_"&amp;TEXT(vlookup(E352,'プルダウンメニュー (SE用)'!$E$2:$F1028,2,false),"000")&amp;"_"&amp;TEXT(COUNTIF($E$4:E352,E352),"000"))),"")</f>
        <v/>
      </c>
      <c r="C352" s="860"/>
      <c r="D352" s="861"/>
      <c r="E352" s="976"/>
      <c r="F352" s="976"/>
      <c r="G352" s="861"/>
      <c r="H352" s="862"/>
      <c r="I352" s="901"/>
      <c r="J352" s="902"/>
      <c r="K352" s="902"/>
      <c r="L352" s="903"/>
      <c r="M352" s="862"/>
      <c r="N352" s="904"/>
      <c r="O352" s="904"/>
      <c r="P352" s="868"/>
      <c r="Q352" s="868"/>
      <c r="R352" s="869"/>
      <c r="S352" s="143"/>
      <c r="T352" s="869"/>
      <c r="U352" s="869"/>
    </row>
    <row r="353">
      <c r="A353" s="926" t="str">
        <f t="array" ref="A353">if(G353="","",XLOOKUP(D353,'プルダウンメニュー (SE用)'!$D$2:$D1028,'プルダウンメニュー (SE用)'!$C$2:$C1028))</f>
        <v/>
      </c>
      <c r="B353" s="926" t="str">
        <f>iferror(if(H353="GLOW流用","-",if(G353="","","SSE_"&amp;TEXT(vlookup(E353,'プルダウンメニュー (SE用)'!$E$2:$F1028,2,false),"000")&amp;"_"&amp;TEXT(COUNTIF($E$4:E353,E353),"000"))),"")</f>
        <v/>
      </c>
      <c r="C353" s="860"/>
      <c r="D353" s="861"/>
      <c r="E353" s="976"/>
      <c r="F353" s="976"/>
      <c r="G353" s="861"/>
      <c r="H353" s="862"/>
      <c r="I353" s="901"/>
      <c r="J353" s="902"/>
      <c r="K353" s="902"/>
      <c r="L353" s="903"/>
      <c r="M353" s="862"/>
      <c r="N353" s="904"/>
      <c r="O353" s="904"/>
      <c r="P353" s="868"/>
      <c r="Q353" s="868"/>
      <c r="R353" s="869"/>
      <c r="S353" s="143"/>
      <c r="T353" s="869"/>
      <c r="U353" s="869"/>
    </row>
    <row r="354">
      <c r="A354" s="926" t="str">
        <f t="array" ref="A354">if(G354="","",XLOOKUP(D354,'プルダウンメニュー (SE用)'!$D$2:$D1028,'プルダウンメニュー (SE用)'!$C$2:$C1028))</f>
        <v/>
      </c>
      <c r="B354" s="926" t="str">
        <f>iferror(if(H354="GLOW流用","-",if(G354="","","SSE_"&amp;TEXT(vlookup(E354,'プルダウンメニュー (SE用)'!$E$2:$F1028,2,false),"000")&amp;"_"&amp;TEXT(COUNTIF($E$4:E354,E354),"000"))),"")</f>
        <v/>
      </c>
      <c r="C354" s="860"/>
      <c r="D354" s="861"/>
      <c r="E354" s="976"/>
      <c r="F354" s="976"/>
      <c r="G354" s="861"/>
      <c r="H354" s="1005"/>
      <c r="I354" s="1006"/>
      <c r="J354" s="1007"/>
      <c r="K354" s="1007"/>
      <c r="L354" s="1008"/>
      <c r="M354" s="1005"/>
      <c r="N354" s="914"/>
      <c r="O354" s="914"/>
      <c r="P354" s="868"/>
      <c r="Q354" s="868"/>
      <c r="R354" s="869"/>
      <c r="S354" s="143"/>
      <c r="T354" s="869"/>
      <c r="U354" s="869"/>
    </row>
    <row r="355">
      <c r="A355" s="926" t="str">
        <f t="array" ref="A355">if(G355="","",XLOOKUP(D355,'プルダウンメニュー (SE用)'!$D$2:$D1028,'プルダウンメニュー (SE用)'!$C$2:$C1028))</f>
        <v/>
      </c>
      <c r="B355" s="926" t="str">
        <f>iferror(if(H355="GLOW流用","-",if(G355="","","SSE_"&amp;TEXT(vlookup(E355,'プルダウンメニュー (SE用)'!$E$2:$F1028,2,false),"000")&amp;"_"&amp;TEXT(COUNTIF($E$4:E355,E355),"000"))),"")</f>
        <v/>
      </c>
      <c r="C355" s="860"/>
      <c r="D355" s="861"/>
      <c r="E355" s="976"/>
      <c r="F355" s="976"/>
      <c r="G355" s="861"/>
      <c r="H355" s="862"/>
      <c r="I355" s="901"/>
      <c r="J355" s="902"/>
      <c r="K355" s="902"/>
      <c r="L355" s="903"/>
      <c r="M355" s="862"/>
      <c r="N355" s="904"/>
      <c r="O355" s="904"/>
      <c r="P355" s="868"/>
      <c r="Q355" s="868"/>
      <c r="R355" s="869"/>
      <c r="S355" s="143"/>
      <c r="T355" s="869"/>
      <c r="U355" s="869"/>
    </row>
    <row r="356">
      <c r="A356" s="926" t="str">
        <f t="array" ref="A356">if(G356="","",XLOOKUP(D356,'プルダウンメニュー (SE用)'!$D$2:$D1028,'プルダウンメニュー (SE用)'!$C$2:$C1028))</f>
        <v/>
      </c>
      <c r="B356" s="926" t="str">
        <f>iferror(if(H356="GLOW流用","-",if(G356="","","SSE_"&amp;TEXT(vlookup(E356,'プルダウンメニュー (SE用)'!$E$2:$F1028,2,false),"000")&amp;"_"&amp;TEXT(COUNTIF($E$4:E356,E356),"000"))),"")</f>
        <v/>
      </c>
      <c r="C356" s="860"/>
      <c r="D356" s="861"/>
      <c r="E356" s="976"/>
      <c r="F356" s="976"/>
      <c r="G356" s="861"/>
      <c r="H356" s="862"/>
      <c r="I356" s="901"/>
      <c r="J356" s="902"/>
      <c r="K356" s="902"/>
      <c r="L356" s="903"/>
      <c r="M356" s="862"/>
      <c r="N356" s="904"/>
      <c r="O356" s="904"/>
      <c r="P356" s="868"/>
      <c r="Q356" s="868"/>
      <c r="R356" s="869"/>
      <c r="S356" s="143"/>
      <c r="T356" s="869"/>
      <c r="U356" s="869"/>
    </row>
    <row r="357">
      <c r="A357" s="926" t="str">
        <f t="array" ref="A357">if(G357="","",XLOOKUP(D357,'プルダウンメニュー (SE用)'!$D$2:$D1028,'プルダウンメニュー (SE用)'!$C$2:$C1028))</f>
        <v/>
      </c>
      <c r="B357" s="926" t="str">
        <f>iferror(if(H357="GLOW流用","-",if(G357="","","SSE_"&amp;TEXT(vlookup(E357,'プルダウンメニュー (SE用)'!$E$2:$F1028,2,false),"000")&amp;"_"&amp;TEXT(COUNTIF($E$4:E357,E357),"000"))),"")</f>
        <v/>
      </c>
      <c r="C357" s="860"/>
      <c r="D357" s="861"/>
      <c r="E357" s="976"/>
      <c r="F357" s="976"/>
      <c r="G357" s="861"/>
      <c r="H357" s="862"/>
      <c r="I357" s="901"/>
      <c r="J357" s="902"/>
      <c r="K357" s="902"/>
      <c r="L357" s="903"/>
      <c r="M357" s="862"/>
      <c r="N357" s="904"/>
      <c r="O357" s="904"/>
      <c r="P357" s="868"/>
      <c r="Q357" s="868"/>
      <c r="R357" s="869"/>
      <c r="S357" s="143"/>
      <c r="T357" s="869"/>
      <c r="U357" s="869"/>
    </row>
    <row r="358">
      <c r="A358" s="926" t="str">
        <f t="array" ref="A358">if(G358="","",XLOOKUP(D358,'プルダウンメニュー (SE用)'!$D$2:$D1028,'プルダウンメニュー (SE用)'!$C$2:$C1028))</f>
        <v/>
      </c>
      <c r="B358" s="926" t="str">
        <f>iferror(if(H358="GLOW流用","-",if(G358="","","SSE_"&amp;TEXT(vlookup(E358,'プルダウンメニュー (SE用)'!$E$2:$F1028,2,false),"000")&amp;"_"&amp;TEXT(COUNTIF($E$4:E358,E358),"000"))),"")</f>
        <v/>
      </c>
      <c r="C358" s="860"/>
      <c r="D358" s="861"/>
      <c r="E358" s="976"/>
      <c r="F358" s="976"/>
      <c r="G358" s="861"/>
      <c r="H358" s="862"/>
      <c r="I358" s="901"/>
      <c r="J358" s="902"/>
      <c r="K358" s="902"/>
      <c r="L358" s="903"/>
      <c r="M358" s="862"/>
      <c r="N358" s="904"/>
      <c r="O358" s="904"/>
      <c r="P358" s="868"/>
      <c r="Q358" s="868"/>
      <c r="R358" s="869"/>
      <c r="S358" s="143"/>
      <c r="T358" s="869"/>
      <c r="U358" s="869"/>
    </row>
    <row r="359">
      <c r="A359" s="926" t="str">
        <f t="array" ref="A359">if(G359="","",XLOOKUP(D359,'プルダウンメニュー (SE用)'!$D$2:$D1028,'プルダウンメニュー (SE用)'!$C$2:$C1028))</f>
        <v/>
      </c>
      <c r="B359" s="926" t="str">
        <f>iferror(if(H359="GLOW流用","-",if(G359="","","SSE_"&amp;TEXT(vlookup(E359,'プルダウンメニュー (SE用)'!$E$2:$F1028,2,false),"000")&amp;"_"&amp;TEXT(COUNTIF($E$4:E359,E359),"000"))),"")</f>
        <v/>
      </c>
      <c r="C359" s="860"/>
      <c r="D359" s="861"/>
      <c r="E359" s="976"/>
      <c r="F359" s="976"/>
      <c r="G359" s="861"/>
      <c r="H359" s="862"/>
      <c r="I359" s="901"/>
      <c r="J359" s="902"/>
      <c r="K359" s="902"/>
      <c r="L359" s="903"/>
      <c r="M359" s="862"/>
      <c r="N359" s="904"/>
      <c r="O359" s="904"/>
      <c r="P359" s="868"/>
      <c r="Q359" s="868"/>
      <c r="R359" s="869"/>
      <c r="S359" s="143"/>
      <c r="T359" s="869"/>
      <c r="U359" s="869"/>
    </row>
    <row r="360">
      <c r="A360" s="926" t="str">
        <f t="array" ref="A360">if(G360="","",XLOOKUP(D360,'プルダウンメニュー (SE用)'!$D$2:$D1028,'プルダウンメニュー (SE用)'!$C$2:$C1028))</f>
        <v/>
      </c>
      <c r="B360" s="926" t="str">
        <f>iferror(if(H360="GLOW流用","-",if(G360="","","SSE_"&amp;TEXT(vlookup(E360,'プルダウンメニュー (SE用)'!$E$2:$F1028,2,false),"000")&amp;"_"&amp;TEXT(COUNTIF($E$4:E360,E360),"000"))),"")</f>
        <v/>
      </c>
      <c r="C360" s="860"/>
      <c r="D360" s="861"/>
      <c r="E360" s="976"/>
      <c r="F360" s="976"/>
      <c r="G360" s="861"/>
      <c r="H360" s="862"/>
      <c r="I360" s="901"/>
      <c r="J360" s="902"/>
      <c r="K360" s="902"/>
      <c r="L360" s="903"/>
      <c r="M360" s="862"/>
      <c r="N360" s="904"/>
      <c r="O360" s="904"/>
      <c r="P360" s="868"/>
      <c r="Q360" s="868"/>
      <c r="R360" s="869"/>
      <c r="S360" s="143"/>
      <c r="T360" s="869"/>
      <c r="U360" s="869"/>
    </row>
    <row r="361">
      <c r="A361" s="926" t="str">
        <f t="array" ref="A361">if(G361="","",XLOOKUP(D361,'プルダウンメニュー (SE用)'!$D$2:$D1028,'プルダウンメニュー (SE用)'!$C$2:$C1028))</f>
        <v/>
      </c>
      <c r="B361" s="926" t="str">
        <f>iferror(if(H361="GLOW流用","-",if(G361="","","SSE_"&amp;TEXT(vlookup(E361,'プルダウンメニュー (SE用)'!$E$2:$F1028,2,false),"000")&amp;"_"&amp;TEXT(COUNTIF($E$4:E361,E361),"000"))),"")</f>
        <v/>
      </c>
      <c r="C361" s="860"/>
      <c r="D361" s="861"/>
      <c r="E361" s="976"/>
      <c r="F361" s="976"/>
      <c r="G361" s="861"/>
      <c r="H361" s="862"/>
      <c r="I361" s="901"/>
      <c r="J361" s="902"/>
      <c r="K361" s="902"/>
      <c r="L361" s="903"/>
      <c r="M361" s="862"/>
      <c r="N361" s="904"/>
      <c r="O361" s="904"/>
      <c r="P361" s="868"/>
      <c r="Q361" s="868"/>
      <c r="R361" s="869"/>
      <c r="S361" s="143"/>
      <c r="T361" s="869"/>
      <c r="U361" s="869"/>
    </row>
    <row r="362">
      <c r="A362" s="926" t="str">
        <f t="array" ref="A362">if(G362="","",XLOOKUP(D362,'プルダウンメニュー (SE用)'!$D$2:$D1028,'プルダウンメニュー (SE用)'!$C$2:$C1028))</f>
        <v/>
      </c>
      <c r="B362" s="926" t="str">
        <f>iferror(if(H362="GLOW流用","-",if(G362="","","SSE_"&amp;TEXT(vlookup(E362,'プルダウンメニュー (SE用)'!$E$2:$F1028,2,false),"000")&amp;"_"&amp;TEXT(COUNTIF($E$4:E362,E362),"000"))),"")</f>
        <v/>
      </c>
      <c r="C362" s="860"/>
      <c r="D362" s="861"/>
      <c r="E362" s="976"/>
      <c r="F362" s="976"/>
      <c r="G362" s="861"/>
      <c r="H362" s="862"/>
      <c r="I362" s="901"/>
      <c r="J362" s="902"/>
      <c r="K362" s="902"/>
      <c r="L362" s="903"/>
      <c r="M362" s="862"/>
      <c r="N362" s="904"/>
      <c r="O362" s="904"/>
      <c r="P362" s="868"/>
      <c r="Q362" s="868"/>
      <c r="R362" s="869"/>
      <c r="S362" s="143"/>
      <c r="T362" s="869"/>
      <c r="U362" s="869"/>
    </row>
    <row r="363">
      <c r="A363" s="926" t="str">
        <f t="array" ref="A363">if(G363="","",XLOOKUP(D363,'プルダウンメニュー (SE用)'!$D$2:$D1028,'プルダウンメニュー (SE用)'!$C$2:$C1028))</f>
        <v/>
      </c>
      <c r="B363" s="926" t="str">
        <f>iferror(if(H363="GLOW流用","-",if(G363="","","SSE_"&amp;TEXT(vlookup(E363,'プルダウンメニュー (SE用)'!$E$2:$F1028,2,false),"000")&amp;"_"&amp;TEXT(COUNTIF($E$4:E363,E363),"000"))),"")</f>
        <v/>
      </c>
      <c r="C363" s="860"/>
      <c r="D363" s="861"/>
      <c r="E363" s="976"/>
      <c r="F363" s="976"/>
      <c r="G363" s="861"/>
      <c r="H363" s="862"/>
      <c r="I363" s="901"/>
      <c r="J363" s="902"/>
      <c r="K363" s="902"/>
      <c r="L363" s="903"/>
      <c r="M363" s="862"/>
      <c r="N363" s="904"/>
      <c r="O363" s="904"/>
      <c r="P363" s="868"/>
      <c r="Q363" s="868"/>
      <c r="R363" s="869"/>
      <c r="S363" s="143"/>
      <c r="T363" s="869"/>
      <c r="U363" s="869"/>
    </row>
    <row r="364">
      <c r="A364" s="926" t="str">
        <f t="array" ref="A364">if(G364="","",XLOOKUP(D364,'プルダウンメニュー (SE用)'!$D$2:$D1028,'プルダウンメニュー (SE用)'!$C$2:$C1028))</f>
        <v/>
      </c>
      <c r="B364" s="926" t="str">
        <f>iferror(if(H364="GLOW流用","-",if(G364="","","SSE_"&amp;TEXT(vlookup(E364,'プルダウンメニュー (SE用)'!$E$2:$F1028,2,false),"000")&amp;"_"&amp;TEXT(COUNTIF($E$4:E364,E364),"000"))),"")</f>
        <v/>
      </c>
      <c r="C364" s="860"/>
      <c r="D364" s="861"/>
      <c r="E364" s="976"/>
      <c r="F364" s="976"/>
      <c r="G364" s="861"/>
      <c r="H364" s="862"/>
      <c r="I364" s="901"/>
      <c r="J364" s="902"/>
      <c r="K364" s="902"/>
      <c r="L364" s="903"/>
      <c r="M364" s="862"/>
      <c r="N364" s="904"/>
      <c r="O364" s="904"/>
      <c r="P364" s="868"/>
      <c r="Q364" s="868"/>
      <c r="R364" s="869"/>
      <c r="S364" s="143"/>
      <c r="T364" s="869"/>
      <c r="U364" s="869"/>
    </row>
    <row r="365">
      <c r="A365" s="926" t="str">
        <f t="array" ref="A365">if(G365="","",XLOOKUP(D365,'プルダウンメニュー (SE用)'!$D$2:$D1028,'プルダウンメニュー (SE用)'!$C$2:$C1028))</f>
        <v/>
      </c>
      <c r="B365" s="926" t="str">
        <f>iferror(if(H365="GLOW流用","-",if(G365="","","SSE_"&amp;TEXT(vlookup(E365,'プルダウンメニュー (SE用)'!$E$2:$F1028,2,false),"000")&amp;"_"&amp;TEXT(COUNTIF($E$4:E365,E365),"000"))),"")</f>
        <v/>
      </c>
      <c r="C365" s="860"/>
      <c r="D365" s="861"/>
      <c r="E365" s="976"/>
      <c r="F365" s="976"/>
      <c r="G365" s="861"/>
      <c r="H365" s="862"/>
      <c r="I365" s="901"/>
      <c r="J365" s="902"/>
      <c r="K365" s="902"/>
      <c r="L365" s="903"/>
      <c r="M365" s="862"/>
      <c r="N365" s="904"/>
      <c r="O365" s="904"/>
      <c r="P365" s="868"/>
      <c r="Q365" s="868"/>
      <c r="R365" s="869"/>
      <c r="S365" s="143"/>
      <c r="T365" s="869"/>
      <c r="U365" s="869"/>
    </row>
    <row r="366">
      <c r="A366" s="926" t="str">
        <f t="array" ref="A366">if(G366="","",XLOOKUP(D366,'プルダウンメニュー (SE用)'!$D$2:$D1028,'プルダウンメニュー (SE用)'!$C$2:$C1028))</f>
        <v/>
      </c>
      <c r="B366" s="926" t="str">
        <f>iferror(if(H366="GLOW流用","-",if(G366="","","SSE_"&amp;TEXT(vlookup(E366,'プルダウンメニュー (SE用)'!$E$2:$F1028,2,false),"000")&amp;"_"&amp;TEXT(COUNTIF($E$4:E366,E366),"000"))),"")</f>
        <v/>
      </c>
      <c r="C366" s="860"/>
      <c r="D366" s="861"/>
      <c r="E366" s="976"/>
      <c r="F366" s="976"/>
      <c r="G366" s="861"/>
      <c r="H366" s="862"/>
      <c r="I366" s="901"/>
      <c r="J366" s="902"/>
      <c r="K366" s="902"/>
      <c r="L366" s="903"/>
      <c r="M366" s="862"/>
      <c r="N366" s="904"/>
      <c r="O366" s="904"/>
      <c r="P366" s="868"/>
      <c r="Q366" s="868"/>
      <c r="R366" s="869"/>
      <c r="S366" s="143"/>
      <c r="T366" s="869"/>
      <c r="U366" s="869"/>
    </row>
    <row r="367">
      <c r="A367" s="926" t="str">
        <f t="array" ref="A367">if(G367="","",XLOOKUP(D367,'プルダウンメニュー (SE用)'!$D$2:$D1028,'プルダウンメニュー (SE用)'!$C$2:$C1028))</f>
        <v/>
      </c>
      <c r="B367" s="926" t="str">
        <f>iferror(if(H367="GLOW流用","-",if(G367="","","SSE_"&amp;TEXT(vlookup(E367,'プルダウンメニュー (SE用)'!$E$2:$F1028,2,false),"000")&amp;"_"&amp;TEXT(COUNTIF($E$4:E367,E367),"000"))),"")</f>
        <v/>
      </c>
      <c r="C367" s="860"/>
      <c r="D367" s="861"/>
      <c r="E367" s="976"/>
      <c r="F367" s="976"/>
      <c r="G367" s="861"/>
      <c r="H367" s="862"/>
      <c r="I367" s="901"/>
      <c r="J367" s="902"/>
      <c r="K367" s="902"/>
      <c r="L367" s="903"/>
      <c r="M367" s="862"/>
      <c r="N367" s="904"/>
      <c r="O367" s="904"/>
      <c r="P367" s="868"/>
      <c r="Q367" s="868"/>
      <c r="R367" s="869"/>
      <c r="S367" s="143"/>
      <c r="T367" s="869"/>
      <c r="U367" s="869"/>
    </row>
    <row r="368">
      <c r="A368" s="926" t="str">
        <f t="array" ref="A368">if(G368="","",XLOOKUP(D368,'プルダウンメニュー (SE用)'!$D$2:$D1028,'プルダウンメニュー (SE用)'!$C$2:$C1028))</f>
        <v/>
      </c>
      <c r="B368" s="926" t="str">
        <f>iferror(if(H368="GLOW流用","-",if(G368="","","SSE_"&amp;TEXT(vlookup(E368,'プルダウンメニュー (SE用)'!$E$2:$F1028,2,false),"000")&amp;"_"&amp;TEXT(COUNTIF($E$4:E368,E368),"000"))),"")</f>
        <v/>
      </c>
      <c r="C368" s="860"/>
      <c r="D368" s="861"/>
      <c r="E368" s="976"/>
      <c r="F368" s="976"/>
      <c r="G368" s="861"/>
      <c r="H368" s="862"/>
      <c r="I368" s="901"/>
      <c r="J368" s="902"/>
      <c r="K368" s="902"/>
      <c r="L368" s="903"/>
      <c r="M368" s="862"/>
      <c r="N368" s="904"/>
      <c r="O368" s="904"/>
      <c r="P368" s="868"/>
      <c r="Q368" s="868"/>
      <c r="R368" s="869"/>
      <c r="S368" s="143"/>
      <c r="T368" s="869"/>
      <c r="U368" s="869"/>
    </row>
    <row r="369">
      <c r="A369" s="926" t="str">
        <f t="array" ref="A369">if(G369="","",XLOOKUP(D369,'プルダウンメニュー (SE用)'!$D$2:$D1028,'プルダウンメニュー (SE用)'!$C$2:$C1028))</f>
        <v/>
      </c>
      <c r="B369" s="926" t="str">
        <f>iferror(if(H369="GLOW流用","-",if(G369="","","SSE_"&amp;TEXT(vlookup(E369,'プルダウンメニュー (SE用)'!$E$2:$F1028,2,false),"000")&amp;"_"&amp;TEXT(COUNTIF($E$4:E369,E369),"000"))),"")</f>
        <v/>
      </c>
      <c r="C369" s="860"/>
      <c r="D369" s="861"/>
      <c r="E369" s="976"/>
      <c r="F369" s="976"/>
      <c r="G369" s="861"/>
      <c r="H369" s="862"/>
      <c r="I369" s="901"/>
      <c r="J369" s="902"/>
      <c r="K369" s="902"/>
      <c r="L369" s="903"/>
      <c r="M369" s="862"/>
      <c r="N369" s="904"/>
      <c r="O369" s="904"/>
      <c r="P369" s="868"/>
      <c r="Q369" s="868"/>
      <c r="R369" s="869"/>
      <c r="S369" s="143"/>
      <c r="T369" s="869"/>
      <c r="U369" s="869"/>
    </row>
    <row r="370">
      <c r="A370" s="926" t="str">
        <f t="array" ref="A370">if(G370="","",XLOOKUP(D370,'プルダウンメニュー (SE用)'!$D$2:$D1028,'プルダウンメニュー (SE用)'!$C$2:$C1028))</f>
        <v/>
      </c>
      <c r="B370" s="926" t="str">
        <f>iferror(if(H370="GLOW流用","-",if(G370="","","SSE_"&amp;TEXT(vlookup(E370,'プルダウンメニュー (SE用)'!$E$2:$F1028,2,false),"000")&amp;"_"&amp;TEXT(COUNTIF($E$4:E370,E370),"000"))),"")</f>
        <v/>
      </c>
      <c r="C370" s="860"/>
      <c r="D370" s="861"/>
      <c r="E370" s="976"/>
      <c r="F370" s="976"/>
      <c r="G370" s="861"/>
      <c r="H370" s="862"/>
      <c r="I370" s="901"/>
      <c r="J370" s="902"/>
      <c r="K370" s="902"/>
      <c r="L370" s="903"/>
      <c r="M370" s="862"/>
      <c r="N370" s="904"/>
      <c r="O370" s="904"/>
      <c r="P370" s="868"/>
      <c r="Q370" s="868"/>
      <c r="R370" s="869"/>
      <c r="S370" s="143"/>
      <c r="T370" s="869"/>
      <c r="U370" s="869"/>
    </row>
    <row r="371">
      <c r="A371" s="926" t="str">
        <f t="array" ref="A371">if(G371="","",XLOOKUP(D371,'プルダウンメニュー (SE用)'!$D$2:$D1028,'プルダウンメニュー (SE用)'!$C$2:$C1028))</f>
        <v/>
      </c>
      <c r="B371" s="926" t="str">
        <f>iferror(if(H371="GLOW流用","-",if(G371="","","SSE_"&amp;TEXT(vlookup(E371,'プルダウンメニュー (SE用)'!$E$2:$F1028,2,false),"000")&amp;"_"&amp;TEXT(COUNTIF($E$4:E371,E371),"000"))),"")</f>
        <v/>
      </c>
      <c r="C371" s="860"/>
      <c r="D371" s="861"/>
      <c r="E371" s="976"/>
      <c r="F371" s="976"/>
      <c r="G371" s="861"/>
      <c r="H371" s="862"/>
      <c r="I371" s="901"/>
      <c r="J371" s="902"/>
      <c r="K371" s="902"/>
      <c r="L371" s="903"/>
      <c r="M371" s="862"/>
      <c r="N371" s="904"/>
      <c r="O371" s="904"/>
      <c r="P371" s="868"/>
      <c r="Q371" s="868"/>
      <c r="R371" s="869"/>
      <c r="S371" s="143"/>
      <c r="T371" s="869"/>
      <c r="U371" s="869"/>
    </row>
    <row r="372">
      <c r="A372" s="926" t="str">
        <f t="array" ref="A372">if(G372="","",XLOOKUP(D372,'プルダウンメニュー (SE用)'!$D$2:$D1028,'プルダウンメニュー (SE用)'!$C$2:$C1028))</f>
        <v/>
      </c>
      <c r="B372" s="926" t="str">
        <f>iferror(if(H372="GLOW流用","-",if(G372="","","SSE_"&amp;TEXT(vlookup(E372,'プルダウンメニュー (SE用)'!$E$2:$F1028,2,false),"000")&amp;"_"&amp;TEXT(COUNTIF($E$4:E372,E372),"000"))),"")</f>
        <v/>
      </c>
      <c r="C372" s="860"/>
      <c r="D372" s="861"/>
      <c r="E372" s="976"/>
      <c r="F372" s="976"/>
      <c r="G372" s="861"/>
      <c r="H372" s="862"/>
      <c r="I372" s="901"/>
      <c r="J372" s="902"/>
      <c r="K372" s="902"/>
      <c r="L372" s="903"/>
      <c r="M372" s="862"/>
      <c r="N372" s="904"/>
      <c r="O372" s="904"/>
      <c r="P372" s="868"/>
      <c r="Q372" s="868"/>
      <c r="R372" s="869"/>
      <c r="S372" s="143"/>
      <c r="T372" s="869"/>
      <c r="U372" s="869"/>
    </row>
    <row r="373">
      <c r="A373" s="926" t="str">
        <f t="array" ref="A373">if(G373="","",XLOOKUP(D373,'プルダウンメニュー (SE用)'!$D$2:$D1028,'プルダウンメニュー (SE用)'!$C$2:$C1028))</f>
        <v/>
      </c>
      <c r="B373" s="926" t="str">
        <f>iferror(if(H373="GLOW流用","-",if(G373="","","SSE_"&amp;TEXT(vlookup(E373,'プルダウンメニュー (SE用)'!$E$2:$F1028,2,false),"000")&amp;"_"&amp;TEXT(COUNTIF($E$4:E373,E373),"000"))),"")</f>
        <v/>
      </c>
      <c r="C373" s="860"/>
      <c r="D373" s="861"/>
      <c r="E373" s="976"/>
      <c r="F373" s="976"/>
      <c r="G373" s="861"/>
      <c r="H373" s="862"/>
      <c r="I373" s="901"/>
      <c r="J373" s="902"/>
      <c r="K373" s="902"/>
      <c r="L373" s="903"/>
      <c r="M373" s="862"/>
      <c r="N373" s="904"/>
      <c r="O373" s="904"/>
      <c r="P373" s="868"/>
      <c r="Q373" s="868"/>
      <c r="R373" s="869"/>
      <c r="S373" s="143"/>
      <c r="T373" s="869"/>
      <c r="U373" s="869"/>
    </row>
    <row r="374">
      <c r="A374" s="926" t="str">
        <f t="array" ref="A374">if(G374="","",XLOOKUP(D374,'プルダウンメニュー (SE用)'!$D$2:$D1028,'プルダウンメニュー (SE用)'!$C$2:$C1028))</f>
        <v/>
      </c>
      <c r="B374" s="926" t="str">
        <f>iferror(if(H374="GLOW流用","-",if(G374="","","SSE_"&amp;TEXT(vlookup(E374,'プルダウンメニュー (SE用)'!$E$2:$F1028,2,false),"000")&amp;"_"&amp;TEXT(COUNTIF($E$4:E374,E374),"000"))),"")</f>
        <v/>
      </c>
      <c r="C374" s="860"/>
      <c r="D374" s="861"/>
      <c r="E374" s="976"/>
      <c r="F374" s="976"/>
      <c r="G374" s="861"/>
      <c r="H374" s="862"/>
      <c r="I374" s="901"/>
      <c r="J374" s="902"/>
      <c r="K374" s="902"/>
      <c r="L374" s="903"/>
      <c r="M374" s="862"/>
      <c r="N374" s="904"/>
      <c r="O374" s="904"/>
      <c r="P374" s="868"/>
      <c r="Q374" s="868"/>
      <c r="R374" s="869"/>
      <c r="S374" s="143"/>
      <c r="T374" s="869"/>
      <c r="U374" s="869"/>
    </row>
    <row r="375">
      <c r="A375" s="926" t="str">
        <f t="array" ref="A375">if(G375="","",XLOOKUP(D375,'プルダウンメニュー (SE用)'!$D$2:$D1028,'プルダウンメニュー (SE用)'!$C$2:$C1028))</f>
        <v/>
      </c>
      <c r="B375" s="926" t="str">
        <f>iferror(if(H375="GLOW流用","-",if(G375="","","SSE_"&amp;TEXT(vlookup(E375,'プルダウンメニュー (SE用)'!$E$2:$F1028,2,false),"000")&amp;"_"&amp;TEXT(COUNTIF($E$4:E375,E375),"000"))),"")</f>
        <v/>
      </c>
      <c r="C375" s="860"/>
      <c r="D375" s="861"/>
      <c r="E375" s="976"/>
      <c r="F375" s="976"/>
      <c r="G375" s="861"/>
      <c r="H375" s="862"/>
      <c r="I375" s="901"/>
      <c r="J375" s="902"/>
      <c r="K375" s="902"/>
      <c r="L375" s="903"/>
      <c r="M375" s="862"/>
      <c r="N375" s="904"/>
      <c r="O375" s="904"/>
      <c r="P375" s="868"/>
      <c r="Q375" s="868"/>
      <c r="R375" s="869"/>
      <c r="S375" s="143"/>
      <c r="T375" s="869"/>
      <c r="U375" s="869"/>
    </row>
    <row r="376">
      <c r="A376" s="926" t="str">
        <f t="array" ref="A376">if(G376="","",XLOOKUP(D376,'プルダウンメニュー (SE用)'!$D$2:$D1028,'プルダウンメニュー (SE用)'!$C$2:$C1028))</f>
        <v/>
      </c>
      <c r="B376" s="926" t="str">
        <f>iferror(if(H376="GLOW流用","-",if(G376="","","SSE_"&amp;TEXT(vlookup(E376,'プルダウンメニュー (SE用)'!$E$2:$F1028,2,false),"000")&amp;"_"&amp;TEXT(COUNTIF($E$4:E376,E376),"000"))),"")</f>
        <v/>
      </c>
      <c r="C376" s="860"/>
      <c r="D376" s="861"/>
      <c r="E376" s="976"/>
      <c r="F376" s="976"/>
      <c r="G376" s="861"/>
      <c r="H376" s="862"/>
      <c r="I376" s="901"/>
      <c r="J376" s="902"/>
      <c r="K376" s="902"/>
      <c r="L376" s="903"/>
      <c r="M376" s="862"/>
      <c r="N376" s="904"/>
      <c r="O376" s="904"/>
      <c r="P376" s="868"/>
      <c r="Q376" s="868"/>
      <c r="R376" s="869"/>
      <c r="S376" s="143"/>
      <c r="T376" s="869"/>
      <c r="U376" s="869"/>
    </row>
    <row r="377">
      <c r="A377" s="926" t="str">
        <f t="array" ref="A377">if(G377="","",XLOOKUP(D377,'プルダウンメニュー (SE用)'!$D$2:$D1028,'プルダウンメニュー (SE用)'!$C$2:$C1028))</f>
        <v/>
      </c>
      <c r="B377" s="926" t="str">
        <f>iferror(if(H377="GLOW流用","-",if(G377="","","SSE_"&amp;TEXT(vlookup(E377,'プルダウンメニュー (SE用)'!$E$2:$F1028,2,false),"000")&amp;"_"&amp;TEXT(COUNTIF($E$4:E377,E377),"000"))),"")</f>
        <v/>
      </c>
      <c r="C377" s="860"/>
      <c r="D377" s="861"/>
      <c r="E377" s="976"/>
      <c r="F377" s="976"/>
      <c r="G377" s="861"/>
      <c r="H377" s="862"/>
      <c r="I377" s="901"/>
      <c r="J377" s="902"/>
      <c r="K377" s="902"/>
      <c r="L377" s="903"/>
      <c r="M377" s="862"/>
      <c r="N377" s="904"/>
      <c r="O377" s="904"/>
      <c r="P377" s="868"/>
      <c r="Q377" s="868"/>
      <c r="R377" s="869"/>
      <c r="S377" s="143"/>
      <c r="T377" s="869"/>
      <c r="U377" s="869"/>
    </row>
    <row r="378">
      <c r="A378" s="926" t="str">
        <f t="array" ref="A378">if(G378="","",XLOOKUP(D378,'プルダウンメニュー (SE用)'!$D$2:$D1028,'プルダウンメニュー (SE用)'!$C$2:$C1028))</f>
        <v/>
      </c>
      <c r="B378" s="926" t="str">
        <f>iferror(if(H378="GLOW流用","-",if(G378="","","SSE_"&amp;TEXT(vlookup(E378,'プルダウンメニュー (SE用)'!$E$2:$F1028,2,false),"000")&amp;"_"&amp;TEXT(COUNTIF($E$4:E378,E378),"000"))),"")</f>
        <v/>
      </c>
      <c r="C378" s="860"/>
      <c r="D378" s="861"/>
      <c r="E378" s="976"/>
      <c r="F378" s="976"/>
      <c r="G378" s="861"/>
      <c r="H378" s="862"/>
      <c r="I378" s="901"/>
      <c r="J378" s="902"/>
      <c r="K378" s="902"/>
      <c r="L378" s="903"/>
      <c r="M378" s="862"/>
      <c r="N378" s="904"/>
      <c r="O378" s="904"/>
      <c r="P378" s="868"/>
      <c r="Q378" s="868"/>
      <c r="R378" s="869"/>
      <c r="S378" s="143"/>
      <c r="T378" s="869"/>
      <c r="U378" s="869"/>
    </row>
    <row r="379">
      <c r="A379" s="926" t="str">
        <f t="array" ref="A379">if(G379="","",XLOOKUP(D379,'プルダウンメニュー (SE用)'!$D$2:$D1028,'プルダウンメニュー (SE用)'!$C$2:$C1028))</f>
        <v/>
      </c>
      <c r="B379" s="926" t="str">
        <f>iferror(if(H379="GLOW流用","-",if(G379="","","SSE_"&amp;TEXT(vlookup(E379,'プルダウンメニュー (SE用)'!$E$2:$F1028,2,false),"000")&amp;"_"&amp;TEXT(COUNTIF($E$4:E379,E379),"000"))),"")</f>
        <v/>
      </c>
      <c r="C379" s="860"/>
      <c r="D379" s="861"/>
      <c r="E379" s="976"/>
      <c r="F379" s="976"/>
      <c r="G379" s="861"/>
      <c r="H379" s="862"/>
      <c r="I379" s="901"/>
      <c r="J379" s="902"/>
      <c r="K379" s="902"/>
      <c r="L379" s="903"/>
      <c r="M379" s="862"/>
      <c r="N379" s="904"/>
      <c r="O379" s="904"/>
      <c r="P379" s="868"/>
      <c r="Q379" s="868"/>
      <c r="R379" s="869"/>
      <c r="S379" s="143"/>
      <c r="T379" s="869"/>
      <c r="U379" s="869"/>
    </row>
    <row r="380">
      <c r="A380" s="926" t="str">
        <f t="array" ref="A380">if(G380="","",XLOOKUP(D380,'プルダウンメニュー (SE用)'!$D$2:$D1028,'プルダウンメニュー (SE用)'!$C$2:$C1028))</f>
        <v/>
      </c>
      <c r="B380" s="926" t="str">
        <f>iferror(if(H380="GLOW流用","-",if(G380="","","SSE_"&amp;TEXT(vlookup(E380,'プルダウンメニュー (SE用)'!$E$2:$F1028,2,false),"000")&amp;"_"&amp;TEXT(COUNTIF($E$4:E380,E380),"000"))),"")</f>
        <v/>
      </c>
      <c r="C380" s="860"/>
      <c r="D380" s="861"/>
      <c r="E380" s="976"/>
      <c r="F380" s="976"/>
      <c r="G380" s="861"/>
      <c r="H380" s="862"/>
      <c r="I380" s="901"/>
      <c r="J380" s="902"/>
      <c r="K380" s="902"/>
      <c r="L380" s="903"/>
      <c r="M380" s="862"/>
      <c r="N380" s="904"/>
      <c r="O380" s="904"/>
      <c r="P380" s="868"/>
      <c r="Q380" s="868"/>
      <c r="R380" s="869"/>
      <c r="S380" s="143"/>
      <c r="T380" s="869"/>
      <c r="U380" s="869"/>
    </row>
    <row r="381">
      <c r="A381" s="926" t="str">
        <f t="array" ref="A381">if(G381="","",XLOOKUP(D381,'プルダウンメニュー (SE用)'!$D$2:$D1028,'プルダウンメニュー (SE用)'!$C$2:$C1028))</f>
        <v/>
      </c>
      <c r="B381" s="926" t="str">
        <f>iferror(if(H381="GLOW流用","-",if(G381="","","SSE_"&amp;TEXT(vlookup(E381,'プルダウンメニュー (SE用)'!$E$2:$F1028,2,false),"000")&amp;"_"&amp;TEXT(COUNTIF($E$4:E381,E381),"000"))),"")</f>
        <v/>
      </c>
      <c r="C381" s="860"/>
      <c r="D381" s="861"/>
      <c r="E381" s="976"/>
      <c r="F381" s="976"/>
      <c r="G381" s="861"/>
      <c r="H381" s="862"/>
      <c r="I381" s="901"/>
      <c r="J381" s="902"/>
      <c r="K381" s="902"/>
      <c r="L381" s="903"/>
      <c r="M381" s="862"/>
      <c r="N381" s="904"/>
      <c r="O381" s="904"/>
      <c r="P381" s="868"/>
      <c r="Q381" s="868"/>
      <c r="R381" s="869"/>
      <c r="S381" s="143"/>
      <c r="T381" s="869"/>
      <c r="U381" s="869"/>
    </row>
    <row r="382">
      <c r="A382" s="926" t="str">
        <f t="array" ref="A382">if(G382="","",XLOOKUP(D382,'プルダウンメニュー (SE用)'!$D$2:$D1028,'プルダウンメニュー (SE用)'!$C$2:$C1028))</f>
        <v/>
      </c>
      <c r="B382" s="926" t="str">
        <f>iferror(if(H382="GLOW流用","-",if(G382="","","SSE_"&amp;TEXT(vlookup(E382,'プルダウンメニュー (SE用)'!$E$2:$F1028,2,false),"000")&amp;"_"&amp;TEXT(COUNTIF($E$4:E382,E382),"000"))),"")</f>
        <v/>
      </c>
      <c r="C382" s="860"/>
      <c r="D382" s="861"/>
      <c r="E382" s="976"/>
      <c r="F382" s="976"/>
      <c r="G382" s="861"/>
      <c r="H382" s="862"/>
      <c r="I382" s="901"/>
      <c r="J382" s="902"/>
      <c r="K382" s="902"/>
      <c r="L382" s="903"/>
      <c r="M382" s="862"/>
      <c r="N382" s="904"/>
      <c r="O382" s="904"/>
      <c r="P382" s="868"/>
      <c r="Q382" s="868"/>
      <c r="R382" s="869"/>
      <c r="S382" s="143"/>
      <c r="T382" s="869"/>
      <c r="U382" s="869"/>
    </row>
    <row r="383">
      <c r="A383" s="926" t="str">
        <f t="array" ref="A383">if(G383="","",XLOOKUP(D383,'プルダウンメニュー (SE用)'!$D$2:$D1028,'プルダウンメニュー (SE用)'!$C$2:$C1028))</f>
        <v/>
      </c>
      <c r="B383" s="926" t="str">
        <f>iferror(if(H383="GLOW流用","-",if(G383="","","SSE_"&amp;TEXT(vlookup(E383,'プルダウンメニュー (SE用)'!$E$2:$F1028,2,false),"000")&amp;"_"&amp;TEXT(COUNTIF($E$4:E383,E383),"000"))),"")</f>
        <v/>
      </c>
      <c r="C383" s="860"/>
      <c r="D383" s="861"/>
      <c r="E383" s="976"/>
      <c r="F383" s="976"/>
      <c r="G383" s="861"/>
      <c r="H383" s="862"/>
      <c r="I383" s="901"/>
      <c r="J383" s="902"/>
      <c r="K383" s="902"/>
      <c r="L383" s="903"/>
      <c r="M383" s="862"/>
      <c r="N383" s="904"/>
      <c r="O383" s="904"/>
      <c r="P383" s="868"/>
      <c r="Q383" s="868"/>
      <c r="R383" s="869"/>
      <c r="S383" s="143"/>
      <c r="T383" s="869"/>
      <c r="U383" s="869"/>
    </row>
    <row r="384">
      <c r="A384" s="926" t="str">
        <f t="array" ref="A384">if(G384="","",XLOOKUP(D384,'プルダウンメニュー (SE用)'!$D$2:$D1028,'プルダウンメニュー (SE用)'!$C$2:$C1028))</f>
        <v/>
      </c>
      <c r="B384" s="926" t="str">
        <f>iferror(if(H384="GLOW流用","-",if(G384="","","SSE_"&amp;TEXT(vlookup(E384,'プルダウンメニュー (SE用)'!$E$2:$F1028,2,false),"000")&amp;"_"&amp;TEXT(COUNTIF($E$4:E384,E384),"000"))),"")</f>
        <v/>
      </c>
      <c r="C384" s="860"/>
      <c r="D384" s="861"/>
      <c r="E384" s="976"/>
      <c r="F384" s="976"/>
      <c r="G384" s="861"/>
      <c r="H384" s="862"/>
      <c r="I384" s="901"/>
      <c r="J384" s="902"/>
      <c r="K384" s="902"/>
      <c r="L384" s="903"/>
      <c r="M384" s="862"/>
      <c r="N384" s="904"/>
      <c r="O384" s="904"/>
      <c r="P384" s="868"/>
      <c r="Q384" s="868"/>
      <c r="R384" s="869"/>
      <c r="S384" s="143"/>
      <c r="T384" s="869"/>
      <c r="U384" s="869"/>
    </row>
    <row r="385">
      <c r="A385" s="926" t="str">
        <f t="array" ref="A385">if(G385="","",XLOOKUP(D385,'プルダウンメニュー (SE用)'!$D$2:$D1028,'プルダウンメニュー (SE用)'!$C$2:$C1028))</f>
        <v/>
      </c>
      <c r="B385" s="926" t="str">
        <f>iferror(if(H385="GLOW流用","-",if(G385="","","SSE_"&amp;TEXT(vlookup(E385,'プルダウンメニュー (SE用)'!$E$2:$F1028,2,false),"000")&amp;"_"&amp;TEXT(COUNTIF($E$4:E385,E385),"000"))),"")</f>
        <v/>
      </c>
      <c r="C385" s="860"/>
      <c r="D385" s="861"/>
      <c r="E385" s="976"/>
      <c r="F385" s="976"/>
      <c r="G385" s="861"/>
      <c r="H385" s="862"/>
      <c r="I385" s="901"/>
      <c r="J385" s="902"/>
      <c r="K385" s="902"/>
      <c r="L385" s="903"/>
      <c r="M385" s="862"/>
      <c r="N385" s="904"/>
      <c r="O385" s="904"/>
      <c r="P385" s="868"/>
      <c r="Q385" s="868"/>
      <c r="R385" s="869"/>
      <c r="S385" s="143"/>
      <c r="T385" s="869"/>
      <c r="U385" s="869"/>
    </row>
    <row r="386">
      <c r="A386" s="926" t="str">
        <f t="array" ref="A386">if(G386="","",XLOOKUP(D386,'プルダウンメニュー (SE用)'!$D$2:$D1028,'プルダウンメニュー (SE用)'!$C$2:$C1028))</f>
        <v/>
      </c>
      <c r="B386" s="926" t="str">
        <f>iferror(if(H386="GLOW流用","-",if(G386="","","SSE_"&amp;TEXT(vlookup(E386,'プルダウンメニュー (SE用)'!$E$2:$F1028,2,false),"000")&amp;"_"&amp;TEXT(COUNTIF($E$4:E386,E386),"000"))),"")</f>
        <v/>
      </c>
      <c r="C386" s="860"/>
      <c r="D386" s="861"/>
      <c r="E386" s="976"/>
      <c r="F386" s="976"/>
      <c r="G386" s="861"/>
      <c r="H386" s="862"/>
      <c r="I386" s="901"/>
      <c r="J386" s="902"/>
      <c r="K386" s="902"/>
      <c r="L386" s="903"/>
      <c r="M386" s="862"/>
      <c r="N386" s="904"/>
      <c r="O386" s="904"/>
      <c r="P386" s="868"/>
      <c r="Q386" s="868"/>
      <c r="R386" s="869"/>
      <c r="S386" s="143"/>
      <c r="T386" s="869"/>
      <c r="U386" s="869"/>
    </row>
    <row r="387">
      <c r="A387" s="926" t="str">
        <f t="array" ref="A387">if(G387="","",XLOOKUP(D387,'プルダウンメニュー (SE用)'!$D$2:$D1028,'プルダウンメニュー (SE用)'!$C$2:$C1028))</f>
        <v/>
      </c>
      <c r="B387" s="926" t="str">
        <f>iferror(if(H387="GLOW流用","-",if(G387="","","SSE_"&amp;TEXT(vlookup(E387,'プルダウンメニュー (SE用)'!$E$2:$F1028,2,false),"000")&amp;"_"&amp;TEXT(COUNTIF($E$4:E387,E387),"000"))),"")</f>
        <v/>
      </c>
      <c r="C387" s="860"/>
      <c r="D387" s="861"/>
      <c r="E387" s="976"/>
      <c r="F387" s="976"/>
      <c r="G387" s="861"/>
      <c r="H387" s="862"/>
      <c r="I387" s="901"/>
      <c r="J387" s="902"/>
      <c r="K387" s="902"/>
      <c r="L387" s="903"/>
      <c r="M387" s="862"/>
      <c r="N387" s="904"/>
      <c r="O387" s="904"/>
      <c r="P387" s="868"/>
      <c r="Q387" s="868"/>
      <c r="R387" s="869"/>
      <c r="S387" s="143"/>
      <c r="T387" s="869"/>
      <c r="U387" s="869"/>
    </row>
    <row r="388">
      <c r="A388" s="926" t="str">
        <f t="array" ref="A388">if(G388="","",XLOOKUP(D388,'プルダウンメニュー (SE用)'!$D$2:$D1028,'プルダウンメニュー (SE用)'!$C$2:$C1028))</f>
        <v/>
      </c>
      <c r="B388" s="926" t="str">
        <f>iferror(if(H388="GLOW流用","-",if(G388="","","SSE_"&amp;TEXT(vlookup(E388,'プルダウンメニュー (SE用)'!$E$2:$F1028,2,false),"000")&amp;"_"&amp;TEXT(COUNTIF($E$4:E388,E388),"000"))),"")</f>
        <v/>
      </c>
      <c r="C388" s="860"/>
      <c r="D388" s="861"/>
      <c r="E388" s="976"/>
      <c r="F388" s="976"/>
      <c r="G388" s="861"/>
      <c r="H388" s="862"/>
      <c r="I388" s="901"/>
      <c r="J388" s="902"/>
      <c r="K388" s="902"/>
      <c r="L388" s="903"/>
      <c r="M388" s="862"/>
      <c r="N388" s="904"/>
      <c r="O388" s="904"/>
      <c r="P388" s="868"/>
      <c r="Q388" s="868"/>
      <c r="R388" s="869"/>
      <c r="S388" s="143"/>
      <c r="T388" s="869"/>
      <c r="U388" s="869"/>
    </row>
    <row r="389">
      <c r="A389" s="926" t="str">
        <f t="array" ref="A389">if(G389="","",XLOOKUP(D389,'プルダウンメニュー (SE用)'!$D$2:$D1028,'プルダウンメニュー (SE用)'!$C$2:$C1028))</f>
        <v/>
      </c>
      <c r="B389" s="926" t="str">
        <f>iferror(if(H389="GLOW流用","-",if(G389="","","SSE_"&amp;TEXT(vlookup(E389,'プルダウンメニュー (SE用)'!$E$2:$F1028,2,false),"000")&amp;"_"&amp;TEXT(COUNTIF($E$4:E389,E389),"000"))),"")</f>
        <v/>
      </c>
      <c r="C389" s="860"/>
      <c r="D389" s="861"/>
      <c r="E389" s="976"/>
      <c r="F389" s="976"/>
      <c r="G389" s="861"/>
      <c r="H389" s="862"/>
      <c r="I389" s="901"/>
      <c r="J389" s="902"/>
      <c r="K389" s="902"/>
      <c r="L389" s="903"/>
      <c r="M389" s="862"/>
      <c r="N389" s="904"/>
      <c r="O389" s="904"/>
      <c r="P389" s="868"/>
      <c r="Q389" s="868"/>
      <c r="R389" s="869"/>
      <c r="S389" s="143"/>
      <c r="T389" s="869"/>
      <c r="U389" s="869"/>
    </row>
    <row r="390">
      <c r="A390" s="926" t="str">
        <f t="array" ref="A390">if(G390="","",XLOOKUP(D390,'プルダウンメニュー (SE用)'!$D$2:$D1028,'プルダウンメニュー (SE用)'!$C$2:$C1028))</f>
        <v/>
      </c>
      <c r="B390" s="926" t="str">
        <f>iferror(if(H390="GLOW流用","-",if(G390="","","SSE_"&amp;TEXT(vlookup(E390,'プルダウンメニュー (SE用)'!$E$2:$F1028,2,false),"000")&amp;"_"&amp;TEXT(COUNTIF($E$4:E390,E390),"000"))),"")</f>
        <v/>
      </c>
      <c r="C390" s="860"/>
      <c r="D390" s="861"/>
      <c r="E390" s="976"/>
      <c r="F390" s="976"/>
      <c r="G390" s="861"/>
      <c r="H390" s="862"/>
      <c r="I390" s="901"/>
      <c r="J390" s="902"/>
      <c r="K390" s="902"/>
      <c r="L390" s="903"/>
      <c r="M390" s="862"/>
      <c r="N390" s="904"/>
      <c r="O390" s="904"/>
      <c r="P390" s="868"/>
      <c r="Q390" s="868"/>
      <c r="R390" s="869"/>
      <c r="S390" s="143"/>
      <c r="T390" s="869"/>
      <c r="U390" s="869"/>
    </row>
    <row r="391">
      <c r="A391" s="926" t="str">
        <f t="array" ref="A391">if(G391="","",XLOOKUP(D391,'プルダウンメニュー (SE用)'!$D$2:$D1028,'プルダウンメニュー (SE用)'!$C$2:$C1028))</f>
        <v/>
      </c>
      <c r="B391" s="926" t="str">
        <f>iferror(if(H391="GLOW流用","-",if(G391="","","SSE_"&amp;TEXT(vlookup(E391,'プルダウンメニュー (SE用)'!$E$2:$F1028,2,false),"000")&amp;"_"&amp;TEXT(COUNTIF($E$4:E391,E391),"000"))),"")</f>
        <v/>
      </c>
      <c r="C391" s="860"/>
      <c r="D391" s="861"/>
      <c r="E391" s="976"/>
      <c r="F391" s="976"/>
      <c r="G391" s="861"/>
      <c r="H391" s="862"/>
      <c r="I391" s="901"/>
      <c r="J391" s="902"/>
      <c r="K391" s="902"/>
      <c r="L391" s="903"/>
      <c r="M391" s="862"/>
      <c r="N391" s="904"/>
      <c r="O391" s="904"/>
      <c r="P391" s="868"/>
      <c r="Q391" s="868"/>
      <c r="R391" s="869"/>
      <c r="S391" s="143"/>
      <c r="T391" s="869"/>
      <c r="U391" s="869"/>
    </row>
    <row r="392">
      <c r="A392" s="926" t="str">
        <f t="array" ref="A392">if(G392="","",XLOOKUP(D392,'プルダウンメニュー (SE用)'!$D$2:$D1028,'プルダウンメニュー (SE用)'!$C$2:$C1028))</f>
        <v/>
      </c>
      <c r="B392" s="926" t="str">
        <f>iferror(if(H392="GLOW流用","-",if(G392="","","SSE_"&amp;TEXT(vlookup(E392,'プルダウンメニュー (SE用)'!$E$2:$F1028,2,false),"000")&amp;"_"&amp;TEXT(COUNTIF($E$4:E392,E392),"000"))),"")</f>
        <v/>
      </c>
      <c r="C392" s="860"/>
      <c r="D392" s="861"/>
      <c r="E392" s="976"/>
      <c r="F392" s="976"/>
      <c r="G392" s="861"/>
      <c r="H392" s="862"/>
      <c r="I392" s="901"/>
      <c r="J392" s="902"/>
      <c r="K392" s="902"/>
      <c r="L392" s="903"/>
      <c r="M392" s="862"/>
      <c r="N392" s="904"/>
      <c r="O392" s="904"/>
      <c r="P392" s="868"/>
      <c r="Q392" s="868"/>
      <c r="R392" s="869"/>
      <c r="S392" s="143"/>
      <c r="T392" s="869"/>
      <c r="U392" s="869"/>
    </row>
    <row r="393">
      <c r="A393" s="926" t="str">
        <f t="array" ref="A393">if(G393="","",XLOOKUP(D393,'プルダウンメニュー (SE用)'!$D$2:$D1028,'プルダウンメニュー (SE用)'!$C$2:$C1028))</f>
        <v/>
      </c>
      <c r="B393" s="926" t="str">
        <f>iferror(if(H393="GLOW流用","-",if(G393="","","SSE_"&amp;TEXT(vlookup(E393,'プルダウンメニュー (SE用)'!$E$2:$F1028,2,false),"000")&amp;"_"&amp;TEXT(COUNTIF($E$4:E393,E393),"000"))),"")</f>
        <v/>
      </c>
      <c r="C393" s="860"/>
      <c r="D393" s="861"/>
      <c r="E393" s="976"/>
      <c r="F393" s="976"/>
      <c r="G393" s="861"/>
      <c r="H393" s="862"/>
      <c r="I393" s="901"/>
      <c r="J393" s="902"/>
      <c r="K393" s="902"/>
      <c r="L393" s="903"/>
      <c r="M393" s="862"/>
      <c r="N393" s="904"/>
      <c r="O393" s="904"/>
      <c r="P393" s="868"/>
      <c r="Q393" s="868"/>
      <c r="R393" s="869"/>
      <c r="S393" s="143"/>
      <c r="T393" s="869"/>
      <c r="U393" s="869"/>
    </row>
    <row r="394">
      <c r="A394" s="926" t="str">
        <f t="array" ref="A394">if(G394="","",XLOOKUP(D394,'プルダウンメニュー (SE用)'!$D$2:$D1028,'プルダウンメニュー (SE用)'!$C$2:$C1028))</f>
        <v/>
      </c>
      <c r="B394" s="926" t="str">
        <f>iferror(if(H394="GLOW流用","-",if(G394="","","SSE_"&amp;TEXT(vlookup(E394,'プルダウンメニュー (SE用)'!$E$2:$F1028,2,false),"000")&amp;"_"&amp;TEXT(COUNTIF($E$4:E394,E394),"000"))),"")</f>
        <v/>
      </c>
      <c r="C394" s="860"/>
      <c r="D394" s="861"/>
      <c r="E394" s="976"/>
      <c r="F394" s="976"/>
      <c r="G394" s="861"/>
      <c r="H394" s="862"/>
      <c r="I394" s="901"/>
      <c r="J394" s="902"/>
      <c r="K394" s="902"/>
      <c r="L394" s="903"/>
      <c r="M394" s="862"/>
      <c r="N394" s="904"/>
      <c r="O394" s="904"/>
      <c r="P394" s="868"/>
      <c r="Q394" s="868"/>
      <c r="R394" s="869"/>
      <c r="S394" s="143"/>
      <c r="T394" s="869"/>
      <c r="U394" s="869"/>
    </row>
    <row r="395">
      <c r="A395" s="926" t="str">
        <f t="array" ref="A395">if(G395="","",XLOOKUP(D395,'プルダウンメニュー (SE用)'!$D$2:$D1028,'プルダウンメニュー (SE用)'!$C$2:$C1028))</f>
        <v/>
      </c>
      <c r="B395" s="926" t="str">
        <f>iferror(if(H395="GLOW流用","-",if(G395="","","SSE_"&amp;TEXT(vlookup(E395,'プルダウンメニュー (SE用)'!$E$2:$F1028,2,false),"000")&amp;"_"&amp;TEXT(COUNTIF($E$4:E395,E395),"000"))),"")</f>
        <v/>
      </c>
      <c r="C395" s="860"/>
      <c r="D395" s="861"/>
      <c r="E395" s="976"/>
      <c r="F395" s="976"/>
      <c r="G395" s="861"/>
      <c r="H395" s="862"/>
      <c r="I395" s="901"/>
      <c r="J395" s="902"/>
      <c r="K395" s="902"/>
      <c r="L395" s="903"/>
      <c r="M395" s="862"/>
      <c r="N395" s="904"/>
      <c r="O395" s="904"/>
      <c r="P395" s="868"/>
      <c r="Q395" s="868"/>
      <c r="R395" s="869"/>
      <c r="S395" s="143"/>
      <c r="T395" s="869"/>
      <c r="U395" s="869"/>
    </row>
    <row r="396">
      <c r="A396" s="926" t="str">
        <f t="array" ref="A396">if(G396="","",XLOOKUP(D396,'プルダウンメニュー (SE用)'!$D$2:$D1028,'プルダウンメニュー (SE用)'!$C$2:$C1028))</f>
        <v/>
      </c>
      <c r="B396" s="926" t="str">
        <f>iferror(if(H396="GLOW流用","-",if(G396="","","SSE_"&amp;TEXT(vlookup(E396,'プルダウンメニュー (SE用)'!$E$2:$F1028,2,false),"000")&amp;"_"&amp;TEXT(COUNTIF($E$4:E396,E396),"000"))),"")</f>
        <v/>
      </c>
      <c r="C396" s="860"/>
      <c r="D396" s="861"/>
      <c r="E396" s="976"/>
      <c r="F396" s="976"/>
      <c r="G396" s="861"/>
      <c r="H396" s="862"/>
      <c r="I396" s="901"/>
      <c r="J396" s="902"/>
      <c r="K396" s="902"/>
      <c r="L396" s="903"/>
      <c r="M396" s="862"/>
      <c r="N396" s="904"/>
      <c r="O396" s="904"/>
      <c r="P396" s="868"/>
      <c r="Q396" s="868"/>
      <c r="R396" s="869"/>
      <c r="S396" s="143"/>
      <c r="T396" s="869"/>
      <c r="U396" s="869"/>
    </row>
    <row r="397">
      <c r="A397" s="926" t="str">
        <f t="array" ref="A397">if(G397="","",XLOOKUP(D397,'プルダウンメニュー (SE用)'!$D$2:$D1028,'プルダウンメニュー (SE用)'!$C$2:$C1028))</f>
        <v/>
      </c>
      <c r="B397" s="926" t="str">
        <f>iferror(if(H397="GLOW流用","-",if(G397="","","SSE_"&amp;TEXT(vlookup(E397,'プルダウンメニュー (SE用)'!$E$2:$F1028,2,false),"000")&amp;"_"&amp;TEXT(COUNTIF($E$4:E397,E397),"000"))),"")</f>
        <v/>
      </c>
      <c r="C397" s="860"/>
      <c r="D397" s="861"/>
      <c r="E397" s="976"/>
      <c r="F397" s="976"/>
      <c r="G397" s="861"/>
      <c r="H397" s="862"/>
      <c r="I397" s="901"/>
      <c r="J397" s="902"/>
      <c r="K397" s="902"/>
      <c r="L397" s="903"/>
      <c r="M397" s="862"/>
      <c r="N397" s="904"/>
      <c r="O397" s="904"/>
      <c r="P397" s="868"/>
      <c r="Q397" s="868"/>
      <c r="R397" s="869"/>
      <c r="S397" s="143"/>
      <c r="T397" s="869"/>
      <c r="U397" s="869"/>
    </row>
    <row r="398">
      <c r="A398" s="926" t="str">
        <f t="array" ref="A398">if(G398="","",XLOOKUP(D398,'プルダウンメニュー (SE用)'!$D$2:$D1028,'プルダウンメニュー (SE用)'!$C$2:$C1028))</f>
        <v/>
      </c>
      <c r="B398" s="926" t="str">
        <f>iferror(if(H398="GLOW流用","-",if(G398="","","SSE_"&amp;TEXT(vlookup(E398,'プルダウンメニュー (SE用)'!$E$2:$F1028,2,false),"000")&amp;"_"&amp;TEXT(COUNTIF($E$4:E398,E398),"000"))),"")</f>
        <v/>
      </c>
      <c r="C398" s="860"/>
      <c r="D398" s="861"/>
      <c r="E398" s="976"/>
      <c r="F398" s="976"/>
      <c r="G398" s="861"/>
      <c r="H398" s="862"/>
      <c r="I398" s="901"/>
      <c r="J398" s="902"/>
      <c r="K398" s="902"/>
      <c r="L398" s="903"/>
      <c r="M398" s="862"/>
      <c r="N398" s="904"/>
      <c r="O398" s="904"/>
      <c r="P398" s="868"/>
      <c r="Q398" s="868"/>
      <c r="R398" s="869"/>
      <c r="S398" s="143"/>
      <c r="T398" s="869"/>
      <c r="U398" s="869"/>
    </row>
    <row r="399">
      <c r="A399" s="926" t="str">
        <f t="array" ref="A399">if(G399="","",XLOOKUP(D399,'プルダウンメニュー (SE用)'!$D$2:$D1028,'プルダウンメニュー (SE用)'!$C$2:$C1028))</f>
        <v/>
      </c>
      <c r="B399" s="926" t="str">
        <f>iferror(if(H399="GLOW流用","-",if(G399="","","SSE_"&amp;TEXT(vlookup(E399,'プルダウンメニュー (SE用)'!$E$2:$F1028,2,false),"000")&amp;"_"&amp;TEXT(COUNTIF($E$4:E399,E399),"000"))),"")</f>
        <v/>
      </c>
      <c r="C399" s="860"/>
      <c r="D399" s="861"/>
      <c r="E399" s="976"/>
      <c r="F399" s="976"/>
      <c r="G399" s="861"/>
      <c r="H399" s="862"/>
      <c r="I399" s="901"/>
      <c r="J399" s="902"/>
      <c r="K399" s="902"/>
      <c r="L399" s="903"/>
      <c r="M399" s="862"/>
      <c r="N399" s="904"/>
      <c r="O399" s="904"/>
      <c r="P399" s="868"/>
      <c r="Q399" s="868"/>
      <c r="R399" s="869"/>
      <c r="S399" s="143"/>
      <c r="T399" s="869"/>
      <c r="U399" s="869"/>
    </row>
    <row r="400">
      <c r="A400" s="926" t="str">
        <f t="array" ref="A400">if(G400="","",XLOOKUP(D400,'プルダウンメニュー (SE用)'!$D$2:$D1028,'プルダウンメニュー (SE用)'!$C$2:$C1028))</f>
        <v/>
      </c>
      <c r="B400" s="926" t="str">
        <f>iferror(if(H400="GLOW流用","-",if(G400="","","SSE_"&amp;TEXT(vlookup(E400,'プルダウンメニュー (SE用)'!$E$2:$F1028,2,false),"000")&amp;"_"&amp;TEXT(COUNTIF($E$4:E400,E400),"000"))),"")</f>
        <v/>
      </c>
      <c r="C400" s="860"/>
      <c r="D400" s="861"/>
      <c r="E400" s="976"/>
      <c r="F400" s="976"/>
      <c r="G400" s="861"/>
      <c r="H400" s="862"/>
      <c r="I400" s="901"/>
      <c r="J400" s="902"/>
      <c r="K400" s="902"/>
      <c r="L400" s="903"/>
      <c r="M400" s="862"/>
      <c r="N400" s="904"/>
      <c r="O400" s="904"/>
      <c r="P400" s="868"/>
      <c r="Q400" s="868"/>
      <c r="R400" s="869"/>
      <c r="S400" s="143"/>
      <c r="T400" s="869"/>
      <c r="U400" s="869"/>
    </row>
    <row r="401">
      <c r="A401" s="926" t="str">
        <f t="array" ref="A401">if(G401="","",XLOOKUP(D401,'プルダウンメニュー (SE用)'!$D$2:$D1028,'プルダウンメニュー (SE用)'!$C$2:$C1028))</f>
        <v/>
      </c>
      <c r="B401" s="926" t="str">
        <f>iferror(if(H401="GLOW流用","-",if(G401="","","SSE_"&amp;TEXT(vlookup(E401,'プルダウンメニュー (SE用)'!$E$2:$F1028,2,false),"000")&amp;"_"&amp;TEXT(COUNTIF($E$4:E401,E401),"000"))),"")</f>
        <v/>
      </c>
      <c r="C401" s="860"/>
      <c r="D401" s="861"/>
      <c r="E401" s="976"/>
      <c r="F401" s="976"/>
      <c r="G401" s="861"/>
      <c r="H401" s="862"/>
      <c r="I401" s="901"/>
      <c r="J401" s="902"/>
      <c r="K401" s="902"/>
      <c r="L401" s="903"/>
      <c r="M401" s="862"/>
      <c r="N401" s="904"/>
      <c r="O401" s="904"/>
      <c r="P401" s="868"/>
      <c r="Q401" s="868"/>
      <c r="R401" s="869"/>
      <c r="S401" s="143"/>
      <c r="T401" s="869"/>
      <c r="U401" s="869"/>
    </row>
    <row r="402">
      <c r="A402" s="926" t="str">
        <f t="array" ref="A402">if(G402="","",XLOOKUP(D402,'プルダウンメニュー (SE用)'!$D$2:$D1028,'プルダウンメニュー (SE用)'!$C$2:$C1028))</f>
        <v/>
      </c>
      <c r="B402" s="926" t="str">
        <f>iferror(if(H402="GLOW流用","-",if(G402="","","SSE_"&amp;TEXT(vlookup(E402,'プルダウンメニュー (SE用)'!$E$2:$F1028,2,false),"000")&amp;"_"&amp;TEXT(COUNTIF($E$4:E402,E402),"000"))),"")</f>
        <v/>
      </c>
      <c r="C402" s="860"/>
      <c r="D402" s="861"/>
      <c r="E402" s="976"/>
      <c r="F402" s="976"/>
      <c r="G402" s="861"/>
      <c r="H402" s="862"/>
      <c r="I402" s="901"/>
      <c r="J402" s="902"/>
      <c r="K402" s="902"/>
      <c r="L402" s="903"/>
      <c r="M402" s="862"/>
      <c r="N402" s="904"/>
      <c r="O402" s="904"/>
      <c r="P402" s="868"/>
      <c r="Q402" s="868"/>
      <c r="R402" s="869"/>
      <c r="S402" s="143"/>
      <c r="T402" s="869"/>
      <c r="U402" s="869"/>
    </row>
    <row r="403">
      <c r="A403" s="926" t="str">
        <f t="array" ref="A403">if(G403="","",XLOOKUP(D403,'プルダウンメニュー (SE用)'!$D$2:$D1028,'プルダウンメニュー (SE用)'!$C$2:$C1028))</f>
        <v/>
      </c>
      <c r="B403" s="926" t="str">
        <f>iferror(if(H403="GLOW流用","-",if(G403="","","SSE_"&amp;TEXT(vlookup(E403,'プルダウンメニュー (SE用)'!$E$2:$F1028,2,false),"000")&amp;"_"&amp;TEXT(COUNTIF($E$4:E403,E403),"000"))),"")</f>
        <v/>
      </c>
      <c r="C403" s="860"/>
      <c r="D403" s="861"/>
      <c r="E403" s="976"/>
      <c r="F403" s="976"/>
      <c r="G403" s="861"/>
      <c r="H403" s="862"/>
      <c r="I403" s="901"/>
      <c r="J403" s="902"/>
      <c r="K403" s="902"/>
      <c r="L403" s="903"/>
      <c r="M403" s="862"/>
      <c r="N403" s="904"/>
      <c r="O403" s="904"/>
      <c r="P403" s="868"/>
      <c r="Q403" s="868"/>
      <c r="R403" s="869"/>
      <c r="S403" s="143"/>
      <c r="T403" s="869"/>
      <c r="U403" s="869"/>
    </row>
    <row r="404">
      <c r="A404" s="926" t="str">
        <f t="array" ref="A404">if(G404="","",XLOOKUP(D404,'プルダウンメニュー (SE用)'!$D$2:$D1028,'プルダウンメニュー (SE用)'!$C$2:$C1028))</f>
        <v/>
      </c>
      <c r="B404" s="926" t="str">
        <f>iferror(if(H404="GLOW流用","-",if(G404="","","SSE_"&amp;TEXT(vlookup(E404,'プルダウンメニュー (SE用)'!$E$2:$F1028,2,false),"000")&amp;"_"&amp;TEXT(COUNTIF($E$4:E404,E404),"000"))),"")</f>
        <v/>
      </c>
      <c r="C404" s="860"/>
      <c r="D404" s="861"/>
      <c r="E404" s="976"/>
      <c r="F404" s="976"/>
      <c r="G404" s="861"/>
      <c r="H404" s="862"/>
      <c r="I404" s="901"/>
      <c r="J404" s="902"/>
      <c r="K404" s="902"/>
      <c r="L404" s="903"/>
      <c r="M404" s="862"/>
      <c r="N404" s="904"/>
      <c r="O404" s="904"/>
      <c r="P404" s="868"/>
      <c r="Q404" s="868"/>
      <c r="R404" s="869"/>
      <c r="S404" s="143"/>
      <c r="T404" s="869"/>
      <c r="U404" s="869"/>
    </row>
    <row r="405">
      <c r="A405" s="926" t="str">
        <f t="array" ref="A405">if(G405="","",XLOOKUP(D405,'プルダウンメニュー (SE用)'!$D$2:$D1028,'プルダウンメニュー (SE用)'!$C$2:$C1028))</f>
        <v/>
      </c>
      <c r="B405" s="926" t="str">
        <f>iferror(if(H405="GLOW流用","-",if(G405="","","SSE_"&amp;TEXT(vlookup(E405,'プルダウンメニュー (SE用)'!$E$2:$F1028,2,false),"000")&amp;"_"&amp;TEXT(COUNTIF($E$4:E405,E405),"000"))),"")</f>
        <v/>
      </c>
      <c r="C405" s="860"/>
      <c r="D405" s="861"/>
      <c r="E405" s="976"/>
      <c r="F405" s="976"/>
      <c r="G405" s="861"/>
      <c r="H405" s="862"/>
      <c r="I405" s="901"/>
      <c r="J405" s="902"/>
      <c r="K405" s="902"/>
      <c r="L405" s="903"/>
      <c r="M405" s="862"/>
      <c r="N405" s="904"/>
      <c r="O405" s="904"/>
      <c r="P405" s="868"/>
      <c r="Q405" s="868"/>
      <c r="R405" s="1009"/>
      <c r="S405" s="143"/>
      <c r="T405" s="869"/>
      <c r="U405" s="869"/>
    </row>
    <row r="406">
      <c r="A406" s="926" t="str">
        <f t="array" ref="A406">if(G406="","",XLOOKUP(D406,'プルダウンメニュー (SE用)'!$D$2:$D1028,'プルダウンメニュー (SE用)'!$C$2:$C1028))</f>
        <v/>
      </c>
      <c r="B406" s="926" t="str">
        <f>iferror(if(H406="GLOW流用","-",if(G406="","","SSE_"&amp;TEXT(vlookup(E406,'プルダウンメニュー (SE用)'!$E$2:$F1028,2,false),"000")&amp;"_"&amp;TEXT(COUNTIF($E$4:E406,E406),"000"))),"")</f>
        <v/>
      </c>
      <c r="C406" s="860"/>
      <c r="D406" s="861"/>
      <c r="E406" s="976"/>
      <c r="F406" s="976"/>
      <c r="G406" s="861"/>
      <c r="H406" s="862"/>
      <c r="I406" s="901"/>
      <c r="J406" s="902"/>
      <c r="K406" s="902"/>
      <c r="L406" s="903"/>
      <c r="M406" s="862"/>
      <c r="N406" s="904"/>
      <c r="O406" s="904"/>
      <c r="P406" s="868"/>
      <c r="Q406" s="868"/>
      <c r="R406" s="1009"/>
      <c r="S406" s="143"/>
      <c r="T406" s="869"/>
      <c r="U406" s="869"/>
    </row>
    <row r="407">
      <c r="A407" s="926" t="str">
        <f t="array" ref="A407">if(G407="","",XLOOKUP(D407,'プルダウンメニュー (SE用)'!$D$2:$D1028,'プルダウンメニュー (SE用)'!$C$2:$C1028))</f>
        <v/>
      </c>
      <c r="B407" s="926" t="str">
        <f>iferror(if(H407="GLOW流用","-",if(G407="","","SSE_"&amp;TEXT(vlookup(E407,'プルダウンメニュー (SE用)'!$E$2:$F1028,2,false),"000")&amp;"_"&amp;TEXT(COUNTIF($E$4:E407,E407),"000"))),"")</f>
        <v/>
      </c>
      <c r="C407" s="860"/>
      <c r="D407" s="861"/>
      <c r="E407" s="976"/>
      <c r="F407" s="976"/>
      <c r="G407" s="861"/>
      <c r="H407" s="862"/>
      <c r="I407" s="901"/>
      <c r="J407" s="902"/>
      <c r="K407" s="902"/>
      <c r="L407" s="903"/>
      <c r="M407" s="862"/>
      <c r="N407" s="904"/>
      <c r="O407" s="904"/>
      <c r="P407" s="868"/>
      <c r="Q407" s="868"/>
      <c r="R407" s="869"/>
      <c r="S407" s="143"/>
      <c r="T407" s="869"/>
      <c r="U407" s="869"/>
    </row>
    <row r="408">
      <c r="A408" s="926" t="str">
        <f t="array" ref="A408">if(G408="","",XLOOKUP(D408,'プルダウンメニュー (SE用)'!$D$2:$D1028,'プルダウンメニュー (SE用)'!$C$2:$C1028))</f>
        <v/>
      </c>
      <c r="B408" s="926" t="str">
        <f>iferror(if(H408="GLOW流用","-",if(G408="","","SSE_"&amp;TEXT(vlookup(E408,'プルダウンメニュー (SE用)'!$E$2:$F1028,2,false),"000")&amp;"_"&amp;TEXT(COUNTIF($E$4:E408,E408),"000"))),"")</f>
        <v/>
      </c>
      <c r="C408" s="860"/>
      <c r="D408" s="861"/>
      <c r="E408" s="976"/>
      <c r="F408" s="976"/>
      <c r="G408" s="861"/>
      <c r="H408" s="862"/>
      <c r="I408" s="901"/>
      <c r="J408" s="902"/>
      <c r="K408" s="902"/>
      <c r="L408" s="903"/>
      <c r="M408" s="862"/>
      <c r="N408" s="904"/>
      <c r="O408" s="904"/>
      <c r="P408" s="868"/>
      <c r="Q408" s="868"/>
      <c r="R408" s="869"/>
      <c r="S408" s="143"/>
      <c r="T408" s="869"/>
      <c r="U408" s="869"/>
    </row>
    <row r="409">
      <c r="A409" s="926" t="str">
        <f t="array" ref="A409">if(G409="","",XLOOKUP(D409,'プルダウンメニュー (SE用)'!$D$2:$D1028,'プルダウンメニュー (SE用)'!$C$2:$C1028))</f>
        <v/>
      </c>
      <c r="B409" s="926" t="str">
        <f>iferror(if(H409="GLOW流用","-",if(G409="","","SSE_"&amp;TEXT(vlookup(E409,'プルダウンメニュー (SE用)'!$E$2:$F1028,2,false),"000")&amp;"_"&amp;TEXT(COUNTIF($E$4:E409,E409),"000"))),"")</f>
        <v/>
      </c>
      <c r="C409" s="860"/>
      <c r="D409" s="861"/>
      <c r="E409" s="976"/>
      <c r="F409" s="976"/>
      <c r="G409" s="861"/>
      <c r="H409" s="862"/>
      <c r="I409" s="901"/>
      <c r="J409" s="902"/>
      <c r="K409" s="902"/>
      <c r="L409" s="903"/>
      <c r="M409" s="862"/>
      <c r="N409" s="904"/>
      <c r="O409" s="904"/>
      <c r="P409" s="868"/>
      <c r="Q409" s="868"/>
      <c r="R409" s="869"/>
      <c r="S409" s="143"/>
      <c r="T409" s="869"/>
      <c r="U409" s="869"/>
    </row>
    <row r="410">
      <c r="A410" s="926" t="str">
        <f t="array" ref="A410">if(G410="","",XLOOKUP(D410,'プルダウンメニュー (SE用)'!$D$2:$D1028,'プルダウンメニュー (SE用)'!$C$2:$C1028))</f>
        <v/>
      </c>
      <c r="B410" s="926" t="str">
        <f>iferror(if(H410="GLOW流用","-",if(G410="","","SSE_"&amp;TEXT(vlookup(E410,'プルダウンメニュー (SE用)'!$E$2:$F1028,2,false),"000")&amp;"_"&amp;TEXT(COUNTIF($E$4:E410,E410),"000"))),"")</f>
        <v/>
      </c>
      <c r="C410" s="984"/>
      <c r="D410" s="985"/>
      <c r="E410" s="986"/>
      <c r="F410" s="986"/>
      <c r="G410" s="1000"/>
      <c r="H410" s="1010"/>
      <c r="I410" s="1011"/>
      <c r="J410" s="1012"/>
      <c r="K410" s="1012"/>
      <c r="L410" s="1013"/>
      <c r="M410" s="1010"/>
      <c r="N410" s="876"/>
      <c r="O410" s="876"/>
      <c r="P410" s="868"/>
      <c r="Q410" s="1014"/>
      <c r="R410" s="1003"/>
      <c r="S410" s="1015"/>
      <c r="T410" s="869"/>
      <c r="U410" s="1003"/>
    </row>
    <row r="411">
      <c r="A411" s="926" t="str">
        <f t="array" ref="A411">if(G411="","",XLOOKUP(D411,'プルダウンメニュー (SE用)'!$D$2:$D1028,'プルダウンメニュー (SE用)'!$C$2:$C1028))</f>
        <v/>
      </c>
      <c r="B411" s="926" t="str">
        <f>iferror(if(H411="GLOW流用","-",if(G411="","","SSE_"&amp;TEXT(vlookup(E411,'プルダウンメニュー (SE用)'!$E$2:$F1028,2,false),"000")&amp;"_"&amp;TEXT(COUNTIF($E$4:E411,E411),"000"))),"")</f>
        <v/>
      </c>
      <c r="C411" s="1016"/>
      <c r="D411" s="1017"/>
      <c r="E411" s="1018"/>
      <c r="F411" s="1018"/>
      <c r="G411" s="1019"/>
      <c r="H411" s="1020"/>
      <c r="I411" s="1021"/>
      <c r="J411" s="1022"/>
      <c r="K411" s="1022"/>
      <c r="L411" s="1023"/>
      <c r="M411" s="1020"/>
      <c r="N411" s="1024"/>
      <c r="O411" s="1024"/>
      <c r="P411" s="868"/>
      <c r="Q411" s="1025"/>
      <c r="R411" s="1026"/>
      <c r="S411" s="1027"/>
      <c r="T411" s="869"/>
      <c r="U411" s="1026"/>
    </row>
    <row r="412">
      <c r="A412" s="926" t="str">
        <f t="array" ref="A412">if(G412="","",XLOOKUP(D412,'プルダウンメニュー (SE用)'!$D$2:$D1028,'プルダウンメニュー (SE用)'!$C$2:$C1028))</f>
        <v/>
      </c>
      <c r="B412" s="926" t="str">
        <f>iferror(if(H412="GLOW流用","-",if(G412="","","SSE_"&amp;TEXT(vlookup(E412,'プルダウンメニュー (SE用)'!$E$2:$F1028,2,false),"000")&amp;"_"&amp;TEXT(COUNTIF($E$4:E412,E412),"000"))),"")</f>
        <v/>
      </c>
      <c r="C412" s="1016"/>
      <c r="D412" s="1017"/>
      <c r="E412" s="1018"/>
      <c r="F412" s="1018"/>
      <c r="G412" s="1019"/>
      <c r="H412" s="1028"/>
      <c r="I412" s="1029"/>
      <c r="J412" s="1030"/>
      <c r="K412" s="1030"/>
      <c r="L412" s="1031"/>
      <c r="M412" s="1028"/>
      <c r="N412" s="1024"/>
      <c r="O412" s="1024"/>
      <c r="P412" s="868"/>
      <c r="Q412" s="1025"/>
      <c r="R412" s="1026"/>
      <c r="S412" s="1027"/>
      <c r="T412" s="869"/>
      <c r="U412" s="1026"/>
    </row>
    <row r="413">
      <c r="A413" s="926" t="str">
        <f t="array" ref="A413">if(G413="","",XLOOKUP(D413,'プルダウンメニュー (SE用)'!$D$2:$D1028,'プルダウンメニュー (SE用)'!$C$2:$C1028))</f>
        <v/>
      </c>
      <c r="B413" s="926" t="str">
        <f>iferror(if(H413="GLOW流用","-",if(G413="","","SSE_"&amp;TEXT(vlookup(E413,'プルダウンメニュー (SE用)'!$E$2:$F1028,2,false),"000")&amp;"_"&amp;TEXT(COUNTIF($E$4:E413,E413),"000"))),"")</f>
        <v/>
      </c>
      <c r="C413" s="1016"/>
      <c r="D413" s="1017"/>
      <c r="E413" s="1018"/>
      <c r="F413" s="1018"/>
      <c r="G413" s="1019"/>
      <c r="H413" s="1020"/>
      <c r="I413" s="1021"/>
      <c r="J413" s="1022"/>
      <c r="K413" s="1022"/>
      <c r="L413" s="1023"/>
      <c r="M413" s="1020"/>
      <c r="N413" s="1024"/>
      <c r="O413" s="1024"/>
      <c r="P413" s="868"/>
      <c r="Q413" s="1032"/>
      <c r="R413" s="1033"/>
      <c r="S413" s="1034"/>
      <c r="T413" s="869"/>
      <c r="U413" s="1026"/>
    </row>
    <row r="414">
      <c r="A414" s="926" t="str">
        <f t="array" ref="A414">if(G414="","",XLOOKUP(D414,'プルダウンメニュー (SE用)'!$D$2:$D1028,'プルダウンメニュー (SE用)'!$C$2:$C1028))</f>
        <v/>
      </c>
      <c r="B414" s="926" t="str">
        <f>iferror(if(H414="GLOW流用","-",if(G414="","","SSE_"&amp;TEXT(vlookup(E414,'プルダウンメニュー (SE用)'!$E$2:$F1028,2,false),"000")&amp;"_"&amp;TEXT(COUNTIF($E$4:E414,E414),"000"))),"")</f>
        <v/>
      </c>
      <c r="C414" s="1016"/>
      <c r="D414" s="1017"/>
      <c r="E414" s="1018"/>
      <c r="F414" s="1018"/>
      <c r="G414" s="1019"/>
      <c r="H414" s="1028"/>
      <c r="I414" s="1029"/>
      <c r="J414" s="1030"/>
      <c r="K414" s="1030"/>
      <c r="L414" s="1031"/>
      <c r="M414" s="1028"/>
      <c r="N414" s="1024"/>
      <c r="O414" s="1024"/>
      <c r="P414" s="868"/>
      <c r="Q414" s="1025"/>
      <c r="R414" s="1026"/>
      <c r="S414" s="1027"/>
      <c r="T414" s="869"/>
      <c r="U414" s="1026"/>
    </row>
    <row r="415">
      <c r="A415" s="926" t="str">
        <f t="array" ref="A415">if(G415="","",XLOOKUP(D415,'プルダウンメニュー (SE用)'!$D$2:$D1028,'プルダウンメニュー (SE用)'!$C$2:$C1028))</f>
        <v/>
      </c>
      <c r="B415" s="926" t="str">
        <f>iferror(if(H415="GLOW流用","-",if(G415="","","SSE_"&amp;TEXT(vlookup(E415,'プルダウンメニュー (SE用)'!$E$2:$F1028,2,false),"000")&amp;"_"&amp;TEXT(COUNTIF($E$4:E415,E415),"000"))),"")</f>
        <v/>
      </c>
      <c r="C415" s="1016"/>
      <c r="D415" s="1017"/>
      <c r="E415" s="1018"/>
      <c r="F415" s="1018"/>
      <c r="G415" s="1019"/>
      <c r="H415" s="1035"/>
      <c r="I415" s="1036"/>
      <c r="J415" s="1037"/>
      <c r="K415" s="1037"/>
      <c r="L415" s="1038"/>
      <c r="M415" s="1035"/>
      <c r="N415" s="1024"/>
      <c r="O415" s="1024"/>
      <c r="P415" s="868"/>
      <c r="Q415" s="1032"/>
      <c r="R415" s="1004"/>
      <c r="S415" s="1034"/>
      <c r="T415" s="869"/>
      <c r="U415" s="1026"/>
    </row>
    <row r="416">
      <c r="A416" s="926" t="str">
        <f t="array" ref="A416">if(G416="","",XLOOKUP(D416,'プルダウンメニュー (SE用)'!$D$2:$D1028,'プルダウンメニュー (SE用)'!$C$2:$C1028))</f>
        <v/>
      </c>
      <c r="B416" s="926" t="str">
        <f>iferror(if(H416="GLOW流用","-",if(G416="","","SSE_"&amp;TEXT(vlookup(E416,'プルダウンメニュー (SE用)'!$E$2:$F1028,2,false),"000")&amp;"_"&amp;TEXT(COUNTIF($E$4:E416,E416),"000"))),"")</f>
        <v/>
      </c>
      <c r="C416" s="1016"/>
      <c r="D416" s="1017"/>
      <c r="E416" s="1018"/>
      <c r="F416" s="1018"/>
      <c r="G416" s="1019"/>
      <c r="H416" s="1020"/>
      <c r="I416" s="1021"/>
      <c r="J416" s="1022"/>
      <c r="K416" s="1022"/>
      <c r="L416" s="1023"/>
      <c r="M416" s="1020"/>
      <c r="N416" s="1024"/>
      <c r="O416" s="1024"/>
      <c r="P416" s="868"/>
      <c r="Q416" s="1032"/>
      <c r="R416" s="1004"/>
      <c r="S416" s="1034"/>
      <c r="T416" s="869"/>
      <c r="U416" s="1026"/>
    </row>
    <row r="417">
      <c r="A417" s="926" t="str">
        <f t="array" ref="A417">if(G417="","",XLOOKUP(D417,'プルダウンメニュー (SE用)'!$D$2:$D1028,'プルダウンメニュー (SE用)'!$C$2:$C1028))</f>
        <v/>
      </c>
      <c r="B417" s="926" t="str">
        <f>iferror(if(H417="GLOW流用","-",if(G417="","","SSE_"&amp;TEXT(vlookup(E417,'プルダウンメニュー (SE用)'!$E$2:$F1028,2,false),"000")&amp;"_"&amp;TEXT(COUNTIF($E$4:E417,E417),"000"))),"")</f>
        <v/>
      </c>
      <c r="C417" s="1016"/>
      <c r="D417" s="1017"/>
      <c r="E417" s="1018"/>
      <c r="F417" s="1018"/>
      <c r="G417" s="1019"/>
      <c r="H417" s="1028"/>
      <c r="I417" s="1029"/>
      <c r="J417" s="1030"/>
      <c r="K417" s="1030"/>
      <c r="L417" s="1031"/>
      <c r="M417" s="1028"/>
      <c r="N417" s="1024"/>
      <c r="O417" s="1024"/>
      <c r="P417" s="868"/>
      <c r="Q417" s="1025"/>
      <c r="R417" s="1004"/>
      <c r="S417" s="1034"/>
      <c r="T417" s="869"/>
      <c r="U417" s="1026"/>
    </row>
    <row r="418">
      <c r="A418" s="926" t="str">
        <f t="array" ref="A418">if(G418="","",XLOOKUP(D418,'プルダウンメニュー (SE用)'!$D$2:$D1028,'プルダウンメニュー (SE用)'!$C$2:$C1028))</f>
        <v/>
      </c>
      <c r="B418" s="926" t="str">
        <f>iferror(if(H418="GLOW流用","-",if(G418="","","SSE_"&amp;TEXT(vlookup(E418,'プルダウンメニュー (SE用)'!$E$2:$F1028,2,false),"000")&amp;"_"&amp;TEXT(COUNTIF($E$4:E418,E418),"000"))),"")</f>
        <v/>
      </c>
      <c r="C418" s="1016"/>
      <c r="D418" s="1017"/>
      <c r="E418" s="1018"/>
      <c r="F418" s="1018"/>
      <c r="G418" s="1019"/>
      <c r="H418" s="1028"/>
      <c r="I418" s="1029"/>
      <c r="J418" s="1030"/>
      <c r="K418" s="1030"/>
      <c r="L418" s="1031"/>
      <c r="M418" s="1028"/>
      <c r="N418" s="1024"/>
      <c r="O418" s="1024"/>
      <c r="P418" s="868"/>
      <c r="Q418" s="1025"/>
      <c r="R418" s="1026"/>
      <c r="S418" s="1027"/>
      <c r="T418" s="869"/>
      <c r="U418" s="1026"/>
    </row>
    <row r="419">
      <c r="A419" s="926" t="str">
        <f t="array" ref="A419">if(G419="","",XLOOKUP(D419,'プルダウンメニュー (SE用)'!$D$2:$D1028,'プルダウンメニュー (SE用)'!$C$2:$C1028))</f>
        <v/>
      </c>
      <c r="B419" s="926" t="str">
        <f>iferror(if(H419="GLOW流用","-",if(G419="","","SSE_"&amp;TEXT(vlookup(E419,'プルダウンメニュー (SE用)'!$E$2:$F1028,2,false),"000")&amp;"_"&amp;TEXT(COUNTIF($E$4:E419,E419),"000"))),"")</f>
        <v/>
      </c>
      <c r="C419" s="1016"/>
      <c r="D419" s="1017"/>
      <c r="E419" s="1018"/>
      <c r="F419" s="1018"/>
      <c r="G419" s="1019"/>
      <c r="H419" s="1028"/>
      <c r="I419" s="1029"/>
      <c r="J419" s="1030"/>
      <c r="K419" s="1030"/>
      <c r="L419" s="1031"/>
      <c r="M419" s="1028"/>
      <c r="N419" s="1024"/>
      <c r="O419" s="1024"/>
      <c r="P419" s="868"/>
      <c r="Q419" s="1025"/>
      <c r="R419" s="1026"/>
      <c r="S419" s="1027"/>
      <c r="T419" s="869"/>
      <c r="U419" s="1026"/>
    </row>
    <row r="420" ht="16.5" customHeight="1">
      <c r="A420" s="926" t="str">
        <f t="array" ref="A420">if(G420="","",XLOOKUP(D420,'プルダウンメニュー (SE用)'!$D$2:$D1028,'プルダウンメニュー (SE用)'!$C$2:$C1028))</f>
        <v/>
      </c>
      <c r="B420" s="926" t="str">
        <f>iferror(if(H420="GLOW流用","-",if(G420="","","SSE_"&amp;TEXT(vlookup(E420,'プルダウンメニュー (SE用)'!$E$2:$F1028,2,false),"000")&amp;"_"&amp;TEXT(COUNTIF($E$4:E420,E420),"000"))),"")</f>
        <v/>
      </c>
      <c r="C420" s="1016"/>
      <c r="D420" s="1017"/>
      <c r="E420" s="1018"/>
      <c r="F420" s="1018"/>
      <c r="G420" s="1019"/>
      <c r="H420" s="1020"/>
      <c r="I420" s="1021"/>
      <c r="J420" s="1022"/>
      <c r="K420" s="1022"/>
      <c r="L420" s="1023"/>
      <c r="M420" s="1020"/>
      <c r="N420" s="1024"/>
      <c r="O420" s="1024"/>
      <c r="P420" s="868"/>
      <c r="Q420" s="1032"/>
      <c r="R420" s="1033"/>
      <c r="S420" s="1034"/>
      <c r="T420" s="869"/>
      <c r="U420" s="1026"/>
    </row>
    <row r="421">
      <c r="A421" s="926" t="str">
        <f t="array" ref="A421">if(G421="","",XLOOKUP(D421,'プルダウンメニュー (SE用)'!$D$2:$D1028,'プルダウンメニュー (SE用)'!$C$2:$C1028))</f>
        <v/>
      </c>
      <c r="B421" s="926" t="str">
        <f>iferror(if(H421="GLOW流用","-",if(G421="","","SSE_"&amp;TEXT(vlookup(E421,'プルダウンメニュー (SE用)'!$E$2:$F1028,2,false),"000")&amp;"_"&amp;TEXT(COUNTIF($E$4:E421,E421),"000"))),"")</f>
        <v/>
      </c>
      <c r="C421" s="1016"/>
      <c r="D421" s="1017"/>
      <c r="E421" s="1018"/>
      <c r="F421" s="1018"/>
      <c r="G421" s="1019"/>
      <c r="H421" s="1028"/>
      <c r="I421" s="1029"/>
      <c r="J421" s="1030"/>
      <c r="K421" s="1030"/>
      <c r="L421" s="1031"/>
      <c r="M421" s="1028"/>
      <c r="N421" s="1024"/>
      <c r="O421" s="1024"/>
      <c r="P421" s="868"/>
      <c r="Q421" s="1025"/>
      <c r="R421" s="1026"/>
      <c r="S421" s="1027"/>
      <c r="T421" s="869"/>
      <c r="U421" s="1026"/>
    </row>
    <row r="422">
      <c r="A422" s="926" t="str">
        <f t="array" ref="A422">if(G422="","",XLOOKUP(D422,'プルダウンメニュー (SE用)'!$D$2:$D1028,'プルダウンメニュー (SE用)'!$C$2:$C1028))</f>
        <v/>
      </c>
      <c r="B422" s="926" t="str">
        <f>iferror(if(H422="GLOW流用","-",if(G422="","","SSE_"&amp;TEXT(vlookup(E422,'プルダウンメニュー (SE用)'!$E$2:$F1028,2,false),"000")&amp;"_"&amp;TEXT(COUNTIF($E$4:E422,E422),"000"))),"")</f>
        <v/>
      </c>
      <c r="C422" s="1016"/>
      <c r="D422" s="1017"/>
      <c r="E422" s="1018"/>
      <c r="F422" s="1018"/>
      <c r="G422" s="1019"/>
      <c r="H422" s="1028"/>
      <c r="I422" s="1029"/>
      <c r="J422" s="1030"/>
      <c r="K422" s="1030"/>
      <c r="L422" s="1031"/>
      <c r="M422" s="1028"/>
      <c r="N422" s="1024"/>
      <c r="O422" s="1024"/>
      <c r="P422" s="868"/>
      <c r="Q422" s="1025"/>
      <c r="R422" s="1026"/>
      <c r="S422" s="1027"/>
      <c r="T422" s="869"/>
      <c r="U422" s="1026"/>
    </row>
    <row r="423">
      <c r="A423" s="926" t="str">
        <f t="array" ref="A423">if(G423="","",XLOOKUP(D423,'プルダウンメニュー (SE用)'!$D$2:$D1028,'プルダウンメニュー (SE用)'!$C$2:$C1028))</f>
        <v/>
      </c>
      <c r="B423" s="926" t="str">
        <f>iferror(if(H423="GLOW流用","-",if(G423="","","SSE_"&amp;TEXT(vlookup(E423,'プルダウンメニュー (SE用)'!$E$2:$F1028,2,false),"000")&amp;"_"&amp;TEXT(COUNTIF($E$4:E423,E423),"000"))),"")</f>
        <v/>
      </c>
      <c r="C423" s="1016"/>
      <c r="D423" s="1017"/>
      <c r="E423" s="1018"/>
      <c r="F423" s="1018"/>
      <c r="G423" s="1019"/>
      <c r="H423" s="1020"/>
      <c r="I423" s="1021"/>
      <c r="J423" s="1022"/>
      <c r="K423" s="1022"/>
      <c r="L423" s="1023"/>
      <c r="M423" s="1020"/>
      <c r="N423" s="1024"/>
      <c r="O423" s="1024"/>
      <c r="P423" s="868"/>
      <c r="Q423" s="1032"/>
      <c r="R423" s="1004"/>
      <c r="S423" s="1034"/>
      <c r="T423" s="869"/>
      <c r="U423" s="1026"/>
    </row>
    <row r="424">
      <c r="A424" s="926" t="str">
        <f t="array" ref="A424">if(G424="","",XLOOKUP(D424,'プルダウンメニュー (SE用)'!$D$2:$D1028,'プルダウンメニュー (SE用)'!$C$2:$C1028))</f>
        <v/>
      </c>
      <c r="B424" s="926" t="str">
        <f>iferror(if(H424="GLOW流用","-",if(G424="","","SSE_"&amp;TEXT(vlookup(E424,'プルダウンメニュー (SE用)'!$E$2:$F1028,2,false),"000")&amp;"_"&amp;TEXT(COUNTIF($E$4:E424,E424),"000"))),"")</f>
        <v/>
      </c>
      <c r="C424" s="1016"/>
      <c r="D424" s="1017"/>
      <c r="E424" s="1018"/>
      <c r="F424" s="1018"/>
      <c r="G424" s="1019"/>
      <c r="H424" s="1020"/>
      <c r="I424" s="1021"/>
      <c r="J424" s="1022"/>
      <c r="K424" s="1022"/>
      <c r="L424" s="1023"/>
      <c r="M424" s="1020"/>
      <c r="N424" s="1024"/>
      <c r="O424" s="1024"/>
      <c r="P424" s="868"/>
      <c r="Q424" s="1032"/>
      <c r="R424" s="1004"/>
      <c r="S424" s="1034"/>
      <c r="T424" s="869"/>
      <c r="U424" s="1026"/>
    </row>
    <row r="425">
      <c r="A425" s="926" t="str">
        <f t="array" ref="A425">if(G425="","",XLOOKUP(D425,'プルダウンメニュー (SE用)'!$D$2:$D1028,'プルダウンメニュー (SE用)'!$C$2:$C1028))</f>
        <v/>
      </c>
      <c r="B425" s="926" t="str">
        <f>iferror(if(H425="GLOW流用","-",if(G425="","","SSE_"&amp;TEXT(vlookup(E425,'プルダウンメニュー (SE用)'!$E$2:$F1028,2,false),"000")&amp;"_"&amp;TEXT(COUNTIF($E$4:E425,E425),"000"))),"")</f>
        <v/>
      </c>
      <c r="C425" s="1016"/>
      <c r="D425" s="1017"/>
      <c r="E425" s="1018"/>
      <c r="F425" s="1018"/>
      <c r="G425" s="1019"/>
      <c r="H425" s="1028"/>
      <c r="I425" s="1029"/>
      <c r="J425" s="1030"/>
      <c r="K425" s="1030"/>
      <c r="L425" s="1031"/>
      <c r="M425" s="1028"/>
      <c r="N425" s="1024"/>
      <c r="O425" s="1024"/>
      <c r="P425" s="868"/>
      <c r="Q425" s="1025"/>
      <c r="R425" s="1026"/>
      <c r="S425" s="1027"/>
      <c r="T425" s="869"/>
      <c r="U425" s="1026"/>
    </row>
    <row r="426">
      <c r="A426" s="926" t="str">
        <f t="array" ref="A426">if(G426="","",XLOOKUP(D426,'プルダウンメニュー (SE用)'!$D$2:$D1028,'プルダウンメニュー (SE用)'!$C$2:$C1028))</f>
        <v/>
      </c>
      <c r="B426" s="926" t="str">
        <f>iferror(if(H426="GLOW流用","-",if(G426="","","SSE_"&amp;TEXT(vlookup(E426,'プルダウンメニュー (SE用)'!$E$2:$F1028,2,false),"000")&amp;"_"&amp;TEXT(COUNTIF($E$4:E426,E426),"000"))),"")</f>
        <v/>
      </c>
      <c r="C426" s="1016"/>
      <c r="D426" s="1017"/>
      <c r="E426" s="1018"/>
      <c r="F426" s="1018"/>
      <c r="G426" s="1019"/>
      <c r="H426" s="1028"/>
      <c r="I426" s="1029"/>
      <c r="J426" s="1030"/>
      <c r="K426" s="1030"/>
      <c r="L426" s="1031"/>
      <c r="M426" s="1028"/>
      <c r="N426" s="1024"/>
      <c r="O426" s="1024"/>
      <c r="P426" s="868"/>
      <c r="Q426" s="1025"/>
      <c r="R426" s="1026"/>
      <c r="S426" s="1027"/>
      <c r="T426" s="869"/>
      <c r="U426" s="1026"/>
    </row>
    <row r="427">
      <c r="A427" s="926" t="str">
        <f t="array" ref="A427">if(G427="","",XLOOKUP(D427,'プルダウンメニュー (SE用)'!$D$2:$D1028,'プルダウンメニュー (SE用)'!$C$2:$C1028))</f>
        <v/>
      </c>
      <c r="B427" s="926" t="str">
        <f>iferror(if(H427="GLOW流用","-",if(G427="","","SSE_"&amp;TEXT(vlookup(E427,'プルダウンメニュー (SE用)'!$E$2:$F1028,2,false),"000")&amp;"_"&amp;TEXT(COUNTIF($E$4:E427,E427),"000"))),"")</f>
        <v/>
      </c>
      <c r="C427" s="1016"/>
      <c r="D427" s="1017"/>
      <c r="E427" s="1018"/>
      <c r="F427" s="1018"/>
      <c r="G427" s="1019"/>
      <c r="H427" s="1020"/>
      <c r="I427" s="1021"/>
      <c r="J427" s="1022"/>
      <c r="K427" s="1022"/>
      <c r="L427" s="1023"/>
      <c r="M427" s="1020"/>
      <c r="N427" s="1024"/>
      <c r="O427" s="1024"/>
      <c r="P427" s="868"/>
      <c r="Q427" s="1032"/>
      <c r="R427" s="1033"/>
      <c r="S427" s="1034"/>
      <c r="T427" s="869"/>
      <c r="U427" s="1026"/>
    </row>
    <row r="428">
      <c r="A428" s="926" t="str">
        <f t="array" ref="A428">if(G428="","",XLOOKUP(D428,'プルダウンメニュー (SE用)'!$D$2:$D1028,'プルダウンメニュー (SE用)'!$C$2:$C1028))</f>
        <v/>
      </c>
      <c r="B428" s="926" t="str">
        <f>iferror(if(H428="GLOW流用","-",if(G428="","","SSE_"&amp;TEXT(vlookup(E428,'プルダウンメニュー (SE用)'!$E$2:$F1028,2,false),"000")&amp;"_"&amp;TEXT(COUNTIF($E$4:E428,E428),"000"))),"")</f>
        <v/>
      </c>
      <c r="C428" s="1016"/>
      <c r="D428" s="1017"/>
      <c r="E428" s="1018"/>
      <c r="F428" s="1018"/>
      <c r="G428" s="1019"/>
      <c r="H428" s="1020"/>
      <c r="I428" s="1021"/>
      <c r="J428" s="1022"/>
      <c r="K428" s="1022"/>
      <c r="L428" s="1023"/>
      <c r="M428" s="1020"/>
      <c r="N428" s="1024"/>
      <c r="O428" s="1024"/>
      <c r="P428" s="868"/>
      <c r="Q428" s="1032"/>
      <c r="R428" s="1033"/>
      <c r="S428" s="1034"/>
      <c r="T428" s="869"/>
      <c r="U428" s="1026"/>
    </row>
    <row r="429">
      <c r="A429" s="926" t="str">
        <f t="array" ref="A429">if(G429="","",XLOOKUP(D429,'プルダウンメニュー (SE用)'!$D$2:$D1028,'プルダウンメニュー (SE用)'!$C$2:$C1028))</f>
        <v/>
      </c>
      <c r="B429" s="926" t="str">
        <f>iferror(if(H429="GLOW流用","-",if(G429="","","SSE_"&amp;TEXT(vlookup(E429,'プルダウンメニュー (SE用)'!$E$2:$F1028,2,false),"000")&amp;"_"&amp;TEXT(COUNTIF($E$4:E429,E429),"000"))),"")</f>
        <v/>
      </c>
      <c r="C429" s="1016"/>
      <c r="D429" s="1017"/>
      <c r="E429" s="1018"/>
      <c r="F429" s="1018"/>
      <c r="G429" s="1019"/>
      <c r="H429" s="1028"/>
      <c r="I429" s="1029"/>
      <c r="J429" s="1030"/>
      <c r="K429" s="1030"/>
      <c r="L429" s="1031"/>
      <c r="M429" s="1028"/>
      <c r="N429" s="1024"/>
      <c r="O429" s="1024"/>
      <c r="P429" s="868"/>
      <c r="Q429" s="1025"/>
      <c r="R429" s="1026"/>
      <c r="S429" s="1034"/>
      <c r="T429" s="869"/>
      <c r="U429" s="1026"/>
    </row>
    <row r="430">
      <c r="A430" s="926" t="str">
        <f t="array" ref="A430">if(G430="","",XLOOKUP(D430,'プルダウンメニュー (SE用)'!$D$2:$D1028,'プルダウンメニュー (SE用)'!$C$2:$C1028))</f>
        <v/>
      </c>
      <c r="B430" s="926" t="str">
        <f>iferror(if(H430="GLOW流用","-",if(G430="","","SSE_"&amp;TEXT(vlookup(E430,'プルダウンメニュー (SE用)'!$E$2:$F1028,2,false),"000")&amp;"_"&amp;TEXT(COUNTIF($E$4:E430,E430),"000"))),"")</f>
        <v/>
      </c>
      <c r="C430" s="1016"/>
      <c r="D430" s="1017"/>
      <c r="E430" s="1018"/>
      <c r="F430" s="1018"/>
      <c r="G430" s="1019"/>
      <c r="H430" s="1028"/>
      <c r="I430" s="1029"/>
      <c r="J430" s="1030"/>
      <c r="K430" s="1030"/>
      <c r="L430" s="1031"/>
      <c r="M430" s="1028"/>
      <c r="N430" s="1024"/>
      <c r="O430" s="1024"/>
      <c r="P430" s="868"/>
      <c r="Q430" s="1025"/>
      <c r="R430" s="1026"/>
      <c r="S430" s="1034"/>
      <c r="T430" s="869"/>
      <c r="U430" s="1026"/>
    </row>
    <row r="431">
      <c r="A431" s="926" t="str">
        <f t="array" ref="A431">if(G431="","",XLOOKUP(D431,'プルダウンメニュー (SE用)'!$D$2:$D1028,'プルダウンメニュー (SE用)'!$C$2:$C1028))</f>
        <v/>
      </c>
      <c r="B431" s="926" t="str">
        <f>iferror(if(H431="GLOW流用","-",if(G431="","","SSE_"&amp;TEXT(vlookup(E431,'プルダウンメニュー (SE用)'!$E$2:$F1028,2,false),"000")&amp;"_"&amp;TEXT(COUNTIF($E$4:E431,E431),"000"))),"")</f>
        <v/>
      </c>
      <c r="C431" s="1016"/>
      <c r="D431" s="1017"/>
      <c r="E431" s="1018"/>
      <c r="F431" s="1018"/>
      <c r="G431" s="1019"/>
      <c r="H431" s="1028"/>
      <c r="I431" s="1029"/>
      <c r="J431" s="1030"/>
      <c r="K431" s="1030"/>
      <c r="L431" s="1031"/>
      <c r="M431" s="1028"/>
      <c r="N431" s="1024"/>
      <c r="O431" s="1024"/>
      <c r="P431" s="868"/>
      <c r="Q431" s="1025"/>
      <c r="R431" s="1033"/>
      <c r="S431" s="1034"/>
      <c r="T431" s="869"/>
      <c r="U431" s="1033"/>
    </row>
    <row r="432">
      <c r="A432" s="926" t="str">
        <f t="array" ref="A432">if(G432="","",XLOOKUP(D432,'プルダウンメニュー (SE用)'!$D$2:$D1028,'プルダウンメニュー (SE用)'!$C$2:$C1028))</f>
        <v/>
      </c>
      <c r="B432" s="926" t="str">
        <f>iferror(if(H432="GLOW流用","-",if(G432="","","SSE_"&amp;TEXT(vlookup(E432,'プルダウンメニュー (SE用)'!$E$2:$F1028,2,false),"000")&amp;"_"&amp;TEXT(COUNTIF($E$4:E432,E432),"000"))),"")</f>
        <v/>
      </c>
      <c r="C432" s="1016"/>
      <c r="D432" s="1017"/>
      <c r="E432" s="1018"/>
      <c r="F432" s="1018"/>
      <c r="G432" s="1019"/>
      <c r="H432" s="1028"/>
      <c r="I432" s="1029"/>
      <c r="J432" s="1030"/>
      <c r="K432" s="1030"/>
      <c r="L432" s="1031"/>
      <c r="M432" s="1028"/>
      <c r="N432" s="1024"/>
      <c r="O432" s="1024"/>
      <c r="P432" s="868"/>
      <c r="Q432" s="1025"/>
      <c r="R432" s="1033"/>
      <c r="S432" s="1034"/>
      <c r="T432" s="869"/>
      <c r="U432" s="1033"/>
    </row>
    <row r="433">
      <c r="A433" s="926" t="str">
        <f t="array" ref="A433">if(G433="","",XLOOKUP(D433,'プルダウンメニュー (SE用)'!$D$2:$D1028,'プルダウンメニュー (SE用)'!$C$2:$C1028))</f>
        <v/>
      </c>
      <c r="B433" s="926" t="str">
        <f>iferror(if(H433="GLOW流用","-",if(G433="","","SSE_"&amp;TEXT(vlookup(E433,'プルダウンメニュー (SE用)'!$E$2:$F1028,2,false),"000")&amp;"_"&amp;TEXT(COUNTIF($E$4:E433,E433),"000"))),"")</f>
        <v/>
      </c>
      <c r="C433" s="1016"/>
      <c r="D433" s="1017"/>
      <c r="E433" s="1018"/>
      <c r="F433" s="1018"/>
      <c r="G433" s="1019"/>
      <c r="H433" s="1028"/>
      <c r="I433" s="1029"/>
      <c r="J433" s="1030"/>
      <c r="K433" s="1030"/>
      <c r="L433" s="1031"/>
      <c r="M433" s="1028"/>
      <c r="N433" s="1024"/>
      <c r="O433" s="1024"/>
      <c r="P433" s="868"/>
      <c r="Q433" s="1025"/>
      <c r="R433" s="1033"/>
      <c r="S433" s="1034"/>
      <c r="T433" s="869"/>
      <c r="U433" s="1033"/>
    </row>
    <row r="434">
      <c r="A434" s="926" t="str">
        <f t="array" ref="A434">if(G434="","",XLOOKUP(D434,'プルダウンメニュー (SE用)'!$D$2:$D1028,'プルダウンメニュー (SE用)'!$C$2:$C1028))</f>
        <v/>
      </c>
      <c r="B434" s="926" t="str">
        <f>iferror(if(H434="GLOW流用","-",if(G434="","","SSE_"&amp;TEXT(vlookup(E434,'プルダウンメニュー (SE用)'!$E$2:$F1028,2,false),"000")&amp;"_"&amp;TEXT(COUNTIF($E$4:E434,E434),"000"))),"")</f>
        <v/>
      </c>
      <c r="C434" s="1016"/>
      <c r="D434" s="1017"/>
      <c r="E434" s="1018"/>
      <c r="F434" s="1018"/>
      <c r="G434" s="1019"/>
      <c r="H434" s="1028"/>
      <c r="I434" s="1029"/>
      <c r="J434" s="1030"/>
      <c r="K434" s="1030"/>
      <c r="L434" s="1031"/>
      <c r="M434" s="1028"/>
      <c r="N434" s="1024"/>
      <c r="O434" s="1024"/>
      <c r="P434" s="868"/>
      <c r="Q434" s="1025"/>
      <c r="R434" s="1033"/>
      <c r="S434" s="1034"/>
      <c r="T434" s="869"/>
      <c r="U434" s="1033"/>
    </row>
    <row r="435">
      <c r="A435" s="926" t="str">
        <f t="array" ref="A435">if(G435="","",XLOOKUP(D435,'プルダウンメニュー (SE用)'!$D$2:$D1028,'プルダウンメニュー (SE用)'!$C$2:$C1028))</f>
        <v/>
      </c>
      <c r="B435" s="926" t="str">
        <f>iferror(if(H435="GLOW流用","-",if(G435="","","SSE_"&amp;TEXT(vlookup(E435,'プルダウンメニュー (SE用)'!$E$2:$F1028,2,false),"000")&amp;"_"&amp;TEXT(COUNTIF($E$4:E435,E435),"000"))),"")</f>
        <v/>
      </c>
      <c r="C435" s="1016"/>
      <c r="D435" s="1017"/>
      <c r="E435" s="1018"/>
      <c r="F435" s="1018"/>
      <c r="G435" s="1019"/>
      <c r="H435" s="1020"/>
      <c r="I435" s="1021"/>
      <c r="J435" s="1022"/>
      <c r="K435" s="1022"/>
      <c r="L435" s="1023"/>
      <c r="M435" s="1020"/>
      <c r="N435" s="1024"/>
      <c r="O435" s="1024"/>
      <c r="P435" s="868"/>
      <c r="Q435" s="1032"/>
      <c r="R435" s="1033"/>
      <c r="S435" s="1034"/>
      <c r="T435" s="869"/>
      <c r="U435" s="1033"/>
    </row>
    <row r="436">
      <c r="A436" s="926" t="str">
        <f t="array" ref="A436">if(G436="","",XLOOKUP(D436,'プルダウンメニュー (SE用)'!$D$2:$D1028,'プルダウンメニュー (SE用)'!$C$2:$C1028))</f>
        <v/>
      </c>
      <c r="B436" s="926" t="str">
        <f>iferror(if(H436="GLOW流用","-",if(G436="","","SSE_"&amp;TEXT(vlookup(E436,'プルダウンメニュー (SE用)'!$E$2:$F1028,2,false),"000")&amp;"_"&amp;TEXT(COUNTIF($E$4:E436,E436),"000"))),"")</f>
        <v/>
      </c>
      <c r="C436" s="1016"/>
      <c r="D436" s="1017"/>
      <c r="E436" s="1018"/>
      <c r="F436" s="1018"/>
      <c r="G436" s="1019"/>
      <c r="H436" s="1028"/>
      <c r="I436" s="1029"/>
      <c r="J436" s="1030"/>
      <c r="K436" s="1030"/>
      <c r="L436" s="1031"/>
      <c r="M436" s="1028"/>
      <c r="N436" s="1024"/>
      <c r="O436" s="1024"/>
      <c r="P436" s="868"/>
      <c r="Q436" s="1025"/>
      <c r="R436" s="1033"/>
      <c r="S436" s="1034"/>
      <c r="T436" s="869"/>
      <c r="U436" s="1033"/>
    </row>
    <row r="437">
      <c r="A437" s="926" t="str">
        <f t="array" ref="A437">if(G437="","",XLOOKUP(D437,'プルダウンメニュー (SE用)'!$D$2:$D1028,'プルダウンメニュー (SE用)'!$C$2:$C1028))</f>
        <v/>
      </c>
      <c r="B437" s="926" t="str">
        <f>iferror(if(H437="GLOW流用","-",if(G437="","","SSE_"&amp;TEXT(vlookup(E437,'プルダウンメニュー (SE用)'!$E$2:$F1028,2,false),"000")&amp;"_"&amp;TEXT(COUNTIF($E$4:E437,E437),"000"))),"")</f>
        <v/>
      </c>
      <c r="C437" s="1016"/>
      <c r="D437" s="1017"/>
      <c r="E437" s="1018"/>
      <c r="F437" s="1018"/>
      <c r="G437" s="1019"/>
      <c r="H437" s="1028"/>
      <c r="I437" s="1029"/>
      <c r="J437" s="1030"/>
      <c r="K437" s="1030"/>
      <c r="L437" s="1031"/>
      <c r="M437" s="1028"/>
      <c r="N437" s="1024"/>
      <c r="O437" s="1024"/>
      <c r="P437" s="868"/>
      <c r="Q437" s="1025"/>
      <c r="R437" s="1033"/>
      <c r="S437" s="1034"/>
      <c r="T437" s="869"/>
      <c r="U437" s="1033"/>
    </row>
    <row r="438">
      <c r="A438" s="926" t="str">
        <f t="array" ref="A438">if(G438="","",XLOOKUP(D438,'プルダウンメニュー (SE用)'!$D$2:$D1028,'プルダウンメニュー (SE用)'!$C$2:$C1028))</f>
        <v/>
      </c>
      <c r="B438" s="926" t="str">
        <f>iferror(if(H438="GLOW流用","-",if(G438="","","SSE_"&amp;TEXT(vlookup(E438,'プルダウンメニュー (SE用)'!$E$2:$F1028,2,false),"000")&amp;"_"&amp;TEXT(COUNTIF($E$4:E438,E438),"000"))),"")</f>
        <v/>
      </c>
      <c r="C438" s="1016"/>
      <c r="D438" s="1017"/>
      <c r="E438" s="1018"/>
      <c r="F438" s="1018"/>
      <c r="G438" s="1019"/>
      <c r="H438" s="1028"/>
      <c r="I438" s="1029"/>
      <c r="J438" s="1030"/>
      <c r="K438" s="1030"/>
      <c r="L438" s="1031"/>
      <c r="M438" s="1028"/>
      <c r="N438" s="1024"/>
      <c r="O438" s="1024"/>
      <c r="P438" s="868"/>
      <c r="Q438" s="1025"/>
      <c r="R438" s="1033"/>
      <c r="S438" s="1034"/>
      <c r="T438" s="869"/>
      <c r="U438" s="1033"/>
    </row>
    <row r="439">
      <c r="A439" s="926" t="str">
        <f t="array" ref="A439">if(G439="","",XLOOKUP(D439,'プルダウンメニュー (SE用)'!$D$2:$D1028,'プルダウンメニュー (SE用)'!$C$2:$C1028))</f>
        <v/>
      </c>
      <c r="B439" s="926" t="str">
        <f>iferror(if(H439="GLOW流用","-",if(G439="","","SSE_"&amp;TEXT(vlookup(E439,'プルダウンメニュー (SE用)'!$E$2:$F1028,2,false),"000")&amp;"_"&amp;TEXT(COUNTIF($E$4:E439,E439),"000"))),"")</f>
        <v/>
      </c>
      <c r="C439" s="1016"/>
      <c r="D439" s="1017"/>
      <c r="E439" s="1018"/>
      <c r="F439" s="1018"/>
      <c r="G439" s="1019"/>
      <c r="H439" s="1020"/>
      <c r="I439" s="1021"/>
      <c r="J439" s="1022"/>
      <c r="K439" s="1022"/>
      <c r="L439" s="1023"/>
      <c r="M439" s="1020"/>
      <c r="N439" s="1024"/>
      <c r="O439" s="1024"/>
      <c r="P439" s="868"/>
      <c r="Q439" s="1032"/>
      <c r="R439" s="1033"/>
      <c r="S439" s="1034"/>
      <c r="T439" s="869"/>
      <c r="U439" s="1033"/>
    </row>
    <row r="440">
      <c r="A440" s="926" t="str">
        <f t="array" ref="A440">if(G440="","",XLOOKUP(D440,'プルダウンメニュー (SE用)'!$D$2:$D1028,'プルダウンメニュー (SE用)'!$C$2:$C1028))</f>
        <v/>
      </c>
      <c r="B440" s="926" t="str">
        <f>iferror(if(H440="GLOW流用","-",if(G440="","","SSE_"&amp;TEXT(vlookup(E440,'プルダウンメニュー (SE用)'!$E$2:$F1028,2,false),"000")&amp;"_"&amp;TEXT(COUNTIF($E$4:E440,E440),"000"))),"")</f>
        <v/>
      </c>
      <c r="C440" s="1016"/>
      <c r="D440" s="1017"/>
      <c r="E440" s="1018"/>
      <c r="F440" s="1018"/>
      <c r="G440" s="1019"/>
      <c r="H440" s="1028"/>
      <c r="I440" s="1029"/>
      <c r="J440" s="1030"/>
      <c r="K440" s="1030"/>
      <c r="L440" s="1031"/>
      <c r="M440" s="1028"/>
      <c r="N440" s="1024"/>
      <c r="O440" s="1024"/>
      <c r="P440" s="868"/>
      <c r="Q440" s="1025"/>
      <c r="R440" s="1033"/>
      <c r="S440" s="1034"/>
      <c r="T440" s="869"/>
      <c r="U440" s="1033"/>
    </row>
    <row r="441">
      <c r="A441" s="926" t="str">
        <f t="array" ref="A441">if(G441="","",XLOOKUP(D441,'プルダウンメニュー (SE用)'!$D$2:$D1028,'プルダウンメニュー (SE用)'!$C$2:$C1028))</f>
        <v/>
      </c>
      <c r="B441" s="926" t="str">
        <f>iferror(if(H441="GLOW流用","-",if(G441="","","SSE_"&amp;TEXT(vlookup(E441,'プルダウンメニュー (SE用)'!$E$2:$F1028,2,false),"000")&amp;"_"&amp;TEXT(COUNTIF($E$4:E441,E441),"000"))),"")</f>
        <v/>
      </c>
      <c r="C441" s="1016"/>
      <c r="D441" s="1017"/>
      <c r="E441" s="1018"/>
      <c r="F441" s="1018"/>
      <c r="G441" s="1019"/>
      <c r="H441" s="1020"/>
      <c r="I441" s="1021"/>
      <c r="J441" s="1022"/>
      <c r="K441" s="1022"/>
      <c r="L441" s="1023"/>
      <c r="M441" s="1020"/>
      <c r="N441" s="1024"/>
      <c r="O441" s="1024"/>
      <c r="P441" s="868"/>
      <c r="Q441" s="1032"/>
      <c r="R441" s="1033"/>
      <c r="S441" s="1034"/>
      <c r="T441" s="869"/>
      <c r="U441" s="1033"/>
    </row>
    <row r="442">
      <c r="A442" s="926" t="str">
        <f t="array" ref="A442">if(G442="","",XLOOKUP(D442,'プルダウンメニュー (SE用)'!$D$2:$D1028,'プルダウンメニュー (SE用)'!$C$2:$C1028))</f>
        <v/>
      </c>
      <c r="B442" s="926" t="str">
        <f>iferror(if(H442="GLOW流用","-",if(G442="","","SSE_"&amp;TEXT(vlookup(E442,'プルダウンメニュー (SE用)'!$E$2:$F1028,2,false),"000")&amp;"_"&amp;TEXT(COUNTIF($E$4:E442,E442),"000"))),"")</f>
        <v/>
      </c>
      <c r="C442" s="1016"/>
      <c r="D442" s="1017"/>
      <c r="E442" s="1018"/>
      <c r="F442" s="1018"/>
      <c r="G442" s="1019"/>
      <c r="H442" s="1028"/>
      <c r="I442" s="1029"/>
      <c r="J442" s="1030"/>
      <c r="K442" s="1030"/>
      <c r="L442" s="1031"/>
      <c r="M442" s="1028"/>
      <c r="N442" s="1024"/>
      <c r="O442" s="1024"/>
      <c r="P442" s="868"/>
      <c r="Q442" s="1025"/>
      <c r="R442" s="1033"/>
      <c r="S442" s="1034"/>
      <c r="T442" s="869"/>
      <c r="U442" s="1033"/>
    </row>
    <row r="443">
      <c r="A443" s="926" t="str">
        <f t="array" ref="A443">if(G443="","",XLOOKUP(D443,'プルダウンメニュー (SE用)'!$D$2:$D1028,'プルダウンメニュー (SE用)'!$C$2:$C1028))</f>
        <v/>
      </c>
      <c r="B443" s="926" t="str">
        <f>iferror(if(H443="GLOW流用","-",if(G443="","","SSE_"&amp;TEXT(vlookup(E443,'プルダウンメニュー (SE用)'!$E$2:$F1028,2,false),"000")&amp;"_"&amp;TEXT(COUNTIF($E$4:E443,E443),"000"))),"")</f>
        <v/>
      </c>
      <c r="C443" s="1016"/>
      <c r="D443" s="1017"/>
      <c r="E443" s="1018"/>
      <c r="F443" s="1018"/>
      <c r="G443" s="1019"/>
      <c r="H443" s="1020"/>
      <c r="I443" s="1021"/>
      <c r="J443" s="1022"/>
      <c r="K443" s="1022"/>
      <c r="L443" s="1023"/>
      <c r="M443" s="1020"/>
      <c r="N443" s="1024"/>
      <c r="O443" s="1024"/>
      <c r="P443" s="868"/>
      <c r="Q443" s="1032"/>
      <c r="R443" s="1004"/>
      <c r="S443" s="1034"/>
      <c r="T443" s="869"/>
      <c r="U443" s="1033"/>
    </row>
    <row r="444">
      <c r="A444" s="926" t="str">
        <f t="array" ref="A444">if(G444="","",XLOOKUP(D444,'プルダウンメニュー (SE用)'!$D$2:$D1028,'プルダウンメニュー (SE用)'!$C$2:$C1028))</f>
        <v/>
      </c>
      <c r="B444" s="926" t="str">
        <f>iferror(if(H444="GLOW流用","-",if(G444="","","SSE_"&amp;TEXT(vlookup(E444,'プルダウンメニュー (SE用)'!$E$2:$F1028,2,false),"000")&amp;"_"&amp;TEXT(COUNTIF($E$4:E444,E444),"000"))),"")</f>
        <v/>
      </c>
      <c r="C444" s="1016"/>
      <c r="D444" s="1017"/>
      <c r="E444" s="1018"/>
      <c r="F444" s="1018"/>
      <c r="G444" s="1019"/>
      <c r="H444" s="1020"/>
      <c r="I444" s="1021"/>
      <c r="J444" s="1022"/>
      <c r="K444" s="1022"/>
      <c r="L444" s="1023"/>
      <c r="M444" s="1020"/>
      <c r="N444" s="1024"/>
      <c r="O444" s="1024"/>
      <c r="P444" s="868"/>
      <c r="Q444" s="1032"/>
      <c r="R444" s="1004"/>
      <c r="S444" s="1034"/>
      <c r="T444" s="869"/>
      <c r="U444" s="1033"/>
    </row>
    <row r="445">
      <c r="A445" s="926" t="str">
        <f t="array" ref="A445">if(G445="","",XLOOKUP(D445,'プルダウンメニュー (SE用)'!$D$2:$D1028,'プルダウンメニュー (SE用)'!$C$2:$C1028))</f>
        <v/>
      </c>
      <c r="B445" s="926" t="str">
        <f>iferror(if(H445="GLOW流用","-",if(G445="","","SSE_"&amp;TEXT(vlookup(E445,'プルダウンメニュー (SE用)'!$E$2:$F1028,2,false),"000")&amp;"_"&amp;TEXT(COUNTIF($E$4:E445,E445),"000"))),"")</f>
        <v/>
      </c>
      <c r="C445" s="1016"/>
      <c r="D445" s="1017"/>
      <c r="E445" s="1018"/>
      <c r="F445" s="1018"/>
      <c r="G445" s="1019"/>
      <c r="H445" s="1028"/>
      <c r="I445" s="1029"/>
      <c r="J445" s="1030"/>
      <c r="K445" s="1030"/>
      <c r="L445" s="1031"/>
      <c r="M445" s="1028"/>
      <c r="N445" s="1024"/>
      <c r="O445" s="1024"/>
      <c r="P445" s="868"/>
      <c r="Q445" s="1025"/>
      <c r="R445" s="1033"/>
      <c r="S445" s="1034"/>
      <c r="T445" s="1033"/>
      <c r="U445" s="1033"/>
    </row>
    <row r="446">
      <c r="A446" s="926" t="str">
        <f t="array" ref="A446">if(G446="","",XLOOKUP(D446,'プルダウンメニュー (SE用)'!$D$2:$D1028,'プルダウンメニュー (SE用)'!$C$2:$C1028))</f>
        <v/>
      </c>
      <c r="B446" s="926" t="str">
        <f>iferror(if(H446="GLOW流用","-",if(G446="","","SSE_"&amp;TEXT(vlookup(E446,'プルダウンメニュー (SE用)'!$E$2:$F1028,2,false),"000")&amp;"_"&amp;TEXT(COUNTIF($E$4:E446,E446),"000"))),"")</f>
        <v/>
      </c>
      <c r="C446" s="1016"/>
      <c r="D446" s="1017"/>
      <c r="E446" s="1018"/>
      <c r="F446" s="1018"/>
      <c r="G446" s="1019"/>
      <c r="H446" s="1028"/>
      <c r="I446" s="1029"/>
      <c r="J446" s="1030"/>
      <c r="K446" s="1030"/>
      <c r="L446" s="1031"/>
      <c r="M446" s="1028"/>
      <c r="N446" s="1024"/>
      <c r="O446" s="1024"/>
      <c r="P446" s="868"/>
      <c r="Q446" s="1025"/>
      <c r="R446" s="1033"/>
      <c r="S446" s="1034"/>
      <c r="T446" s="1033"/>
      <c r="U446" s="1033"/>
    </row>
    <row r="447">
      <c r="A447" s="926" t="str">
        <f t="array" ref="A447">if(G447="","",XLOOKUP(D447,'プルダウンメニュー (SE用)'!$D$2:$D1028,'プルダウンメニュー (SE用)'!$C$2:$C1028))</f>
        <v/>
      </c>
      <c r="B447" s="926" t="str">
        <f>iferror(if(H447="GLOW流用","-",if(G447="","","SSE_"&amp;TEXT(vlookup(E447,'プルダウンメニュー (SE用)'!$E$2:$F1028,2,false),"000")&amp;"_"&amp;TEXT(COUNTIF($E$4:E447,E447),"000"))),"")</f>
        <v/>
      </c>
      <c r="C447" s="1016"/>
      <c r="D447" s="1017"/>
      <c r="E447" s="1018"/>
      <c r="F447" s="1018"/>
      <c r="G447" s="1019"/>
      <c r="H447" s="1028"/>
      <c r="I447" s="1029"/>
      <c r="J447" s="1030"/>
      <c r="K447" s="1030"/>
      <c r="L447" s="1031"/>
      <c r="M447" s="1028"/>
      <c r="N447" s="1024"/>
      <c r="O447" s="1024"/>
      <c r="P447" s="868"/>
      <c r="Q447" s="1025"/>
      <c r="R447" s="869"/>
      <c r="S447" s="1027"/>
      <c r="T447" s="1039"/>
      <c r="U447" s="1026"/>
    </row>
    <row r="448">
      <c r="A448" s="926" t="str">
        <f t="array" ref="A448">if(G448="","",XLOOKUP(D448,'プルダウンメニュー (SE用)'!$D$2:$D1028,'プルダウンメニュー (SE用)'!$C$2:$C1028))</f>
        <v/>
      </c>
      <c r="B448" s="926" t="str">
        <f>iferror(if(H448="GLOW流用","-",if(G448="","","SSE_"&amp;TEXT(vlookup(E448,'プルダウンメニュー (SE用)'!$E$2:$F1028,2,false),"000")&amp;"_"&amp;TEXT(COUNTIF($E$4:E448,E448),"000"))),"")</f>
        <v/>
      </c>
      <c r="C448" s="1016"/>
      <c r="D448" s="1017"/>
      <c r="E448" s="1018"/>
      <c r="F448" s="1018"/>
      <c r="G448" s="1040"/>
      <c r="H448" s="1041"/>
      <c r="I448" s="1042"/>
      <c r="J448" s="1043"/>
      <c r="K448" s="1043"/>
      <c r="L448" s="1044"/>
      <c r="M448" s="1041"/>
      <c r="N448" s="1024"/>
      <c r="O448" s="1024"/>
      <c r="P448" s="868"/>
      <c r="Q448" s="1032"/>
      <c r="R448" s="1004"/>
      <c r="S448" s="126"/>
      <c r="T448" s="1039"/>
      <c r="U448" s="1039"/>
    </row>
    <row r="449">
      <c r="A449" s="926" t="str">
        <f t="array" ref="A449">if(G449="","",XLOOKUP(D449,'プルダウンメニュー (SE用)'!$D$2:$D1028,'プルダウンメニュー (SE用)'!$C$2:$C1028))</f>
        <v/>
      </c>
      <c r="B449" s="926" t="str">
        <f>iferror(if(H449="GLOW流用","-",if(G449="","","SSE_"&amp;TEXT(vlookup(E449,'プルダウンメニュー (SE用)'!$E$2:$F1028,2,false),"000")&amp;"_"&amp;TEXT(COUNTIF($E$4:E449,E449),"000"))),"")</f>
        <v/>
      </c>
      <c r="C449" s="1016"/>
      <c r="D449" s="1017"/>
      <c r="E449" s="1018"/>
      <c r="F449" s="1018"/>
      <c r="G449" s="1040"/>
      <c r="H449" s="1041"/>
      <c r="I449" s="1042"/>
      <c r="J449" s="1043"/>
      <c r="K449" s="1043"/>
      <c r="L449" s="1044"/>
      <c r="M449" s="1041"/>
      <c r="N449" s="1024"/>
      <c r="O449" s="1024"/>
      <c r="P449" s="868"/>
      <c r="Q449" s="1032"/>
      <c r="R449" s="1004"/>
      <c r="S449" s="126"/>
      <c r="T449" s="1039"/>
      <c r="U449" s="1039"/>
    </row>
    <row r="450">
      <c r="A450" s="926" t="str">
        <f t="array" ref="A450">if(G450="","",XLOOKUP(D450,'プルダウンメニュー (SE用)'!$D$2:$D1028,'プルダウンメニュー (SE用)'!$C$2:$C1028))</f>
        <v/>
      </c>
      <c r="B450" s="926" t="str">
        <f>iferror(if(H450="GLOW流用","-",if(G450="","","SSE_"&amp;TEXT(vlookup(E450,'プルダウンメニュー (SE用)'!$E$2:$F1028,2,false),"000")&amp;"_"&amp;TEXT(COUNTIF($E$4:E450,E450),"000"))),"")</f>
        <v/>
      </c>
      <c r="C450" s="1016"/>
      <c r="D450" s="1017"/>
      <c r="E450" s="1018"/>
      <c r="F450" s="1018"/>
      <c r="G450" s="1040"/>
      <c r="H450" s="1041"/>
      <c r="I450" s="1042"/>
      <c r="J450" s="1043"/>
      <c r="K450" s="1043"/>
      <c r="L450" s="1044"/>
      <c r="M450" s="1041"/>
      <c r="N450" s="1024"/>
      <c r="O450" s="1024"/>
      <c r="P450" s="868"/>
      <c r="Q450" s="1032"/>
      <c r="R450" s="1004"/>
      <c r="S450" s="126"/>
      <c r="T450" s="1039"/>
      <c r="U450" s="1039"/>
    </row>
    <row r="451">
      <c r="A451" s="926" t="str">
        <f t="array" ref="A451">if(G451="","",XLOOKUP(D451,'プルダウンメニュー (SE用)'!$D$2:$D1028,'プルダウンメニュー (SE用)'!$C$2:$C1028))</f>
        <v/>
      </c>
      <c r="B451" s="926" t="str">
        <f>iferror(if(H451="GLOW流用","-",if(G451="","","SSE_"&amp;TEXT(vlookup(E451,'プルダウンメニュー (SE用)'!$E$2:$F1028,2,false),"000")&amp;"_"&amp;TEXT(COUNTIF($E$4:E451,E451),"000"))),"")</f>
        <v/>
      </c>
      <c r="C451" s="1016"/>
      <c r="D451" s="1017"/>
      <c r="E451" s="1018"/>
      <c r="F451" s="1018"/>
      <c r="G451" s="1040"/>
      <c r="H451" s="1041"/>
      <c r="I451" s="1042"/>
      <c r="J451" s="1043"/>
      <c r="K451" s="1043"/>
      <c r="L451" s="1044"/>
      <c r="M451" s="1041"/>
      <c r="N451" s="1024"/>
      <c r="O451" s="1024"/>
      <c r="P451" s="868"/>
      <c r="Q451" s="1032"/>
      <c r="R451" s="1004"/>
      <c r="S451" s="126"/>
      <c r="T451" s="1039"/>
      <c r="U451" s="1039"/>
    </row>
    <row r="452">
      <c r="A452" s="926" t="str">
        <f t="array" ref="A452">if(G452="","",XLOOKUP(D452,'プルダウンメニュー (SE用)'!$D$2:$D1028,'プルダウンメニュー (SE用)'!$C$2:$C1028))</f>
        <v/>
      </c>
      <c r="B452" s="926" t="str">
        <f>iferror(if(H452="GLOW流用","-",if(G452="","","SSE_"&amp;TEXT(vlookup(E452,'プルダウンメニュー (SE用)'!$E$2:$F1028,2,false),"000")&amp;"_"&amp;TEXT(COUNTIF($E$4:E452,E452),"000"))),"")</f>
        <v/>
      </c>
      <c r="C452" s="1016"/>
      <c r="D452" s="1017"/>
      <c r="E452" s="1018"/>
      <c r="F452" s="1018"/>
      <c r="G452" s="1040"/>
      <c r="H452" s="1041"/>
      <c r="I452" s="1042"/>
      <c r="J452" s="1043"/>
      <c r="K452" s="1043"/>
      <c r="L452" s="1044"/>
      <c r="M452" s="1041"/>
      <c r="N452" s="1024"/>
      <c r="O452" s="1024"/>
      <c r="P452" s="868"/>
      <c r="Q452" s="1032"/>
      <c r="R452" s="1004"/>
      <c r="S452" s="126"/>
      <c r="T452" s="1039"/>
      <c r="U452" s="1039"/>
    </row>
    <row r="453">
      <c r="A453" s="926" t="str">
        <f t="array" ref="A453">if(G453="","",XLOOKUP(D453,'プルダウンメニュー (SE用)'!$D$2:$D1028,'プルダウンメニュー (SE用)'!$C$2:$C1028))</f>
        <v/>
      </c>
      <c r="B453" s="926" t="str">
        <f>iferror(if(H453="GLOW流用","-",if(G453="","","SSE_"&amp;TEXT(vlookup(E453,'プルダウンメニュー (SE用)'!$E$2:$F1028,2,false),"000")&amp;"_"&amp;TEXT(COUNTIF($E$4:E453,E453),"000"))),"")</f>
        <v/>
      </c>
      <c r="C453" s="1016"/>
      <c r="D453" s="1017"/>
      <c r="E453" s="1018"/>
      <c r="F453" s="1018"/>
      <c r="G453" s="1040"/>
      <c r="H453" s="1041"/>
      <c r="I453" s="1042"/>
      <c r="J453" s="1043"/>
      <c r="K453" s="1043"/>
      <c r="L453" s="1044"/>
      <c r="M453" s="1041"/>
      <c r="N453" s="1024"/>
      <c r="O453" s="1024"/>
      <c r="P453" s="868"/>
      <c r="Q453" s="1032"/>
      <c r="R453" s="1004"/>
      <c r="S453" s="126"/>
      <c r="T453" s="1039"/>
      <c r="U453" s="1039"/>
    </row>
    <row r="454">
      <c r="A454" s="926" t="str">
        <f t="array" ref="A454">if(G454="","",XLOOKUP(D454,'プルダウンメニュー (SE用)'!$D$2:$D1028,'プルダウンメニュー (SE用)'!$C$2:$C1028))</f>
        <v/>
      </c>
      <c r="B454" s="926" t="str">
        <f>iferror(if(H454="GLOW流用","-",if(G454="","","SSE_"&amp;TEXT(vlookup(E454,'プルダウンメニュー (SE用)'!$E$2:$F1028,2,false),"000")&amp;"_"&amp;TEXT(COUNTIF($E$4:E454,E454),"000"))),"")</f>
        <v/>
      </c>
      <c r="C454" s="1016"/>
      <c r="D454" s="1017"/>
      <c r="E454" s="1018"/>
      <c r="F454" s="1018"/>
      <c r="G454" s="1040"/>
      <c r="H454" s="1041"/>
      <c r="I454" s="1042"/>
      <c r="J454" s="1043"/>
      <c r="K454" s="1043"/>
      <c r="L454" s="1044"/>
      <c r="M454" s="1041"/>
      <c r="N454" s="1024"/>
      <c r="O454" s="1024"/>
      <c r="P454" s="868"/>
      <c r="Q454" s="1025"/>
      <c r="R454" s="1039"/>
      <c r="S454" s="126"/>
      <c r="T454" s="1039"/>
      <c r="U454" s="1039"/>
    </row>
    <row r="455">
      <c r="A455" s="926" t="str">
        <f t="array" ref="A455">if(G455="","",XLOOKUP(D455,'プルダウンメニュー (SE用)'!$D$2:$D1028,'プルダウンメニュー (SE用)'!$C$2:$C1028))</f>
        <v/>
      </c>
      <c r="B455" s="926" t="str">
        <f>iferror(if(H455="GLOW流用","-",if(G455="","","SSE_"&amp;TEXT(vlookup(E455,'プルダウンメニュー (SE用)'!$E$2:$F1028,2,false),"000")&amp;"_"&amp;TEXT(COUNTIF($E$4:E455,E455),"000"))),"")</f>
        <v/>
      </c>
      <c r="C455" s="1016"/>
      <c r="D455" s="1017"/>
      <c r="E455" s="1018"/>
      <c r="F455" s="1018"/>
      <c r="G455" s="1040"/>
      <c r="H455" s="1041"/>
      <c r="I455" s="1042"/>
      <c r="J455" s="1043"/>
      <c r="K455" s="1043"/>
      <c r="L455" s="1044"/>
      <c r="M455" s="1041"/>
      <c r="N455" s="1024"/>
      <c r="O455" s="1024"/>
      <c r="P455" s="868"/>
      <c r="Q455" s="1025"/>
      <c r="R455" s="1039"/>
      <c r="S455" s="126"/>
      <c r="T455" s="1039"/>
      <c r="U455" s="1039"/>
    </row>
    <row r="456">
      <c r="A456" s="926" t="str">
        <f t="array" ref="A456">if(G456="","",XLOOKUP(D456,'プルダウンメニュー (SE用)'!$D$2:$D1028,'プルダウンメニュー (SE用)'!$C$2:$C1028))</f>
        <v/>
      </c>
      <c r="B456" s="926" t="str">
        <f>iferror(if(H456="GLOW流用","-",if(G456="","","SSE_"&amp;TEXT(vlookup(E456,'プルダウンメニュー (SE用)'!$E$2:$F1028,2,false),"000")&amp;"_"&amp;TEXT(COUNTIF($E$4:E456,E456),"000"))),"")</f>
        <v/>
      </c>
      <c r="C456" s="1016"/>
      <c r="D456" s="1017"/>
      <c r="E456" s="1018"/>
      <c r="F456" s="1018"/>
      <c r="G456" s="1040"/>
      <c r="H456" s="1045"/>
      <c r="I456" s="1046"/>
      <c r="J456" s="1047"/>
      <c r="K456" s="1047"/>
      <c r="L456" s="1048"/>
      <c r="M456" s="1049"/>
      <c r="N456" s="904"/>
      <c r="O456" s="904"/>
      <c r="P456" s="868"/>
      <c r="Q456" s="1032"/>
      <c r="R456" s="1004"/>
      <c r="S456" s="126"/>
      <c r="T456" s="1039"/>
      <c r="U456" s="1039"/>
    </row>
    <row r="457">
      <c r="A457" s="926" t="str">
        <f t="array" ref="A457">if(G457="","",XLOOKUP(D457,'プルダウンメニュー (SE用)'!$D$2:$D1028,'プルダウンメニュー (SE用)'!$C$2:$C1028))</f>
        <v/>
      </c>
      <c r="B457" s="926" t="str">
        <f>iferror(if(H457="GLOW流用","-",if(G457="","","SSE_"&amp;TEXT(vlookup(E457,'プルダウンメニュー (SE用)'!$E$2:$F1028,2,false),"000")&amp;"_"&amp;TEXT(COUNTIF($E$4:E457,E457),"000"))),"")</f>
        <v/>
      </c>
      <c r="C457" s="1016"/>
      <c r="D457" s="1017"/>
      <c r="E457" s="1018"/>
      <c r="F457" s="1018"/>
      <c r="G457" s="1040"/>
      <c r="H457" s="1045"/>
      <c r="I457" s="1046"/>
      <c r="J457" s="1047"/>
      <c r="K457" s="1047"/>
      <c r="L457" s="1048"/>
      <c r="M457" s="1049"/>
      <c r="N457" s="904"/>
      <c r="O457" s="904"/>
      <c r="P457" s="868"/>
      <c r="Q457" s="1032"/>
      <c r="R457" s="1004"/>
      <c r="S457" s="126"/>
      <c r="T457" s="1039"/>
      <c r="U457" s="1039"/>
    </row>
    <row r="458">
      <c r="A458" s="926" t="str">
        <f t="array" ref="A458">if(G458="","",XLOOKUP(D458,'プルダウンメニュー (SE用)'!$D$2:$D1028,'プルダウンメニュー (SE用)'!$C$2:$C1028))</f>
        <v/>
      </c>
      <c r="B458" s="926" t="str">
        <f>iferror(if(H458="GLOW流用","-",if(G458="","","SSE_"&amp;TEXT(vlookup(E458,'プルダウンメニュー (SE用)'!$E$2:$F1028,2,false),"000")&amp;"_"&amp;TEXT(COUNTIF($E$4:E458,E458),"000"))),"")</f>
        <v/>
      </c>
      <c r="C458" s="1016"/>
      <c r="D458" s="1017"/>
      <c r="E458" s="1018"/>
      <c r="F458" s="1018"/>
      <c r="G458" s="1040"/>
      <c r="H458" s="1045"/>
      <c r="I458" s="1046"/>
      <c r="J458" s="1047"/>
      <c r="K458" s="1047"/>
      <c r="L458" s="1048"/>
      <c r="M458" s="1049"/>
      <c r="N458" s="904"/>
      <c r="O458" s="904"/>
      <c r="P458" s="868"/>
      <c r="Q458" s="1032"/>
      <c r="R458" s="1004"/>
      <c r="S458" s="126"/>
      <c r="T458" s="1039"/>
      <c r="U458" s="1039"/>
    </row>
    <row r="459">
      <c r="A459" s="926" t="str">
        <f t="array" ref="A459">if(G459="","",XLOOKUP(D459,'プルダウンメニュー (SE用)'!$D$2:$D1028,'プルダウンメニュー (SE用)'!$C$2:$C1028))</f>
        <v/>
      </c>
      <c r="B459" s="926" t="str">
        <f>iferror(if(H459="GLOW流用","-",if(G459="","","SSE_"&amp;TEXT(vlookup(E459,'プルダウンメニュー (SE用)'!$E$2:$F1028,2,false),"000")&amp;"_"&amp;TEXT(COUNTIF($E$4:E459,E459),"000"))),"")</f>
        <v/>
      </c>
      <c r="C459" s="1016"/>
      <c r="D459" s="1017"/>
      <c r="E459" s="1018"/>
      <c r="F459" s="1018"/>
      <c r="G459" s="1040"/>
      <c r="H459" s="1045"/>
      <c r="I459" s="1046"/>
      <c r="J459" s="1047"/>
      <c r="K459" s="1047"/>
      <c r="L459" s="1048"/>
      <c r="M459" s="1049"/>
      <c r="N459" s="904"/>
      <c r="O459" s="904"/>
      <c r="P459" s="868"/>
      <c r="Q459" s="1032"/>
      <c r="R459" s="1004"/>
      <c r="S459" s="126"/>
      <c r="T459" s="1039"/>
      <c r="U459" s="1039"/>
    </row>
    <row r="460">
      <c r="A460" s="926" t="str">
        <f t="array" ref="A460">if(G460="","",XLOOKUP(D460,'プルダウンメニュー (SE用)'!$D$2:$D1028,'プルダウンメニュー (SE用)'!$C$2:$C1028))</f>
        <v/>
      </c>
      <c r="B460" s="926" t="str">
        <f>iferror(if(H460="GLOW流用","-",if(G460="","","SSE_"&amp;TEXT(vlookup(E460,'プルダウンメニュー (SE用)'!$E$2:$F1028,2,false),"000")&amp;"_"&amp;TEXT(COUNTIF($E$4:E460,E460),"000"))),"")</f>
        <v/>
      </c>
      <c r="C460" s="1016"/>
      <c r="D460" s="1017"/>
      <c r="E460" s="1018"/>
      <c r="F460" s="1018"/>
      <c r="G460" s="1040"/>
      <c r="H460" s="1045"/>
      <c r="I460" s="1046"/>
      <c r="J460" s="1047"/>
      <c r="K460" s="1047"/>
      <c r="L460" s="1048"/>
      <c r="M460" s="1049"/>
      <c r="N460" s="904"/>
      <c r="O460" s="904"/>
      <c r="P460" s="868"/>
      <c r="Q460" s="1032"/>
      <c r="R460" s="1004"/>
      <c r="S460" s="126"/>
      <c r="T460" s="1039"/>
      <c r="U460" s="1039"/>
    </row>
    <row r="461">
      <c r="A461" s="926" t="str">
        <f t="array" ref="A461">if(G461="","",XLOOKUP(D461,'プルダウンメニュー (SE用)'!$D$2:$D1028,'プルダウンメニュー (SE用)'!$C$2:$C1028))</f>
        <v/>
      </c>
      <c r="B461" s="926" t="str">
        <f>iferror(if(H461="GLOW流用","-",if(G461="","","SSE_"&amp;TEXT(vlookup(E461,'プルダウンメニュー (SE用)'!$E$2:$F1028,2,false),"000")&amp;"_"&amp;TEXT(COUNTIF($E$4:E461,E461),"000"))),"")</f>
        <v/>
      </c>
      <c r="C461" s="1016"/>
      <c r="D461" s="1017"/>
      <c r="E461" s="1018"/>
      <c r="F461" s="1018"/>
      <c r="G461" s="1040"/>
      <c r="H461" s="1041"/>
      <c r="I461" s="1042"/>
      <c r="J461" s="1043"/>
      <c r="K461" s="1043"/>
      <c r="L461" s="1044"/>
      <c r="M461" s="1041"/>
      <c r="N461" s="1024"/>
      <c r="O461" s="1024"/>
      <c r="P461" s="868"/>
      <c r="Q461" s="1025"/>
      <c r="R461" s="1039"/>
      <c r="S461" s="126"/>
      <c r="T461" s="1039"/>
      <c r="U461" s="1039"/>
    </row>
    <row r="462">
      <c r="A462" s="926" t="str">
        <f t="array" ref="A462">if(G462="","",XLOOKUP(D462,'プルダウンメニュー (SE用)'!$D$2:$D1028,'プルダウンメニュー (SE用)'!$C$2:$C1028))</f>
        <v/>
      </c>
      <c r="B462" s="926" t="str">
        <f>iferror(if(H462="GLOW流用","-",if(G462="","","SSE_"&amp;TEXT(vlookup(E462,'プルダウンメニュー (SE用)'!$E$2:$F1028,2,false),"000")&amp;"_"&amp;TEXT(COUNTIF($E$4:E462,E462),"000"))),"")</f>
        <v/>
      </c>
      <c r="C462" s="1016"/>
      <c r="D462" s="1017"/>
      <c r="E462" s="1018"/>
      <c r="F462" s="1018"/>
      <c r="G462" s="1040"/>
      <c r="H462" s="1041"/>
      <c r="I462" s="1042"/>
      <c r="J462" s="1043"/>
      <c r="K462" s="1043"/>
      <c r="L462" s="1044"/>
      <c r="M462" s="1041"/>
      <c r="N462" s="1024"/>
      <c r="O462" s="1024"/>
      <c r="P462" s="868"/>
      <c r="Q462" s="1025"/>
      <c r="R462" s="1039"/>
      <c r="S462" s="126"/>
      <c r="T462" s="1039"/>
      <c r="U462" s="1039"/>
    </row>
    <row r="463">
      <c r="A463" s="926" t="str">
        <f t="array" ref="A463">if(G463="","",XLOOKUP(D463,'プルダウンメニュー (SE用)'!$D$2:$D1028,'プルダウンメニュー (SE用)'!$C$2:$C1028))</f>
        <v/>
      </c>
      <c r="B463" s="926" t="str">
        <f>iferror(if(H463="GLOW流用","-",if(G463="","","SSE_"&amp;TEXT(vlookup(E463,'プルダウンメニュー (SE用)'!$E$2:$F1028,2,false),"000")&amp;"_"&amp;TEXT(COUNTIF($E$4:E463,E463),"000"))),"")</f>
        <v/>
      </c>
      <c r="C463" s="1016"/>
      <c r="D463" s="1017"/>
      <c r="E463" s="1018"/>
      <c r="F463" s="1018"/>
      <c r="G463" s="1040"/>
      <c r="H463" s="1041"/>
      <c r="I463" s="1042"/>
      <c r="J463" s="1043"/>
      <c r="K463" s="1043"/>
      <c r="L463" s="1044"/>
      <c r="M463" s="1041"/>
      <c r="N463" s="1024"/>
      <c r="O463" s="1024"/>
      <c r="P463" s="868"/>
      <c r="Q463" s="1025"/>
      <c r="R463" s="1039"/>
      <c r="S463" s="126"/>
      <c r="T463" s="1039"/>
      <c r="U463" s="1039"/>
    </row>
    <row r="464">
      <c r="A464" s="926" t="str">
        <f t="array" ref="A464">if(G464="","",XLOOKUP(D464,'プルダウンメニュー (SE用)'!$D$2:$D1028,'プルダウンメニュー (SE用)'!$C$2:$C1028))</f>
        <v/>
      </c>
      <c r="B464" s="926" t="str">
        <f>iferror(if(H464="GLOW流用","-",if(G464="","","SSE_"&amp;TEXT(vlookup(E464,'プルダウンメニュー (SE用)'!$E$2:$F1028,2,false),"000")&amp;"_"&amp;TEXT(COUNTIF($E$4:E464,E464),"000"))),"")</f>
        <v/>
      </c>
      <c r="C464" s="1016"/>
      <c r="D464" s="1017"/>
      <c r="E464" s="1018"/>
      <c r="F464" s="1018"/>
      <c r="G464" s="1040"/>
      <c r="H464" s="1041"/>
      <c r="I464" s="1042"/>
      <c r="J464" s="1043"/>
      <c r="K464" s="1043"/>
      <c r="L464" s="1044"/>
      <c r="M464" s="1041"/>
      <c r="N464" s="1024"/>
      <c r="O464" s="1024"/>
      <c r="P464" s="868"/>
      <c r="Q464" s="1025"/>
      <c r="R464" s="1039"/>
      <c r="S464" s="126"/>
      <c r="T464" s="1039"/>
      <c r="U464" s="1039"/>
    </row>
    <row r="465">
      <c r="A465" s="926" t="str">
        <f t="array" ref="A465">if(G465="","",XLOOKUP(D465,'プルダウンメニュー (SE用)'!$D$2:$D1028,'プルダウンメニュー (SE用)'!$C$2:$C1028))</f>
        <v/>
      </c>
      <c r="B465" s="926" t="str">
        <f>iferror(if(H465="GLOW流用","-",if(G465="","","SSE_"&amp;TEXT(vlookup(E465,'プルダウンメニュー (SE用)'!$E$2:$F1028,2,false),"000")&amp;"_"&amp;TEXT(COUNTIF($E$4:E465,E465),"000"))),"")</f>
        <v/>
      </c>
      <c r="C465" s="1016"/>
      <c r="D465" s="1017"/>
      <c r="E465" s="1018"/>
      <c r="F465" s="1018"/>
      <c r="G465" s="1040"/>
      <c r="H465" s="1041"/>
      <c r="I465" s="1042"/>
      <c r="J465" s="1043"/>
      <c r="K465" s="1043"/>
      <c r="L465" s="1044"/>
      <c r="M465" s="1041"/>
      <c r="N465" s="1024"/>
      <c r="O465" s="1024"/>
      <c r="P465" s="868"/>
      <c r="Q465" s="1025"/>
      <c r="R465" s="1039"/>
      <c r="S465" s="126"/>
      <c r="T465" s="1039"/>
      <c r="U465" s="1039"/>
    </row>
    <row r="466">
      <c r="A466" s="926" t="str">
        <f t="array" ref="A466">if(G466="","",XLOOKUP(D466,'プルダウンメニュー (SE用)'!$D$2:$D1028,'プルダウンメニュー (SE用)'!$C$2:$C1028))</f>
        <v/>
      </c>
      <c r="B466" s="926" t="str">
        <f>iferror(if(H466="GLOW流用","-",if(G466="","","SSE_"&amp;TEXT(vlookup(E466,'プルダウンメニュー (SE用)'!$E$2:$F1028,2,false),"000")&amp;"_"&amp;TEXT(COUNTIF($E$4:E466,E466),"000"))),"")</f>
        <v/>
      </c>
      <c r="C466" s="1016"/>
      <c r="D466" s="1017"/>
      <c r="E466" s="1018"/>
      <c r="F466" s="1018"/>
      <c r="G466" s="1040"/>
      <c r="H466" s="1041"/>
      <c r="I466" s="1042"/>
      <c r="J466" s="1043"/>
      <c r="K466" s="1043"/>
      <c r="L466" s="1044"/>
      <c r="M466" s="1041"/>
      <c r="N466" s="1024"/>
      <c r="O466" s="1024"/>
      <c r="P466" s="868"/>
      <c r="Q466" s="1032"/>
      <c r="R466" s="1004"/>
      <c r="S466" s="126"/>
      <c r="T466" s="1039"/>
      <c r="U466" s="1039"/>
    </row>
    <row r="467">
      <c r="A467" s="926" t="str">
        <f t="array" ref="A467">if(G467="","",XLOOKUP(D467,'プルダウンメニュー (SE用)'!$D$2:$D1028,'プルダウンメニュー (SE用)'!$C$2:$C1028))</f>
        <v/>
      </c>
      <c r="B467" s="926" t="str">
        <f>iferror(if(H467="GLOW流用","-",if(G467="","","SSE_"&amp;TEXT(vlookup(E467,'プルダウンメニュー (SE用)'!$E$2:$F1028,2,false),"000")&amp;"_"&amp;TEXT(COUNTIF($E$4:E467,E467),"000"))),"")</f>
        <v/>
      </c>
      <c r="C467" s="1016"/>
      <c r="D467" s="1017"/>
      <c r="E467" s="1018"/>
      <c r="F467" s="1018"/>
      <c r="G467" s="1040"/>
      <c r="H467" s="1041"/>
      <c r="I467" s="1042"/>
      <c r="J467" s="1043"/>
      <c r="K467" s="1043"/>
      <c r="L467" s="1044"/>
      <c r="M467" s="1041"/>
      <c r="N467" s="1024"/>
      <c r="O467" s="1024"/>
      <c r="P467" s="868"/>
      <c r="Q467" s="1025"/>
      <c r="R467" s="1039"/>
      <c r="S467" s="126"/>
      <c r="T467" s="1039"/>
      <c r="U467" s="1039"/>
    </row>
    <row r="468">
      <c r="A468" s="926" t="str">
        <f t="array" ref="A468">if(G468="","",XLOOKUP(D468,'プルダウンメニュー (SE用)'!$D$2:$D1028,'プルダウンメニュー (SE用)'!$C$2:$C1028))</f>
        <v/>
      </c>
      <c r="B468" s="926" t="str">
        <f>iferror(if(H468="GLOW流用","-",if(G468="","","SSE_"&amp;TEXT(vlookup(E468,'プルダウンメニュー (SE用)'!$E$2:$F1028,2,false),"000")&amp;"_"&amp;TEXT(COUNTIF($E$4:E468,E468),"000"))),"")</f>
        <v/>
      </c>
      <c r="C468" s="1016"/>
      <c r="D468" s="1017"/>
      <c r="E468" s="1018"/>
      <c r="F468" s="1018"/>
      <c r="G468" s="1040"/>
      <c r="H468" s="1041"/>
      <c r="I468" s="1042"/>
      <c r="J468" s="1043"/>
      <c r="K468" s="1043"/>
      <c r="L468" s="1044"/>
      <c r="M468" s="1041"/>
      <c r="N468" s="1024"/>
      <c r="O468" s="1024"/>
      <c r="P468" s="868"/>
      <c r="Q468" s="1025"/>
      <c r="R468" s="1039"/>
      <c r="S468" s="126"/>
      <c r="T468" s="1039"/>
      <c r="U468" s="1039"/>
    </row>
    <row r="469">
      <c r="A469" s="926" t="str">
        <f t="array" ref="A469">if(G469="","",XLOOKUP(D469,'プルダウンメニュー (SE用)'!$D$2:$D1028,'プルダウンメニュー (SE用)'!$C$2:$C1028))</f>
        <v/>
      </c>
      <c r="B469" s="926" t="str">
        <f>iferror(if(H469="GLOW流用","-",if(G469="","","SSE_"&amp;TEXT(vlookup(E469,'プルダウンメニュー (SE用)'!$E$2:$F1028,2,false),"000")&amp;"_"&amp;TEXT(COUNTIF($E$4:E469,E469),"000"))),"")</f>
        <v/>
      </c>
      <c r="C469" s="1016"/>
      <c r="D469" s="1017"/>
      <c r="E469" s="1018"/>
      <c r="F469" s="1018"/>
      <c r="G469" s="1050"/>
      <c r="H469" s="1041"/>
      <c r="I469" s="1042"/>
      <c r="J469" s="1043"/>
      <c r="K469" s="1043"/>
      <c r="L469" s="1044"/>
      <c r="M469" s="1041"/>
      <c r="N469" s="1024"/>
      <c r="O469" s="1024"/>
      <c r="P469" s="868"/>
      <c r="Q469" s="1025"/>
      <c r="R469" s="1039"/>
      <c r="S469" s="126"/>
      <c r="T469" s="1039"/>
      <c r="U469" s="1039"/>
    </row>
    <row r="470">
      <c r="A470" s="926" t="str">
        <f t="array" ref="A470">if(G470="","",XLOOKUP(D470,'プルダウンメニュー (SE用)'!$D$2:$D1028,'プルダウンメニュー (SE用)'!$C$2:$C1028))</f>
        <v/>
      </c>
      <c r="B470" s="926" t="str">
        <f>iferror(if(H470="GLOW流用","-",if(G470="","","SSE_"&amp;TEXT(vlookup(E470,'プルダウンメニュー (SE用)'!$E$2:$F1028,2,false),"000")&amp;"_"&amp;TEXT(COUNTIF($E$4:E470,E470),"000"))),"")</f>
        <v/>
      </c>
      <c r="C470" s="1016"/>
      <c r="D470" s="1017"/>
      <c r="E470" s="1018"/>
      <c r="F470" s="1018"/>
      <c r="G470" s="1050"/>
      <c r="H470" s="1041"/>
      <c r="I470" s="1042"/>
      <c r="J470" s="1043"/>
      <c r="K470" s="1043"/>
      <c r="L470" s="1044"/>
      <c r="M470" s="1041"/>
      <c r="N470" s="1024"/>
      <c r="O470" s="1024"/>
      <c r="P470" s="868"/>
      <c r="Q470" s="1025"/>
      <c r="R470" s="1039"/>
      <c r="S470" s="126"/>
      <c r="T470" s="1039"/>
      <c r="U470" s="1039"/>
    </row>
    <row r="471">
      <c r="A471" s="926" t="str">
        <f t="array" ref="A471">if(G471="","",XLOOKUP(D471,'プルダウンメニュー (SE用)'!$D$2:$D1028,'プルダウンメニュー (SE用)'!$C$2:$C1028))</f>
        <v/>
      </c>
      <c r="B471" s="926" t="str">
        <f>iferror(if(H471="GLOW流用","-",if(G471="","","SSE_"&amp;TEXT(vlookup(E471,'プルダウンメニュー (SE用)'!$E$2:$F1028,2,false),"000")&amp;"_"&amp;TEXT(COUNTIF($E$4:E471,E471),"000"))),"")</f>
        <v/>
      </c>
      <c r="C471" s="1016"/>
      <c r="D471" s="1017"/>
      <c r="E471" s="1018"/>
      <c r="F471" s="1018"/>
      <c r="G471" s="1050"/>
      <c r="H471" s="1041"/>
      <c r="I471" s="1042"/>
      <c r="J471" s="1043"/>
      <c r="K471" s="1043"/>
      <c r="L471" s="1044"/>
      <c r="M471" s="1041"/>
      <c r="N471" s="1024"/>
      <c r="O471" s="1024"/>
      <c r="P471" s="868"/>
      <c r="Q471" s="1025"/>
      <c r="R471" s="1039"/>
      <c r="S471" s="126"/>
      <c r="T471" s="1039"/>
      <c r="U471" s="1039"/>
    </row>
    <row r="472">
      <c r="A472" s="926" t="str">
        <f t="array" ref="A472">if(G472="","",XLOOKUP(D472,'プルダウンメニュー (SE用)'!$D$2:$D1028,'プルダウンメニュー (SE用)'!$C$2:$C1028))</f>
        <v/>
      </c>
      <c r="B472" s="926" t="str">
        <f>iferror(if(H472="GLOW流用","-",if(G472="","","SSE_"&amp;TEXT(vlookup(E472,'プルダウンメニュー (SE用)'!$E$2:$F1028,2,false),"000")&amp;"_"&amp;TEXT(COUNTIF($E$4:E472,E472),"000"))),"")</f>
        <v/>
      </c>
      <c r="C472" s="1016"/>
      <c r="D472" s="1017"/>
      <c r="E472" s="1018"/>
      <c r="F472" s="1018"/>
      <c r="G472" s="1040"/>
      <c r="H472" s="1041"/>
      <c r="I472" s="1042"/>
      <c r="J472" s="1043"/>
      <c r="K472" s="1043"/>
      <c r="L472" s="1044"/>
      <c r="M472" s="1041"/>
      <c r="N472" s="1024"/>
      <c r="O472" s="1024"/>
      <c r="P472" s="868"/>
      <c r="Q472" s="1025"/>
      <c r="R472" s="1039"/>
      <c r="S472" s="126"/>
      <c r="T472" s="1039"/>
      <c r="U472" s="1039"/>
    </row>
    <row r="473">
      <c r="A473" s="926" t="str">
        <f t="array" ref="A473">if(G473="","",XLOOKUP(D473,'プルダウンメニュー (SE用)'!$D$2:$D1028,'プルダウンメニュー (SE用)'!$C$2:$C1028))</f>
        <v/>
      </c>
      <c r="B473" s="926" t="str">
        <f>iferror(if(H473="GLOW流用","-",if(G473="","","SSE_"&amp;TEXT(vlookup(E473,'プルダウンメニュー (SE用)'!$E$2:$F1028,2,false),"000")&amp;"_"&amp;TEXT(COUNTIF($E$4:E473,E473),"000"))),"")</f>
        <v/>
      </c>
      <c r="C473" s="1016"/>
      <c r="D473" s="1017"/>
      <c r="E473" s="1018"/>
      <c r="F473" s="1018"/>
      <c r="G473" s="1040"/>
      <c r="H473" s="1041"/>
      <c r="I473" s="1042"/>
      <c r="J473" s="1043"/>
      <c r="K473" s="1043"/>
      <c r="L473" s="1044"/>
      <c r="M473" s="1041"/>
      <c r="N473" s="1024"/>
      <c r="O473" s="1024"/>
      <c r="P473" s="868"/>
      <c r="Q473" s="1025"/>
      <c r="R473" s="1039"/>
      <c r="S473" s="126"/>
      <c r="T473" s="1039"/>
      <c r="U473" s="1039"/>
    </row>
    <row r="474">
      <c r="A474" s="926" t="str">
        <f t="array" ref="A474">if(G474="","",XLOOKUP(D474,'プルダウンメニュー (SE用)'!$D$2:$D1028,'プルダウンメニュー (SE用)'!$C$2:$C1028))</f>
        <v/>
      </c>
      <c r="B474" s="926" t="str">
        <f>iferror(if(H474="GLOW流用","-",if(G474="","","SSE_"&amp;TEXT(vlookup(E474,'プルダウンメニュー (SE用)'!$E$2:$F1028,2,false),"000")&amp;"_"&amp;TEXT(COUNTIF($E$4:E474,E474),"000"))),"")</f>
        <v/>
      </c>
      <c r="C474" s="1016"/>
      <c r="D474" s="1017"/>
      <c r="E474" s="1018"/>
      <c r="F474" s="1018"/>
      <c r="G474" s="1040"/>
      <c r="H474" s="1041"/>
      <c r="I474" s="1042"/>
      <c r="J474" s="1043"/>
      <c r="K474" s="1043"/>
      <c r="L474" s="1044"/>
      <c r="M474" s="1041"/>
      <c r="N474" s="1024"/>
      <c r="O474" s="1024"/>
      <c r="P474" s="868"/>
      <c r="Q474" s="1025"/>
      <c r="R474" s="1039"/>
      <c r="S474" s="126"/>
      <c r="T474" s="1039"/>
      <c r="U474" s="1039"/>
    </row>
    <row r="475">
      <c r="A475" s="926" t="str">
        <f t="array" ref="A475">if(G475="","",XLOOKUP(D475,'プルダウンメニュー (SE用)'!$D$2:$D1028,'プルダウンメニュー (SE用)'!$C$2:$C1028))</f>
        <v/>
      </c>
      <c r="B475" s="926" t="str">
        <f>iferror(if(H475="GLOW流用","-",if(G475="","","SSE_"&amp;TEXT(vlookup(E475,'プルダウンメニュー (SE用)'!$E$2:$F1028,2,false),"000")&amp;"_"&amp;TEXT(COUNTIF($E$4:E475,E475),"000"))),"")</f>
        <v/>
      </c>
      <c r="C475" s="1016"/>
      <c r="D475" s="1017"/>
      <c r="E475" s="1018"/>
      <c r="F475" s="1018"/>
      <c r="G475" s="1040"/>
      <c r="H475" s="1051"/>
      <c r="I475" s="1052"/>
      <c r="J475" s="1053"/>
      <c r="K475" s="1053"/>
      <c r="L475" s="1054"/>
      <c r="M475" s="1055"/>
      <c r="N475" s="904"/>
      <c r="O475" s="904"/>
      <c r="P475" s="868"/>
      <c r="Q475" s="1032"/>
      <c r="R475" s="1004"/>
      <c r="S475" s="126"/>
      <c r="T475" s="1039"/>
      <c r="U475" s="1039"/>
    </row>
    <row r="476">
      <c r="A476" s="926" t="str">
        <f t="array" ref="A476">if(G476="","",XLOOKUP(D476,'プルダウンメニュー (SE用)'!$D$2:$D1028,'プルダウンメニュー (SE用)'!$C$2:$C1028))</f>
        <v/>
      </c>
      <c r="B476" s="926" t="str">
        <f>iferror(if(H476="GLOW流用","-",if(G476="","","SSE_"&amp;TEXT(vlookup(E476,'プルダウンメニュー (SE用)'!$E$2:$F1028,2,false),"000")&amp;"_"&amp;TEXT(COUNTIF($E$4:E476,E476),"000"))),"")</f>
        <v/>
      </c>
      <c r="C476" s="1016"/>
      <c r="D476" s="1017"/>
      <c r="E476" s="1018"/>
      <c r="F476" s="1018"/>
      <c r="G476" s="1040"/>
      <c r="H476" s="1051"/>
      <c r="I476" s="1052"/>
      <c r="J476" s="1053"/>
      <c r="K476" s="1053"/>
      <c r="L476" s="1054"/>
      <c r="M476" s="1055"/>
      <c r="N476" s="904"/>
      <c r="O476" s="904"/>
      <c r="P476" s="868"/>
      <c r="Q476" s="1032"/>
      <c r="R476" s="1004"/>
      <c r="S476" s="126"/>
      <c r="T476" s="1039"/>
      <c r="U476" s="1039"/>
    </row>
    <row r="477">
      <c r="A477" s="926" t="str">
        <f t="array" ref="A477">if(G477="","",XLOOKUP(D477,'プルダウンメニュー (SE用)'!$D$2:$D1028,'プルダウンメニュー (SE用)'!$C$2:$C1028))</f>
        <v/>
      </c>
      <c r="B477" s="926" t="str">
        <f>iferror(if(H477="GLOW流用","-",if(G477="","","SSE_"&amp;TEXT(vlookup(E477,'プルダウンメニュー (SE用)'!$E$2:$F1028,2,false),"000")&amp;"_"&amp;TEXT(COUNTIF($E$4:E477,E477),"000"))),"")</f>
        <v/>
      </c>
      <c r="C477" s="1016"/>
      <c r="D477" s="1017"/>
      <c r="E477" s="1018"/>
      <c r="F477" s="1018"/>
      <c r="G477" s="1040"/>
      <c r="H477" s="1056"/>
      <c r="I477" s="1057"/>
      <c r="J477" s="1058"/>
      <c r="K477" s="1058"/>
      <c r="L477" s="1059"/>
      <c r="M477" s="1060"/>
      <c r="N477" s="900"/>
      <c r="O477" s="900"/>
      <c r="P477" s="868"/>
      <c r="Q477" s="1032"/>
      <c r="R477" s="1004"/>
      <c r="S477" s="126"/>
      <c r="T477" s="1039"/>
      <c r="U477" s="1039"/>
    </row>
    <row r="478">
      <c r="A478" s="926" t="str">
        <f t="array" ref="A478">if(G478="","",XLOOKUP(D478,'プルダウンメニュー (SE用)'!$D$2:$D1028,'プルダウンメニュー (SE用)'!$C$2:$C1028))</f>
        <v/>
      </c>
      <c r="B478" s="926" t="str">
        <f>iferror(if(H478="GLOW流用","-",if(G478="","","SSE_"&amp;TEXT(vlookup(E478,'プルダウンメニュー (SE用)'!$E$2:$F1028,2,false),"000")&amp;"_"&amp;TEXT(COUNTIF($E$4:E478,E478),"000"))),"")</f>
        <v/>
      </c>
      <c r="C478" s="1016"/>
      <c r="D478" s="1017"/>
      <c r="E478" s="1018"/>
      <c r="F478" s="1018"/>
      <c r="G478" s="1040"/>
      <c r="H478" s="1041"/>
      <c r="I478" s="1042"/>
      <c r="J478" s="1043"/>
      <c r="K478" s="1043"/>
      <c r="L478" s="1044"/>
      <c r="M478" s="1041"/>
      <c r="N478" s="1024"/>
      <c r="O478" s="1024"/>
      <c r="P478" s="868"/>
      <c r="Q478" s="1025"/>
      <c r="R478" s="1039"/>
      <c r="S478" s="126"/>
      <c r="T478" s="1039"/>
      <c r="U478" s="1039"/>
    </row>
    <row r="479">
      <c r="A479" s="926" t="str">
        <f t="array" ref="A479">if(G479="","",XLOOKUP(D479,'プルダウンメニュー (SE用)'!$D$2:$D1028,'プルダウンメニュー (SE用)'!$C$2:$C1028))</f>
        <v/>
      </c>
      <c r="B479" s="926" t="str">
        <f>iferror(if(H479="GLOW流用","-",if(G479="","","SSE_"&amp;TEXT(vlookup(E479,'プルダウンメニュー (SE用)'!$E$2:$F1028,2,false),"000")&amp;"_"&amp;TEXT(COUNTIF($E$4:E479,E479),"000"))),"")</f>
        <v/>
      </c>
      <c r="C479" s="1016"/>
      <c r="D479" s="1017"/>
      <c r="E479" s="1018"/>
      <c r="F479" s="1018"/>
      <c r="G479" s="1040"/>
      <c r="H479" s="1041"/>
      <c r="I479" s="1042"/>
      <c r="J479" s="1043"/>
      <c r="K479" s="1043"/>
      <c r="L479" s="1044"/>
      <c r="M479" s="1041"/>
      <c r="N479" s="1024"/>
      <c r="O479" s="1024"/>
      <c r="P479" s="868"/>
      <c r="Q479" s="1025"/>
      <c r="R479" s="1039"/>
      <c r="S479" s="126"/>
      <c r="T479" s="1039"/>
      <c r="U479" s="1039"/>
    </row>
    <row r="480">
      <c r="A480" s="926" t="str">
        <f t="array" ref="A480">if(G480="","",XLOOKUP(D480,'プルダウンメニュー (SE用)'!$D$2:$D1028,'プルダウンメニュー (SE用)'!$C$2:$C1028))</f>
        <v/>
      </c>
      <c r="B480" s="926" t="str">
        <f>iferror(if(H480="GLOW流用","-",if(G480="","","SSE_"&amp;TEXT(vlookup(E480,'プルダウンメニュー (SE用)'!$E$2:$F1028,2,false),"000")&amp;"_"&amp;TEXT(COUNTIF($E$4:E480,E480),"000"))),"")</f>
        <v/>
      </c>
      <c r="C480" s="1016"/>
      <c r="D480" s="1017"/>
      <c r="E480" s="1018"/>
      <c r="F480" s="1018"/>
      <c r="G480" s="1040"/>
      <c r="H480" s="1041"/>
      <c r="I480" s="1042"/>
      <c r="J480" s="1043"/>
      <c r="K480" s="1043"/>
      <c r="L480" s="1044"/>
      <c r="M480" s="1041"/>
      <c r="N480" s="1024"/>
      <c r="O480" s="1024"/>
      <c r="P480" s="868"/>
      <c r="Q480" s="1025"/>
      <c r="R480" s="1039"/>
      <c r="S480" s="126"/>
      <c r="T480" s="1039"/>
      <c r="U480" s="1039"/>
    </row>
    <row r="481">
      <c r="A481" s="926" t="str">
        <f t="array" ref="A481">if(G481="","",XLOOKUP(D481,'プルダウンメニュー (SE用)'!$D$2:$D1028,'プルダウンメニュー (SE用)'!$C$2:$C1028))</f>
        <v/>
      </c>
      <c r="B481" s="926" t="str">
        <f>iferror(if(H481="GLOW流用","-",if(G481="","","SSE_"&amp;TEXT(vlookup(E481,'プルダウンメニュー (SE用)'!$E$2:$F1028,2,false),"000")&amp;"_"&amp;TEXT(COUNTIF($E$4:E481,E481),"000"))),"")</f>
        <v/>
      </c>
      <c r="C481" s="1016"/>
      <c r="D481" s="1017"/>
      <c r="E481" s="1018"/>
      <c r="F481" s="1018"/>
      <c r="G481" s="1040"/>
      <c r="H481" s="1061"/>
      <c r="I481" s="1062"/>
      <c r="J481" s="1063"/>
      <c r="K481" s="1063"/>
      <c r="L481" s="1064"/>
      <c r="M481" s="1065"/>
      <c r="N481" s="904"/>
      <c r="O481" s="904"/>
      <c r="P481" s="868"/>
      <c r="Q481" s="1032"/>
      <c r="R481" s="1004"/>
      <c r="S481" s="126"/>
      <c r="T481" s="1039"/>
      <c r="U481" s="1039"/>
    </row>
    <row r="482">
      <c r="A482" s="926" t="str">
        <f t="array" ref="A482">if(G482="","",XLOOKUP(D482,'プルダウンメニュー (SE用)'!$D$2:$D1028,'プルダウンメニュー (SE用)'!$C$2:$C1028))</f>
        <v/>
      </c>
      <c r="B482" s="926" t="str">
        <f>iferror(if(H482="GLOW流用","-",if(G482="","","SSE_"&amp;TEXT(vlookup(E482,'プルダウンメニュー (SE用)'!$E$2:$F1028,2,false),"000")&amp;"_"&amp;TEXT(COUNTIF($E$4:E482,E482),"000"))),"")</f>
        <v/>
      </c>
      <c r="C482" s="1016"/>
      <c r="D482" s="1017"/>
      <c r="E482" s="1018"/>
      <c r="F482" s="1018"/>
      <c r="G482" s="1040"/>
      <c r="H482" s="1061"/>
      <c r="I482" s="1062"/>
      <c r="J482" s="1063"/>
      <c r="K482" s="1063"/>
      <c r="L482" s="1064"/>
      <c r="M482" s="1066"/>
      <c r="N482" s="900"/>
      <c r="O482" s="900"/>
      <c r="P482" s="868"/>
      <c r="Q482" s="1032"/>
      <c r="R482" s="1004"/>
      <c r="S482" s="126"/>
      <c r="T482" s="1039"/>
      <c r="U482" s="1039"/>
    </row>
    <row r="483">
      <c r="A483" s="926" t="str">
        <f t="array" ref="A483">if(G483="","",XLOOKUP(D483,'プルダウンメニュー (SE用)'!$D$2:$D1028,'プルダウンメニュー (SE用)'!$C$2:$C1028))</f>
        <v/>
      </c>
      <c r="B483" s="926" t="str">
        <f>iferror(if(H483="GLOW流用","-",if(G483="","","SSE_"&amp;TEXT(vlookup(E483,'プルダウンメニュー (SE用)'!$E$2:$F1028,2,false),"000")&amp;"_"&amp;TEXT(COUNTIF($E$4:E483,E483),"000"))),"")</f>
        <v/>
      </c>
      <c r="C483" s="1016"/>
      <c r="D483" s="1017"/>
      <c r="E483" s="1018"/>
      <c r="F483" s="1018"/>
      <c r="G483" s="1040"/>
      <c r="H483" s="1056"/>
      <c r="I483" s="1057"/>
      <c r="J483" s="1058"/>
      <c r="K483" s="1058"/>
      <c r="L483" s="1059"/>
      <c r="M483" s="1060"/>
      <c r="N483" s="900"/>
      <c r="O483" s="900"/>
      <c r="P483" s="868"/>
      <c r="Q483" s="1032"/>
      <c r="R483" s="1004"/>
      <c r="S483" s="126"/>
      <c r="T483" s="1039"/>
      <c r="U483" s="1039"/>
    </row>
    <row r="484">
      <c r="A484" s="926" t="str">
        <f t="array" ref="A484">if(G484="","",XLOOKUP(D484,'プルダウンメニュー (SE用)'!$D$2:$D1028,'プルダウンメニュー (SE用)'!$C$2:$C1028))</f>
        <v/>
      </c>
      <c r="B484" s="926" t="str">
        <f>iferror(if(H484="GLOW流用","-",if(G484="","","SSE_"&amp;TEXT(vlookup(E484,'プルダウンメニュー (SE用)'!$E$2:$F1028,2,false),"000")&amp;"_"&amp;TEXT(COUNTIF($E$4:E484,E484),"000"))),"")</f>
        <v/>
      </c>
      <c r="C484" s="1016"/>
      <c r="D484" s="1017"/>
      <c r="E484" s="1018"/>
      <c r="F484" s="1018"/>
      <c r="G484" s="1040"/>
      <c r="H484" s="1056"/>
      <c r="I484" s="1057"/>
      <c r="J484" s="1058"/>
      <c r="K484" s="1058"/>
      <c r="L484" s="1059"/>
      <c r="M484" s="1060"/>
      <c r="N484" s="900"/>
      <c r="O484" s="900"/>
      <c r="P484" s="868"/>
      <c r="Q484" s="1032"/>
      <c r="R484" s="1004"/>
      <c r="S484" s="126"/>
      <c r="T484" s="1039"/>
      <c r="U484" s="1039"/>
    </row>
    <row r="485">
      <c r="A485" s="926" t="str">
        <f t="array" ref="A485">if(G485="","",XLOOKUP(D485,'プルダウンメニュー (SE用)'!$D$2:$D1028,'プルダウンメニュー (SE用)'!$C$2:$C1028))</f>
        <v/>
      </c>
      <c r="B485" s="926" t="str">
        <f>iferror(if(H485="GLOW流用","-",if(G485="","","SSE_"&amp;TEXT(vlookup(E485,'プルダウンメニュー (SE用)'!$E$2:$F1028,2,false),"000")&amp;"_"&amp;TEXT(COUNTIF($E$4:E485,E485),"000"))),"")</f>
        <v/>
      </c>
      <c r="C485" s="1016"/>
      <c r="D485" s="1017"/>
      <c r="E485" s="1018"/>
      <c r="F485" s="1018"/>
      <c r="G485" s="1040"/>
      <c r="H485" s="1061"/>
      <c r="I485" s="1062"/>
      <c r="J485" s="1063"/>
      <c r="K485" s="1063"/>
      <c r="L485" s="1064"/>
      <c r="M485" s="1066"/>
      <c r="N485" s="900"/>
      <c r="O485" s="900"/>
      <c r="P485" s="868"/>
      <c r="Q485" s="1032"/>
      <c r="R485" s="1004"/>
      <c r="S485" s="126"/>
      <c r="T485" s="1039"/>
      <c r="U485" s="1039"/>
    </row>
    <row r="486">
      <c r="A486" s="926" t="str">
        <f t="array" ref="A486">if(G486="","",XLOOKUP(D486,'プルダウンメニュー (SE用)'!$D$2:$D1028,'プルダウンメニュー (SE用)'!$C$2:$C1028))</f>
        <v/>
      </c>
      <c r="B486" s="926" t="str">
        <f>iferror(if(H486="GLOW流用","-",if(G486="","","SSE_"&amp;TEXT(vlookup(E486,'プルダウンメニュー (SE用)'!$E$2:$F1028,2,false),"000")&amp;"_"&amp;TEXT(COUNTIF($E$4:E486,E486),"000"))),"")</f>
        <v/>
      </c>
      <c r="C486" s="1016"/>
      <c r="D486" s="1017"/>
      <c r="E486" s="1018"/>
      <c r="F486" s="1018"/>
      <c r="G486" s="1040"/>
      <c r="H486" s="1061"/>
      <c r="I486" s="1062"/>
      <c r="J486" s="1063"/>
      <c r="K486" s="1063"/>
      <c r="L486" s="1064"/>
      <c r="M486" s="1066"/>
      <c r="N486" s="900"/>
      <c r="O486" s="900"/>
      <c r="P486" s="868"/>
      <c r="Q486" s="1032"/>
      <c r="R486" s="1004"/>
      <c r="S486" s="126"/>
      <c r="T486" s="1039"/>
      <c r="U486" s="1039"/>
    </row>
    <row r="487">
      <c r="A487" s="926" t="str">
        <f t="array" ref="A487">if(G487="","",XLOOKUP(D487,'プルダウンメニュー (SE用)'!$D$2:$D1028,'プルダウンメニュー (SE用)'!$C$2:$C1028))</f>
        <v/>
      </c>
      <c r="B487" s="926" t="str">
        <f>iferror(if(H487="GLOW流用","-",if(G487="","","SSE_"&amp;TEXT(vlookup(E487,'プルダウンメニュー (SE用)'!$E$2:$F1028,2,false),"000")&amp;"_"&amp;TEXT(COUNTIF($E$4:E487,E487),"000"))),"")</f>
        <v/>
      </c>
      <c r="C487" s="1016"/>
      <c r="D487" s="1017"/>
      <c r="E487" s="1018"/>
      <c r="F487" s="1018"/>
      <c r="G487" s="1040"/>
      <c r="H487" s="1061"/>
      <c r="I487" s="1062"/>
      <c r="J487" s="1063"/>
      <c r="K487" s="1063"/>
      <c r="L487" s="1064"/>
      <c r="M487" s="1066"/>
      <c r="N487" s="900"/>
      <c r="O487" s="900"/>
      <c r="P487" s="868"/>
      <c r="Q487" s="1032"/>
      <c r="R487" s="1004"/>
      <c r="S487" s="126"/>
      <c r="T487" s="1039"/>
      <c r="U487" s="1039"/>
    </row>
    <row r="488">
      <c r="A488" s="926" t="str">
        <f t="array" ref="A488">if(G488="","",XLOOKUP(D488,'プルダウンメニュー (SE用)'!$D$2:$D1028,'プルダウンメニュー (SE用)'!$C$2:$C1028))</f>
        <v/>
      </c>
      <c r="B488" s="926" t="str">
        <f>iferror(if(H488="GLOW流用","-",if(G488="","","SSE_"&amp;TEXT(vlookup(E488,'プルダウンメニュー (SE用)'!$E$2:$F1028,2,false),"000")&amp;"_"&amp;TEXT(COUNTIF($E$4:E488,E488),"000"))),"")</f>
        <v/>
      </c>
      <c r="C488" s="1016"/>
      <c r="D488" s="1017"/>
      <c r="E488" s="1018"/>
      <c r="F488" s="1018"/>
      <c r="G488" s="1040"/>
      <c r="H488" s="1061"/>
      <c r="I488" s="1062"/>
      <c r="J488" s="1063"/>
      <c r="K488" s="1063"/>
      <c r="L488" s="1064"/>
      <c r="M488" s="1066"/>
      <c r="N488" s="900"/>
      <c r="O488" s="900"/>
      <c r="P488" s="868"/>
      <c r="Q488" s="1032"/>
      <c r="R488" s="1004"/>
      <c r="S488" s="126"/>
      <c r="T488" s="1039"/>
      <c r="U488" s="1039"/>
    </row>
    <row r="489">
      <c r="A489" s="926" t="str">
        <f t="array" ref="A489">if(G489="","",XLOOKUP(D489,'プルダウンメニュー (SE用)'!$D$2:$D1028,'プルダウンメニュー (SE用)'!$C$2:$C1028))</f>
        <v/>
      </c>
      <c r="B489" s="926" t="str">
        <f>iferror(if(H489="GLOW流用","-",if(G489="","","SSE_"&amp;TEXT(vlookup(E489,'プルダウンメニュー (SE用)'!$E$2:$F1028,2,false),"000")&amp;"_"&amp;TEXT(COUNTIF($E$4:E489,E489),"000"))),"")</f>
        <v/>
      </c>
      <c r="C489" s="1016"/>
      <c r="D489" s="1017"/>
      <c r="E489" s="1018"/>
      <c r="F489" s="1018"/>
      <c r="G489" s="1040"/>
      <c r="H489" s="1041"/>
      <c r="I489" s="1042"/>
      <c r="J489" s="1043"/>
      <c r="K489" s="1043"/>
      <c r="L489" s="1044"/>
      <c r="M489" s="1041"/>
      <c r="N489" s="1024"/>
      <c r="O489" s="1024"/>
      <c r="P489" s="868"/>
      <c r="Q489" s="1025"/>
      <c r="R489" s="1039"/>
      <c r="S489" s="126"/>
      <c r="T489" s="1039"/>
      <c r="U489" s="1039"/>
    </row>
    <row r="490">
      <c r="A490" s="926" t="str">
        <f t="array" ref="A490">if(G490="","",XLOOKUP(D490,'プルダウンメニュー (SE用)'!$D$2:$D1028,'プルダウンメニュー (SE用)'!$C$2:$C1028))</f>
        <v/>
      </c>
      <c r="B490" s="926" t="str">
        <f>iferror(if(H490="GLOW流用","-",if(G490="","","SSE_"&amp;TEXT(vlookup(E490,'プルダウンメニュー (SE用)'!$E$2:$F1028,2,false),"000")&amp;"_"&amp;TEXT(COUNTIF($E$4:E490,E490),"000"))),"")</f>
        <v/>
      </c>
      <c r="C490" s="1016"/>
      <c r="D490" s="1017"/>
      <c r="E490" s="1018"/>
      <c r="F490" s="1018"/>
      <c r="G490" s="1040"/>
      <c r="H490" s="1041"/>
      <c r="I490" s="1042"/>
      <c r="J490" s="1043"/>
      <c r="K490" s="1043"/>
      <c r="L490" s="1044"/>
      <c r="M490" s="1041"/>
      <c r="N490" s="1024"/>
      <c r="O490" s="1024"/>
      <c r="P490" s="868"/>
      <c r="Q490" s="1025"/>
      <c r="R490" s="1039"/>
      <c r="S490" s="126"/>
      <c r="T490" s="1039"/>
      <c r="U490" s="1039"/>
    </row>
    <row r="491">
      <c r="A491" s="926" t="str">
        <f t="array" ref="A491">if(G491="","",XLOOKUP(D491,'プルダウンメニュー (SE用)'!$D$2:$D1028,'プルダウンメニュー (SE用)'!$C$2:$C1028))</f>
        <v/>
      </c>
      <c r="B491" s="926" t="str">
        <f>iferror(if(H491="GLOW流用","-",if(G491="","","SSE_"&amp;TEXT(vlookup(E491,'プルダウンメニュー (SE用)'!$E$2:$F1028,2,false),"000")&amp;"_"&amp;TEXT(COUNTIF($E$4:E491,E491),"000"))),"")</f>
        <v/>
      </c>
      <c r="C491" s="1016"/>
      <c r="D491" s="1017"/>
      <c r="E491" s="1018"/>
      <c r="F491" s="1018"/>
      <c r="G491" s="1040"/>
      <c r="H491" s="1041"/>
      <c r="I491" s="1042"/>
      <c r="J491" s="1043"/>
      <c r="K491" s="1043"/>
      <c r="L491" s="1044"/>
      <c r="M491" s="1041"/>
      <c r="N491" s="1024"/>
      <c r="O491" s="1024"/>
      <c r="P491" s="868"/>
      <c r="Q491" s="1025"/>
      <c r="R491" s="1039"/>
      <c r="S491" s="126"/>
      <c r="T491" s="1039"/>
      <c r="U491" s="1039"/>
    </row>
    <row r="492">
      <c r="A492" s="926" t="str">
        <f t="array" ref="A492">if(G492="","",XLOOKUP(D492,'プルダウンメニュー (SE用)'!$D$2:$D1028,'プルダウンメニュー (SE用)'!$C$2:$C1028))</f>
        <v/>
      </c>
      <c r="B492" s="926" t="str">
        <f>iferror(if(H492="GLOW流用","-",if(G492="","","SSE_"&amp;TEXT(vlookup(E492,'プルダウンメニュー (SE用)'!$E$2:$F1028,2,false),"000")&amp;"_"&amp;TEXT(COUNTIF($E$4:E492,E492),"000"))),"")</f>
        <v/>
      </c>
      <c r="C492" s="1016"/>
      <c r="D492" s="1017"/>
      <c r="E492" s="1018"/>
      <c r="F492" s="1018"/>
      <c r="G492" s="1040"/>
      <c r="H492" s="1041"/>
      <c r="I492" s="1042"/>
      <c r="J492" s="1043"/>
      <c r="K492" s="1043"/>
      <c r="L492" s="1044"/>
      <c r="M492" s="1041"/>
      <c r="N492" s="1024"/>
      <c r="O492" s="1024"/>
      <c r="P492" s="868"/>
      <c r="Q492" s="1025"/>
      <c r="R492" s="1039"/>
      <c r="S492" s="126"/>
      <c r="T492" s="1039"/>
      <c r="U492" s="1039"/>
    </row>
    <row r="493">
      <c r="A493" s="926" t="str">
        <f t="array" ref="A493">if(G493="","",XLOOKUP(D493,'プルダウンメニュー (SE用)'!$D$2:$D1028,'プルダウンメニュー (SE用)'!$C$2:$C1028))</f>
        <v/>
      </c>
      <c r="B493" s="926" t="str">
        <f>iferror(if(H493="GLOW流用","-",if(G493="","","SSE_"&amp;TEXT(vlookup(E493,'プルダウンメニュー (SE用)'!$E$2:$F1028,2,false),"000")&amp;"_"&amp;TEXT(COUNTIF($E$4:E493,E493),"000"))),"")</f>
        <v/>
      </c>
      <c r="C493" s="1016"/>
      <c r="D493" s="1017"/>
      <c r="E493" s="1018"/>
      <c r="F493" s="1018"/>
      <c r="G493" s="1040"/>
      <c r="H493" s="1041"/>
      <c r="I493" s="1042"/>
      <c r="J493" s="1043"/>
      <c r="K493" s="1043"/>
      <c r="L493" s="1044"/>
      <c r="M493" s="1041"/>
      <c r="N493" s="1024"/>
      <c r="O493" s="1024"/>
      <c r="P493" s="868"/>
      <c r="Q493" s="1025"/>
      <c r="R493" s="1039"/>
      <c r="S493" s="126"/>
      <c r="T493" s="1039"/>
      <c r="U493" s="1039"/>
    </row>
    <row r="494">
      <c r="A494" s="926" t="str">
        <f t="array" ref="A494">if(G494="","",XLOOKUP(D494,'プルダウンメニュー (SE用)'!$D$2:$D1028,'プルダウンメニュー (SE用)'!$C$2:$C1028))</f>
        <v/>
      </c>
      <c r="B494" s="926" t="str">
        <f>iferror(if(H494="GLOW流用","-",if(G494="","","SSE_"&amp;TEXT(vlookup(E494,'プルダウンメニュー (SE用)'!$E$2:$F1028,2,false),"000")&amp;"_"&amp;TEXT(COUNTIF($E$4:E494,E494),"000"))),"")</f>
        <v/>
      </c>
      <c r="C494" s="1016"/>
      <c r="D494" s="1017"/>
      <c r="E494" s="1018"/>
      <c r="F494" s="1018"/>
      <c r="G494" s="1040"/>
      <c r="H494" s="1041"/>
      <c r="I494" s="1042"/>
      <c r="J494" s="1043"/>
      <c r="K494" s="1043"/>
      <c r="L494" s="1044"/>
      <c r="M494" s="1041"/>
      <c r="N494" s="1024"/>
      <c r="O494" s="1024"/>
      <c r="P494" s="868"/>
      <c r="Q494" s="1025"/>
      <c r="R494" s="1039"/>
      <c r="S494" s="126"/>
      <c r="T494" s="1039"/>
      <c r="U494" s="1039"/>
    </row>
    <row r="495">
      <c r="A495" s="926" t="str">
        <f t="array" ref="A495">if(G495="","",XLOOKUP(D495,'プルダウンメニュー (SE用)'!$D$2:$D1028,'プルダウンメニュー (SE用)'!$C$2:$C1028))</f>
        <v/>
      </c>
      <c r="B495" s="926" t="str">
        <f>iferror(if(H495="GLOW流用","-",if(G495="","","SSE_"&amp;TEXT(vlookup(E495,'プルダウンメニュー (SE用)'!$E$2:$F1028,2,false),"000")&amp;"_"&amp;TEXT(COUNTIF($E$4:E495,E495),"000"))),"")</f>
        <v/>
      </c>
      <c r="C495" s="1016"/>
      <c r="D495" s="1017"/>
      <c r="E495" s="1018"/>
      <c r="F495" s="1018"/>
      <c r="G495" s="1040"/>
      <c r="H495" s="1061"/>
      <c r="I495" s="1062"/>
      <c r="J495" s="1063"/>
      <c r="K495" s="1063"/>
      <c r="L495" s="1064"/>
      <c r="M495" s="1065"/>
      <c r="N495" s="904"/>
      <c r="O495" s="904"/>
      <c r="P495" s="868"/>
      <c r="Q495" s="1032"/>
      <c r="R495" s="1004"/>
      <c r="S495" s="126"/>
      <c r="T495" s="1039"/>
      <c r="U495" s="1039"/>
    </row>
    <row r="496">
      <c r="A496" s="926" t="str">
        <f t="array" ref="A496">if(G496="","",XLOOKUP(D496,'プルダウンメニュー (SE用)'!$D$2:$D1028,'プルダウンメニュー (SE用)'!$C$2:$C1028))</f>
        <v/>
      </c>
      <c r="B496" s="926" t="str">
        <f>iferror(if(H496="GLOW流用","-",if(G496="","","SSE_"&amp;TEXT(vlookup(E496,'プルダウンメニュー (SE用)'!$E$2:$F1028,2,false),"000")&amp;"_"&amp;TEXT(COUNTIF($E$4:E496,E496),"000"))),"")</f>
        <v/>
      </c>
      <c r="C496" s="1016"/>
      <c r="D496" s="1017"/>
      <c r="E496" s="1018"/>
      <c r="F496" s="1018"/>
      <c r="G496" s="1040"/>
      <c r="H496" s="1061"/>
      <c r="I496" s="1062"/>
      <c r="J496" s="1063"/>
      <c r="K496" s="1063"/>
      <c r="L496" s="1064"/>
      <c r="M496" s="1066"/>
      <c r="N496" s="900"/>
      <c r="O496" s="900"/>
      <c r="P496" s="868"/>
      <c r="Q496" s="1032"/>
      <c r="R496" s="1004"/>
      <c r="S496" s="126"/>
      <c r="T496" s="1039"/>
      <c r="U496" s="1039"/>
    </row>
    <row r="497">
      <c r="A497" s="926" t="str">
        <f t="array" ref="A497">if(G497="","",XLOOKUP(D497,'プルダウンメニュー (SE用)'!$D$2:$D1028,'プルダウンメニュー (SE用)'!$C$2:$C1028))</f>
        <v/>
      </c>
      <c r="B497" s="926" t="str">
        <f>iferror(if(H497="GLOW流用","-",if(G497="","","SSE_"&amp;TEXT(vlookup(E497,'プルダウンメニュー (SE用)'!$E$2:$F1028,2,false),"000")&amp;"_"&amp;TEXT(COUNTIF($E$4:E497,E497),"000"))),"")</f>
        <v/>
      </c>
      <c r="C497" s="1016"/>
      <c r="D497" s="1017"/>
      <c r="E497" s="1018"/>
      <c r="F497" s="1018"/>
      <c r="G497" s="1040"/>
      <c r="H497" s="1061"/>
      <c r="I497" s="1062"/>
      <c r="J497" s="1063"/>
      <c r="K497" s="1063"/>
      <c r="L497" s="1064"/>
      <c r="M497" s="1066"/>
      <c r="N497" s="900"/>
      <c r="O497" s="900"/>
      <c r="P497" s="868"/>
      <c r="Q497" s="1032"/>
      <c r="R497" s="1004"/>
      <c r="S497" s="126"/>
      <c r="T497" s="1039"/>
      <c r="U497" s="1039"/>
    </row>
    <row r="498">
      <c r="A498" s="926" t="str">
        <f t="array" ref="A498">if(G498="","",XLOOKUP(D498,'プルダウンメニュー (SE用)'!$D$2:$D1028,'プルダウンメニュー (SE用)'!$C$2:$C1028))</f>
        <v/>
      </c>
      <c r="B498" s="926" t="str">
        <f>iferror(if(H498="GLOW流用","-",if(G498="","","SSE_"&amp;TEXT(vlookup(E498,'プルダウンメニュー (SE用)'!$E$2:$F1028,2,false),"000")&amp;"_"&amp;TEXT(COUNTIF($E$4:E498,E498),"000"))),"")</f>
        <v/>
      </c>
      <c r="C498" s="1016"/>
      <c r="D498" s="1017"/>
      <c r="E498" s="1018"/>
      <c r="F498" s="1018"/>
      <c r="G498" s="1040"/>
      <c r="H498" s="1041"/>
      <c r="I498" s="1042"/>
      <c r="J498" s="1043"/>
      <c r="K498" s="1043"/>
      <c r="L498" s="1044"/>
      <c r="M498" s="1041"/>
      <c r="N498" s="1024"/>
      <c r="O498" s="1024"/>
      <c r="P498" s="868"/>
      <c r="Q498" s="1025"/>
      <c r="R498" s="1039"/>
      <c r="S498" s="126"/>
      <c r="T498" s="1039"/>
      <c r="U498" s="1039"/>
    </row>
    <row r="499">
      <c r="A499" s="926" t="str">
        <f t="array" ref="A499">if(G499="","",XLOOKUP(D499,'プルダウンメニュー (SE用)'!$D$2:$D1028,'プルダウンメニュー (SE用)'!$C$2:$C1028))</f>
        <v/>
      </c>
      <c r="B499" s="926" t="str">
        <f>iferror(if(H499="GLOW流用","-",if(G499="","","SSE_"&amp;TEXT(vlookup(E499,'プルダウンメニュー (SE用)'!$E$2:$F1028,2,false),"000")&amp;"_"&amp;TEXT(COUNTIF($E$4:E499,E499),"000"))),"")</f>
        <v/>
      </c>
      <c r="C499" s="1016"/>
      <c r="D499" s="1017"/>
      <c r="E499" s="1018"/>
      <c r="F499" s="1018"/>
      <c r="G499" s="1040"/>
      <c r="H499" s="1041"/>
      <c r="I499" s="1042"/>
      <c r="J499" s="1043"/>
      <c r="K499" s="1043"/>
      <c r="L499" s="1044"/>
      <c r="M499" s="1041"/>
      <c r="N499" s="1024"/>
      <c r="O499" s="1024"/>
      <c r="P499" s="868"/>
      <c r="Q499" s="1025"/>
      <c r="R499" s="1039"/>
      <c r="S499" s="126"/>
      <c r="T499" s="1039"/>
      <c r="U499" s="1039"/>
    </row>
    <row r="500">
      <c r="A500" s="926" t="str">
        <f t="array" ref="A500">if(G500="","",XLOOKUP(D500,'プルダウンメニュー (SE用)'!$D$2:$D1028,'プルダウンメニュー (SE用)'!$C$2:$C1028))</f>
        <v/>
      </c>
      <c r="B500" s="926" t="str">
        <f>iferror(if(H500="GLOW流用","-",if(G500="","","SSE_"&amp;TEXT(vlookup(E500,'プルダウンメニュー (SE用)'!$E$2:$F1028,2,false),"000")&amp;"_"&amp;TEXT(COUNTIF($E$4:E500,E500),"000"))),"")</f>
        <v/>
      </c>
      <c r="C500" s="1016"/>
      <c r="D500" s="1017"/>
      <c r="E500" s="1018"/>
      <c r="F500" s="1018"/>
      <c r="G500" s="1040"/>
      <c r="H500" s="1067"/>
      <c r="I500" s="1068"/>
      <c r="J500" s="1069"/>
      <c r="K500" s="1069"/>
      <c r="L500" s="1070"/>
      <c r="M500" s="1071"/>
      <c r="N500" s="904"/>
      <c r="O500" s="904"/>
      <c r="P500" s="868"/>
      <c r="Q500" s="1032"/>
      <c r="R500" s="1004"/>
      <c r="S500" s="126"/>
      <c r="T500" s="1039"/>
      <c r="U500" s="1039"/>
    </row>
    <row r="501">
      <c r="A501" s="926" t="str">
        <f t="array" ref="A501">if(G501="","",XLOOKUP(D501,'プルダウンメニュー (SE用)'!$D$2:$D1028,'プルダウンメニュー (SE用)'!$C$2:$C1028))</f>
        <v/>
      </c>
      <c r="B501" s="926" t="str">
        <f>iferror(if(H501="GLOW流用","-",if(G501="","","SSE_"&amp;TEXT(vlookup(E501,'プルダウンメニュー (SE用)'!$E$2:$F1028,2,false),"000")&amp;"_"&amp;TEXT(COUNTIF($E$4:E501,E501),"000"))),"")</f>
        <v/>
      </c>
      <c r="C501" s="1016"/>
      <c r="D501" s="1017"/>
      <c r="E501" s="1018"/>
      <c r="F501" s="1018"/>
      <c r="G501" s="1040"/>
      <c r="H501" s="1041"/>
      <c r="I501" s="1042"/>
      <c r="J501" s="1043"/>
      <c r="K501" s="1043"/>
      <c r="L501" s="1044"/>
      <c r="M501" s="1041"/>
      <c r="N501" s="1024"/>
      <c r="O501" s="1024"/>
      <c r="P501" s="868"/>
      <c r="Q501" s="1025"/>
      <c r="R501" s="1039"/>
      <c r="S501" s="126"/>
      <c r="T501" s="1039"/>
      <c r="U501" s="1039"/>
    </row>
    <row r="502">
      <c r="A502" s="926" t="str">
        <f t="array" ref="A502">if(G502="","",XLOOKUP(D502,'プルダウンメニュー (SE用)'!$D$2:$D1028,'プルダウンメニュー (SE用)'!$C$2:$C1028))</f>
        <v/>
      </c>
      <c r="B502" s="926" t="str">
        <f>iferror(if(H502="GLOW流用","-",if(G502="","","SSE_"&amp;TEXT(vlookup(E502,'プルダウンメニュー (SE用)'!$E$2:$F1028,2,false),"000")&amp;"_"&amp;TEXT(COUNTIF($E$4:E502,E502),"000"))),"")</f>
        <v/>
      </c>
      <c r="C502" s="1016"/>
      <c r="D502" s="1017"/>
      <c r="E502" s="1018"/>
      <c r="F502" s="1018"/>
      <c r="G502" s="1040"/>
      <c r="H502" s="1041"/>
      <c r="I502" s="1042"/>
      <c r="J502" s="1043"/>
      <c r="K502" s="1043"/>
      <c r="L502" s="1044"/>
      <c r="M502" s="1041"/>
      <c r="N502" s="1024"/>
      <c r="O502" s="1024"/>
      <c r="P502" s="868"/>
      <c r="Q502" s="1025"/>
      <c r="R502" s="1039"/>
      <c r="S502" s="126"/>
      <c r="T502" s="1039"/>
      <c r="U502" s="1039"/>
    </row>
    <row r="503">
      <c r="A503" s="926" t="str">
        <f t="array" ref="A503">if(G503="","",XLOOKUP(D503,'プルダウンメニュー (SE用)'!$D$2:$D1028,'プルダウンメニュー (SE用)'!$C$2:$C1028))</f>
        <v/>
      </c>
      <c r="B503" s="926" t="str">
        <f>iferror(if(H503="GLOW流用","-",if(G503="","","SSE_"&amp;TEXT(vlookup(E503,'プルダウンメニュー (SE用)'!$E$2:$F1028,2,false),"000")&amp;"_"&amp;TEXT(COUNTIF($E$4:E503,E503),"000"))),"")</f>
        <v/>
      </c>
      <c r="C503" s="1016"/>
      <c r="D503" s="1017"/>
      <c r="E503" s="1018"/>
      <c r="F503" s="1018"/>
      <c r="G503" s="1040"/>
      <c r="H503" s="1041"/>
      <c r="I503" s="1042"/>
      <c r="J503" s="1043"/>
      <c r="K503" s="1043"/>
      <c r="L503" s="1044"/>
      <c r="M503" s="1041"/>
      <c r="N503" s="1024"/>
      <c r="O503" s="1024"/>
      <c r="P503" s="868"/>
      <c r="Q503" s="1025"/>
      <c r="R503" s="1039"/>
      <c r="S503" s="126"/>
      <c r="T503" s="1039"/>
      <c r="U503" s="1039"/>
    </row>
    <row r="504">
      <c r="A504" s="926" t="str">
        <f t="array" ref="A504">if(G504="","",XLOOKUP(D504,'プルダウンメニュー (SE用)'!$D$2:$D1028,'プルダウンメニュー (SE用)'!$C$2:$C1028))</f>
        <v/>
      </c>
      <c r="B504" s="926" t="str">
        <f>iferror(if(H504="GLOW流用","-",if(G504="","","SSE_"&amp;TEXT(vlookup(E504,'プルダウンメニュー (SE用)'!$E$2:$F1028,2,false),"000")&amp;"_"&amp;TEXT(COUNTIF($E$4:E504,E504),"000"))),"")</f>
        <v/>
      </c>
      <c r="C504" s="984"/>
      <c r="D504" s="986"/>
      <c r="E504" s="986"/>
      <c r="F504" s="986"/>
      <c r="G504" s="1000"/>
      <c r="H504" s="1072"/>
      <c r="I504" s="1073"/>
      <c r="J504" s="1074"/>
      <c r="K504" s="1074"/>
      <c r="L504" s="1075"/>
      <c r="M504" s="1072"/>
      <c r="N504" s="876"/>
      <c r="O504" s="876"/>
      <c r="P504" s="868"/>
      <c r="Q504" s="1076"/>
      <c r="R504" s="1077"/>
      <c r="S504" s="1078"/>
      <c r="T504" s="1079"/>
      <c r="U504" s="1077"/>
    </row>
    <row r="505">
      <c r="A505" s="926" t="str">
        <f t="array" ref="A505">if(G505="","",XLOOKUP(D505,'プルダウンメニュー (SE用)'!$D$2:$D1028,'プルダウンメニュー (SE用)'!$C$2:$C1028))</f>
        <v/>
      </c>
      <c r="B505" s="926" t="str">
        <f>iferror(if(H505="GLOW流用","-",if(G505="","","SSE_"&amp;TEXT(vlookup(E505,'プルダウンメニュー (SE用)'!$E$2:$F1028,2,false),"000")&amp;"_"&amp;TEXT(COUNTIF($E$4:E505,E505),"000"))),"")</f>
        <v/>
      </c>
      <c r="C505" s="984"/>
      <c r="D505" s="986"/>
      <c r="E505" s="986"/>
      <c r="F505" s="1018"/>
      <c r="G505" s="1040"/>
      <c r="H505" s="1041"/>
      <c r="I505" s="1042"/>
      <c r="J505" s="1043"/>
      <c r="K505" s="1043"/>
      <c r="L505" s="1044"/>
      <c r="M505" s="1041"/>
      <c r="N505" s="1024"/>
      <c r="O505" s="1024"/>
      <c r="P505" s="868"/>
      <c r="Q505" s="1076"/>
      <c r="R505" s="869"/>
      <c r="S505" s="126"/>
      <c r="T505" s="1039"/>
      <c r="U505" s="1039"/>
    </row>
    <row r="506">
      <c r="A506" s="926" t="str">
        <f t="array" ref="A506">if(G506="","",XLOOKUP(D506,'プルダウンメニュー (SE用)'!$D$2:$D1028,'プルダウンメニュー (SE用)'!$C$2:$C1028))</f>
        <v/>
      </c>
      <c r="B506" s="926" t="str">
        <f>iferror(if(H506="GLOW流用","-",if(G506="","","SSE_"&amp;TEXT(vlookup(E506,'プルダウンメニュー (SE用)'!$E$2:$F1028,2,false),"000")&amp;"_"&amp;TEXT(COUNTIF($E$4:E506,E506),"000"))),"")</f>
        <v/>
      </c>
      <c r="C506" s="984"/>
      <c r="D506" s="986"/>
      <c r="E506" s="986"/>
      <c r="F506" s="1018"/>
      <c r="G506" s="1040"/>
      <c r="H506" s="1041"/>
      <c r="I506" s="1042"/>
      <c r="J506" s="1043"/>
      <c r="K506" s="1043"/>
      <c r="L506" s="1044"/>
      <c r="M506" s="1041"/>
      <c r="N506" s="1024"/>
      <c r="O506" s="1024"/>
      <c r="P506" s="868"/>
      <c r="Q506" s="1076"/>
      <c r="R506" s="869"/>
      <c r="S506" s="126"/>
      <c r="T506" s="1039"/>
      <c r="U506" s="1039"/>
    </row>
    <row r="507">
      <c r="A507" s="926" t="str">
        <f t="array" ref="A507">if(G507="","",XLOOKUP(D507,'プルダウンメニュー (SE用)'!$D$2:$D1028,'プルダウンメニュー (SE用)'!$C$2:$C1028))</f>
        <v/>
      </c>
      <c r="B507" s="926" t="str">
        <f>iferror(if(H507="GLOW流用","-",if(G507="","","SSE_"&amp;TEXT(vlookup(E507,'プルダウンメニュー (SE用)'!$E$2:$F1028,2,false),"000")&amp;"_"&amp;TEXT(COUNTIF($E$4:E507,E507),"000"))),"")</f>
        <v/>
      </c>
      <c r="C507" s="984"/>
      <c r="D507" s="986"/>
      <c r="E507" s="986"/>
      <c r="F507" s="1018"/>
      <c r="G507" s="1040"/>
      <c r="H507" s="1041"/>
      <c r="I507" s="1042"/>
      <c r="J507" s="1043"/>
      <c r="K507" s="1043"/>
      <c r="L507" s="1044"/>
      <c r="M507" s="1041"/>
      <c r="N507" s="1024"/>
      <c r="O507" s="1024"/>
      <c r="P507" s="868"/>
      <c r="Q507" s="1032"/>
      <c r="R507" s="1004"/>
      <c r="S507" s="143"/>
      <c r="T507" s="1039"/>
      <c r="U507" s="1039"/>
    </row>
    <row r="508">
      <c r="A508" s="926" t="str">
        <f t="array" ref="A508">if(G508="","",XLOOKUP(D508,'プルダウンメニュー (SE用)'!$D$2:$D1028,'プルダウンメニュー (SE用)'!$C$2:$C1028))</f>
        <v/>
      </c>
      <c r="B508" s="926" t="str">
        <f>iferror(if(H508="GLOW流用","-",if(G508="","","SSE_"&amp;TEXT(vlookup(E508,'プルダウンメニュー (SE用)'!$E$2:$F1028,2,false),"000")&amp;"_"&amp;TEXT(COUNTIF($E$4:E508,E508),"000"))),"")</f>
        <v/>
      </c>
      <c r="C508" s="984"/>
      <c r="D508" s="986"/>
      <c r="E508" s="986"/>
      <c r="F508" s="1018"/>
      <c r="G508" s="1040"/>
      <c r="H508" s="1041"/>
      <c r="I508" s="1042"/>
      <c r="J508" s="1043"/>
      <c r="K508" s="1043"/>
      <c r="L508" s="1044"/>
      <c r="M508" s="1041"/>
      <c r="N508" s="1024"/>
      <c r="O508" s="1024"/>
      <c r="P508" s="868"/>
      <c r="Q508" s="1032"/>
      <c r="R508" s="1039"/>
      <c r="S508" s="126"/>
      <c r="T508" s="1039"/>
      <c r="U508" s="1039"/>
    </row>
    <row r="509">
      <c r="A509" s="926" t="str">
        <f t="array" ref="A509">if(G509="","",XLOOKUP(D509,'プルダウンメニュー (SE用)'!$D$2:$D1028,'プルダウンメニュー (SE用)'!$C$2:$C1028))</f>
        <v/>
      </c>
      <c r="B509" s="926" t="str">
        <f>iferror(if(H509="GLOW流用","-",if(G509="","","SSE_"&amp;TEXT(vlookup(E509,'プルダウンメニュー (SE用)'!$E$2:$F1028,2,false),"000")&amp;"_"&amp;TEXT(COUNTIF($E$4:E509,E509),"000"))),"")</f>
        <v/>
      </c>
      <c r="C509" s="984"/>
      <c r="D509" s="986"/>
      <c r="E509" s="986"/>
      <c r="F509" s="1018"/>
      <c r="G509" s="1040"/>
      <c r="H509" s="1041"/>
      <c r="I509" s="1042"/>
      <c r="J509" s="1043"/>
      <c r="K509" s="1043"/>
      <c r="L509" s="1044"/>
      <c r="M509" s="1041"/>
      <c r="N509" s="1024"/>
      <c r="O509" s="1024"/>
      <c r="P509" s="868"/>
      <c r="Q509" s="1032"/>
      <c r="R509" s="1039"/>
      <c r="S509" s="126"/>
      <c r="T509" s="1039"/>
      <c r="U509" s="1039"/>
    </row>
    <row r="510">
      <c r="A510" s="926" t="str">
        <f t="array" ref="A510">if(G510="","",XLOOKUP(D510,'プルダウンメニュー (SE用)'!$D$2:$D1028,'プルダウンメニュー (SE用)'!$C$2:$C1028))</f>
        <v/>
      </c>
      <c r="B510" s="926" t="str">
        <f>iferror(if(H510="GLOW流用","-",if(G510="","","SSE_"&amp;TEXT(vlookup(E510,'プルダウンメニュー (SE用)'!$E$2:$F1028,2,false),"000")&amp;"_"&amp;TEXT(COUNTIF($E$4:E510,E510),"000"))),"")</f>
        <v/>
      </c>
      <c r="C510" s="984"/>
      <c r="D510" s="986"/>
      <c r="E510" s="986"/>
      <c r="F510" s="1018"/>
      <c r="G510" s="1040"/>
      <c r="H510" s="1041"/>
      <c r="I510" s="1042"/>
      <c r="J510" s="1043"/>
      <c r="K510" s="1043"/>
      <c r="L510" s="1044"/>
      <c r="M510" s="1041"/>
      <c r="N510" s="1024"/>
      <c r="O510" s="1024"/>
      <c r="P510" s="868"/>
      <c r="Q510" s="1032"/>
      <c r="R510" s="1039"/>
      <c r="S510" s="126"/>
      <c r="T510" s="1039"/>
      <c r="U510" s="1039"/>
    </row>
    <row r="511">
      <c r="A511" s="926" t="str">
        <f t="array" ref="A511">if(G511="","",XLOOKUP(D511,'プルダウンメニュー (SE用)'!$D$2:$D1028,'プルダウンメニュー (SE用)'!$C$2:$C1028))</f>
        <v/>
      </c>
      <c r="B511" s="926" t="str">
        <f>iferror(if(H511="GLOW流用","-",if(G511="","","SSE_"&amp;TEXT(vlookup(E511,'プルダウンメニュー (SE用)'!$E$2:$F1028,2,false),"000")&amp;"_"&amp;TEXT(COUNTIF($E$4:E511,E511),"000"))),"")</f>
        <v/>
      </c>
      <c r="C511" s="984"/>
      <c r="D511" s="986"/>
      <c r="E511" s="986"/>
      <c r="F511" s="1018"/>
      <c r="G511" s="1040"/>
      <c r="H511" s="1041"/>
      <c r="I511" s="1042"/>
      <c r="J511" s="1043"/>
      <c r="K511" s="1043"/>
      <c r="L511" s="1044"/>
      <c r="M511" s="1041"/>
      <c r="N511" s="1024"/>
      <c r="O511" s="1024"/>
      <c r="P511" s="868"/>
      <c r="Q511" s="1032"/>
      <c r="R511" s="1039"/>
      <c r="S511" s="126"/>
      <c r="T511" s="1039"/>
      <c r="U511" s="1039"/>
    </row>
    <row r="512">
      <c r="A512" s="926" t="str">
        <f t="array" ref="A512">if(G512="","",XLOOKUP(D512,'プルダウンメニュー (SE用)'!$D$2:$D1028,'プルダウンメニュー (SE用)'!$C$2:$C1028))</f>
        <v/>
      </c>
      <c r="B512" s="926" t="str">
        <f>iferror(if(H512="GLOW流用","-",if(G512="","","SSE_"&amp;TEXT(vlookup(E512,'プルダウンメニュー (SE用)'!$E$2:$F1028,2,false),"000")&amp;"_"&amp;TEXT(COUNTIF($E$4:E512,E512),"000"))),"")</f>
        <v/>
      </c>
      <c r="C512" s="984"/>
      <c r="D512" s="986"/>
      <c r="E512" s="986"/>
      <c r="F512" s="1018"/>
      <c r="G512" s="1040"/>
      <c r="H512" s="1080"/>
      <c r="I512" s="1081"/>
      <c r="J512" s="1082"/>
      <c r="K512" s="1082"/>
      <c r="L512" s="1083"/>
      <c r="M512" s="1084"/>
      <c r="N512" s="876"/>
      <c r="O512" s="876"/>
      <c r="P512" s="868"/>
      <c r="Q512" s="1032"/>
      <c r="R512" s="1004"/>
      <c r="S512" s="143"/>
      <c r="T512" s="1039"/>
      <c r="U512" s="1039"/>
    </row>
    <row r="513">
      <c r="A513" s="926" t="str">
        <f t="array" ref="A513">if(G513="","",XLOOKUP(D513,'プルダウンメニュー (SE用)'!$D$2:$D1028,'プルダウンメニュー (SE用)'!$C$2:$C1028))</f>
        <v/>
      </c>
      <c r="B513" s="926" t="str">
        <f>iferror(if(H513="GLOW流用","-",if(G513="","","SSE_"&amp;TEXT(vlookup(E513,'プルダウンメニュー (SE用)'!$E$2:$F1028,2,false),"000")&amp;"_"&amp;TEXT(COUNTIF($E$4:E513,E513),"000"))),"")</f>
        <v/>
      </c>
      <c r="C513" s="984"/>
      <c r="D513" s="986"/>
      <c r="E513" s="986"/>
      <c r="F513" s="1018"/>
      <c r="G513" s="1040"/>
      <c r="H513" s="1085"/>
      <c r="I513" s="1086"/>
      <c r="J513" s="1087"/>
      <c r="K513" s="1087"/>
      <c r="L513" s="1088"/>
      <c r="M513" s="1089"/>
      <c r="N513" s="904"/>
      <c r="O513" s="904"/>
      <c r="P513" s="868"/>
      <c r="Q513" s="1032"/>
      <c r="R513" s="1004"/>
      <c r="S513" s="143"/>
      <c r="T513" s="1039"/>
      <c r="U513" s="1039"/>
    </row>
    <row r="514">
      <c r="A514" s="926" t="str">
        <f t="array" ref="A514">if(G514="","",XLOOKUP(D514,'プルダウンメニュー (SE用)'!$D$2:$D1028,'プルダウンメニュー (SE用)'!$C$2:$C1028))</f>
        <v/>
      </c>
      <c r="B514" s="926" t="str">
        <f>iferror(if(H514="GLOW流用","-",if(G514="","","SSE_"&amp;TEXT(vlookup(E514,'プルダウンメニュー (SE用)'!$E$2:$F1028,2,false),"000")&amp;"_"&amp;TEXT(COUNTIF($E$4:E514,E514),"000"))),"")</f>
        <v/>
      </c>
      <c r="C514" s="984"/>
      <c r="D514" s="986"/>
      <c r="E514" s="986"/>
      <c r="F514" s="1018"/>
      <c r="G514" s="1040"/>
      <c r="H514" s="1041"/>
      <c r="I514" s="1042"/>
      <c r="J514" s="1043"/>
      <c r="K514" s="1043"/>
      <c r="L514" s="1044"/>
      <c r="M514" s="1041"/>
      <c r="N514" s="1024"/>
      <c r="O514" s="1024"/>
      <c r="P514" s="868"/>
      <c r="Q514" s="1032"/>
      <c r="R514" s="1039"/>
      <c r="S514" s="126"/>
      <c r="T514" s="1039"/>
      <c r="U514" s="1039"/>
    </row>
    <row r="515">
      <c r="A515" s="926" t="str">
        <f t="array" ref="A515">if(G515="","",XLOOKUP(D515,'プルダウンメニュー (SE用)'!$D$2:$D1028,'プルダウンメニュー (SE用)'!$C$2:$C1028))</f>
        <v/>
      </c>
      <c r="B515" s="926" t="str">
        <f>iferror(if(H515="GLOW流用","-",if(G515="","","SSE_"&amp;TEXT(vlookup(E515,'プルダウンメニュー (SE用)'!$E$2:$F1028,2,false),"000")&amp;"_"&amp;TEXT(COUNTIF($E$4:E515,E515),"000"))),"")</f>
        <v/>
      </c>
      <c r="C515" s="984"/>
      <c r="D515" s="986"/>
      <c r="E515" s="986"/>
      <c r="F515" s="1018"/>
      <c r="G515" s="1040"/>
      <c r="H515" s="1041"/>
      <c r="I515" s="1042"/>
      <c r="J515" s="1043"/>
      <c r="K515" s="1043"/>
      <c r="L515" s="1044"/>
      <c r="M515" s="1041"/>
      <c r="N515" s="1024"/>
      <c r="O515" s="1024"/>
      <c r="P515" s="868"/>
      <c r="Q515" s="1032"/>
      <c r="R515" s="1039"/>
      <c r="S515" s="126"/>
      <c r="T515" s="1039"/>
      <c r="U515" s="1039"/>
    </row>
    <row r="516">
      <c r="A516" s="926" t="str">
        <f t="array" ref="A516">if(G516="","",XLOOKUP(D516,'プルダウンメニュー (SE用)'!$D$2:$D1028,'プルダウンメニュー (SE用)'!$C$2:$C1028))</f>
        <v/>
      </c>
      <c r="B516" s="926" t="str">
        <f>iferror(if(H516="GLOW流用","-",if(G516="","","SSE_"&amp;TEXT(vlookup(E516,'プルダウンメニュー (SE用)'!$E$2:$F1028,2,false),"000")&amp;"_"&amp;TEXT(COUNTIF($E$4:E516,E516),"000"))),"")</f>
        <v/>
      </c>
      <c r="C516" s="984"/>
      <c r="D516" s="986"/>
      <c r="E516" s="986"/>
      <c r="F516" s="1018"/>
      <c r="G516" s="1040"/>
      <c r="H516" s="1041"/>
      <c r="I516" s="1042"/>
      <c r="J516" s="1043"/>
      <c r="K516" s="1043"/>
      <c r="L516" s="1044"/>
      <c r="M516" s="1041"/>
      <c r="N516" s="1024"/>
      <c r="O516" s="1024"/>
      <c r="P516" s="868"/>
      <c r="Q516" s="1032"/>
      <c r="R516" s="1039"/>
      <c r="S516" s="126"/>
      <c r="T516" s="1039"/>
      <c r="U516" s="1039"/>
    </row>
    <row r="517">
      <c r="A517" s="926" t="str">
        <f t="array" ref="A517">if(G517="","",XLOOKUP(D517,'プルダウンメニュー (SE用)'!$D$2:$D1028,'プルダウンメニュー (SE用)'!$C$2:$C1028))</f>
        <v/>
      </c>
      <c r="B517" s="926" t="str">
        <f>iferror(if(H517="GLOW流用","-",if(G517="","","SSE_"&amp;TEXT(vlookup(E517,'プルダウンメニュー (SE用)'!$E$2:$F1028,2,false),"000")&amp;"_"&amp;TEXT(COUNTIF($E$4:E517,E517),"000"))),"")</f>
        <v/>
      </c>
      <c r="C517" s="984"/>
      <c r="D517" s="986"/>
      <c r="E517" s="986"/>
      <c r="F517" s="1018"/>
      <c r="G517" s="1040"/>
      <c r="H517" s="1041"/>
      <c r="I517" s="1042"/>
      <c r="J517" s="1043"/>
      <c r="K517" s="1043"/>
      <c r="L517" s="1044"/>
      <c r="M517" s="1041"/>
      <c r="N517" s="1024"/>
      <c r="O517" s="1024"/>
      <c r="P517" s="868"/>
      <c r="Q517" s="1032"/>
      <c r="R517" s="1039"/>
      <c r="S517" s="126"/>
      <c r="T517" s="1039"/>
      <c r="U517" s="1039"/>
    </row>
    <row r="518">
      <c r="A518" s="926" t="str">
        <f t="array" ref="A518">if(G518="","",XLOOKUP(D518,'プルダウンメニュー (SE用)'!$D$2:$D1028,'プルダウンメニュー (SE用)'!$C$2:$C1028))</f>
        <v/>
      </c>
      <c r="B518" s="926" t="str">
        <f>iferror(if(H518="GLOW流用","-",if(G518="","","SSE_"&amp;TEXT(vlookup(E518,'プルダウンメニュー (SE用)'!$E$2:$F1028,2,false),"000")&amp;"_"&amp;TEXT(COUNTIF($E$4:E518,E518),"000"))),"")</f>
        <v/>
      </c>
      <c r="C518" s="984"/>
      <c r="D518" s="986"/>
      <c r="E518" s="986"/>
      <c r="F518" s="1018"/>
      <c r="G518" s="1040"/>
      <c r="H518" s="1041"/>
      <c r="I518" s="1042"/>
      <c r="J518" s="1043"/>
      <c r="K518" s="1043"/>
      <c r="L518" s="1044"/>
      <c r="M518" s="1041"/>
      <c r="N518" s="1024"/>
      <c r="O518" s="1024"/>
      <c r="P518" s="868"/>
      <c r="Q518" s="1032"/>
      <c r="R518" s="1039"/>
      <c r="S518" s="126"/>
      <c r="T518" s="1039"/>
      <c r="U518" s="1039"/>
    </row>
    <row r="519">
      <c r="A519" s="926" t="str">
        <f t="array" ref="A519">if(G519="","",XLOOKUP(D519,'プルダウンメニュー (SE用)'!$D$2:$D1028,'プルダウンメニュー (SE用)'!$C$2:$C1028))</f>
        <v/>
      </c>
      <c r="B519" s="926" t="str">
        <f>iferror(if(H519="GLOW流用","-",if(G519="","","SSE_"&amp;TEXT(vlookup(E519,'プルダウンメニュー (SE用)'!$E$2:$F1028,2,false),"000")&amp;"_"&amp;TEXT(COUNTIF($E$4:E519,E519),"000"))),"")</f>
        <v/>
      </c>
      <c r="C519" s="984"/>
      <c r="D519" s="986"/>
      <c r="E519" s="986"/>
      <c r="F519" s="1018"/>
      <c r="G519" s="1040"/>
      <c r="H519" s="1041"/>
      <c r="I519" s="1042"/>
      <c r="J519" s="1043"/>
      <c r="K519" s="1043"/>
      <c r="L519" s="1044"/>
      <c r="M519" s="1041"/>
      <c r="N519" s="1024"/>
      <c r="O519" s="1024"/>
      <c r="P519" s="868"/>
      <c r="Q519" s="1032"/>
      <c r="R519" s="1039"/>
      <c r="S519" s="126"/>
      <c r="T519" s="1039"/>
      <c r="U519" s="1039"/>
    </row>
    <row r="520">
      <c r="A520" s="926" t="str">
        <f t="array" ref="A520">if(G520="","",XLOOKUP(D520,'プルダウンメニュー (SE用)'!$D$2:$D1028,'プルダウンメニュー (SE用)'!$C$2:$C1028))</f>
        <v/>
      </c>
      <c r="B520" s="926" t="str">
        <f>iferror(if(H520="GLOW流用","-",if(G520="","","SSE_"&amp;TEXT(vlookup(E520,'プルダウンメニュー (SE用)'!$E$2:$F1028,2,false),"000")&amp;"_"&amp;TEXT(COUNTIF($E$4:E520,E520),"000"))),"")</f>
        <v/>
      </c>
      <c r="C520" s="984"/>
      <c r="D520" s="986"/>
      <c r="E520" s="986"/>
      <c r="F520" s="1018"/>
      <c r="G520" s="1040"/>
      <c r="H520" s="1041"/>
      <c r="I520" s="1042"/>
      <c r="J520" s="1043"/>
      <c r="K520" s="1043"/>
      <c r="L520" s="1044"/>
      <c r="M520" s="1041"/>
      <c r="N520" s="1024"/>
      <c r="O520" s="1024"/>
      <c r="P520" s="868"/>
      <c r="Q520" s="1032"/>
      <c r="R520" s="1039"/>
      <c r="S520" s="126"/>
      <c r="T520" s="1039"/>
      <c r="U520" s="1039"/>
    </row>
    <row r="521">
      <c r="A521" s="926" t="str">
        <f t="array" ref="A521">if(G521="","",XLOOKUP(D521,'プルダウンメニュー (SE用)'!$D$2:$D1028,'プルダウンメニュー (SE用)'!$C$2:$C1028))</f>
        <v/>
      </c>
      <c r="B521" s="926" t="str">
        <f>iferror(if(H521="GLOW流用","-",if(G521="","","SSE_"&amp;TEXT(vlookup(E521,'プルダウンメニュー (SE用)'!$E$2:$F1028,2,false),"000")&amp;"_"&amp;TEXT(COUNTIF($E$4:E521,E521),"000"))),"")</f>
        <v/>
      </c>
      <c r="C521" s="984"/>
      <c r="D521" s="986"/>
      <c r="E521" s="986"/>
      <c r="F521" s="1018"/>
      <c r="G521" s="1040"/>
      <c r="H521" s="1041"/>
      <c r="I521" s="1042"/>
      <c r="J521" s="1043"/>
      <c r="K521" s="1043"/>
      <c r="L521" s="1044"/>
      <c r="M521" s="1041"/>
      <c r="N521" s="1024"/>
      <c r="O521" s="1024"/>
      <c r="P521" s="868"/>
      <c r="Q521" s="1032"/>
      <c r="R521" s="1039"/>
      <c r="S521" s="126"/>
      <c r="T521" s="1039"/>
      <c r="U521" s="1039"/>
    </row>
    <row r="522">
      <c r="A522" s="926" t="str">
        <f t="array" ref="A522">if(G522="","",XLOOKUP(D522,'プルダウンメニュー (SE用)'!$D$2:$D1028,'プルダウンメニュー (SE用)'!$C$2:$C1028))</f>
        <v/>
      </c>
      <c r="B522" s="926" t="str">
        <f>iferror(if(H522="GLOW流用","-",if(G522="","","SSE_"&amp;TEXT(vlookup(E522,'プルダウンメニュー (SE用)'!$E$2:$F1028,2,false),"000")&amp;"_"&amp;TEXT(COUNTIF($E$4:E522,E522),"000"))),"")</f>
        <v/>
      </c>
      <c r="C522" s="984"/>
      <c r="D522" s="986"/>
      <c r="E522" s="986"/>
      <c r="F522" s="1018"/>
      <c r="G522" s="1040"/>
      <c r="H522" s="1041"/>
      <c r="I522" s="1042"/>
      <c r="J522" s="1043"/>
      <c r="K522" s="1043"/>
      <c r="L522" s="1044"/>
      <c r="M522" s="1041"/>
      <c r="N522" s="1024"/>
      <c r="O522" s="1024"/>
      <c r="P522" s="868"/>
      <c r="Q522" s="1032"/>
      <c r="R522" s="1039"/>
      <c r="S522" s="126"/>
      <c r="T522" s="1039"/>
      <c r="U522" s="1039"/>
    </row>
    <row r="523">
      <c r="A523" s="926" t="str">
        <f t="array" ref="A523">if(G523="","",XLOOKUP(D523,'プルダウンメニュー (SE用)'!$D$2:$D1028,'プルダウンメニュー (SE用)'!$C$2:$C1028))</f>
        <v/>
      </c>
      <c r="B523" s="926" t="str">
        <f>iferror(if(H523="GLOW流用","-",if(G523="","","SSE_"&amp;TEXT(vlookup(E523,'プルダウンメニュー (SE用)'!$E$2:$F1028,2,false),"000")&amp;"_"&amp;TEXT(COUNTIF($E$4:E523,E523),"000"))),"")</f>
        <v/>
      </c>
      <c r="C523" s="984"/>
      <c r="D523" s="986"/>
      <c r="E523" s="986"/>
      <c r="F523" s="1018"/>
      <c r="G523" s="1040"/>
      <c r="H523" s="1041"/>
      <c r="I523" s="1042"/>
      <c r="J523" s="1043"/>
      <c r="K523" s="1043"/>
      <c r="L523" s="1044"/>
      <c r="M523" s="1041"/>
      <c r="N523" s="1024"/>
      <c r="O523" s="1024"/>
      <c r="P523" s="868"/>
      <c r="Q523" s="1032"/>
      <c r="R523" s="1039"/>
      <c r="S523" s="126"/>
      <c r="T523" s="1039"/>
      <c r="U523" s="1039"/>
    </row>
    <row r="524">
      <c r="A524" s="926" t="str">
        <f t="array" ref="A524">if(G524="","",XLOOKUP(D524,'プルダウンメニュー (SE用)'!$D$2:$D1028,'プルダウンメニュー (SE用)'!$C$2:$C1028))</f>
        <v/>
      </c>
      <c r="B524" s="926" t="str">
        <f>iferror(if(H524="GLOW流用","-",if(G524="","","SSE_"&amp;TEXT(vlookup(E524,'プルダウンメニュー (SE用)'!$E$2:$F1028,2,false),"000")&amp;"_"&amp;TEXT(COUNTIF($E$4:E524,E524),"000"))),"")</f>
        <v/>
      </c>
      <c r="C524" s="984"/>
      <c r="D524" s="986"/>
      <c r="E524" s="986"/>
      <c r="F524" s="1018"/>
      <c r="G524" s="1040"/>
      <c r="H524" s="1041"/>
      <c r="I524" s="1042"/>
      <c r="J524" s="1043"/>
      <c r="K524" s="1043"/>
      <c r="L524" s="1044"/>
      <c r="M524" s="1041"/>
      <c r="N524" s="1024"/>
      <c r="O524" s="1024"/>
      <c r="P524" s="868"/>
      <c r="Q524" s="1032"/>
      <c r="R524" s="1039"/>
      <c r="S524" s="126"/>
      <c r="T524" s="1039"/>
      <c r="U524" s="1039"/>
    </row>
    <row r="525">
      <c r="A525" s="926" t="str">
        <f t="array" ref="A525">if(G525="","",XLOOKUP(D525,'プルダウンメニュー (SE用)'!$D$2:$D1028,'プルダウンメニュー (SE用)'!$C$2:$C1028))</f>
        <v/>
      </c>
      <c r="B525" s="926" t="str">
        <f>iferror(if(H525="GLOW流用","-",if(G525="","","SSE_"&amp;TEXT(vlookup(E525,'プルダウンメニュー (SE用)'!$E$2:$F1028,2,false),"000")&amp;"_"&amp;TEXT(COUNTIF($E$4:E525,E525),"000"))),"")</f>
        <v/>
      </c>
      <c r="C525" s="984"/>
      <c r="D525" s="986"/>
      <c r="E525" s="986"/>
      <c r="F525" s="1018"/>
      <c r="G525" s="1040"/>
      <c r="H525" s="1041"/>
      <c r="I525" s="1042"/>
      <c r="J525" s="1043"/>
      <c r="K525" s="1043"/>
      <c r="L525" s="1044"/>
      <c r="M525" s="1041"/>
      <c r="N525" s="1024"/>
      <c r="O525" s="1024"/>
      <c r="P525" s="868"/>
      <c r="Q525" s="1032"/>
      <c r="R525" s="1039"/>
      <c r="S525" s="126"/>
      <c r="T525" s="1039"/>
      <c r="U525" s="1039"/>
    </row>
    <row r="526">
      <c r="A526" s="926" t="str">
        <f t="array" ref="A526">if(G526="","",XLOOKUP(D526,'プルダウンメニュー (SE用)'!$D$2:$D1028,'プルダウンメニュー (SE用)'!$C$2:$C1028))</f>
        <v/>
      </c>
      <c r="B526" s="926" t="str">
        <f>iferror(if(H526="GLOW流用","-",if(G526="","","SSE_"&amp;TEXT(vlookup(E526,'プルダウンメニュー (SE用)'!$E$2:$F1028,2,false),"000")&amp;"_"&amp;TEXT(COUNTIF($E$4:E526,E526),"000"))),"")</f>
        <v/>
      </c>
      <c r="C526" s="984"/>
      <c r="D526" s="986"/>
      <c r="E526" s="986"/>
      <c r="F526" s="1018"/>
      <c r="G526" s="1040"/>
      <c r="H526" s="1041"/>
      <c r="I526" s="1042"/>
      <c r="J526" s="1043"/>
      <c r="K526" s="1043"/>
      <c r="L526" s="1044"/>
      <c r="M526" s="1041"/>
      <c r="N526" s="1024"/>
      <c r="O526" s="1024"/>
      <c r="P526" s="868"/>
      <c r="Q526" s="1032"/>
      <c r="R526" s="1039"/>
      <c r="S526" s="126"/>
      <c r="T526" s="1039"/>
      <c r="U526" s="1039"/>
    </row>
    <row r="527">
      <c r="A527" s="926" t="str">
        <f t="array" ref="A527">if(G527="","",XLOOKUP(D527,'プルダウンメニュー (SE用)'!$D$2:$D1028,'プルダウンメニュー (SE用)'!$C$2:$C1028))</f>
        <v/>
      </c>
      <c r="B527" s="926" t="str">
        <f>iferror(if(H527="GLOW流用","-",if(G527="","","SSE_"&amp;TEXT(vlookup(E527,'プルダウンメニュー (SE用)'!$E$2:$F1028,2,false),"000")&amp;"_"&amp;TEXT(COUNTIF($E$4:E527,E527),"000"))),"")</f>
        <v/>
      </c>
      <c r="C527" s="984"/>
      <c r="D527" s="986"/>
      <c r="E527" s="986"/>
      <c r="F527" s="1018"/>
      <c r="G527" s="1040"/>
      <c r="H527" s="1041"/>
      <c r="I527" s="1042"/>
      <c r="J527" s="1043"/>
      <c r="K527" s="1043"/>
      <c r="L527" s="1044"/>
      <c r="M527" s="1041"/>
      <c r="N527" s="1024"/>
      <c r="O527" s="1024"/>
      <c r="P527" s="868"/>
      <c r="Q527" s="1032"/>
      <c r="R527" s="1039"/>
      <c r="S527" s="126"/>
      <c r="T527" s="1039"/>
      <c r="U527" s="1039"/>
    </row>
    <row r="528">
      <c r="A528" s="926" t="str">
        <f t="array" ref="A528">if(G528="","",XLOOKUP(D528,'プルダウンメニュー (SE用)'!$D$2:$D1028,'プルダウンメニュー (SE用)'!$C$2:$C1028))</f>
        <v/>
      </c>
      <c r="B528" s="926" t="str">
        <f>iferror(if(H528="GLOW流用","-",if(G528="","","SSE_"&amp;TEXT(vlookup(E528,'プルダウンメニュー (SE用)'!$E$2:$F1028,2,false),"000")&amp;"_"&amp;TEXT(COUNTIF($E$4:E528,E528),"000"))),"")</f>
        <v/>
      </c>
      <c r="C528" s="984"/>
      <c r="D528" s="986"/>
      <c r="E528" s="986"/>
      <c r="F528" s="1018"/>
      <c r="G528" s="1040"/>
      <c r="H528" s="1041"/>
      <c r="I528" s="1042"/>
      <c r="J528" s="1043"/>
      <c r="K528" s="1043"/>
      <c r="L528" s="1044"/>
      <c r="M528" s="1041"/>
      <c r="N528" s="1024"/>
      <c r="O528" s="1024"/>
      <c r="P528" s="868"/>
      <c r="Q528" s="1032"/>
      <c r="R528" s="1039"/>
      <c r="S528" s="126"/>
      <c r="T528" s="1039"/>
      <c r="U528" s="1039"/>
    </row>
    <row r="529">
      <c r="A529" s="926" t="str">
        <f t="array" ref="A529">if(G529="","",XLOOKUP(D529,'プルダウンメニュー (SE用)'!$D$2:$D1028,'プルダウンメニュー (SE用)'!$C$2:$C1028))</f>
        <v/>
      </c>
      <c r="B529" s="926" t="str">
        <f>iferror(if(H529="GLOW流用","-",if(G529="","","SSE_"&amp;TEXT(vlookup(E529,'プルダウンメニュー (SE用)'!$E$2:$F1028,2,false),"000")&amp;"_"&amp;TEXT(COUNTIF($E$4:E529,E529),"000"))),"")</f>
        <v/>
      </c>
      <c r="C529" s="984"/>
      <c r="D529" s="986"/>
      <c r="E529" s="986"/>
      <c r="F529" s="1018"/>
      <c r="G529" s="1040"/>
      <c r="H529" s="1041"/>
      <c r="I529" s="1042"/>
      <c r="J529" s="1043"/>
      <c r="K529" s="1043"/>
      <c r="L529" s="1044"/>
      <c r="M529" s="1041"/>
      <c r="N529" s="1024"/>
      <c r="O529" s="1024"/>
      <c r="P529" s="868"/>
      <c r="Q529" s="1032"/>
      <c r="R529" s="1039"/>
      <c r="S529" s="126"/>
      <c r="T529" s="1039"/>
      <c r="U529" s="1039"/>
    </row>
    <row r="530">
      <c r="A530" s="926" t="str">
        <f t="array" ref="A530">if(G530="","",XLOOKUP(D530,'プルダウンメニュー (SE用)'!$D$2:$D1028,'プルダウンメニュー (SE用)'!$C$2:$C1028))</f>
        <v/>
      </c>
      <c r="B530" s="926" t="str">
        <f>iferror(if(H530="GLOW流用","-",if(G530="","","SSE_"&amp;TEXT(vlookup(E530,'プルダウンメニュー (SE用)'!$E$2:$F1028,2,false),"000")&amp;"_"&amp;TEXT(COUNTIF($E$4:E530,E530),"000"))),"")</f>
        <v/>
      </c>
      <c r="C530" s="984"/>
      <c r="D530" s="986"/>
      <c r="E530" s="986"/>
      <c r="F530" s="1018"/>
      <c r="G530" s="1040"/>
      <c r="H530" s="1041"/>
      <c r="I530" s="1042"/>
      <c r="J530" s="1043"/>
      <c r="K530" s="1043"/>
      <c r="L530" s="1044"/>
      <c r="M530" s="1041"/>
      <c r="N530" s="1024"/>
      <c r="O530" s="1024"/>
      <c r="P530" s="868"/>
      <c r="Q530" s="1032"/>
      <c r="R530" s="1039"/>
      <c r="S530" s="126"/>
      <c r="T530" s="1039"/>
      <c r="U530" s="1039"/>
    </row>
    <row r="531">
      <c r="A531" s="926" t="str">
        <f t="array" ref="A531">if(G531="","",XLOOKUP(D531,'プルダウンメニュー (SE用)'!$D$2:$D1028,'プルダウンメニュー (SE用)'!$C$2:$C1028))</f>
        <v/>
      </c>
      <c r="B531" s="926" t="str">
        <f>iferror(if(H531="GLOW流用","-",if(G531="","","SSE_"&amp;TEXT(vlookup(E531,'プルダウンメニュー (SE用)'!$E$2:$F1028,2,false),"000")&amp;"_"&amp;TEXT(COUNTIF($E$4:E531,E531),"000"))),"")</f>
        <v/>
      </c>
      <c r="C531" s="984"/>
      <c r="D531" s="986"/>
      <c r="E531" s="986"/>
      <c r="F531" s="1018"/>
      <c r="G531" s="1040"/>
      <c r="H531" s="1041"/>
      <c r="I531" s="1042"/>
      <c r="J531" s="1043"/>
      <c r="K531" s="1043"/>
      <c r="L531" s="1044"/>
      <c r="M531" s="1041"/>
      <c r="N531" s="1024"/>
      <c r="O531" s="1024"/>
      <c r="P531" s="868"/>
      <c r="Q531" s="1032"/>
      <c r="R531" s="1039"/>
      <c r="S531" s="126"/>
      <c r="T531" s="1039"/>
      <c r="U531" s="1039"/>
    </row>
    <row r="532">
      <c r="A532" s="926" t="str">
        <f t="array" ref="A532">if(G532="","",XLOOKUP(D532,'プルダウンメニュー (SE用)'!$D$2:$D1028,'プルダウンメニュー (SE用)'!$C$2:$C1028))</f>
        <v/>
      </c>
      <c r="B532" s="926" t="str">
        <f>iferror(if(H532="GLOW流用","-",if(G532="","","SSE_"&amp;TEXT(vlookup(E532,'プルダウンメニュー (SE用)'!$E$2:$F1028,2,false),"000")&amp;"_"&amp;TEXT(COUNTIF($E$4:E532,E532),"000"))),"")</f>
        <v/>
      </c>
      <c r="C532" s="984"/>
      <c r="D532" s="986"/>
      <c r="E532" s="986"/>
      <c r="F532" s="1018"/>
      <c r="G532" s="1040"/>
      <c r="H532" s="1041"/>
      <c r="I532" s="1042"/>
      <c r="J532" s="1043"/>
      <c r="K532" s="1043"/>
      <c r="L532" s="1044"/>
      <c r="M532" s="1041"/>
      <c r="N532" s="1024"/>
      <c r="O532" s="1024"/>
      <c r="P532" s="868"/>
      <c r="Q532" s="1032"/>
      <c r="R532" s="1039"/>
      <c r="S532" s="126"/>
      <c r="T532" s="1039"/>
      <c r="U532" s="1039"/>
    </row>
    <row r="533">
      <c r="A533" s="926" t="str">
        <f t="array" ref="A533">if(G533="","",XLOOKUP(D533,'プルダウンメニュー (SE用)'!$D$2:$D1028,'プルダウンメニュー (SE用)'!$C$2:$C1028))</f>
        <v/>
      </c>
      <c r="B533" s="926" t="str">
        <f>iferror(if(H533="GLOW流用","-",if(G533="","","SSE_"&amp;TEXT(vlookup(E533,'プルダウンメニュー (SE用)'!$E$2:$F1028,2,false),"000")&amp;"_"&amp;TEXT(COUNTIF($E$4:E533,E533),"000"))),"")</f>
        <v/>
      </c>
      <c r="C533" s="984"/>
      <c r="D533" s="986"/>
      <c r="E533" s="986"/>
      <c r="F533" s="1018"/>
      <c r="G533" s="1040"/>
      <c r="H533" s="1041"/>
      <c r="I533" s="1042"/>
      <c r="J533" s="1043"/>
      <c r="K533" s="1043"/>
      <c r="L533" s="1044"/>
      <c r="M533" s="1041"/>
      <c r="N533" s="1024"/>
      <c r="O533" s="1024"/>
      <c r="P533" s="868"/>
      <c r="Q533" s="1032"/>
      <c r="R533" s="1039"/>
      <c r="S533" s="126"/>
      <c r="T533" s="1039"/>
      <c r="U533" s="1039"/>
    </row>
    <row r="534">
      <c r="A534" s="926" t="str">
        <f t="array" ref="A534">if(G534="","",XLOOKUP(D534,'プルダウンメニュー (SE用)'!$D$2:$D1028,'プルダウンメニュー (SE用)'!$C$2:$C1028))</f>
        <v/>
      </c>
      <c r="B534" s="926" t="str">
        <f>iferror(if(H534="GLOW流用","-",if(G534="","","SSE_"&amp;TEXT(vlookup(E534,'プルダウンメニュー (SE用)'!$E$2:$F1028,2,false),"000")&amp;"_"&amp;TEXT(COUNTIF($E$4:E534,E534),"000"))),"")</f>
        <v/>
      </c>
      <c r="C534" s="984"/>
      <c r="D534" s="986"/>
      <c r="E534" s="986"/>
      <c r="F534" s="1018"/>
      <c r="G534" s="1040"/>
      <c r="H534" s="1041"/>
      <c r="I534" s="1042"/>
      <c r="J534" s="1043"/>
      <c r="K534" s="1043"/>
      <c r="L534" s="1044"/>
      <c r="M534" s="1041"/>
      <c r="N534" s="1024"/>
      <c r="O534" s="1024"/>
      <c r="P534" s="868"/>
      <c r="Q534" s="1032"/>
      <c r="R534" s="1039"/>
      <c r="S534" s="126"/>
      <c r="T534" s="1039"/>
      <c r="U534" s="1039"/>
    </row>
    <row r="535">
      <c r="A535" s="926" t="str">
        <f t="array" ref="A535">if(G535="","",XLOOKUP(D535,'プルダウンメニュー (SE用)'!$D$2:$D1028,'プルダウンメニュー (SE用)'!$C$2:$C1028))</f>
        <v/>
      </c>
      <c r="B535" s="926" t="str">
        <f>iferror(if(H535="GLOW流用","-",if(G535="","","SSE_"&amp;TEXT(vlookup(E535,'プルダウンメニュー (SE用)'!$E$2:$F1028,2,false),"000")&amp;"_"&amp;TEXT(COUNTIF($E$4:E535,E535),"000"))),"")</f>
        <v/>
      </c>
      <c r="C535" s="984"/>
      <c r="D535" s="986"/>
      <c r="E535" s="986"/>
      <c r="F535" s="1018"/>
      <c r="G535" s="1040"/>
      <c r="H535" s="1041"/>
      <c r="I535" s="1042"/>
      <c r="J535" s="1043"/>
      <c r="K535" s="1043"/>
      <c r="L535" s="1044"/>
      <c r="M535" s="1041"/>
      <c r="N535" s="1024"/>
      <c r="O535" s="1024"/>
      <c r="P535" s="868"/>
      <c r="Q535" s="1032"/>
      <c r="R535" s="1039"/>
      <c r="S535" s="126"/>
      <c r="T535" s="1039"/>
      <c r="U535" s="1039"/>
    </row>
    <row r="536">
      <c r="A536" s="926" t="str">
        <f t="array" ref="A536">if(G536="","",XLOOKUP(D536,'プルダウンメニュー (SE用)'!$D$2:$D1028,'プルダウンメニュー (SE用)'!$C$2:$C1028))</f>
        <v/>
      </c>
      <c r="B536" s="926" t="str">
        <f>iferror(if(H536="GLOW流用","-",if(G536="","","SSE_"&amp;TEXT(vlookup(E536,'プルダウンメニュー (SE用)'!$E$2:$F1028,2,false),"000")&amp;"_"&amp;TEXT(COUNTIF($E$4:E536,E536),"000"))),"")</f>
        <v/>
      </c>
      <c r="C536" s="984"/>
      <c r="D536" s="986"/>
      <c r="E536" s="986"/>
      <c r="F536" s="1018"/>
      <c r="G536" s="1040"/>
      <c r="H536" s="1090"/>
      <c r="I536" s="1091"/>
      <c r="J536" s="1092"/>
      <c r="K536" s="1092"/>
      <c r="L536" s="1093"/>
      <c r="M536" s="1090"/>
      <c r="N536" s="1024"/>
      <c r="O536" s="1024"/>
      <c r="P536" s="868"/>
      <c r="Q536" s="1032"/>
      <c r="R536" s="1094"/>
      <c r="S536" s="126"/>
      <c r="T536" s="1039"/>
      <c r="U536" s="1039"/>
    </row>
    <row r="537">
      <c r="A537" s="926" t="str">
        <f t="array" ref="A537">if(G537="","",XLOOKUP(D537,'プルダウンメニュー (SE用)'!$D$2:$D1028,'プルダウンメニュー (SE用)'!$C$2:$C1028))</f>
        <v/>
      </c>
      <c r="B537" s="926" t="str">
        <f>iferror(if(H537="GLOW流用","-",if(G537="","","SSE_"&amp;TEXT(vlookup(E537,'プルダウンメニュー (SE用)'!$E$2:$F1028,2,false),"000")&amp;"_"&amp;TEXT(COUNTIF($E$4:E537,E537),"000"))),"")</f>
        <v/>
      </c>
      <c r="C537" s="984"/>
      <c r="D537" s="986"/>
      <c r="E537" s="986"/>
      <c r="F537" s="1018"/>
      <c r="G537" s="1040"/>
      <c r="H537" s="1090"/>
      <c r="I537" s="1091"/>
      <c r="J537" s="1092"/>
      <c r="K537" s="1092"/>
      <c r="L537" s="1093"/>
      <c r="M537" s="1095"/>
      <c r="N537" s="904"/>
      <c r="O537" s="904"/>
      <c r="P537" s="868"/>
      <c r="Q537" s="1032"/>
      <c r="R537" s="1004"/>
      <c r="S537" s="126"/>
      <c r="T537" s="1039"/>
      <c r="U537" s="1039"/>
    </row>
    <row r="538">
      <c r="A538" s="926" t="str">
        <f t="array" ref="A538">if(G538="","",XLOOKUP(D538,'プルダウンメニュー (SE用)'!$D$2:$D1028,'プルダウンメニュー (SE用)'!$C$2:$C1028))</f>
        <v/>
      </c>
      <c r="B538" s="926" t="str">
        <f>iferror(if(H538="GLOW流用","-",if(G538="","","SSE_"&amp;TEXT(vlookup(E538,'プルダウンメニュー (SE用)'!$E$2:$F1028,2,false),"000")&amp;"_"&amp;TEXT(COUNTIF($E$4:E538,E538),"000"))),"")</f>
        <v/>
      </c>
      <c r="C538" s="984"/>
      <c r="D538" s="986"/>
      <c r="E538" s="986"/>
      <c r="F538" s="1018"/>
      <c r="G538" s="1040"/>
      <c r="H538" s="1090"/>
      <c r="I538" s="1091"/>
      <c r="J538" s="1092"/>
      <c r="K538" s="1092"/>
      <c r="L538" s="1093"/>
      <c r="M538" s="1096"/>
      <c r="N538" s="900"/>
      <c r="O538" s="900"/>
      <c r="P538" s="868"/>
      <c r="Q538" s="1032"/>
      <c r="R538" s="1004"/>
      <c r="S538" s="126"/>
      <c r="T538" s="1039"/>
      <c r="U538" s="1039"/>
    </row>
    <row r="539">
      <c r="A539" s="926" t="str">
        <f t="array" ref="A539">if(G539="","",XLOOKUP(D539,'プルダウンメニュー (SE用)'!$D$2:$D1028,'プルダウンメニュー (SE用)'!$C$2:$C1028))</f>
        <v/>
      </c>
      <c r="B539" s="926" t="str">
        <f>iferror(if(H539="GLOW流用","-",if(G539="","","SSE_"&amp;TEXT(vlookup(E539,'プルダウンメニュー (SE用)'!$E$2:$F1028,2,false),"000")&amp;"_"&amp;TEXT(COUNTIF($E$4:E539,E539),"000"))),"")</f>
        <v/>
      </c>
      <c r="C539" s="984"/>
      <c r="D539" s="986"/>
      <c r="E539" s="986"/>
      <c r="F539" s="1018"/>
      <c r="G539" s="1040"/>
      <c r="H539" s="1090"/>
      <c r="I539" s="1091"/>
      <c r="J539" s="1092"/>
      <c r="K539" s="1092"/>
      <c r="L539" s="1093"/>
      <c r="M539" s="1096"/>
      <c r="N539" s="900"/>
      <c r="O539" s="900"/>
      <c r="P539" s="868"/>
      <c r="Q539" s="1032"/>
      <c r="R539" s="1004"/>
      <c r="S539" s="126"/>
      <c r="T539" s="1039"/>
      <c r="U539" s="1039"/>
    </row>
    <row r="540">
      <c r="A540" s="926" t="str">
        <f t="array" ref="A540">if(G540="","",XLOOKUP(D540,'プルダウンメニュー (SE用)'!$D$2:$D1028,'プルダウンメニュー (SE用)'!$C$2:$C1028))</f>
        <v/>
      </c>
      <c r="B540" s="926" t="str">
        <f>iferror(if(H540="GLOW流用","-",if(G540="","","SSE_"&amp;TEXT(vlookup(E540,'プルダウンメニュー (SE用)'!$E$2:$F1028,2,false),"000")&amp;"_"&amp;TEXT(COUNTIF($E$4:E540,E540),"000"))),"")</f>
        <v/>
      </c>
      <c r="C540" s="984"/>
      <c r="D540" s="986"/>
      <c r="E540" s="986"/>
      <c r="F540" s="1018"/>
      <c r="G540" s="1040"/>
      <c r="H540" s="1090"/>
      <c r="I540" s="1091"/>
      <c r="J540" s="1092"/>
      <c r="K540" s="1092"/>
      <c r="L540" s="1093"/>
      <c r="M540" s="1096"/>
      <c r="N540" s="900"/>
      <c r="O540" s="900"/>
      <c r="P540" s="868"/>
      <c r="Q540" s="1032"/>
      <c r="R540" s="1004"/>
      <c r="S540" s="126"/>
      <c r="T540" s="1039"/>
      <c r="U540" s="1039"/>
    </row>
    <row r="541">
      <c r="A541" s="926" t="str">
        <f t="array" ref="A541">if(G541="","",XLOOKUP(D541,'プルダウンメニュー (SE用)'!$D$2:$D1028,'プルダウンメニュー (SE用)'!$C$2:$C1028))</f>
        <v/>
      </c>
      <c r="B541" s="926" t="str">
        <f>iferror(if(H541="GLOW流用","-",if(G541="","","SSE_"&amp;TEXT(vlookup(E541,'プルダウンメニュー (SE用)'!$E$2:$F1028,2,false),"000")&amp;"_"&amp;TEXT(COUNTIF($E$4:E541,E541),"000"))),"")</f>
        <v/>
      </c>
      <c r="C541" s="984"/>
      <c r="D541" s="986"/>
      <c r="E541" s="986"/>
      <c r="F541" s="1018"/>
      <c r="G541" s="1040"/>
      <c r="H541" s="1090"/>
      <c r="I541" s="1091"/>
      <c r="J541" s="1092"/>
      <c r="K541" s="1092"/>
      <c r="L541" s="1093"/>
      <c r="M541" s="1096"/>
      <c r="N541" s="900"/>
      <c r="O541" s="900"/>
      <c r="P541" s="868"/>
      <c r="Q541" s="1032"/>
      <c r="R541" s="1004"/>
      <c r="S541" s="126"/>
      <c r="T541" s="1039"/>
      <c r="U541" s="1039"/>
    </row>
    <row r="542">
      <c r="A542" s="926" t="str">
        <f t="array" ref="A542">if(G542="","",XLOOKUP(D542,'プルダウンメニュー (SE用)'!$D$2:$D1028,'プルダウンメニュー (SE用)'!$C$2:$C1028))</f>
        <v/>
      </c>
      <c r="B542" s="926" t="str">
        <f>iferror(if(H542="GLOW流用","-",if(G542="","","SSE_"&amp;TEXT(vlookup(E542,'プルダウンメニュー (SE用)'!$E$2:$F1028,2,false),"000")&amp;"_"&amp;TEXT(COUNTIF($E$4:E542,E542),"000"))),"")</f>
        <v/>
      </c>
      <c r="C542" s="984"/>
      <c r="D542" s="986"/>
      <c r="E542" s="986"/>
      <c r="F542" s="1018"/>
      <c r="G542" s="1040"/>
      <c r="H542" s="1090"/>
      <c r="I542" s="1091"/>
      <c r="J542" s="1092"/>
      <c r="K542" s="1092"/>
      <c r="L542" s="1093"/>
      <c r="M542" s="1096"/>
      <c r="N542" s="900"/>
      <c r="O542" s="900"/>
      <c r="P542" s="868"/>
      <c r="Q542" s="1032"/>
      <c r="R542" s="1004"/>
      <c r="S542" s="126"/>
      <c r="T542" s="1039"/>
      <c r="U542" s="1039"/>
    </row>
    <row r="543">
      <c r="A543" s="926" t="str">
        <f t="array" ref="A543">if(G543="","",XLOOKUP(D543,'プルダウンメニュー (SE用)'!$D$2:$D1028,'プルダウンメニュー (SE用)'!$C$2:$C1028))</f>
        <v/>
      </c>
      <c r="B543" s="926" t="str">
        <f>iferror(if(H543="GLOW流用","-",if(G543="","","SSE_"&amp;TEXT(vlookup(E543,'プルダウンメニュー (SE用)'!$E$2:$F1028,2,false),"000")&amp;"_"&amp;TEXT(COUNTIF($E$4:E543,E543),"000"))),"")</f>
        <v/>
      </c>
      <c r="C543" s="984"/>
      <c r="D543" s="986"/>
      <c r="E543" s="986"/>
      <c r="F543" s="1018"/>
      <c r="G543" s="1040"/>
      <c r="H543" s="1041"/>
      <c r="I543" s="1042"/>
      <c r="J543" s="1043"/>
      <c r="K543" s="1043"/>
      <c r="L543" s="1044"/>
      <c r="M543" s="1041"/>
      <c r="N543" s="1024"/>
      <c r="O543" s="1024"/>
      <c r="P543" s="868"/>
      <c r="Q543" s="1032"/>
      <c r="R543" s="1039"/>
      <c r="S543" s="126"/>
      <c r="T543" s="1039"/>
      <c r="U543" s="1039"/>
    </row>
    <row r="544">
      <c r="A544" s="926" t="str">
        <f t="array" ref="A544">if(G544="","",XLOOKUP(D544,'プルダウンメニュー (SE用)'!$D$2:$D1028,'プルダウンメニュー (SE用)'!$C$2:$C1028))</f>
        <v/>
      </c>
      <c r="B544" s="926" t="str">
        <f>iferror(if(H544="GLOW流用","-",if(G544="","","SSE_"&amp;TEXT(vlookup(E544,'プルダウンメニュー (SE用)'!$E$2:$F1028,2,false),"000")&amp;"_"&amp;TEXT(COUNTIF($E$4:E544,E544),"000"))),"")</f>
        <v/>
      </c>
      <c r="C544" s="984"/>
      <c r="D544" s="986"/>
      <c r="E544" s="986"/>
      <c r="F544" s="1018"/>
      <c r="G544" s="1040"/>
      <c r="H544" s="1041"/>
      <c r="I544" s="1042"/>
      <c r="J544" s="1043"/>
      <c r="K544" s="1043"/>
      <c r="L544" s="1044"/>
      <c r="M544" s="1041"/>
      <c r="N544" s="1024"/>
      <c r="O544" s="1024"/>
      <c r="P544" s="868"/>
      <c r="Q544" s="1032"/>
      <c r="R544" s="1039"/>
      <c r="S544" s="126"/>
      <c r="T544" s="1039"/>
      <c r="U544" s="1039"/>
    </row>
    <row r="545">
      <c r="A545" s="926" t="str">
        <f t="array" ref="A545">if(G545="","",XLOOKUP(D545,'プルダウンメニュー (SE用)'!$D$2:$D1028,'プルダウンメニュー (SE用)'!$C$2:$C1028))</f>
        <v/>
      </c>
      <c r="B545" s="926" t="str">
        <f>iferror(if(H545="GLOW流用","-",if(G545="","","SSE_"&amp;TEXT(vlookup(E545,'プルダウンメニュー (SE用)'!$E$2:$F1028,2,false),"000")&amp;"_"&amp;TEXT(COUNTIF($E$4:E545,E545),"000"))),"")</f>
        <v/>
      </c>
      <c r="C545" s="984"/>
      <c r="D545" s="986"/>
      <c r="E545" s="986"/>
      <c r="F545" s="1018"/>
      <c r="G545" s="1040"/>
      <c r="H545" s="1041"/>
      <c r="I545" s="1042"/>
      <c r="J545" s="1043"/>
      <c r="K545" s="1043"/>
      <c r="L545" s="1044"/>
      <c r="M545" s="1041"/>
      <c r="N545" s="1024"/>
      <c r="O545" s="1024"/>
      <c r="P545" s="868"/>
      <c r="Q545" s="1032"/>
      <c r="R545" s="1039"/>
      <c r="S545" s="126"/>
      <c r="T545" s="1039"/>
      <c r="U545" s="1039"/>
    </row>
    <row r="546">
      <c r="A546" s="926" t="str">
        <f t="array" ref="A546">if(G546="","",XLOOKUP(D546,'プルダウンメニュー (SE用)'!$D$2:$D1028,'プルダウンメニュー (SE用)'!$C$2:$C1028))</f>
        <v/>
      </c>
      <c r="B546" s="926" t="str">
        <f>iferror(if(H546="GLOW流用","-",if(G546="","","SSE_"&amp;TEXT(vlookup(E546,'プルダウンメニュー (SE用)'!$E$2:$F1028,2,false),"000")&amp;"_"&amp;TEXT(COUNTIF($E$4:E546,E546),"000"))),"")</f>
        <v/>
      </c>
      <c r="C546" s="984"/>
      <c r="D546" s="986"/>
      <c r="E546" s="986"/>
      <c r="F546" s="1018"/>
      <c r="G546" s="1040"/>
      <c r="H546" s="1041"/>
      <c r="I546" s="1042"/>
      <c r="J546" s="1043"/>
      <c r="K546" s="1043"/>
      <c r="L546" s="1044"/>
      <c r="M546" s="1041"/>
      <c r="N546" s="1024"/>
      <c r="O546" s="1024"/>
      <c r="P546" s="868"/>
      <c r="Q546" s="1032"/>
      <c r="R546" s="1039"/>
      <c r="S546" s="126"/>
      <c r="T546" s="1039"/>
      <c r="U546" s="1039"/>
    </row>
    <row r="547">
      <c r="A547" s="926" t="str">
        <f t="array" ref="A547">if(G547="","",XLOOKUP(D547,'プルダウンメニュー (SE用)'!$D$2:$D1028,'プルダウンメニュー (SE用)'!$C$2:$C1028))</f>
        <v/>
      </c>
      <c r="B547" s="926" t="str">
        <f>iferror(if(H547="GLOW流用","-",if(G547="","","SSE_"&amp;TEXT(vlookup(E547,'プルダウンメニュー (SE用)'!$E$2:$F1028,2,false),"000")&amp;"_"&amp;TEXT(COUNTIF($E$4:E547,E547),"000"))),"")</f>
        <v/>
      </c>
      <c r="C547" s="984"/>
      <c r="D547" s="986"/>
      <c r="E547" s="986"/>
      <c r="F547" s="1018"/>
      <c r="G547" s="1040"/>
      <c r="H547" s="1041"/>
      <c r="I547" s="1042"/>
      <c r="J547" s="1043"/>
      <c r="K547" s="1043"/>
      <c r="L547" s="1044"/>
      <c r="M547" s="1041"/>
      <c r="N547" s="1024"/>
      <c r="O547" s="1024"/>
      <c r="P547" s="868"/>
      <c r="Q547" s="1032"/>
      <c r="R547" s="1039"/>
      <c r="S547" s="126"/>
      <c r="T547" s="1039"/>
      <c r="U547" s="1039"/>
    </row>
    <row r="548">
      <c r="A548" s="926" t="str">
        <f t="array" ref="A548">if(G548="","",XLOOKUP(D548,'プルダウンメニュー (SE用)'!$D$2:$D1028,'プルダウンメニュー (SE用)'!$C$2:$C1028))</f>
        <v/>
      </c>
      <c r="B548" s="926" t="str">
        <f>iferror(if(H548="GLOW流用","-",if(G548="","","SSE_"&amp;TEXT(vlookup(E548,'プルダウンメニュー (SE用)'!$E$2:$F1028,2,false),"000")&amp;"_"&amp;TEXT(COUNTIF($E$4:E548,E548),"000"))),"")</f>
        <v/>
      </c>
      <c r="C548" s="984"/>
      <c r="D548" s="986"/>
      <c r="E548" s="986"/>
      <c r="F548" s="1018"/>
      <c r="G548" s="1040"/>
      <c r="H548" s="1041"/>
      <c r="I548" s="1042"/>
      <c r="J548" s="1043"/>
      <c r="K548" s="1043"/>
      <c r="L548" s="1044"/>
      <c r="M548" s="1041"/>
      <c r="N548" s="1024"/>
      <c r="O548" s="1024"/>
      <c r="P548" s="868"/>
      <c r="Q548" s="1032"/>
      <c r="R548" s="1039"/>
      <c r="S548" s="126"/>
      <c r="T548" s="1039"/>
      <c r="U548" s="1039"/>
    </row>
    <row r="549">
      <c r="A549" s="926" t="str">
        <f t="array" ref="A549">if(G549="","",XLOOKUP(D549,'プルダウンメニュー (SE用)'!$D$2:$D1028,'プルダウンメニュー (SE用)'!$C$2:$C1028))</f>
        <v/>
      </c>
      <c r="B549" s="926" t="str">
        <f>iferror(if(H549="GLOW流用","-",if(G549="","","SSE_"&amp;TEXT(vlookup(E549,'プルダウンメニュー (SE用)'!$E$2:$F1028,2,false),"000")&amp;"_"&amp;TEXT(COUNTIF($E$4:E549,E549),"000"))),"")</f>
        <v/>
      </c>
      <c r="C549" s="984"/>
      <c r="D549" s="986"/>
      <c r="E549" s="986"/>
      <c r="F549" s="1018"/>
      <c r="G549" s="1040"/>
      <c r="H549" s="1041"/>
      <c r="I549" s="1042"/>
      <c r="J549" s="1043"/>
      <c r="K549" s="1043"/>
      <c r="L549" s="1044"/>
      <c r="M549" s="1041"/>
      <c r="N549" s="1024"/>
      <c r="O549" s="1024"/>
      <c r="P549" s="868"/>
      <c r="Q549" s="1032"/>
      <c r="R549" s="1039"/>
      <c r="S549" s="126"/>
      <c r="T549" s="1039"/>
      <c r="U549" s="1039"/>
    </row>
    <row r="550">
      <c r="A550" s="926" t="str">
        <f t="array" ref="A550">if(G550="","",XLOOKUP(D550,'プルダウンメニュー (SE用)'!$D$2:$D1028,'プルダウンメニュー (SE用)'!$C$2:$C1028))</f>
        <v/>
      </c>
      <c r="B550" s="926" t="str">
        <f>iferror(if(H550="GLOW流用","-",if(G550="","","SSE_"&amp;TEXT(vlookup(E550,'プルダウンメニュー (SE用)'!$E$2:$F1028,2,false),"000")&amp;"_"&amp;TEXT(COUNTIF($E$4:E550,E550),"000"))),"")</f>
        <v/>
      </c>
      <c r="C550" s="984"/>
      <c r="D550" s="986"/>
      <c r="E550" s="986"/>
      <c r="F550" s="1018"/>
      <c r="G550" s="1040"/>
      <c r="H550" s="1041"/>
      <c r="I550" s="1042"/>
      <c r="J550" s="1043"/>
      <c r="K550" s="1043"/>
      <c r="L550" s="1044"/>
      <c r="M550" s="1041"/>
      <c r="N550" s="1024"/>
      <c r="O550" s="1024"/>
      <c r="P550" s="868"/>
      <c r="Q550" s="1032"/>
      <c r="R550" s="1039"/>
      <c r="S550" s="126"/>
      <c r="T550" s="1039"/>
      <c r="U550" s="1039"/>
    </row>
    <row r="551">
      <c r="A551" s="926" t="str">
        <f t="array" ref="A551">if(G551="","",XLOOKUP(D551,'プルダウンメニュー (SE用)'!$D$2:$D1028,'プルダウンメニュー (SE用)'!$C$2:$C1028))</f>
        <v/>
      </c>
      <c r="B551" s="926" t="str">
        <f>iferror(if(H551="GLOW流用","-",if(G551="","","SSE_"&amp;TEXT(vlookup(E551,'プルダウンメニュー (SE用)'!$E$2:$F1028,2,false),"000")&amp;"_"&amp;TEXT(COUNTIF($E$4:E551,E551),"000"))),"")</f>
        <v/>
      </c>
      <c r="C551" s="984"/>
      <c r="D551" s="986"/>
      <c r="E551" s="986"/>
      <c r="F551" s="1018"/>
      <c r="G551" s="1040"/>
      <c r="H551" s="1041"/>
      <c r="I551" s="1042"/>
      <c r="J551" s="1043"/>
      <c r="K551" s="1043"/>
      <c r="L551" s="1044"/>
      <c r="M551" s="1041"/>
      <c r="N551" s="1024"/>
      <c r="O551" s="1024"/>
      <c r="P551" s="868"/>
      <c r="Q551" s="1032"/>
      <c r="R551" s="1039"/>
      <c r="S551" s="126"/>
      <c r="T551" s="1039"/>
      <c r="U551" s="1039"/>
    </row>
    <row r="552">
      <c r="A552" s="926" t="str">
        <f t="array" ref="A552">if(G552="","",XLOOKUP(D552,'プルダウンメニュー (SE用)'!$D$2:$D1028,'プルダウンメニュー (SE用)'!$C$2:$C1028))</f>
        <v/>
      </c>
      <c r="B552" s="926" t="str">
        <f>iferror(if(H552="GLOW流用","-",if(G552="","","SSE_"&amp;TEXT(vlookup(E552,'プルダウンメニュー (SE用)'!$E$2:$F1028,2,false),"000")&amp;"_"&amp;TEXT(COUNTIF($E$4:E552,E552),"000"))),"")</f>
        <v/>
      </c>
      <c r="C552" s="984"/>
      <c r="D552" s="986"/>
      <c r="E552" s="986"/>
      <c r="F552" s="1018"/>
      <c r="G552" s="1040"/>
      <c r="H552" s="1041"/>
      <c r="I552" s="1042"/>
      <c r="J552" s="1043"/>
      <c r="K552" s="1043"/>
      <c r="L552" s="1044"/>
      <c r="M552" s="1041"/>
      <c r="N552" s="1024"/>
      <c r="O552" s="1024"/>
      <c r="P552" s="868"/>
      <c r="Q552" s="1032"/>
      <c r="R552" s="1039"/>
      <c r="S552" s="126"/>
      <c r="T552" s="1039"/>
      <c r="U552" s="1039"/>
    </row>
    <row r="553">
      <c r="A553" s="926" t="str">
        <f t="array" ref="A553">if(G553="","",XLOOKUP(D553,'プルダウンメニュー (SE用)'!$D$2:$D1028,'プルダウンメニュー (SE用)'!$C$2:$C1028))</f>
        <v/>
      </c>
      <c r="B553" s="926" t="str">
        <f>iferror(if(H553="GLOW流用","-",if(G553="","","SSE_"&amp;TEXT(vlookup(E553,'プルダウンメニュー (SE用)'!$E$2:$F1028,2,false),"000")&amp;"_"&amp;TEXT(COUNTIF($E$4:E553,E553),"000"))),"")</f>
        <v/>
      </c>
      <c r="C553" s="984"/>
      <c r="D553" s="986"/>
      <c r="E553" s="986"/>
      <c r="F553" s="1018"/>
      <c r="G553" s="1040"/>
      <c r="H553" s="1041"/>
      <c r="I553" s="1042"/>
      <c r="J553" s="1043"/>
      <c r="K553" s="1043"/>
      <c r="L553" s="1044"/>
      <c r="M553" s="1041"/>
      <c r="N553" s="1024"/>
      <c r="O553" s="1024"/>
      <c r="P553" s="868"/>
      <c r="Q553" s="1032"/>
      <c r="R553" s="1039"/>
      <c r="S553" s="126"/>
      <c r="T553" s="1039"/>
      <c r="U553" s="1039"/>
    </row>
    <row r="554">
      <c r="A554" s="926" t="str">
        <f t="array" ref="A554">if(G554="","",XLOOKUP(D554,'プルダウンメニュー (SE用)'!$D$2:$D1028,'プルダウンメニュー (SE用)'!$C$2:$C1028))</f>
        <v/>
      </c>
      <c r="B554" s="926" t="str">
        <f>iferror(if(H554="GLOW流用","-",if(G554="","","SSE_"&amp;TEXT(vlookup(E554,'プルダウンメニュー (SE用)'!$E$2:$F1028,2,false),"000")&amp;"_"&amp;TEXT(COUNTIF($E$4:E554,E554),"000"))),"")</f>
        <v/>
      </c>
      <c r="C554" s="984"/>
      <c r="D554" s="986"/>
      <c r="E554" s="986"/>
      <c r="F554" s="1018"/>
      <c r="G554" s="1040"/>
      <c r="H554" s="1041"/>
      <c r="I554" s="1042"/>
      <c r="J554" s="1043"/>
      <c r="K554" s="1043"/>
      <c r="L554" s="1044"/>
      <c r="M554" s="1041"/>
      <c r="N554" s="1024"/>
      <c r="O554" s="1024"/>
      <c r="P554" s="868"/>
      <c r="Q554" s="1032"/>
      <c r="R554" s="1039"/>
      <c r="S554" s="126"/>
      <c r="T554" s="1039"/>
      <c r="U554" s="1039"/>
    </row>
    <row r="555">
      <c r="A555" s="926" t="str">
        <f t="array" ref="A555">if(G555="","",XLOOKUP(D555,'プルダウンメニュー (SE用)'!$D$2:$D1028,'プルダウンメニュー (SE用)'!$C$2:$C1028))</f>
        <v/>
      </c>
      <c r="B555" s="926" t="str">
        <f>iferror(if(H555="GLOW流用","-",if(G555="","","SSE_"&amp;TEXT(vlookup(E555,'プルダウンメニュー (SE用)'!$E$2:$F1028,2,false),"000")&amp;"_"&amp;TEXT(COUNTIF($E$4:E555,E555),"000"))),"")</f>
        <v/>
      </c>
      <c r="C555" s="984"/>
      <c r="D555" s="986"/>
      <c r="E555" s="986"/>
      <c r="F555" s="1018"/>
      <c r="G555" s="1040"/>
      <c r="H555" s="1041"/>
      <c r="I555" s="1042"/>
      <c r="J555" s="1043"/>
      <c r="K555" s="1043"/>
      <c r="L555" s="1044"/>
      <c r="M555" s="1041"/>
      <c r="N555" s="1024"/>
      <c r="O555" s="1024"/>
      <c r="P555" s="868"/>
      <c r="Q555" s="1032"/>
      <c r="R555" s="1039"/>
      <c r="S555" s="126"/>
      <c r="T555" s="1039"/>
      <c r="U555" s="1039"/>
    </row>
    <row r="556">
      <c r="A556" s="926" t="str">
        <f t="array" ref="A556">if(G556="","",XLOOKUP(D556,'プルダウンメニュー (SE用)'!$D$2:$D1028,'プルダウンメニュー (SE用)'!$C$2:$C1028))</f>
        <v/>
      </c>
      <c r="B556" s="926" t="str">
        <f>iferror(if(H556="GLOW流用","-",if(G556="","","SSE_"&amp;TEXT(vlookup(E556,'プルダウンメニュー (SE用)'!$E$2:$F1028,2,false),"000")&amp;"_"&amp;TEXT(COUNTIF($E$4:E556,E556),"000"))),"")</f>
        <v/>
      </c>
      <c r="C556" s="984"/>
      <c r="D556" s="986"/>
      <c r="E556" s="986"/>
      <c r="F556" s="1018"/>
      <c r="G556" s="1040"/>
      <c r="H556" s="1097"/>
      <c r="I556" s="1098"/>
      <c r="J556" s="1099"/>
      <c r="K556" s="1099"/>
      <c r="L556" s="1100"/>
      <c r="M556" s="1101"/>
      <c r="N556" s="904"/>
      <c r="O556" s="904"/>
      <c r="P556" s="868"/>
      <c r="Q556" s="1032"/>
      <c r="R556" s="1004"/>
      <c r="S556" s="126"/>
      <c r="T556" s="1039"/>
      <c r="U556" s="1039"/>
    </row>
    <row r="557">
      <c r="A557" s="926" t="str">
        <f t="array" ref="A557">if(G557="","",XLOOKUP(D557,'プルダウンメニュー (SE用)'!$D$2:$D1028,'プルダウンメニュー (SE用)'!$C$2:$C1028))</f>
        <v/>
      </c>
      <c r="B557" s="926" t="str">
        <f>iferror(if(H557="GLOW流用","-",if(G557="","","SSE_"&amp;TEXT(vlookup(E557,'プルダウンメニュー (SE用)'!$E$2:$F1028,2,false),"000")&amp;"_"&amp;TEXT(COUNTIF($E$4:E557,E557),"000"))),"")</f>
        <v/>
      </c>
      <c r="C557" s="984"/>
      <c r="D557" s="986"/>
      <c r="E557" s="986"/>
      <c r="F557" s="1018"/>
      <c r="G557" s="1040"/>
      <c r="H557" s="1041"/>
      <c r="I557" s="1042"/>
      <c r="J557" s="1043"/>
      <c r="K557" s="1043"/>
      <c r="L557" s="1044"/>
      <c r="M557" s="1041"/>
      <c r="N557" s="1024"/>
      <c r="O557" s="1024"/>
      <c r="P557" s="868"/>
      <c r="Q557" s="1032"/>
      <c r="R557" s="1039"/>
      <c r="S557" s="126"/>
      <c r="T557" s="1039"/>
      <c r="U557" s="1039"/>
    </row>
    <row r="558">
      <c r="A558" s="926" t="str">
        <f t="array" ref="A558">if(G558="","",XLOOKUP(D558,'プルダウンメニュー (SE用)'!$D$2:$D1028,'プルダウンメニュー (SE用)'!$C$2:$C1028))</f>
        <v/>
      </c>
      <c r="B558" s="926" t="str">
        <f>iferror(if(H558="GLOW流用","-",if(G558="","","SSE_"&amp;TEXT(vlookup(E558,'プルダウンメニュー (SE用)'!$E$2:$F1028,2,false),"000")&amp;"_"&amp;TEXT(COUNTIF($E$4:E558,E558),"000"))),"")</f>
        <v/>
      </c>
      <c r="C558" s="984"/>
      <c r="D558" s="986"/>
      <c r="E558" s="986"/>
      <c r="F558" s="1018"/>
      <c r="G558" s="1040"/>
      <c r="H558" s="1041"/>
      <c r="I558" s="1042"/>
      <c r="J558" s="1043"/>
      <c r="K558" s="1043"/>
      <c r="L558" s="1044"/>
      <c r="M558" s="1041"/>
      <c r="N558" s="1024"/>
      <c r="O558" s="1024"/>
      <c r="P558" s="868"/>
      <c r="Q558" s="1032"/>
      <c r="R558" s="1039"/>
      <c r="S558" s="126"/>
      <c r="T558" s="1039"/>
      <c r="U558" s="1039"/>
    </row>
    <row r="559">
      <c r="A559" s="926" t="str">
        <f t="array" ref="A559">if(G559="","",XLOOKUP(D559,'プルダウンメニュー (SE用)'!$D$2:$D1028,'プルダウンメニュー (SE用)'!$C$2:$C1028))</f>
        <v/>
      </c>
      <c r="B559" s="926" t="str">
        <f>iferror(if(H559="GLOW流用","-",if(G559="","","SSE_"&amp;TEXT(vlookup(E559,'プルダウンメニュー (SE用)'!$E$2:$F1028,2,false),"000")&amp;"_"&amp;TEXT(COUNTIF($E$4:E559,E559),"000"))),"")</f>
        <v/>
      </c>
      <c r="C559" s="984"/>
      <c r="D559" s="986"/>
      <c r="E559" s="986"/>
      <c r="F559" s="1018"/>
      <c r="G559" s="1040"/>
      <c r="H559" s="1041"/>
      <c r="I559" s="1042"/>
      <c r="J559" s="1043"/>
      <c r="K559" s="1043"/>
      <c r="L559" s="1044"/>
      <c r="M559" s="1041"/>
      <c r="N559" s="1024"/>
      <c r="O559" s="1024"/>
      <c r="P559" s="868"/>
      <c r="Q559" s="1032"/>
      <c r="R559" s="1039"/>
      <c r="S559" s="126"/>
      <c r="T559" s="1039"/>
      <c r="U559" s="1039"/>
    </row>
    <row r="560">
      <c r="A560" s="926" t="str">
        <f t="array" ref="A560">if(G560="","",XLOOKUP(D560,'プルダウンメニュー (SE用)'!$D$2:$D1028,'プルダウンメニュー (SE用)'!$C$2:$C1028))</f>
        <v/>
      </c>
      <c r="B560" s="926" t="str">
        <f>iferror(if(H560="GLOW流用","-",if(G560="","","SSE_"&amp;TEXT(vlookup(E560,'プルダウンメニュー (SE用)'!$E$2:$F1028,2,false),"000")&amp;"_"&amp;TEXT(COUNTIF($E$4:E560,E560),"000"))),"")</f>
        <v/>
      </c>
      <c r="C560" s="984"/>
      <c r="D560" s="986"/>
      <c r="E560" s="986"/>
      <c r="F560" s="1018"/>
      <c r="G560" s="1040"/>
      <c r="H560" s="1041"/>
      <c r="I560" s="1042"/>
      <c r="J560" s="1043"/>
      <c r="K560" s="1043"/>
      <c r="L560" s="1044"/>
      <c r="M560" s="1041"/>
      <c r="N560" s="1024"/>
      <c r="O560" s="1024"/>
      <c r="P560" s="868"/>
      <c r="Q560" s="1032"/>
      <c r="R560" s="1039"/>
      <c r="S560" s="126"/>
      <c r="T560" s="1039"/>
      <c r="U560" s="1039"/>
    </row>
    <row r="561">
      <c r="A561" s="926" t="str">
        <f t="array" ref="A561">if(G561="","",XLOOKUP(D561,'プルダウンメニュー (SE用)'!$D$2:$D1028,'プルダウンメニュー (SE用)'!$C$2:$C1028))</f>
        <v/>
      </c>
      <c r="B561" s="926" t="str">
        <f>iferror(if(H561="GLOW流用","-",if(G561="","","SSE_"&amp;TEXT(vlookup(E561,'プルダウンメニュー (SE用)'!$E$2:$F1028,2,false),"000")&amp;"_"&amp;TEXT(COUNTIF($E$4:E561,E561),"000"))),"")</f>
        <v/>
      </c>
      <c r="C561" s="984"/>
      <c r="D561" s="986"/>
      <c r="E561" s="986"/>
      <c r="F561" s="1018"/>
      <c r="G561" s="1040"/>
      <c r="H561" s="1041"/>
      <c r="I561" s="1042"/>
      <c r="J561" s="1043"/>
      <c r="K561" s="1043"/>
      <c r="L561" s="1044"/>
      <c r="M561" s="1041"/>
      <c r="N561" s="1024"/>
      <c r="O561" s="1024"/>
      <c r="P561" s="868"/>
      <c r="Q561" s="1032"/>
      <c r="R561" s="1039"/>
      <c r="S561" s="126"/>
      <c r="T561" s="1039"/>
      <c r="U561" s="1039"/>
    </row>
    <row r="562">
      <c r="A562" s="926" t="str">
        <f t="array" ref="A562">if(G562="","",XLOOKUP(D562,'プルダウンメニュー (SE用)'!$D$2:$D1028,'プルダウンメニュー (SE用)'!$C$2:$C1028))</f>
        <v/>
      </c>
      <c r="B562" s="926" t="str">
        <f>iferror(if(H562="GLOW流用","-",if(G562="","","SSE_"&amp;TEXT(vlookup(E562,'プルダウンメニュー (SE用)'!$E$2:$F1028,2,false),"000")&amp;"_"&amp;TEXT(COUNTIF($E$4:E562,E562),"000"))),"")</f>
        <v/>
      </c>
      <c r="C562" s="984"/>
      <c r="D562" s="986"/>
      <c r="E562" s="986"/>
      <c r="F562" s="1018"/>
      <c r="G562" s="1040"/>
      <c r="H562" s="1041"/>
      <c r="I562" s="1042"/>
      <c r="J562" s="1043"/>
      <c r="K562" s="1043"/>
      <c r="L562" s="1044"/>
      <c r="M562" s="1041"/>
      <c r="N562" s="1024"/>
      <c r="O562" s="1024"/>
      <c r="P562" s="868"/>
      <c r="Q562" s="1032"/>
      <c r="R562" s="1039"/>
      <c r="S562" s="126"/>
      <c r="T562" s="1039"/>
      <c r="U562" s="1039"/>
    </row>
    <row r="563">
      <c r="A563" s="926" t="str">
        <f t="array" ref="A563">if(G563="","",XLOOKUP(D563,'プルダウンメニュー (SE用)'!$D$2:$D1028,'プルダウンメニュー (SE用)'!$C$2:$C1028))</f>
        <v/>
      </c>
      <c r="B563" s="926" t="str">
        <f>iferror(if(H563="GLOW流用","-",if(G563="","","SSE_"&amp;TEXT(vlookup(E563,'プルダウンメニュー (SE用)'!$E$2:$F1028,2,false),"000")&amp;"_"&amp;TEXT(COUNTIF($E$4:E563,E563),"000"))),"")</f>
        <v/>
      </c>
      <c r="C563" s="984"/>
      <c r="D563" s="986"/>
      <c r="E563" s="986"/>
      <c r="F563" s="1018"/>
      <c r="G563" s="1040"/>
      <c r="H563" s="1041"/>
      <c r="I563" s="1042"/>
      <c r="J563" s="1043"/>
      <c r="K563" s="1043"/>
      <c r="L563" s="1044"/>
      <c r="M563" s="1041"/>
      <c r="N563" s="1024"/>
      <c r="O563" s="1024"/>
      <c r="P563" s="868"/>
      <c r="Q563" s="1032"/>
      <c r="R563" s="1039"/>
      <c r="S563" s="126"/>
      <c r="T563" s="1039"/>
      <c r="U563" s="1039"/>
    </row>
    <row r="564">
      <c r="A564" s="926" t="str">
        <f t="array" ref="A564">if(G564="","",XLOOKUP(D564,'プルダウンメニュー (SE用)'!$D$2:$D1028,'プルダウンメニュー (SE用)'!$C$2:$C1028))</f>
        <v/>
      </c>
      <c r="B564" s="926" t="str">
        <f>iferror(if(H564="GLOW流用","-",if(G564="","","SSE_"&amp;TEXT(vlookup(E564,'プルダウンメニュー (SE用)'!$E$2:$F1028,2,false),"000")&amp;"_"&amp;TEXT(COUNTIF($E$4:E564,E564),"000"))),"")</f>
        <v/>
      </c>
      <c r="C564" s="984"/>
      <c r="D564" s="986"/>
      <c r="E564" s="986"/>
      <c r="F564" s="1018"/>
      <c r="G564" s="1040"/>
      <c r="H564" s="1102"/>
      <c r="I564" s="1103"/>
      <c r="J564" s="1104"/>
      <c r="K564" s="1104"/>
      <c r="L564" s="1105"/>
      <c r="M564" s="1106"/>
      <c r="N564" s="904"/>
      <c r="O564" s="904"/>
      <c r="P564" s="868"/>
      <c r="Q564" s="1032"/>
      <c r="R564" s="1004"/>
      <c r="S564" s="126"/>
      <c r="T564" s="1039"/>
      <c r="U564" s="1039"/>
    </row>
    <row r="565">
      <c r="A565" s="926" t="str">
        <f t="array" ref="A565">if(G565="","",XLOOKUP(D565,'プルダウンメニュー (SE用)'!$D$2:$D1028,'プルダウンメニュー (SE用)'!$C$2:$C1028))</f>
        <v/>
      </c>
      <c r="B565" s="926" t="str">
        <f>iferror(if(H565="GLOW流用","-",if(G565="","","SSE_"&amp;TEXT(vlookup(E565,'プルダウンメニュー (SE用)'!$E$2:$F1028,2,false),"000")&amp;"_"&amp;TEXT(COUNTIF($E$4:E565,E565),"000"))),"")</f>
        <v/>
      </c>
      <c r="C565" s="984"/>
      <c r="D565" s="986"/>
      <c r="E565" s="986"/>
      <c r="F565" s="1018"/>
      <c r="G565" s="1040"/>
      <c r="H565" s="1041"/>
      <c r="I565" s="1042"/>
      <c r="J565" s="1043"/>
      <c r="K565" s="1043"/>
      <c r="L565" s="1044"/>
      <c r="M565" s="1041"/>
      <c r="N565" s="1024"/>
      <c r="O565" s="1024"/>
      <c r="P565" s="868"/>
      <c r="Q565" s="1032"/>
      <c r="R565" s="1039"/>
      <c r="S565" s="126"/>
      <c r="T565" s="1039"/>
      <c r="U565" s="1039"/>
    </row>
    <row r="566">
      <c r="A566" s="926" t="str">
        <f t="array" ref="A566">if(G566="","",XLOOKUP(D566,'プルダウンメニュー (SE用)'!$D$2:$D1028,'プルダウンメニュー (SE用)'!$C$2:$C1028))</f>
        <v/>
      </c>
      <c r="B566" s="926" t="str">
        <f>iferror(if(H566="GLOW流用","-",if(G566="","","SSE_"&amp;TEXT(vlookup(E566,'プルダウンメニュー (SE用)'!$E$2:$F1028,2,false),"000")&amp;"_"&amp;TEXT(COUNTIF($E$4:E566,E566),"000"))),"")</f>
        <v/>
      </c>
      <c r="C566" s="984"/>
      <c r="D566" s="986"/>
      <c r="E566" s="986"/>
      <c r="F566" s="1018"/>
      <c r="G566" s="1040"/>
      <c r="H566" s="1041"/>
      <c r="I566" s="1042"/>
      <c r="J566" s="1043"/>
      <c r="K566" s="1043"/>
      <c r="L566" s="1044"/>
      <c r="M566" s="1041"/>
      <c r="N566" s="1024"/>
      <c r="O566" s="1024"/>
      <c r="P566" s="868"/>
      <c r="Q566" s="1032"/>
      <c r="R566" s="1039"/>
      <c r="S566" s="126"/>
      <c r="T566" s="1039"/>
      <c r="U566" s="1039"/>
    </row>
    <row r="567">
      <c r="A567" s="926" t="str">
        <f t="array" ref="A567">if(G567="","",XLOOKUP(D567,'プルダウンメニュー (SE用)'!$D$2:$D1028,'プルダウンメニュー (SE用)'!$C$2:$C1028))</f>
        <v/>
      </c>
      <c r="B567" s="926" t="str">
        <f>iferror(if(H567="GLOW流用","-",if(G567="","","SSE_"&amp;TEXT(vlookup(E567,'プルダウンメニュー (SE用)'!$E$2:$F1028,2,false),"000")&amp;"_"&amp;TEXT(COUNTIF($E$4:E567,E567),"000"))),"")</f>
        <v/>
      </c>
      <c r="C567" s="984"/>
      <c r="D567" s="986"/>
      <c r="E567" s="986"/>
      <c r="F567" s="1018"/>
      <c r="G567" s="1040"/>
      <c r="H567" s="1041"/>
      <c r="I567" s="1042"/>
      <c r="J567" s="1043"/>
      <c r="K567" s="1043"/>
      <c r="L567" s="1044"/>
      <c r="M567" s="1041"/>
      <c r="N567" s="1024"/>
      <c r="O567" s="1024"/>
      <c r="P567" s="868"/>
      <c r="Q567" s="1032"/>
      <c r="R567" s="1039"/>
      <c r="S567" s="126"/>
      <c r="T567" s="1039"/>
      <c r="U567" s="1039"/>
    </row>
    <row r="568">
      <c r="A568" s="926" t="str">
        <f t="array" ref="A568">if(G568="","",XLOOKUP(D568,'プルダウンメニュー (SE用)'!$D$2:$D1028,'プルダウンメニュー (SE用)'!$C$2:$C1028))</f>
        <v/>
      </c>
      <c r="B568" s="926" t="str">
        <f>iferror(if(H568="GLOW流用","-",if(G568="","","SSE_"&amp;TEXT(vlookup(E568,'プルダウンメニュー (SE用)'!$E$2:$F1028,2,false),"000")&amp;"_"&amp;TEXT(COUNTIF($E$4:E568,E568),"000"))),"")</f>
        <v/>
      </c>
      <c r="C568" s="984"/>
      <c r="D568" s="986"/>
      <c r="E568" s="986"/>
      <c r="F568" s="1018"/>
      <c r="G568" s="1040"/>
      <c r="H568" s="1041"/>
      <c r="I568" s="1042"/>
      <c r="J568" s="1043"/>
      <c r="K568" s="1043"/>
      <c r="L568" s="1044"/>
      <c r="M568" s="1041"/>
      <c r="N568" s="1024"/>
      <c r="O568" s="1024"/>
      <c r="P568" s="868"/>
      <c r="Q568" s="1032"/>
      <c r="R568" s="1039"/>
      <c r="S568" s="126"/>
      <c r="T568" s="1039"/>
      <c r="U568" s="1039"/>
    </row>
    <row r="569">
      <c r="A569" s="926" t="str">
        <f t="array" ref="A569">if(G569="","",XLOOKUP(D569,'プルダウンメニュー (SE用)'!$D$2:$D1028,'プルダウンメニュー (SE用)'!$C$2:$C1028))</f>
        <v/>
      </c>
      <c r="B569" s="926" t="str">
        <f>iferror(if(H569="GLOW流用","-",if(G569="","","SSE_"&amp;TEXT(vlookup(E569,'プルダウンメニュー (SE用)'!$E$2:$F1028,2,false),"000")&amp;"_"&amp;TEXT(COUNTIF($E$4:E569,E569),"000"))),"")</f>
        <v/>
      </c>
      <c r="C569" s="984"/>
      <c r="D569" s="986"/>
      <c r="E569" s="986"/>
      <c r="F569" s="1018"/>
      <c r="G569" s="1040"/>
      <c r="H569" s="1061"/>
      <c r="I569" s="1062"/>
      <c r="J569" s="1063"/>
      <c r="K569" s="1063"/>
      <c r="L569" s="1064"/>
      <c r="M569" s="1065"/>
      <c r="N569" s="904"/>
      <c r="O569" s="904"/>
      <c r="P569" s="868"/>
      <c r="Q569" s="1032"/>
      <c r="R569" s="1004"/>
      <c r="S569" s="126"/>
      <c r="T569" s="1039"/>
      <c r="U569" s="1039"/>
    </row>
    <row r="570">
      <c r="A570" s="926" t="str">
        <f t="array" ref="A570">if(G570="","",XLOOKUP(D570,'プルダウンメニュー (SE用)'!$D$2:$D1028,'プルダウンメニュー (SE用)'!$C$2:$C1028))</f>
        <v/>
      </c>
      <c r="B570" s="926" t="str">
        <f>iferror(if(H570="GLOW流用","-",if(G570="","","SSE_"&amp;TEXT(vlookup(E570,'プルダウンメニュー (SE用)'!$E$2:$F1028,2,false),"000")&amp;"_"&amp;TEXT(COUNTIF($E$4:E570,E570),"000"))),"")</f>
        <v/>
      </c>
      <c r="C570" s="984"/>
      <c r="D570" s="986"/>
      <c r="E570" s="986"/>
      <c r="F570" s="1018"/>
      <c r="G570" s="1040"/>
      <c r="H570" s="1056"/>
      <c r="I570" s="1057"/>
      <c r="J570" s="1058"/>
      <c r="K570" s="1058"/>
      <c r="L570" s="1059"/>
      <c r="M570" s="1060"/>
      <c r="N570" s="900"/>
      <c r="O570" s="900"/>
      <c r="P570" s="868"/>
      <c r="Q570" s="1032"/>
      <c r="R570" s="1004"/>
      <c r="S570" s="126"/>
      <c r="T570" s="1039"/>
      <c r="U570" s="1039"/>
    </row>
    <row r="571">
      <c r="A571" s="926" t="str">
        <f t="array" ref="A571">if(G571="","",XLOOKUP(D571,'プルダウンメニュー (SE用)'!$D$2:$D1028,'プルダウンメニュー (SE用)'!$C$2:$C1028))</f>
        <v/>
      </c>
      <c r="B571" s="926" t="str">
        <f>iferror(if(H571="GLOW流用","-",if(G571="","","SSE_"&amp;TEXT(vlookup(E571,'プルダウンメニュー (SE用)'!$E$2:$F1028,2,false),"000")&amp;"_"&amp;TEXT(COUNTIF($E$4:E571,E571),"000"))),"")</f>
        <v/>
      </c>
      <c r="C571" s="984"/>
      <c r="D571" s="986"/>
      <c r="E571" s="986"/>
      <c r="F571" s="1018"/>
      <c r="G571" s="1040"/>
      <c r="H571" s="1041"/>
      <c r="I571" s="1042"/>
      <c r="J571" s="1043"/>
      <c r="K571" s="1043"/>
      <c r="L571" s="1044"/>
      <c r="M571" s="1041"/>
      <c r="N571" s="1024"/>
      <c r="O571" s="1024"/>
      <c r="P571" s="868"/>
      <c r="Q571" s="1032"/>
      <c r="R571" s="1039"/>
      <c r="S571" s="126"/>
      <c r="T571" s="1039"/>
      <c r="U571" s="1039"/>
    </row>
    <row r="572">
      <c r="A572" s="926" t="str">
        <f t="array" ref="A572">if(G572="","",XLOOKUP(D572,'プルダウンメニュー (SE用)'!$D$2:$D1028,'プルダウンメニュー (SE用)'!$C$2:$C1028))</f>
        <v/>
      </c>
      <c r="B572" s="926" t="str">
        <f>iferror(if(H572="GLOW流用","-",if(G572="","","SSE_"&amp;TEXT(vlookup(E572,'プルダウンメニュー (SE用)'!$E$2:$F1028,2,false),"000")&amp;"_"&amp;TEXT(COUNTIF($E$4:E572,E572),"000"))),"")</f>
        <v/>
      </c>
      <c r="C572" s="984"/>
      <c r="D572" s="986"/>
      <c r="E572" s="986"/>
      <c r="F572" s="1018"/>
      <c r="G572" s="1040"/>
      <c r="H572" s="1041"/>
      <c r="I572" s="1042"/>
      <c r="J572" s="1043"/>
      <c r="K572" s="1043"/>
      <c r="L572" s="1044"/>
      <c r="M572" s="1041"/>
      <c r="N572" s="1024"/>
      <c r="O572" s="1024"/>
      <c r="P572" s="868"/>
      <c r="Q572" s="1032"/>
      <c r="R572" s="1039"/>
      <c r="S572" s="126"/>
      <c r="T572" s="1039"/>
      <c r="U572" s="1039"/>
    </row>
    <row r="573">
      <c r="A573" s="926" t="str">
        <f t="array" ref="A573">if(G573="","",XLOOKUP(D573,'プルダウンメニュー (SE用)'!$D$2:$D1028,'プルダウンメニュー (SE用)'!$C$2:$C1028))</f>
        <v/>
      </c>
      <c r="B573" s="926" t="str">
        <f>iferror(if(H573="GLOW流用","-",if(G573="","","SSE_"&amp;TEXT(vlookup(E573,'プルダウンメニュー (SE用)'!$E$2:$F1028,2,false),"000")&amp;"_"&amp;TEXT(COUNTIF($E$4:E573,E573),"000"))),"")</f>
        <v/>
      </c>
      <c r="C573" s="984"/>
      <c r="D573" s="986"/>
      <c r="E573" s="986"/>
      <c r="F573" s="1018"/>
      <c r="G573" s="1040"/>
      <c r="H573" s="1041"/>
      <c r="I573" s="1042"/>
      <c r="J573" s="1043"/>
      <c r="K573" s="1043"/>
      <c r="L573" s="1044"/>
      <c r="M573" s="1041"/>
      <c r="N573" s="1024"/>
      <c r="O573" s="1024"/>
      <c r="P573" s="868"/>
      <c r="Q573" s="1032"/>
      <c r="R573" s="1039"/>
      <c r="S573" s="126"/>
      <c r="T573" s="1039"/>
      <c r="U573" s="1039"/>
    </row>
    <row r="574">
      <c r="A574" s="926" t="str">
        <f t="array" ref="A574">if(G574="","",XLOOKUP(D574,'プルダウンメニュー (SE用)'!$D$2:$D1028,'プルダウンメニュー (SE用)'!$C$2:$C1028))</f>
        <v/>
      </c>
      <c r="B574" s="926" t="str">
        <f>iferror(if(H574="GLOW流用","-",if(G574="","","SSE_"&amp;TEXT(vlookup(E574,'プルダウンメニュー (SE用)'!$E$2:$F1028,2,false),"000")&amp;"_"&amp;TEXT(COUNTIF($E$4:E574,E574),"000"))),"")</f>
        <v/>
      </c>
      <c r="C574" s="984"/>
      <c r="D574" s="986"/>
      <c r="E574" s="986"/>
      <c r="F574" s="1018"/>
      <c r="G574" s="1040"/>
      <c r="H574" s="1041"/>
      <c r="I574" s="1042"/>
      <c r="J574" s="1043"/>
      <c r="K574" s="1043"/>
      <c r="L574" s="1044"/>
      <c r="M574" s="1041"/>
      <c r="N574" s="1024"/>
      <c r="O574" s="1024"/>
      <c r="P574" s="868"/>
      <c r="Q574" s="1032"/>
      <c r="R574" s="1039"/>
      <c r="S574" s="126"/>
      <c r="T574" s="1039"/>
      <c r="U574" s="1039"/>
    </row>
    <row r="575">
      <c r="A575" s="926" t="str">
        <f t="array" ref="A575">if(G575="","",XLOOKUP(D575,'プルダウンメニュー (SE用)'!$D$2:$D1028,'プルダウンメニュー (SE用)'!$C$2:$C1028))</f>
        <v/>
      </c>
      <c r="B575" s="926" t="str">
        <f>iferror(if(H575="GLOW流用","-",if(G575="","","SSE_"&amp;TEXT(vlookup(E575,'プルダウンメニュー (SE用)'!$E$2:$F1028,2,false),"000")&amp;"_"&amp;TEXT(COUNTIF($E$4:E575,E575),"000"))),"")</f>
        <v/>
      </c>
      <c r="C575" s="984"/>
      <c r="D575" s="986"/>
      <c r="E575" s="986"/>
      <c r="F575" s="1018"/>
      <c r="G575" s="1040"/>
      <c r="H575" s="1041"/>
      <c r="I575" s="1042"/>
      <c r="J575" s="1043"/>
      <c r="K575" s="1043"/>
      <c r="L575" s="1044"/>
      <c r="M575" s="1041"/>
      <c r="N575" s="1024"/>
      <c r="O575" s="1024"/>
      <c r="P575" s="868"/>
      <c r="Q575" s="1032"/>
      <c r="R575" s="1039"/>
      <c r="S575" s="126"/>
      <c r="T575" s="1039"/>
      <c r="U575" s="1039"/>
    </row>
    <row r="576">
      <c r="A576" s="926" t="str">
        <f t="array" ref="A576">if(G576="","",XLOOKUP(D576,'プルダウンメニュー (SE用)'!$D$2:$D1028,'プルダウンメニュー (SE用)'!$C$2:$C1028))</f>
        <v/>
      </c>
      <c r="B576" s="926" t="str">
        <f>iferror(if(H576="GLOW流用","-",if(G576="","","SSE_"&amp;TEXT(vlookup(E576,'プルダウンメニュー (SE用)'!$E$2:$F1028,2,false),"000")&amp;"_"&amp;TEXT(COUNTIF($E$4:E576,E576),"000"))),"")</f>
        <v/>
      </c>
      <c r="C576" s="984"/>
      <c r="D576" s="986"/>
      <c r="E576" s="986"/>
      <c r="F576" s="1018"/>
      <c r="G576" s="1040"/>
      <c r="H576" s="1041"/>
      <c r="I576" s="1042"/>
      <c r="J576" s="1043"/>
      <c r="K576" s="1043"/>
      <c r="L576" s="1044"/>
      <c r="M576" s="1041"/>
      <c r="N576" s="1024"/>
      <c r="O576" s="1024"/>
      <c r="P576" s="868"/>
      <c r="Q576" s="1032"/>
      <c r="R576" s="1039"/>
      <c r="S576" s="126"/>
      <c r="T576" s="1039"/>
      <c r="U576" s="1039"/>
    </row>
    <row r="577">
      <c r="A577" s="926" t="str">
        <f t="array" ref="A577">if(G577="","",XLOOKUP(D577,'プルダウンメニュー (SE用)'!$D$2:$D1028,'プルダウンメニュー (SE用)'!$C$2:$C1028))</f>
        <v/>
      </c>
      <c r="B577" s="926" t="str">
        <f>iferror(if(H577="GLOW流用","-",if(G577="","","SSE_"&amp;TEXT(vlookup(E577,'プルダウンメニュー (SE用)'!$E$2:$F1028,2,false),"000")&amp;"_"&amp;TEXT(COUNTIF($E$4:E577,E577),"000"))),"")</f>
        <v/>
      </c>
      <c r="C577" s="984"/>
      <c r="D577" s="986"/>
      <c r="E577" s="986"/>
      <c r="F577" s="1018"/>
      <c r="G577" s="1040"/>
      <c r="H577" s="1041"/>
      <c r="I577" s="1042"/>
      <c r="J577" s="1043"/>
      <c r="K577" s="1043"/>
      <c r="L577" s="1044"/>
      <c r="M577" s="1041"/>
      <c r="N577" s="1024"/>
      <c r="O577" s="1024"/>
      <c r="P577" s="868"/>
      <c r="Q577" s="1032"/>
      <c r="R577" s="1039"/>
      <c r="S577" s="126"/>
      <c r="T577" s="1039"/>
      <c r="U577" s="1039"/>
    </row>
    <row r="578">
      <c r="A578" s="926" t="str">
        <f t="array" ref="A578">if(G578="","",XLOOKUP(D578,'プルダウンメニュー (SE用)'!$D$2:$D1028,'プルダウンメニュー (SE用)'!$C$2:$C1028))</f>
        <v/>
      </c>
      <c r="B578" s="926" t="str">
        <f>iferror(if(H578="GLOW流用","-",if(G578="","","SSE_"&amp;TEXT(vlookup(E578,'プルダウンメニュー (SE用)'!$E$2:$F1028,2,false),"000")&amp;"_"&amp;TEXT(COUNTIF($E$4:E578,E578),"000"))),"")</f>
        <v/>
      </c>
      <c r="C578" s="984"/>
      <c r="D578" s="986"/>
      <c r="E578" s="986"/>
      <c r="F578" s="1018"/>
      <c r="G578" s="1040"/>
      <c r="H578" s="1041"/>
      <c r="I578" s="1042"/>
      <c r="J578" s="1043"/>
      <c r="K578" s="1043"/>
      <c r="L578" s="1044"/>
      <c r="M578" s="1041"/>
      <c r="N578" s="1024"/>
      <c r="O578" s="1024"/>
      <c r="P578" s="868"/>
      <c r="Q578" s="1032"/>
      <c r="R578" s="1039"/>
      <c r="S578" s="126"/>
      <c r="T578" s="1039"/>
      <c r="U578" s="1039"/>
    </row>
    <row r="579">
      <c r="A579" s="926" t="str">
        <f t="array" ref="A579">if(G579="","",XLOOKUP(D579,'プルダウンメニュー (SE用)'!$D$2:$D1028,'プルダウンメニュー (SE用)'!$C$2:$C1028))</f>
        <v/>
      </c>
      <c r="B579" s="926" t="str">
        <f>iferror(if(H579="GLOW流用","-",if(G579="","","SSE_"&amp;TEXT(vlookup(E579,'プルダウンメニュー (SE用)'!$E$2:$F1028,2,false),"000")&amp;"_"&amp;TEXT(COUNTIF($E$4:E579,E579),"000"))),"")</f>
        <v/>
      </c>
      <c r="C579" s="984"/>
      <c r="D579" s="986"/>
      <c r="E579" s="986"/>
      <c r="F579" s="1018"/>
      <c r="G579" s="1040"/>
      <c r="H579" s="1041"/>
      <c r="I579" s="1042"/>
      <c r="J579" s="1043"/>
      <c r="K579" s="1043"/>
      <c r="L579" s="1044"/>
      <c r="M579" s="1041"/>
      <c r="N579" s="1024"/>
      <c r="O579" s="1024"/>
      <c r="P579" s="868"/>
      <c r="Q579" s="1032"/>
      <c r="R579" s="1039"/>
      <c r="S579" s="126"/>
      <c r="T579" s="1039"/>
      <c r="U579" s="1039"/>
    </row>
    <row r="580">
      <c r="A580" s="926" t="str">
        <f t="array" ref="A580">if(G580="","",XLOOKUP(D580,'プルダウンメニュー (SE用)'!$D$2:$D1028,'プルダウンメニュー (SE用)'!$C$2:$C1028))</f>
        <v/>
      </c>
      <c r="B580" s="926" t="str">
        <f>iferror(if(H580="GLOW流用","-",if(G580="","","SSE_"&amp;TEXT(vlookup(E580,'プルダウンメニュー (SE用)'!$E$2:$F1028,2,false),"000")&amp;"_"&amp;TEXT(COUNTIF($E$4:E580,E580),"000"))),"")</f>
        <v/>
      </c>
      <c r="C580" s="984"/>
      <c r="D580" s="986"/>
      <c r="E580" s="986"/>
      <c r="F580" s="1018"/>
      <c r="G580" s="1040"/>
      <c r="H580" s="1041"/>
      <c r="I580" s="1042"/>
      <c r="J580" s="1043"/>
      <c r="K580" s="1043"/>
      <c r="L580" s="1044"/>
      <c r="M580" s="1041"/>
      <c r="N580" s="1024"/>
      <c r="O580" s="1024"/>
      <c r="P580" s="868"/>
      <c r="Q580" s="1032"/>
      <c r="R580" s="1039"/>
      <c r="S580" s="126"/>
      <c r="T580" s="1039"/>
      <c r="U580" s="1039"/>
    </row>
    <row r="581">
      <c r="A581" s="926" t="str">
        <f t="array" ref="A581">if(G581="","",XLOOKUP(D581,'プルダウンメニュー (SE用)'!$D$2:$D1028,'プルダウンメニュー (SE用)'!$C$2:$C1028))</f>
        <v/>
      </c>
      <c r="B581" s="926" t="str">
        <f>iferror(if(H581="GLOW流用","-",if(G581="","","SSE_"&amp;TEXT(vlookup(E581,'プルダウンメニュー (SE用)'!$E$2:$F1028,2,false),"000")&amp;"_"&amp;TEXT(COUNTIF($E$4:E581,E581),"000"))),"")</f>
        <v/>
      </c>
      <c r="C581" s="984"/>
      <c r="D581" s="986"/>
      <c r="E581" s="986"/>
      <c r="F581" s="1018"/>
      <c r="G581" s="1040"/>
      <c r="H581" s="1041"/>
      <c r="I581" s="1042"/>
      <c r="J581" s="1043"/>
      <c r="K581" s="1043"/>
      <c r="L581" s="1044"/>
      <c r="M581" s="1041"/>
      <c r="N581" s="1024"/>
      <c r="O581" s="1024"/>
      <c r="P581" s="868"/>
      <c r="Q581" s="1032"/>
      <c r="R581" s="1039"/>
      <c r="S581" s="126"/>
      <c r="T581" s="1039"/>
      <c r="U581" s="1039"/>
    </row>
    <row r="582">
      <c r="A582" s="926" t="str">
        <f t="array" ref="A582">if(G582="","",XLOOKUP(D582,'プルダウンメニュー (SE用)'!$D$2:$D1028,'プルダウンメニュー (SE用)'!$C$2:$C1028))</f>
        <v/>
      </c>
      <c r="B582" s="926" t="str">
        <f>iferror(if(H582="GLOW流用","-",if(G582="","","SSE_"&amp;TEXT(vlookup(E582,'プルダウンメニュー (SE用)'!$E$2:$F1028,2,false),"000")&amp;"_"&amp;TEXT(COUNTIF($E$4:E582,E582),"000"))),"")</f>
        <v/>
      </c>
      <c r="C582" s="984"/>
      <c r="D582" s="986"/>
      <c r="E582" s="986"/>
      <c r="F582" s="1018"/>
      <c r="G582" s="1040"/>
      <c r="H582" s="1041"/>
      <c r="I582" s="1042"/>
      <c r="J582" s="1043"/>
      <c r="K582" s="1043"/>
      <c r="L582" s="1044"/>
      <c r="M582" s="1041"/>
      <c r="N582" s="1024"/>
      <c r="O582" s="1024"/>
      <c r="P582" s="868"/>
      <c r="Q582" s="1032"/>
      <c r="R582" s="1039"/>
      <c r="S582" s="126"/>
      <c r="T582" s="1039"/>
      <c r="U582" s="1039"/>
    </row>
    <row r="583">
      <c r="A583" s="926" t="str">
        <f t="array" ref="A583">if(G583="","",XLOOKUP(D583,'プルダウンメニュー (SE用)'!$D$2:$D1028,'プルダウンメニュー (SE用)'!$C$2:$C1028))</f>
        <v/>
      </c>
      <c r="B583" s="926" t="str">
        <f>iferror(if(H583="GLOW流用","-",if(G583="","","SSE_"&amp;TEXT(vlookup(E583,'プルダウンメニュー (SE用)'!$E$2:$F1028,2,false),"000")&amp;"_"&amp;TEXT(COUNTIF($E$4:E583,E583),"000"))),"")</f>
        <v/>
      </c>
      <c r="C583" s="984"/>
      <c r="D583" s="986"/>
      <c r="E583" s="986"/>
      <c r="F583" s="1018"/>
      <c r="G583" s="1040"/>
      <c r="H583" s="1041"/>
      <c r="I583" s="1042"/>
      <c r="J583" s="1043"/>
      <c r="K583" s="1043"/>
      <c r="L583" s="1044"/>
      <c r="M583" s="1041"/>
      <c r="N583" s="1024"/>
      <c r="O583" s="1024"/>
      <c r="P583" s="868"/>
      <c r="Q583" s="1032"/>
      <c r="R583" s="1039"/>
      <c r="S583" s="126"/>
      <c r="T583" s="1039"/>
      <c r="U583" s="1039"/>
    </row>
    <row r="584">
      <c r="A584" s="926" t="str">
        <f t="array" ref="A584">if(G584="","",XLOOKUP(D584,'プルダウンメニュー (SE用)'!$D$2:$D1028,'プルダウンメニュー (SE用)'!$C$2:$C1028))</f>
        <v/>
      </c>
      <c r="B584" s="926" t="str">
        <f>iferror(if(H584="GLOW流用","-",if(G584="","","SSE_"&amp;TEXT(vlookup(E584,'プルダウンメニュー (SE用)'!$E$2:$F1028,2,false),"000")&amp;"_"&amp;TEXT(COUNTIF($E$4:E584,E584),"000"))),"")</f>
        <v/>
      </c>
      <c r="C584" s="984"/>
      <c r="D584" s="986"/>
      <c r="E584" s="986"/>
      <c r="F584" s="1018"/>
      <c r="G584" s="1040"/>
      <c r="H584" s="1041"/>
      <c r="I584" s="1042"/>
      <c r="J584" s="1043"/>
      <c r="K584" s="1043"/>
      <c r="L584" s="1044"/>
      <c r="M584" s="1041"/>
      <c r="N584" s="1024"/>
      <c r="O584" s="1024"/>
      <c r="P584" s="868"/>
      <c r="Q584" s="1032"/>
      <c r="R584" s="1039"/>
      <c r="S584" s="126"/>
      <c r="T584" s="1039"/>
      <c r="U584" s="1039"/>
    </row>
    <row r="585">
      <c r="A585" s="926" t="str">
        <f t="array" ref="A585">if(G585="","",XLOOKUP(D585,'プルダウンメニュー (SE用)'!$D$2:$D1028,'プルダウンメニュー (SE用)'!$C$2:$C1028))</f>
        <v/>
      </c>
      <c r="B585" s="926" t="str">
        <f>iferror(if(H585="GLOW流用","-",if(G585="","","SSE_"&amp;TEXT(vlookup(E585,'プルダウンメニュー (SE用)'!$E$2:$F1028,2,false),"000")&amp;"_"&amp;TEXT(COUNTIF($E$4:E585,E585),"000"))),"")</f>
        <v/>
      </c>
      <c r="C585" s="984"/>
      <c r="D585" s="986"/>
      <c r="E585" s="986"/>
      <c r="F585" s="1018"/>
      <c r="G585" s="1040"/>
      <c r="H585" s="1041"/>
      <c r="I585" s="1042"/>
      <c r="J585" s="1043"/>
      <c r="K585" s="1043"/>
      <c r="L585" s="1044"/>
      <c r="M585" s="1041"/>
      <c r="N585" s="1024"/>
      <c r="O585" s="1024"/>
      <c r="P585" s="868"/>
      <c r="Q585" s="1032"/>
      <c r="R585" s="1039"/>
      <c r="S585" s="126"/>
      <c r="T585" s="1039"/>
      <c r="U585" s="1039"/>
    </row>
    <row r="586">
      <c r="A586" s="926" t="str">
        <f t="array" ref="A586">if(G586="","",XLOOKUP(D586,'プルダウンメニュー (SE用)'!$D$2:$D1028,'プルダウンメニュー (SE用)'!$C$2:$C1028))</f>
        <v/>
      </c>
      <c r="B586" s="926" t="str">
        <f>iferror(if(H586="GLOW流用","-",if(G586="","","SSE_"&amp;TEXT(vlookup(E586,'プルダウンメニュー (SE用)'!$E$2:$F1028,2,false),"000")&amp;"_"&amp;TEXT(COUNTIF($E$4:E586,E586),"000"))),"")</f>
        <v/>
      </c>
      <c r="C586" s="984"/>
      <c r="D586" s="986"/>
      <c r="E586" s="986"/>
      <c r="F586" s="1018"/>
      <c r="G586" s="1040"/>
      <c r="H586" s="1041"/>
      <c r="I586" s="1042"/>
      <c r="J586" s="1043"/>
      <c r="K586" s="1043"/>
      <c r="L586" s="1044"/>
      <c r="M586" s="1041"/>
      <c r="N586" s="1024"/>
      <c r="O586" s="1024"/>
      <c r="P586" s="868"/>
      <c r="Q586" s="1032"/>
      <c r="R586" s="1039"/>
      <c r="S586" s="126"/>
      <c r="T586" s="1039"/>
      <c r="U586" s="1039"/>
    </row>
    <row r="587">
      <c r="A587" s="926" t="str">
        <f t="array" ref="A587">if(G587="","",XLOOKUP(D587,'プルダウンメニュー (SE用)'!$D$2:$D1028,'プルダウンメニュー (SE用)'!$C$2:$C1028))</f>
        <v/>
      </c>
      <c r="B587" s="926" t="str">
        <f>iferror(if(H587="GLOW流用","-",if(G587="","","SSE_"&amp;TEXT(vlookup(E587,'プルダウンメニュー (SE用)'!$E$2:$F1028,2,false),"000")&amp;"_"&amp;TEXT(COUNTIF($E$4:E587,E587),"000"))),"")</f>
        <v/>
      </c>
      <c r="C587" s="984"/>
      <c r="D587" s="986"/>
      <c r="E587" s="986"/>
      <c r="F587" s="1018"/>
      <c r="G587" s="1040"/>
      <c r="H587" s="1041"/>
      <c r="I587" s="1042"/>
      <c r="J587" s="1043"/>
      <c r="K587" s="1043"/>
      <c r="L587" s="1044"/>
      <c r="M587" s="1041"/>
      <c r="N587" s="1024"/>
      <c r="O587" s="1024"/>
      <c r="P587" s="868"/>
      <c r="Q587" s="1032"/>
      <c r="R587" s="1039"/>
      <c r="S587" s="126"/>
      <c r="T587" s="1039"/>
      <c r="U587" s="1039"/>
    </row>
    <row r="588">
      <c r="A588" s="926" t="str">
        <f t="array" ref="A588">if(G588="","",XLOOKUP(D588,'プルダウンメニュー (SE用)'!$D$2:$D1028,'プルダウンメニュー (SE用)'!$C$2:$C1028))</f>
        <v/>
      </c>
      <c r="B588" s="926" t="str">
        <f>iferror(if(H588="GLOW流用","-",if(G588="","","SSE_"&amp;TEXT(vlookup(E588,'プルダウンメニュー (SE用)'!$E$2:$F1028,2,false),"000")&amp;"_"&amp;TEXT(COUNTIF($E$4:E588,E588),"000"))),"")</f>
        <v/>
      </c>
      <c r="C588" s="984"/>
      <c r="D588" s="986"/>
      <c r="E588" s="986"/>
      <c r="F588" s="1018"/>
      <c r="G588" s="1040"/>
      <c r="H588" s="1041"/>
      <c r="I588" s="1042"/>
      <c r="J588" s="1043"/>
      <c r="K588" s="1043"/>
      <c r="L588" s="1044"/>
      <c r="M588" s="1041"/>
      <c r="N588" s="1024"/>
      <c r="O588" s="1024"/>
      <c r="P588" s="868"/>
      <c r="Q588" s="1032"/>
      <c r="R588" s="1039"/>
      <c r="S588" s="126"/>
      <c r="T588" s="1039"/>
      <c r="U588" s="1039"/>
    </row>
    <row r="589">
      <c r="A589" s="926" t="str">
        <f t="array" ref="A589">if(G589="","",XLOOKUP(D589,'プルダウンメニュー (SE用)'!$D$2:$D1028,'プルダウンメニュー (SE用)'!$C$2:$C1028))</f>
        <v/>
      </c>
      <c r="B589" s="926" t="str">
        <f>iferror(if(H589="GLOW流用","-",if(G589="","","SSE_"&amp;TEXT(vlookup(E589,'プルダウンメニュー (SE用)'!$E$2:$F1028,2,false),"000")&amp;"_"&amp;TEXT(COUNTIF($E$4:E589,E589),"000"))),"")</f>
        <v/>
      </c>
      <c r="C589" s="984"/>
      <c r="D589" s="986"/>
      <c r="E589" s="986"/>
      <c r="F589" s="1018"/>
      <c r="G589" s="1040"/>
      <c r="H589" s="1041"/>
      <c r="I589" s="1042"/>
      <c r="J589" s="1043"/>
      <c r="K589" s="1043"/>
      <c r="L589" s="1044"/>
      <c r="M589" s="1041"/>
      <c r="N589" s="1024"/>
      <c r="O589" s="1024"/>
      <c r="P589" s="868"/>
      <c r="Q589" s="1032"/>
      <c r="R589" s="1039"/>
      <c r="S589" s="126"/>
      <c r="T589" s="1039"/>
      <c r="U589" s="1039"/>
    </row>
    <row r="590">
      <c r="A590" s="926" t="str">
        <f t="array" ref="A590">if(G590="","",XLOOKUP(D590,'プルダウンメニュー (SE用)'!$D$2:$D1028,'プルダウンメニュー (SE用)'!$C$2:$C1028))</f>
        <v/>
      </c>
      <c r="B590" s="926" t="str">
        <f>iferror(if(H590="GLOW流用","-",if(G590="","","SSE_"&amp;TEXT(vlookup(E590,'プルダウンメニュー (SE用)'!$E$2:$F1028,2,false),"000")&amp;"_"&amp;TEXT(COUNTIF($E$4:E590,E590),"000"))),"")</f>
        <v/>
      </c>
      <c r="C590" s="984"/>
      <c r="D590" s="986"/>
      <c r="E590" s="986"/>
      <c r="F590" s="1018"/>
      <c r="G590" s="1040"/>
      <c r="H590" s="1041"/>
      <c r="I590" s="1042"/>
      <c r="J590" s="1043"/>
      <c r="K590" s="1043"/>
      <c r="L590" s="1044"/>
      <c r="M590" s="1041"/>
      <c r="N590" s="1024"/>
      <c r="O590" s="1024"/>
      <c r="P590" s="868"/>
      <c r="Q590" s="1032"/>
      <c r="R590" s="1039"/>
      <c r="S590" s="126"/>
      <c r="T590" s="1039"/>
      <c r="U590" s="1039"/>
    </row>
    <row r="591">
      <c r="A591" s="926" t="str">
        <f t="array" ref="A591">if(G591="","",XLOOKUP(D591,'プルダウンメニュー (SE用)'!$D$2:$D1028,'プルダウンメニュー (SE用)'!$C$2:$C1028))</f>
        <v/>
      </c>
      <c r="B591" s="926" t="str">
        <f>iferror(if(H591="GLOW流用","-",if(G591="","","SSE_"&amp;TEXT(vlookup(E591,'プルダウンメニュー (SE用)'!$E$2:$F1028,2,false),"000")&amp;"_"&amp;TEXT(COUNTIF($E$4:E591,E591),"000"))),"")</f>
        <v/>
      </c>
      <c r="C591" s="984"/>
      <c r="D591" s="986"/>
      <c r="E591" s="986"/>
      <c r="F591" s="1018"/>
      <c r="G591" s="1040"/>
      <c r="H591" s="1041"/>
      <c r="I591" s="1042"/>
      <c r="J591" s="1043"/>
      <c r="K591" s="1043"/>
      <c r="L591" s="1044"/>
      <c r="M591" s="1041"/>
      <c r="N591" s="1024"/>
      <c r="O591" s="1024"/>
      <c r="P591" s="868"/>
      <c r="Q591" s="1032"/>
      <c r="R591" s="1039"/>
      <c r="S591" s="126"/>
      <c r="T591" s="1039"/>
      <c r="U591" s="1039"/>
    </row>
    <row r="592">
      <c r="A592" s="926" t="str">
        <f t="array" ref="A592">if(G592="","",XLOOKUP(D592,'プルダウンメニュー (SE用)'!$D$2:$D1028,'プルダウンメニュー (SE用)'!$C$2:$C1028))</f>
        <v/>
      </c>
      <c r="B592" s="926" t="str">
        <f>iferror(if(H592="GLOW流用","-",if(G592="","","SSE_"&amp;TEXT(vlookup(E592,'プルダウンメニュー (SE用)'!$E$2:$F1028,2,false),"000")&amp;"_"&amp;TEXT(COUNTIF($E$4:E592,E592),"000"))),"")</f>
        <v/>
      </c>
      <c r="C592" s="984"/>
      <c r="D592" s="986"/>
      <c r="E592" s="986"/>
      <c r="F592" s="1018"/>
      <c r="G592" s="1040"/>
      <c r="H592" s="1041"/>
      <c r="I592" s="1042"/>
      <c r="J592" s="1043"/>
      <c r="K592" s="1043"/>
      <c r="L592" s="1044"/>
      <c r="M592" s="1041"/>
      <c r="N592" s="1024"/>
      <c r="O592" s="1024"/>
      <c r="P592" s="868"/>
      <c r="Q592" s="1032"/>
      <c r="R592" s="1039"/>
      <c r="S592" s="126"/>
      <c r="T592" s="1039"/>
      <c r="U592" s="1039"/>
    </row>
    <row r="593">
      <c r="A593" s="926" t="str">
        <f t="array" ref="A593">if(G593="","",XLOOKUP(D593,'プルダウンメニュー (SE用)'!$D$2:$D1028,'プルダウンメニュー (SE用)'!$C$2:$C1028))</f>
        <v/>
      </c>
      <c r="B593" s="926" t="str">
        <f>iferror(if(H593="GLOW流用","-",if(G593="","","SSE_"&amp;TEXT(vlookup(E593,'プルダウンメニュー (SE用)'!$E$2:$F1028,2,false),"000")&amp;"_"&amp;TEXT(COUNTIF($E$4:E593,E593),"000"))),"")</f>
        <v/>
      </c>
      <c r="C593" s="984"/>
      <c r="D593" s="986"/>
      <c r="E593" s="986"/>
      <c r="F593" s="1018"/>
      <c r="G593" s="1040"/>
      <c r="H593" s="1041"/>
      <c r="I593" s="1042"/>
      <c r="J593" s="1043"/>
      <c r="K593" s="1043"/>
      <c r="L593" s="1044"/>
      <c r="M593" s="1041"/>
      <c r="N593" s="1024"/>
      <c r="O593" s="1024"/>
      <c r="P593" s="868"/>
      <c r="Q593" s="1032"/>
      <c r="R593" s="1039"/>
      <c r="S593" s="126"/>
      <c r="T593" s="1039"/>
      <c r="U593" s="1039"/>
    </row>
    <row r="594">
      <c r="A594" s="926" t="str">
        <f t="array" ref="A594">if(G594="","",XLOOKUP(D594,'プルダウンメニュー (SE用)'!$D$2:$D1028,'プルダウンメニュー (SE用)'!$C$2:$C1028))</f>
        <v/>
      </c>
      <c r="B594" s="926" t="str">
        <f>iferror(if(H594="GLOW流用","-",if(G594="","","SSE_"&amp;TEXT(vlookup(E594,'プルダウンメニュー (SE用)'!$E$2:$F1028,2,false),"000")&amp;"_"&amp;TEXT(COUNTIF($E$4:E594,E594),"000"))),"")</f>
        <v/>
      </c>
      <c r="C594" s="984"/>
      <c r="D594" s="986"/>
      <c r="E594" s="986"/>
      <c r="F594" s="1018"/>
      <c r="G594" s="1040"/>
      <c r="H594" s="1041"/>
      <c r="I594" s="1042"/>
      <c r="J594" s="1043"/>
      <c r="K594" s="1043"/>
      <c r="L594" s="1044"/>
      <c r="M594" s="1041"/>
      <c r="N594" s="1024"/>
      <c r="O594" s="1024"/>
      <c r="P594" s="868"/>
      <c r="Q594" s="1032"/>
      <c r="R594" s="1039"/>
      <c r="S594" s="126"/>
      <c r="T594" s="1039"/>
      <c r="U594" s="1039"/>
    </row>
    <row r="595">
      <c r="A595" s="926" t="str">
        <f t="array" ref="A595">if(G595="","",XLOOKUP(D595,'プルダウンメニュー (SE用)'!$D$2:$D1028,'プルダウンメニュー (SE用)'!$C$2:$C1028))</f>
        <v/>
      </c>
      <c r="B595" s="926" t="str">
        <f>iferror(if(H595="GLOW流用","-",if(G595="","","SSE_"&amp;TEXT(vlookup(E595,'プルダウンメニュー (SE用)'!$E$2:$F1028,2,false),"000")&amp;"_"&amp;TEXT(COUNTIF($E$4:E595,E595),"000"))),"")</f>
        <v/>
      </c>
      <c r="C595" s="984"/>
      <c r="D595" s="986"/>
      <c r="E595" s="986"/>
      <c r="F595" s="1018"/>
      <c r="G595" s="1040"/>
      <c r="H595" s="1041"/>
      <c r="I595" s="1042"/>
      <c r="J595" s="1043"/>
      <c r="K595" s="1043"/>
      <c r="L595" s="1044"/>
      <c r="M595" s="1041"/>
      <c r="N595" s="1024"/>
      <c r="O595" s="1024"/>
      <c r="P595" s="868"/>
      <c r="Q595" s="1032"/>
      <c r="R595" s="1039"/>
      <c r="S595" s="126"/>
      <c r="T595" s="1039"/>
      <c r="U595" s="1039"/>
    </row>
    <row r="596">
      <c r="A596" s="926" t="str">
        <f t="array" ref="A596">if(G596="","",XLOOKUP(D596,'プルダウンメニュー (SE用)'!$D$2:$D1028,'プルダウンメニュー (SE用)'!$C$2:$C1028))</f>
        <v/>
      </c>
      <c r="B596" s="926" t="str">
        <f>iferror(if(H596="GLOW流用","-",if(G596="","","SSE_"&amp;TEXT(vlookup(E596,'プルダウンメニュー (SE用)'!$E$2:$F1028,2,false),"000")&amp;"_"&amp;TEXT(COUNTIF($E$4:E596,E596),"000"))),"")</f>
        <v/>
      </c>
      <c r="C596" s="984"/>
      <c r="D596" s="986"/>
      <c r="E596" s="986"/>
      <c r="F596" s="1018"/>
      <c r="G596" s="1040"/>
      <c r="H596" s="1041"/>
      <c r="I596" s="1042"/>
      <c r="J596" s="1043"/>
      <c r="K596" s="1043"/>
      <c r="L596" s="1044"/>
      <c r="M596" s="1041"/>
      <c r="N596" s="1024"/>
      <c r="O596" s="1024"/>
      <c r="P596" s="868"/>
      <c r="Q596" s="1032"/>
      <c r="R596" s="1039"/>
      <c r="S596" s="126"/>
      <c r="T596" s="1039"/>
      <c r="U596" s="1039"/>
    </row>
    <row r="597">
      <c r="A597" s="926" t="str">
        <f t="array" ref="A597">if(G597="","",XLOOKUP(D597,'プルダウンメニュー (SE用)'!$D$2:$D1028,'プルダウンメニュー (SE用)'!$C$2:$C1028))</f>
        <v/>
      </c>
      <c r="B597" s="926" t="str">
        <f>iferror(if(H597="GLOW流用","-",if(G597="","","SSE_"&amp;TEXT(vlookup(E597,'プルダウンメニュー (SE用)'!$E$2:$F1028,2,false),"000")&amp;"_"&amp;TEXT(COUNTIF($E$4:E597,E597),"000"))),"")</f>
        <v/>
      </c>
      <c r="C597" s="984"/>
      <c r="D597" s="986"/>
      <c r="E597" s="986"/>
      <c r="F597" s="1018"/>
      <c r="G597" s="1040"/>
      <c r="H597" s="1041"/>
      <c r="I597" s="1042"/>
      <c r="J597" s="1043"/>
      <c r="K597" s="1043"/>
      <c r="L597" s="1044"/>
      <c r="M597" s="1041"/>
      <c r="N597" s="1024"/>
      <c r="O597" s="1024"/>
      <c r="P597" s="868"/>
      <c r="Q597" s="1032"/>
      <c r="R597" s="1039"/>
      <c r="S597" s="126"/>
      <c r="T597" s="1039"/>
      <c r="U597" s="1039"/>
    </row>
    <row r="598">
      <c r="A598" s="926" t="str">
        <f t="array" ref="A598">if(G598="","",XLOOKUP(D598,'プルダウンメニュー (SE用)'!$D$2:$D1028,'プルダウンメニュー (SE用)'!$C$2:$C1028))</f>
        <v/>
      </c>
      <c r="B598" s="926" t="str">
        <f>iferror(if(H598="GLOW流用","-",if(G598="","","SSE_"&amp;TEXT(vlookup(E598,'プルダウンメニュー (SE用)'!$E$2:$F1028,2,false),"000")&amp;"_"&amp;TEXT(COUNTIF($E$4:E598,E598),"000"))),"")</f>
        <v/>
      </c>
      <c r="C598" s="984"/>
      <c r="D598" s="986"/>
      <c r="E598" s="986"/>
      <c r="F598" s="1018"/>
      <c r="G598" s="1040"/>
      <c r="H598" s="1041"/>
      <c r="I598" s="1042"/>
      <c r="J598" s="1043"/>
      <c r="K598" s="1043"/>
      <c r="L598" s="1044"/>
      <c r="M598" s="1041"/>
      <c r="N598" s="1024"/>
      <c r="O598" s="1024"/>
      <c r="P598" s="868"/>
      <c r="Q598" s="1032"/>
      <c r="R598" s="1039"/>
      <c r="S598" s="126"/>
      <c r="T598" s="1039"/>
      <c r="U598" s="1039"/>
    </row>
    <row r="599">
      <c r="A599" s="926" t="str">
        <f t="array" ref="A599">if(G599="","",XLOOKUP(D599,'プルダウンメニュー (SE用)'!$D$2:$D1028,'プルダウンメニュー (SE用)'!$C$2:$C1028))</f>
        <v/>
      </c>
      <c r="B599" s="926" t="str">
        <f>iferror(if(H599="GLOW流用","-",if(G599="","","SSE_"&amp;TEXT(vlookup(E599,'プルダウンメニュー (SE用)'!$E$2:$F1028,2,false),"000")&amp;"_"&amp;TEXT(COUNTIF($E$4:E599,E599),"000"))),"")</f>
        <v/>
      </c>
      <c r="C599" s="984"/>
      <c r="D599" s="986"/>
      <c r="E599" s="986"/>
      <c r="F599" s="1018"/>
      <c r="G599" s="1040"/>
      <c r="H599" s="1041"/>
      <c r="I599" s="1042"/>
      <c r="J599" s="1043"/>
      <c r="K599" s="1043"/>
      <c r="L599" s="1044"/>
      <c r="M599" s="1041"/>
      <c r="N599" s="1024"/>
      <c r="O599" s="1024"/>
      <c r="P599" s="868"/>
      <c r="Q599" s="1032"/>
      <c r="R599" s="1039"/>
      <c r="S599" s="126"/>
      <c r="T599" s="1039"/>
      <c r="U599" s="1039"/>
    </row>
    <row r="600">
      <c r="A600" s="926" t="str">
        <f t="array" ref="A600">if(G600="","",XLOOKUP(D600,'プルダウンメニュー (SE用)'!$D$2:$D1028,'プルダウンメニュー (SE用)'!$C$2:$C1028))</f>
        <v/>
      </c>
      <c r="B600" s="926" t="str">
        <f>iferror(if(H600="GLOW流用","-",if(G600="","","SSE_"&amp;TEXT(vlookup(E600,'プルダウンメニュー (SE用)'!$E$2:$F1028,2,false),"000")&amp;"_"&amp;TEXT(COUNTIF($E$4:E600,E600),"000"))),"")</f>
        <v/>
      </c>
      <c r="C600" s="984"/>
      <c r="D600" s="986"/>
      <c r="E600" s="986"/>
      <c r="F600" s="1018"/>
      <c r="G600" s="1040"/>
      <c r="H600" s="1041"/>
      <c r="I600" s="1042"/>
      <c r="J600" s="1043"/>
      <c r="K600" s="1043"/>
      <c r="L600" s="1044"/>
      <c r="M600" s="1041"/>
      <c r="N600" s="1024"/>
      <c r="O600" s="1024"/>
      <c r="P600" s="868"/>
      <c r="Q600" s="1032"/>
      <c r="R600" s="1039"/>
      <c r="S600" s="126"/>
      <c r="T600" s="1039"/>
      <c r="U600" s="1039"/>
    </row>
    <row r="601">
      <c r="A601" s="926" t="str">
        <f t="array" ref="A601">if(G601="","",XLOOKUP(D601,'プルダウンメニュー (SE用)'!$D$2:$D1028,'プルダウンメニュー (SE用)'!$C$2:$C1028))</f>
        <v/>
      </c>
      <c r="B601" s="926" t="str">
        <f>iferror(if(H601="GLOW流用","-",if(G601="","","SSE_"&amp;TEXT(vlookup(E601,'プルダウンメニュー (SE用)'!$E$2:$F1028,2,false),"000")&amp;"_"&amp;TEXT(COUNTIF($E$4:E601,E601),"000"))),"")</f>
        <v/>
      </c>
      <c r="C601" s="984"/>
      <c r="D601" s="986"/>
      <c r="E601" s="986"/>
      <c r="F601" s="1018"/>
      <c r="G601" s="1040"/>
      <c r="H601" s="1041"/>
      <c r="I601" s="1042"/>
      <c r="J601" s="1043"/>
      <c r="K601" s="1043"/>
      <c r="L601" s="1044"/>
      <c r="M601" s="1041"/>
      <c r="N601" s="1024"/>
      <c r="O601" s="1024"/>
      <c r="P601" s="868"/>
      <c r="Q601" s="1032"/>
      <c r="R601" s="1039"/>
      <c r="S601" s="126"/>
      <c r="T601" s="1039"/>
      <c r="U601" s="1039"/>
    </row>
    <row r="602">
      <c r="A602" s="926" t="str">
        <f t="array" ref="A602">if(G602="","",XLOOKUP(D602,'プルダウンメニュー (SE用)'!$D$2:$D1028,'プルダウンメニュー (SE用)'!$C$2:$C1028))</f>
        <v/>
      </c>
      <c r="B602" s="926" t="str">
        <f>iferror(if(H602="GLOW流用","-",if(G602="","","SSE_"&amp;TEXT(vlookup(E602,'プルダウンメニュー (SE用)'!$E$2:$F1028,2,false),"000")&amp;"_"&amp;TEXT(COUNTIF($E$4:E602,E602),"000"))),"")</f>
        <v/>
      </c>
      <c r="C602" s="984"/>
      <c r="D602" s="986"/>
      <c r="E602" s="986"/>
      <c r="F602" s="1018"/>
      <c r="G602" s="1040"/>
      <c r="H602" s="1041"/>
      <c r="I602" s="1042"/>
      <c r="J602" s="1043"/>
      <c r="K602" s="1043"/>
      <c r="L602" s="1044"/>
      <c r="M602" s="1041"/>
      <c r="N602" s="1024"/>
      <c r="O602" s="1024"/>
      <c r="P602" s="868"/>
      <c r="Q602" s="1032"/>
      <c r="R602" s="1039"/>
      <c r="S602" s="126"/>
      <c r="T602" s="1039"/>
      <c r="U602" s="1039"/>
    </row>
    <row r="603">
      <c r="A603" s="926" t="str">
        <f t="array" ref="A603">if(G603="","",XLOOKUP(D603,'プルダウンメニュー (SE用)'!$D$2:$D1028,'プルダウンメニュー (SE用)'!$C$2:$C1028))</f>
        <v/>
      </c>
      <c r="B603" s="926" t="str">
        <f>iferror(if(H603="GLOW流用","-",if(G603="","","SSE_"&amp;TEXT(vlookup(E603,'プルダウンメニュー (SE用)'!$E$2:$F1028,2,false),"000")&amp;"_"&amp;TEXT(COUNTIF($E$4:E603,E603),"000"))),"")</f>
        <v/>
      </c>
      <c r="C603" s="984"/>
      <c r="D603" s="986"/>
      <c r="E603" s="986"/>
      <c r="F603" s="1018"/>
      <c r="G603" s="1040"/>
      <c r="H603" s="1041"/>
      <c r="I603" s="1042"/>
      <c r="J603" s="1043"/>
      <c r="K603" s="1043"/>
      <c r="L603" s="1044"/>
      <c r="M603" s="1041"/>
      <c r="N603" s="1024"/>
      <c r="O603" s="1024"/>
      <c r="P603" s="868"/>
      <c r="Q603" s="1032"/>
      <c r="R603" s="1039"/>
      <c r="S603" s="126"/>
      <c r="T603" s="1039"/>
      <c r="U603" s="1039"/>
    </row>
    <row r="604">
      <c r="A604" s="926" t="str">
        <f t="array" ref="A604">if(G604="","",XLOOKUP(D604,'プルダウンメニュー (SE用)'!$D$2:$D1028,'プルダウンメニュー (SE用)'!$C$2:$C1028))</f>
        <v/>
      </c>
      <c r="B604" s="926" t="str">
        <f>iferror(if(H604="GLOW流用","-",if(G604="","","SSE_"&amp;TEXT(vlookup(E604,'プルダウンメニュー (SE用)'!$E$2:$F1028,2,false),"000")&amp;"_"&amp;TEXT(COUNTIF($E$4:E604,E604),"000"))),"")</f>
        <v/>
      </c>
      <c r="C604" s="984"/>
      <c r="D604" s="986"/>
      <c r="E604" s="986"/>
      <c r="F604" s="1018"/>
      <c r="G604" s="1040"/>
      <c r="H604" s="1041"/>
      <c r="I604" s="1042"/>
      <c r="J604" s="1043"/>
      <c r="K604" s="1043"/>
      <c r="L604" s="1044"/>
      <c r="M604" s="1041"/>
      <c r="N604" s="1024"/>
      <c r="O604" s="1024"/>
      <c r="P604" s="868"/>
      <c r="Q604" s="1032"/>
      <c r="R604" s="1039"/>
      <c r="S604" s="126"/>
      <c r="T604" s="1039"/>
      <c r="U604" s="1039"/>
    </row>
    <row r="605">
      <c r="A605" s="926" t="str">
        <f t="array" ref="A605">if(G605="","",XLOOKUP(D605,'プルダウンメニュー (SE用)'!$D$2:$D1028,'プルダウンメニュー (SE用)'!$C$2:$C1028))</f>
        <v/>
      </c>
      <c r="B605" s="926" t="str">
        <f>iferror(if(H605="GLOW流用","-",if(G605="","","SSE_"&amp;TEXT(vlookup(E605,'プルダウンメニュー (SE用)'!$E$2:$F1028,2,false),"000")&amp;"_"&amp;TEXT(COUNTIF($E$4:E605,E605),"000"))),"")</f>
        <v/>
      </c>
      <c r="C605" s="984"/>
      <c r="D605" s="986"/>
      <c r="E605" s="986"/>
      <c r="F605" s="1018"/>
      <c r="G605" s="1040"/>
      <c r="H605" s="1041"/>
      <c r="I605" s="1042"/>
      <c r="J605" s="1043"/>
      <c r="K605" s="1043"/>
      <c r="L605" s="1044"/>
      <c r="M605" s="1041"/>
      <c r="N605" s="1024"/>
      <c r="O605" s="1024"/>
      <c r="P605" s="868"/>
      <c r="Q605" s="1032"/>
      <c r="R605" s="1039"/>
      <c r="S605" s="126"/>
      <c r="T605" s="1039"/>
      <c r="U605" s="1039"/>
    </row>
    <row r="606">
      <c r="A606" s="926" t="str">
        <f t="array" ref="A606">if(G606="","",XLOOKUP(D606,'プルダウンメニュー (SE用)'!$D$2:$D1028,'プルダウンメニュー (SE用)'!$C$2:$C1028))</f>
        <v/>
      </c>
      <c r="B606" s="926" t="str">
        <f>iferror(if(H606="GLOW流用","-",if(G606="","","SSE_"&amp;TEXT(vlookup(E606,'プルダウンメニュー (SE用)'!$E$2:$F1028,2,false),"000")&amp;"_"&amp;TEXT(COUNTIF($E$4:E606,E606),"000"))),"")</f>
        <v/>
      </c>
      <c r="C606" s="984"/>
      <c r="D606" s="986"/>
      <c r="E606" s="986"/>
      <c r="F606" s="1018"/>
      <c r="G606" s="1040"/>
      <c r="H606" s="1041"/>
      <c r="I606" s="1042"/>
      <c r="J606" s="1043"/>
      <c r="K606" s="1043"/>
      <c r="L606" s="1044"/>
      <c r="M606" s="1041"/>
      <c r="N606" s="1024"/>
      <c r="O606" s="1024"/>
      <c r="P606" s="868"/>
      <c r="Q606" s="1032"/>
      <c r="R606" s="1039"/>
      <c r="S606" s="126"/>
      <c r="T606" s="1039"/>
      <c r="U606" s="1039"/>
    </row>
    <row r="607">
      <c r="A607" s="926" t="str">
        <f t="array" ref="A607">if(G607="","",XLOOKUP(D607,'プルダウンメニュー (SE用)'!$D$2:$D1028,'プルダウンメニュー (SE用)'!$C$2:$C1028))</f>
        <v/>
      </c>
      <c r="B607" s="926" t="str">
        <f>iferror(if(H607="GLOW流用","-",if(G607="","","SSE_"&amp;TEXT(vlookup(E607,'プルダウンメニュー (SE用)'!$E$2:$F1028,2,false),"000")&amp;"_"&amp;TEXT(COUNTIF($E$4:E607,E607),"000"))),"")</f>
        <v/>
      </c>
      <c r="C607" s="984"/>
      <c r="D607" s="986"/>
      <c r="E607" s="986"/>
      <c r="F607" s="1018"/>
      <c r="G607" s="1040"/>
      <c r="H607" s="1041"/>
      <c r="I607" s="1042"/>
      <c r="J607" s="1043"/>
      <c r="K607" s="1043"/>
      <c r="L607" s="1044"/>
      <c r="M607" s="1041"/>
      <c r="N607" s="1024"/>
      <c r="O607" s="1024"/>
      <c r="P607" s="868"/>
      <c r="Q607" s="1032"/>
      <c r="R607" s="1039"/>
      <c r="S607" s="126"/>
      <c r="T607" s="1039"/>
      <c r="U607" s="1039"/>
    </row>
    <row r="608">
      <c r="A608" s="926" t="str">
        <f t="array" ref="A608">if(G608="","",XLOOKUP(D608,'プルダウンメニュー (SE用)'!$D$2:$D1028,'プルダウンメニュー (SE用)'!$C$2:$C1028))</f>
        <v/>
      </c>
      <c r="B608" s="926" t="str">
        <f>iferror(if(H608="GLOW流用","-",if(G608="","","SSE_"&amp;TEXT(vlookup(E608,'プルダウンメニュー (SE用)'!$E$2:$F1028,2,false),"000")&amp;"_"&amp;TEXT(COUNTIF($E$4:E608,E608),"000"))),"")</f>
        <v/>
      </c>
      <c r="C608" s="984"/>
      <c r="D608" s="986"/>
      <c r="E608" s="986"/>
      <c r="F608" s="1018"/>
      <c r="G608" s="1040"/>
      <c r="H608" s="1041"/>
      <c r="I608" s="1042"/>
      <c r="J608" s="1043"/>
      <c r="K608" s="1043"/>
      <c r="L608" s="1044"/>
      <c r="M608" s="1041"/>
      <c r="N608" s="1024"/>
      <c r="O608" s="1024"/>
      <c r="P608" s="868"/>
      <c r="Q608" s="1032"/>
      <c r="R608" s="1039"/>
      <c r="S608" s="126"/>
      <c r="T608" s="1039"/>
      <c r="U608" s="1039"/>
    </row>
    <row r="609">
      <c r="A609" s="926" t="str">
        <f t="array" ref="A609">if(G609="","",XLOOKUP(D609,'プルダウンメニュー (SE用)'!$D$2:$D1028,'プルダウンメニュー (SE用)'!$C$2:$C1028))</f>
        <v/>
      </c>
      <c r="B609" s="926" t="str">
        <f>iferror(if(H609="GLOW流用","-",if(G609="","","SSE_"&amp;TEXT(vlookup(E609,'プルダウンメニュー (SE用)'!$E$2:$F1028,2,false),"000")&amp;"_"&amp;TEXT(COUNTIF($E$4:E609,E609),"000"))),"")</f>
        <v/>
      </c>
      <c r="C609" s="984"/>
      <c r="D609" s="986"/>
      <c r="E609" s="986"/>
      <c r="F609" s="1018"/>
      <c r="G609" s="1040"/>
      <c r="H609" s="1041"/>
      <c r="I609" s="1042"/>
      <c r="J609" s="1043"/>
      <c r="K609" s="1043"/>
      <c r="L609" s="1044"/>
      <c r="M609" s="1041"/>
      <c r="N609" s="1024"/>
      <c r="O609" s="1024"/>
      <c r="P609" s="868"/>
      <c r="Q609" s="1032"/>
      <c r="R609" s="1039"/>
      <c r="S609" s="126"/>
      <c r="T609" s="1039"/>
      <c r="U609" s="1039"/>
    </row>
    <row r="610">
      <c r="A610" s="926" t="str">
        <f t="array" ref="A610">if(G610="","",XLOOKUP(D610,'プルダウンメニュー (SE用)'!$D$2:$D1028,'プルダウンメニュー (SE用)'!$C$2:$C1028))</f>
        <v/>
      </c>
      <c r="B610" s="926" t="str">
        <f>iferror(if(H610="GLOW流用","-",if(G610="","","SSE_"&amp;TEXT(vlookup(E610,'プルダウンメニュー (SE用)'!$E$2:$F1028,2,false),"000")&amp;"_"&amp;TEXT(COUNTIF($E$4:E610,E610),"000"))),"")</f>
        <v/>
      </c>
      <c r="C610" s="984"/>
      <c r="D610" s="986"/>
      <c r="E610" s="986"/>
      <c r="F610" s="1018"/>
      <c r="G610" s="1040"/>
      <c r="H610" s="1041"/>
      <c r="I610" s="1042"/>
      <c r="J610" s="1043"/>
      <c r="K610" s="1043"/>
      <c r="L610" s="1044"/>
      <c r="M610" s="1041"/>
      <c r="N610" s="1024"/>
      <c r="O610" s="1024"/>
      <c r="P610" s="868"/>
      <c r="Q610" s="1032"/>
      <c r="R610" s="1039"/>
      <c r="S610" s="126"/>
      <c r="T610" s="1039"/>
      <c r="U610" s="1039"/>
    </row>
    <row r="611">
      <c r="A611" s="926" t="str">
        <f t="array" ref="A611">if(G611="","",XLOOKUP(D611,'プルダウンメニュー (SE用)'!$D$2:$D1028,'プルダウンメニュー (SE用)'!$C$2:$C1028))</f>
        <v/>
      </c>
      <c r="B611" s="926" t="str">
        <f>iferror(if(H611="GLOW流用","-",if(G611="","","SSE_"&amp;TEXT(vlookup(E611,'プルダウンメニュー (SE用)'!$E$2:$F1028,2,false),"000")&amp;"_"&amp;TEXT(COUNTIF($E$4:E611,E611),"000"))),"")</f>
        <v/>
      </c>
      <c r="C611" s="984"/>
      <c r="D611" s="986"/>
      <c r="E611" s="986"/>
      <c r="F611" s="1018"/>
      <c r="G611" s="1040"/>
      <c r="H611" s="1067"/>
      <c r="I611" s="1068"/>
      <c r="J611" s="1069"/>
      <c r="K611" s="1069"/>
      <c r="L611" s="1070"/>
      <c r="M611" s="1071"/>
      <c r="N611" s="904"/>
      <c r="O611" s="904"/>
      <c r="P611" s="868"/>
      <c r="Q611" s="1032"/>
      <c r="R611" s="1004"/>
      <c r="S611" s="126"/>
      <c r="T611" s="1039"/>
      <c r="U611" s="1039"/>
    </row>
    <row r="612">
      <c r="A612" s="926" t="str">
        <f t="array" ref="A612">if(G612="","",XLOOKUP(D612,'プルダウンメニュー (SE用)'!$D$2:$D1028,'プルダウンメニュー (SE用)'!$C$2:$C1028))</f>
        <v/>
      </c>
      <c r="B612" s="926" t="str">
        <f>iferror(if(H612="GLOW流用","-",if(G612="","","SSE_"&amp;TEXT(vlookup(E612,'プルダウンメニュー (SE用)'!$E$2:$F1028,2,false),"000")&amp;"_"&amp;TEXT(COUNTIF($E$4:E612,E612),"000"))),"")</f>
        <v/>
      </c>
      <c r="C612" s="984"/>
      <c r="D612" s="986"/>
      <c r="E612" s="986"/>
      <c r="F612" s="1018"/>
      <c r="G612" s="1040"/>
      <c r="H612" s="1041"/>
      <c r="I612" s="1042"/>
      <c r="J612" s="1043"/>
      <c r="K612" s="1043"/>
      <c r="L612" s="1044"/>
      <c r="M612" s="1041"/>
      <c r="N612" s="1024"/>
      <c r="O612" s="1024"/>
      <c r="P612" s="868"/>
      <c r="Q612" s="1032"/>
      <c r="R612" s="1039"/>
      <c r="S612" s="126"/>
      <c r="T612" s="1039"/>
      <c r="U612" s="1039"/>
    </row>
    <row r="613">
      <c r="A613" s="926" t="str">
        <f t="array" ref="A613">if(G613="","",XLOOKUP(D613,'プルダウンメニュー (SE用)'!$D$2:$D1028,'プルダウンメニュー (SE用)'!$C$2:$C1028))</f>
        <v/>
      </c>
      <c r="B613" s="926" t="str">
        <f>iferror(if(H613="GLOW流用","-",if(G613="","","SSE_"&amp;TEXT(vlookup(E613,'プルダウンメニュー (SE用)'!$E$2:$F1028,2,false),"000")&amp;"_"&amp;TEXT(COUNTIF($E$4:E613,E613),"000"))),"")</f>
        <v/>
      </c>
      <c r="C613" s="984"/>
      <c r="D613" s="986"/>
      <c r="E613" s="986"/>
      <c r="F613" s="1018"/>
      <c r="G613" s="1040"/>
      <c r="H613" s="1041"/>
      <c r="I613" s="1042"/>
      <c r="J613" s="1043"/>
      <c r="K613" s="1043"/>
      <c r="L613" s="1044"/>
      <c r="M613" s="1041"/>
      <c r="N613" s="1024"/>
      <c r="O613" s="1024"/>
      <c r="P613" s="868"/>
      <c r="Q613" s="1032"/>
      <c r="R613" s="1039"/>
      <c r="S613" s="126"/>
      <c r="T613" s="1039"/>
      <c r="U613" s="1039"/>
    </row>
    <row r="614">
      <c r="A614" s="926" t="str">
        <f t="array" ref="A614">if(G614="","",XLOOKUP(D614,'プルダウンメニュー (SE用)'!$D$2:$D1028,'プルダウンメニュー (SE用)'!$C$2:$C1028))</f>
        <v/>
      </c>
      <c r="B614" s="926" t="str">
        <f>iferror(if(H614="GLOW流用","-",if(G614="","","SSE_"&amp;TEXT(vlookup(E614,'プルダウンメニュー (SE用)'!$E$2:$F1028,2,false),"000")&amp;"_"&amp;TEXT(COUNTIF($E$4:E614,E614),"000"))),"")</f>
        <v/>
      </c>
      <c r="C614" s="984"/>
      <c r="D614" s="986"/>
      <c r="E614" s="986"/>
      <c r="F614" s="1018"/>
      <c r="G614" s="1040"/>
      <c r="H614" s="1041"/>
      <c r="I614" s="1042"/>
      <c r="J614" s="1043"/>
      <c r="K614" s="1043"/>
      <c r="L614" s="1044"/>
      <c r="M614" s="1041"/>
      <c r="N614" s="1024"/>
      <c r="O614" s="1024"/>
      <c r="P614" s="868"/>
      <c r="Q614" s="1032"/>
      <c r="R614" s="1039"/>
      <c r="S614" s="126"/>
      <c r="T614" s="1039"/>
      <c r="U614" s="1039"/>
    </row>
    <row r="615">
      <c r="A615" s="926" t="str">
        <f t="array" ref="A615">if(G615="","",XLOOKUP(D615,'プルダウンメニュー (SE用)'!$D$2:$D1028,'プルダウンメニュー (SE用)'!$C$2:$C1028))</f>
        <v/>
      </c>
      <c r="B615" s="926" t="str">
        <f>iferror(if(H615="GLOW流用","-",if(G615="","","SSE_"&amp;TEXT(vlookup(E615,'プルダウンメニュー (SE用)'!$E$2:$F1028,2,false),"000")&amp;"_"&amp;TEXT(COUNTIF($E$4:E615,E615),"000"))),"")</f>
        <v/>
      </c>
      <c r="C615" s="984"/>
      <c r="D615" s="986"/>
      <c r="E615" s="986"/>
      <c r="F615" s="1018"/>
      <c r="G615" s="1040"/>
      <c r="H615" s="1041"/>
      <c r="I615" s="1042"/>
      <c r="J615" s="1043"/>
      <c r="K615" s="1043"/>
      <c r="L615" s="1044"/>
      <c r="M615" s="1041"/>
      <c r="N615" s="1024"/>
      <c r="O615" s="1024"/>
      <c r="P615" s="868"/>
      <c r="Q615" s="1032"/>
      <c r="R615" s="1039"/>
      <c r="S615" s="126"/>
      <c r="T615" s="1039"/>
      <c r="U615" s="1039"/>
    </row>
    <row r="616">
      <c r="A616" s="926" t="str">
        <f t="array" ref="A616">if(G616="","",XLOOKUP(D616,'プルダウンメニュー (SE用)'!$D$2:$D1028,'プルダウンメニュー (SE用)'!$C$2:$C1028))</f>
        <v/>
      </c>
      <c r="B616" s="926" t="str">
        <f>iferror(if(H616="GLOW流用","-",if(G616="","","SSE_"&amp;TEXT(vlookup(E616,'プルダウンメニュー (SE用)'!$E$2:$F1028,2,false),"000")&amp;"_"&amp;TEXT(COUNTIF($E$4:E616,E616),"000"))),"")</f>
        <v/>
      </c>
      <c r="C616" s="984"/>
      <c r="D616" s="986"/>
      <c r="E616" s="986"/>
      <c r="F616" s="1018"/>
      <c r="G616" s="1040"/>
      <c r="H616" s="1041"/>
      <c r="I616" s="1042"/>
      <c r="J616" s="1043"/>
      <c r="K616" s="1043"/>
      <c r="L616" s="1044"/>
      <c r="M616" s="1041"/>
      <c r="N616" s="1024"/>
      <c r="O616" s="1024"/>
      <c r="P616" s="868"/>
      <c r="Q616" s="1032"/>
      <c r="R616" s="1039"/>
      <c r="S616" s="126"/>
      <c r="T616" s="1039"/>
      <c r="U616" s="1039"/>
    </row>
    <row r="617">
      <c r="A617" s="926" t="str">
        <f t="array" ref="A617">if(G617="","",XLOOKUP(D617,'プルダウンメニュー (SE用)'!$D$2:$D1028,'プルダウンメニュー (SE用)'!$C$2:$C1028))</f>
        <v/>
      </c>
      <c r="B617" s="926" t="str">
        <f>iferror(if(H617="GLOW流用","-",if(G617="","","SSE_"&amp;TEXT(vlookup(E617,'プルダウンメニュー (SE用)'!$E$2:$F1028,2,false),"000")&amp;"_"&amp;TEXT(COUNTIF($E$4:E617,E617),"000"))),"")</f>
        <v/>
      </c>
      <c r="C617" s="984"/>
      <c r="D617" s="986"/>
      <c r="E617" s="986"/>
      <c r="F617" s="1018"/>
      <c r="G617" s="1040"/>
      <c r="H617" s="1041"/>
      <c r="I617" s="1042"/>
      <c r="J617" s="1043"/>
      <c r="K617" s="1043"/>
      <c r="L617" s="1044"/>
      <c r="M617" s="1041"/>
      <c r="N617" s="1024"/>
      <c r="O617" s="1024"/>
      <c r="P617" s="868"/>
      <c r="Q617" s="1032"/>
      <c r="R617" s="1039"/>
      <c r="S617" s="126"/>
      <c r="T617" s="1039"/>
      <c r="U617" s="1039"/>
    </row>
    <row r="618">
      <c r="A618" s="926" t="str">
        <f t="array" ref="A618">if(G618="","",XLOOKUP(D618,'プルダウンメニュー (SE用)'!$D$2:$D1028,'プルダウンメニュー (SE用)'!$C$2:$C1028))</f>
        <v/>
      </c>
      <c r="B618" s="926" t="str">
        <f>iferror(if(H618="GLOW流用","-",if(G618="","","SSE_"&amp;TEXT(vlookup(E618,'プルダウンメニュー (SE用)'!$E$2:$F1028,2,false),"000")&amp;"_"&amp;TEXT(COUNTIF($E$4:E618,E618),"000"))),"")</f>
        <v/>
      </c>
      <c r="C618" s="984"/>
      <c r="D618" s="986"/>
      <c r="E618" s="986"/>
      <c r="F618" s="1018"/>
      <c r="G618" s="1040"/>
      <c r="H618" s="1041"/>
      <c r="I618" s="1042"/>
      <c r="J618" s="1043"/>
      <c r="K618" s="1043"/>
      <c r="L618" s="1044"/>
      <c r="M618" s="1041"/>
      <c r="N618" s="1024"/>
      <c r="O618" s="1024"/>
      <c r="P618" s="868"/>
      <c r="Q618" s="1032"/>
      <c r="R618" s="1039"/>
      <c r="S618" s="126"/>
      <c r="T618" s="1039"/>
      <c r="U618" s="1039"/>
    </row>
    <row r="619">
      <c r="A619" s="926" t="str">
        <f t="array" ref="A619">if(G619="","",XLOOKUP(D619,'プルダウンメニュー (SE用)'!$D$2:$D1028,'プルダウンメニュー (SE用)'!$C$2:$C1028))</f>
        <v/>
      </c>
      <c r="B619" s="926" t="str">
        <f>iferror(if(H619="GLOW流用","-",if(G619="","","SSE_"&amp;TEXT(vlookup(E619,'プルダウンメニュー (SE用)'!$E$2:$F1028,2,false),"000")&amp;"_"&amp;TEXT(COUNTIF($E$4:E619,E619),"000"))),"")</f>
        <v/>
      </c>
      <c r="C619" s="984"/>
      <c r="D619" s="986"/>
      <c r="E619" s="986"/>
      <c r="F619" s="1018"/>
      <c r="G619" s="1040"/>
      <c r="H619" s="1041"/>
      <c r="I619" s="1042"/>
      <c r="J619" s="1043"/>
      <c r="K619" s="1043"/>
      <c r="L619" s="1044"/>
      <c r="M619" s="1041"/>
      <c r="N619" s="1024"/>
      <c r="O619" s="1024"/>
      <c r="P619" s="868"/>
      <c r="Q619" s="1032"/>
      <c r="R619" s="1039"/>
      <c r="S619" s="126"/>
      <c r="T619" s="1039"/>
      <c r="U619" s="1039"/>
    </row>
    <row r="620">
      <c r="A620" s="926" t="str">
        <f t="array" ref="A620">if(G620="","",XLOOKUP(D620,'プルダウンメニュー (SE用)'!$D$2:$D1028,'プルダウンメニュー (SE用)'!$C$2:$C1028))</f>
        <v/>
      </c>
      <c r="B620" s="926" t="str">
        <f>iferror(if(H620="GLOW流用","-",if(G620="","","SSE_"&amp;TEXT(vlookup(E620,'プルダウンメニュー (SE用)'!$E$2:$F1028,2,false),"000")&amp;"_"&amp;TEXT(COUNTIF($E$4:E620,E620),"000"))),"")</f>
        <v/>
      </c>
      <c r="C620" s="984"/>
      <c r="D620" s="986"/>
      <c r="E620" s="986"/>
      <c r="F620" s="1018"/>
      <c r="G620" s="1040"/>
      <c r="H620" s="1041"/>
      <c r="I620" s="1042"/>
      <c r="J620" s="1043"/>
      <c r="K620" s="1043"/>
      <c r="L620" s="1044"/>
      <c r="M620" s="1041"/>
      <c r="N620" s="1024"/>
      <c r="O620" s="1024"/>
      <c r="P620" s="868"/>
      <c r="Q620" s="1032"/>
      <c r="R620" s="1039"/>
      <c r="S620" s="126"/>
      <c r="T620" s="1039"/>
      <c r="U620" s="1039"/>
    </row>
    <row r="621">
      <c r="A621" s="926" t="str">
        <f t="array" ref="A621">if(G621="","",XLOOKUP(D621,'プルダウンメニュー (SE用)'!$D$2:$D1028,'プルダウンメニュー (SE用)'!$C$2:$C1028))</f>
        <v/>
      </c>
      <c r="B621" s="926" t="str">
        <f>iferror(if(H621="GLOW流用","-",if(G621="","","SSE_"&amp;TEXT(vlookup(E621,'プルダウンメニュー (SE用)'!$E$2:$F1028,2,false),"000")&amp;"_"&amp;TEXT(COUNTIF($E$4:E621,E621),"000"))),"")</f>
        <v/>
      </c>
      <c r="C621" s="984"/>
      <c r="D621" s="986"/>
      <c r="E621" s="986"/>
      <c r="F621" s="1018"/>
      <c r="G621" s="1040"/>
      <c r="H621" s="1041"/>
      <c r="I621" s="1042"/>
      <c r="J621" s="1043"/>
      <c r="K621" s="1043"/>
      <c r="L621" s="1044"/>
      <c r="M621" s="1041"/>
      <c r="N621" s="1024"/>
      <c r="O621" s="1024"/>
      <c r="P621" s="868"/>
      <c r="Q621" s="1032"/>
      <c r="R621" s="1039"/>
      <c r="S621" s="126"/>
      <c r="T621" s="1039"/>
      <c r="U621" s="1039"/>
    </row>
    <row r="622">
      <c r="A622" s="926" t="str">
        <f t="array" ref="A622">if(G622="","",XLOOKUP(D622,'プルダウンメニュー (SE用)'!$D$2:$D1028,'プルダウンメニュー (SE用)'!$C$2:$C1028))</f>
        <v/>
      </c>
      <c r="B622" s="926" t="str">
        <f>iferror(if(H622="GLOW流用","-",if(G622="","","SSE_"&amp;TEXT(vlookup(E622,'プルダウンメニュー (SE用)'!$E$2:$F1028,2,false),"000")&amp;"_"&amp;TEXT(COUNTIF($E$4:E622,E622),"000"))),"")</f>
        <v/>
      </c>
      <c r="C622" s="984"/>
      <c r="D622" s="986"/>
      <c r="E622" s="986"/>
      <c r="F622" s="1018"/>
      <c r="G622" s="1040"/>
      <c r="H622" s="1041"/>
      <c r="I622" s="1042"/>
      <c r="J622" s="1043"/>
      <c r="K622" s="1043"/>
      <c r="L622" s="1044"/>
      <c r="M622" s="1041"/>
      <c r="N622" s="1024"/>
      <c r="O622" s="1024"/>
      <c r="P622" s="868"/>
      <c r="Q622" s="1032"/>
      <c r="R622" s="1039"/>
      <c r="S622" s="126"/>
      <c r="T622" s="1039"/>
      <c r="U622" s="1039"/>
    </row>
    <row r="623">
      <c r="A623" s="926" t="str">
        <f t="array" ref="A623">if(G623="","",XLOOKUP(D623,'プルダウンメニュー (SE用)'!$D$2:$D1028,'プルダウンメニュー (SE用)'!$C$2:$C1028))</f>
        <v/>
      </c>
      <c r="B623" s="926" t="str">
        <f>iferror(if(H623="GLOW流用","-",if(G623="","","SSE_"&amp;TEXT(vlookup(E623,'プルダウンメニュー (SE用)'!$E$2:$F1028,2,false),"000")&amp;"_"&amp;TEXT(COUNTIF($E$4:E623,E623),"000"))),"")</f>
        <v/>
      </c>
      <c r="C623" s="984"/>
      <c r="D623" s="986"/>
      <c r="E623" s="986"/>
      <c r="F623" s="1018"/>
      <c r="G623" s="1040"/>
      <c r="H623" s="1041"/>
      <c r="I623" s="1042"/>
      <c r="J623" s="1043"/>
      <c r="K623" s="1043"/>
      <c r="L623" s="1044"/>
      <c r="M623" s="1041"/>
      <c r="N623" s="1024"/>
      <c r="O623" s="1024"/>
      <c r="P623" s="868"/>
      <c r="Q623" s="1032"/>
      <c r="R623" s="1039"/>
      <c r="S623" s="126"/>
      <c r="T623" s="1039"/>
      <c r="U623" s="1039"/>
    </row>
    <row r="624">
      <c r="A624" s="926" t="str">
        <f t="array" ref="A624">if(G624="","",XLOOKUP(D624,'プルダウンメニュー (SE用)'!$D$2:$D1028,'プルダウンメニュー (SE用)'!$C$2:$C1028))</f>
        <v/>
      </c>
      <c r="B624" s="926" t="str">
        <f>iferror(if(H624="GLOW流用","-",if(G624="","","SSE_"&amp;TEXT(vlookup(E624,'プルダウンメニュー (SE用)'!$E$2:$F1028,2,false),"000")&amp;"_"&amp;TEXT(COUNTIF($E$4:E624,E624),"000"))),"")</f>
        <v/>
      </c>
      <c r="C624" s="984"/>
      <c r="D624" s="986"/>
      <c r="E624" s="986"/>
      <c r="F624" s="1018"/>
      <c r="G624" s="1040"/>
      <c r="H624" s="1041"/>
      <c r="I624" s="1042"/>
      <c r="J624" s="1043"/>
      <c r="K624" s="1043"/>
      <c r="L624" s="1044"/>
      <c r="M624" s="1041"/>
      <c r="N624" s="1024"/>
      <c r="O624" s="1024"/>
      <c r="P624" s="868"/>
      <c r="Q624" s="1032"/>
      <c r="R624" s="1039"/>
      <c r="S624" s="126"/>
      <c r="T624" s="1039"/>
      <c r="U624" s="1039"/>
    </row>
    <row r="625">
      <c r="A625" s="926" t="str">
        <f t="array" ref="A625">if(G625="","",XLOOKUP(D625,'プルダウンメニュー (SE用)'!$D$2:$D1028,'プルダウンメニュー (SE用)'!$C$2:$C1028))</f>
        <v/>
      </c>
      <c r="B625" s="926" t="str">
        <f>iferror(if(H625="GLOW流用","-",if(G625="","","SSE_"&amp;TEXT(vlookup(E625,'プルダウンメニュー (SE用)'!$E$2:$F1028,2,false),"000")&amp;"_"&amp;TEXT(COUNTIF($E$4:E625,E625),"000"))),"")</f>
        <v/>
      </c>
      <c r="C625" s="984"/>
      <c r="D625" s="986"/>
      <c r="E625" s="986"/>
      <c r="F625" s="1018"/>
      <c r="G625" s="1040"/>
      <c r="H625" s="1041"/>
      <c r="I625" s="1042"/>
      <c r="J625" s="1043"/>
      <c r="K625" s="1043"/>
      <c r="L625" s="1044"/>
      <c r="M625" s="1041"/>
      <c r="N625" s="1024"/>
      <c r="O625" s="1024"/>
      <c r="P625" s="868"/>
      <c r="Q625" s="1032"/>
      <c r="R625" s="1039"/>
      <c r="S625" s="126"/>
      <c r="T625" s="1039"/>
      <c r="U625" s="1039"/>
    </row>
    <row r="626">
      <c r="A626" s="926" t="str">
        <f t="array" ref="A626">if(G626="","",XLOOKUP(D626,'プルダウンメニュー (SE用)'!$D$2:$D1028,'プルダウンメニュー (SE用)'!$C$2:$C1028))</f>
        <v/>
      </c>
      <c r="B626" s="926" t="str">
        <f>iferror(if(H626="GLOW流用","-",if(G626="","","SSE_"&amp;TEXT(vlookup(E626,'プルダウンメニュー (SE用)'!$E$2:$F1028,2,false),"000")&amp;"_"&amp;TEXT(COUNTIF($E$4:E626,E626),"000"))),"")</f>
        <v/>
      </c>
      <c r="C626" s="984"/>
      <c r="D626" s="986"/>
      <c r="E626" s="986"/>
      <c r="F626" s="1018"/>
      <c r="G626" s="1040"/>
      <c r="H626" s="1041"/>
      <c r="I626" s="1042"/>
      <c r="J626" s="1043"/>
      <c r="K626" s="1043"/>
      <c r="L626" s="1044"/>
      <c r="M626" s="1041"/>
      <c r="N626" s="1024"/>
      <c r="O626" s="1024"/>
      <c r="P626" s="868"/>
      <c r="Q626" s="1032"/>
      <c r="R626" s="1039"/>
      <c r="S626" s="126"/>
      <c r="T626" s="1039"/>
      <c r="U626" s="1039"/>
    </row>
    <row r="627">
      <c r="A627" s="926" t="str">
        <f t="array" ref="A627">if(G627="","",XLOOKUP(D627,'プルダウンメニュー (SE用)'!$D$2:$D1028,'プルダウンメニュー (SE用)'!$C$2:$C1028))</f>
        <v/>
      </c>
      <c r="B627" s="926" t="str">
        <f>iferror(if(H627="GLOW流用","-",if(G627="","","SSE_"&amp;TEXT(vlookup(E627,'プルダウンメニュー (SE用)'!$E$2:$F1028,2,false),"000")&amp;"_"&amp;TEXT(COUNTIF($E$4:E627,E627),"000"))),"")</f>
        <v/>
      </c>
      <c r="C627" s="984"/>
      <c r="D627" s="986"/>
      <c r="E627" s="986"/>
      <c r="F627" s="1018"/>
      <c r="G627" s="1040"/>
      <c r="H627" s="1041"/>
      <c r="I627" s="1042"/>
      <c r="J627" s="1043"/>
      <c r="K627" s="1043"/>
      <c r="L627" s="1044"/>
      <c r="M627" s="1041"/>
      <c r="N627" s="1024"/>
      <c r="O627" s="1024"/>
      <c r="P627" s="868"/>
      <c r="Q627" s="1032"/>
      <c r="R627" s="1039"/>
      <c r="S627" s="126"/>
      <c r="T627" s="1039"/>
      <c r="U627" s="1039"/>
    </row>
    <row r="628">
      <c r="A628" s="926" t="str">
        <f t="array" ref="A628">if(G628="","",XLOOKUP(D628,'プルダウンメニュー (SE用)'!$D$2:$D1028,'プルダウンメニュー (SE用)'!$C$2:$C1028))</f>
        <v/>
      </c>
      <c r="B628" s="926" t="str">
        <f>iferror(if(H628="GLOW流用","-",if(G628="","","SSE_"&amp;TEXT(vlookup(E628,'プルダウンメニュー (SE用)'!$E$2:$F1028,2,false),"000")&amp;"_"&amp;TEXT(COUNTIF($E$4:E628,E628),"000"))),"")</f>
        <v/>
      </c>
      <c r="C628" s="984"/>
      <c r="D628" s="986"/>
      <c r="E628" s="986"/>
      <c r="F628" s="1018"/>
      <c r="G628" s="1040"/>
      <c r="H628" s="1041"/>
      <c r="I628" s="1042"/>
      <c r="J628" s="1043"/>
      <c r="K628" s="1043"/>
      <c r="L628" s="1044"/>
      <c r="M628" s="1041"/>
      <c r="N628" s="1024"/>
      <c r="O628" s="1024"/>
      <c r="P628" s="868"/>
      <c r="Q628" s="1032"/>
      <c r="R628" s="1039"/>
      <c r="S628" s="126"/>
      <c r="T628" s="1039"/>
      <c r="U628" s="1039"/>
    </row>
    <row r="629">
      <c r="A629" s="926" t="str">
        <f t="array" ref="A629">if(G629="","",XLOOKUP(D629,'プルダウンメニュー (SE用)'!$D$2:$D1028,'プルダウンメニュー (SE用)'!$C$2:$C1028))</f>
        <v/>
      </c>
      <c r="B629" s="926" t="str">
        <f>iferror(if(H629="GLOW流用","-",if(G629="","","SSE_"&amp;TEXT(vlookup(E629,'プルダウンメニュー (SE用)'!$E$2:$F1028,2,false),"000")&amp;"_"&amp;TEXT(COUNTIF($E$4:E629,E629),"000"))),"")</f>
        <v/>
      </c>
      <c r="C629" s="984"/>
      <c r="D629" s="986"/>
      <c r="E629" s="986"/>
      <c r="F629" s="1018"/>
      <c r="G629" s="1040"/>
      <c r="H629" s="1041"/>
      <c r="I629" s="1042"/>
      <c r="J629" s="1043"/>
      <c r="K629" s="1043"/>
      <c r="L629" s="1044"/>
      <c r="M629" s="1041"/>
      <c r="N629" s="1024"/>
      <c r="O629" s="1024"/>
      <c r="P629" s="868"/>
      <c r="Q629" s="1032"/>
      <c r="R629" s="1039"/>
      <c r="S629" s="126"/>
      <c r="T629" s="1039"/>
      <c r="U629" s="1039"/>
    </row>
    <row r="630">
      <c r="A630" s="926" t="str">
        <f t="array" ref="A630">if(G630="","",XLOOKUP(D630,'プルダウンメニュー (SE用)'!$D$2:$D1028,'プルダウンメニュー (SE用)'!$C$2:$C1028))</f>
        <v/>
      </c>
      <c r="B630" s="926" t="str">
        <f>iferror(if(H630="GLOW流用","-",if(G630="","","SSE_"&amp;TEXT(vlookup(E630,'プルダウンメニュー (SE用)'!$E$2:$F1028,2,false),"000")&amp;"_"&amp;TEXT(COUNTIF($E$4:E630,E630),"000"))),"")</f>
        <v/>
      </c>
      <c r="C630" s="984"/>
      <c r="D630" s="986"/>
      <c r="E630" s="986"/>
      <c r="F630" s="1018"/>
      <c r="G630" s="1040"/>
      <c r="H630" s="1041"/>
      <c r="I630" s="1042"/>
      <c r="J630" s="1043"/>
      <c r="K630" s="1043"/>
      <c r="L630" s="1044"/>
      <c r="M630" s="1041"/>
      <c r="N630" s="1024"/>
      <c r="O630" s="1024"/>
      <c r="P630" s="868"/>
      <c r="Q630" s="1032"/>
      <c r="R630" s="1039"/>
      <c r="S630" s="126"/>
      <c r="T630" s="1039"/>
      <c r="U630" s="1039"/>
    </row>
    <row r="631">
      <c r="A631" s="926" t="str">
        <f t="array" ref="A631">if(G631="","",XLOOKUP(D631,'プルダウンメニュー (SE用)'!$D$2:$D1028,'プルダウンメニュー (SE用)'!$C$2:$C1028))</f>
        <v/>
      </c>
      <c r="B631" s="926" t="str">
        <f>iferror(if(H631="GLOW流用","-",if(G631="","","SSE_"&amp;TEXT(vlookup(E631,'プルダウンメニュー (SE用)'!$E$2:$F1028,2,false),"000")&amp;"_"&amp;TEXT(COUNTIF($E$4:E631,E631),"000"))),"")</f>
        <v/>
      </c>
      <c r="C631" s="984"/>
      <c r="D631" s="986"/>
      <c r="E631" s="986"/>
      <c r="F631" s="1018"/>
      <c r="G631" s="1040"/>
      <c r="H631" s="1041"/>
      <c r="I631" s="1042"/>
      <c r="J631" s="1043"/>
      <c r="K631" s="1043"/>
      <c r="L631" s="1044"/>
      <c r="M631" s="1041"/>
      <c r="N631" s="1024"/>
      <c r="O631" s="1024"/>
      <c r="P631" s="868"/>
      <c r="Q631" s="1032"/>
      <c r="R631" s="1039"/>
      <c r="S631" s="126"/>
      <c r="T631" s="1039"/>
      <c r="U631" s="1039"/>
    </row>
    <row r="632">
      <c r="A632" s="926" t="str">
        <f t="array" ref="A632">if(G632="","",XLOOKUP(D632,'プルダウンメニュー (SE用)'!$D$2:$D1028,'プルダウンメニュー (SE用)'!$C$2:$C1028))</f>
        <v/>
      </c>
      <c r="B632" s="926" t="str">
        <f>iferror(if(H632="GLOW流用","-",if(G632="","","SSE_"&amp;TEXT(vlookup(E632,'プルダウンメニュー (SE用)'!$E$2:$F1028,2,false),"000")&amp;"_"&amp;TEXT(COUNTIF($E$4:E632,E632),"000"))),"")</f>
        <v/>
      </c>
      <c r="C632" s="984"/>
      <c r="D632" s="986"/>
      <c r="E632" s="986"/>
      <c r="F632" s="1018"/>
      <c r="G632" s="1040"/>
      <c r="H632" s="1041"/>
      <c r="I632" s="1042"/>
      <c r="J632" s="1043"/>
      <c r="K632" s="1043"/>
      <c r="L632" s="1044"/>
      <c r="M632" s="1041"/>
      <c r="N632" s="1024"/>
      <c r="O632" s="1024"/>
      <c r="P632" s="868"/>
      <c r="Q632" s="1032"/>
      <c r="R632" s="1039"/>
      <c r="S632" s="126"/>
      <c r="T632" s="1039"/>
      <c r="U632" s="1039"/>
    </row>
    <row r="633">
      <c r="A633" s="926" t="str">
        <f t="array" ref="A633">if(G633="","",XLOOKUP(D633,'プルダウンメニュー (SE用)'!$D$2:$D1028,'プルダウンメニュー (SE用)'!$C$2:$C1028))</f>
        <v/>
      </c>
      <c r="B633" s="926" t="str">
        <f>iferror(if(H633="GLOW流用","-",if(G633="","","SSE_"&amp;TEXT(vlookup(E633,'プルダウンメニュー (SE用)'!$E$2:$F1028,2,false),"000")&amp;"_"&amp;TEXT(COUNTIF($E$4:E633,E633),"000"))),"")</f>
        <v/>
      </c>
      <c r="C633" s="984"/>
      <c r="D633" s="986"/>
      <c r="E633" s="986"/>
      <c r="F633" s="1018"/>
      <c r="G633" s="1040"/>
      <c r="H633" s="1041"/>
      <c r="I633" s="1042"/>
      <c r="J633" s="1043"/>
      <c r="K633" s="1043"/>
      <c r="L633" s="1044"/>
      <c r="M633" s="1041"/>
      <c r="N633" s="1024"/>
      <c r="O633" s="1024"/>
      <c r="P633" s="868"/>
      <c r="Q633" s="1032"/>
      <c r="R633" s="1039"/>
      <c r="S633" s="126"/>
      <c r="T633" s="1039"/>
      <c r="U633" s="1039"/>
    </row>
    <row r="634">
      <c r="A634" s="926" t="str">
        <f t="array" ref="A634">if(G634="","",XLOOKUP(D634,'プルダウンメニュー (SE用)'!$D$2:$D1028,'プルダウンメニュー (SE用)'!$C$2:$C1028))</f>
        <v/>
      </c>
      <c r="B634" s="926" t="str">
        <f>iferror(if(H634="GLOW流用","-",if(G634="","","SSE_"&amp;TEXT(vlookup(E634,'プルダウンメニュー (SE用)'!$E$2:$F1028,2,false),"000")&amp;"_"&amp;TEXT(COUNTIF($E$4:E634,E634),"000"))),"")</f>
        <v/>
      </c>
      <c r="C634" s="984"/>
      <c r="D634" s="986"/>
      <c r="E634" s="986"/>
      <c r="F634" s="1018"/>
      <c r="G634" s="1040"/>
      <c r="H634" s="1041"/>
      <c r="I634" s="1042"/>
      <c r="J634" s="1043"/>
      <c r="K634" s="1043"/>
      <c r="L634" s="1044"/>
      <c r="M634" s="1041"/>
      <c r="N634" s="1024"/>
      <c r="O634" s="1024"/>
      <c r="P634" s="868"/>
      <c r="Q634" s="1025"/>
      <c r="R634" s="1039"/>
      <c r="S634" s="126"/>
      <c r="T634" s="1039"/>
      <c r="U634" s="1039"/>
    </row>
    <row r="635">
      <c r="A635" s="926" t="str">
        <f t="array" ref="A635">if(G635="","",XLOOKUP(D635,'プルダウンメニュー (SE用)'!$D$2:$D1028,'プルダウンメニュー (SE用)'!$C$2:$C1028))</f>
        <v/>
      </c>
      <c r="B635" s="926" t="str">
        <f>iferror(if(H635="GLOW流用","-",if(G635="","","SSE_"&amp;TEXT(vlookup(E635,'プルダウンメニュー (SE用)'!$E$2:$F1028,2,false),"000")&amp;"_"&amp;TEXT(COUNTIF($E$4:E635,E635),"000"))),"")</f>
        <v/>
      </c>
      <c r="C635" s="984"/>
      <c r="D635" s="986"/>
      <c r="E635" s="986"/>
      <c r="F635" s="1018"/>
      <c r="G635" s="1040"/>
      <c r="H635" s="1041"/>
      <c r="I635" s="1042"/>
      <c r="J635" s="1043"/>
      <c r="K635" s="1043"/>
      <c r="L635" s="1044"/>
      <c r="M635" s="1041"/>
      <c r="N635" s="1024"/>
      <c r="O635" s="1024"/>
      <c r="P635" s="868"/>
      <c r="Q635" s="1025"/>
      <c r="R635" s="1039"/>
      <c r="S635" s="126"/>
      <c r="T635" s="1039"/>
      <c r="U635" s="1039"/>
    </row>
    <row r="636">
      <c r="A636" s="926" t="str">
        <f t="array" ref="A636">if(G636="","",XLOOKUP(D636,'プルダウンメニュー (SE用)'!$D$2:$D1028,'プルダウンメニュー (SE用)'!$C$2:$C1028))</f>
        <v/>
      </c>
      <c r="B636" s="926" t="str">
        <f>iferror(if(H636="GLOW流用","-",if(G636="","","SSE_"&amp;TEXT(vlookup(E636,'プルダウンメニュー (SE用)'!$E$2:$F1028,2,false),"000")&amp;"_"&amp;TEXT(COUNTIF($E$4:E636,E636),"000"))),"")</f>
        <v/>
      </c>
      <c r="C636" s="984"/>
      <c r="D636" s="986"/>
      <c r="E636" s="986"/>
      <c r="F636" s="1018"/>
      <c r="G636" s="1040"/>
      <c r="H636" s="1041"/>
      <c r="I636" s="1042"/>
      <c r="J636" s="1043"/>
      <c r="K636" s="1043"/>
      <c r="L636" s="1044"/>
      <c r="M636" s="1041"/>
      <c r="N636" s="1024"/>
      <c r="O636" s="1024"/>
      <c r="P636" s="868"/>
      <c r="Q636" s="1025"/>
      <c r="R636" s="1039"/>
      <c r="S636" s="126"/>
      <c r="T636" s="1039"/>
      <c r="U636" s="1039"/>
    </row>
    <row r="637">
      <c r="A637" s="926" t="str">
        <f t="array" ref="A637">if(G637="","",XLOOKUP(D637,'プルダウンメニュー (SE用)'!$D$2:$D1028,'プルダウンメニュー (SE用)'!$C$2:$C1028))</f>
        <v/>
      </c>
      <c r="B637" s="926" t="str">
        <f>iferror(if(H637="GLOW流用","-",if(G637="","","SSE_"&amp;TEXT(vlookup(E637,'プルダウンメニュー (SE用)'!$E$2:$F1028,2,false),"000")&amp;"_"&amp;TEXT(COUNTIF($E$4:E637,E637),"000"))),"")</f>
        <v/>
      </c>
      <c r="C637" s="984"/>
      <c r="D637" s="986"/>
      <c r="E637" s="986"/>
      <c r="F637" s="1018"/>
      <c r="G637" s="1040"/>
      <c r="H637" s="1041"/>
      <c r="I637" s="1042"/>
      <c r="J637" s="1043"/>
      <c r="K637" s="1043"/>
      <c r="L637" s="1044"/>
      <c r="M637" s="1041"/>
      <c r="N637" s="1024"/>
      <c r="O637" s="1024"/>
      <c r="P637" s="868"/>
      <c r="Q637" s="1025"/>
      <c r="R637" s="1039"/>
      <c r="S637" s="126"/>
      <c r="T637" s="1039"/>
      <c r="U637" s="1039"/>
    </row>
    <row r="638">
      <c r="A638" s="926" t="str">
        <f t="array" ref="A638">if(G638="","",XLOOKUP(D638,'プルダウンメニュー (SE用)'!$D$2:$D1028,'プルダウンメニュー (SE用)'!$C$2:$C1028))</f>
        <v/>
      </c>
      <c r="B638" s="926" t="str">
        <f>iferror(if(H638="GLOW流用","-",if(G638="","","SSE_"&amp;TEXT(vlookup(E638,'プルダウンメニュー (SE用)'!$E$2:$F1028,2,false),"000")&amp;"_"&amp;TEXT(COUNTIF($E$4:E638,E638),"000"))),"")</f>
        <v/>
      </c>
      <c r="C638" s="984"/>
      <c r="D638" s="986"/>
      <c r="E638" s="986"/>
      <c r="F638" s="1018"/>
      <c r="G638" s="1040"/>
      <c r="H638" s="1041"/>
      <c r="I638" s="1042"/>
      <c r="J638" s="1043"/>
      <c r="K638" s="1043"/>
      <c r="L638" s="1044"/>
      <c r="M638" s="1041"/>
      <c r="N638" s="1024"/>
      <c r="O638" s="1024"/>
      <c r="P638" s="868"/>
      <c r="Q638" s="1025"/>
      <c r="R638" s="1039"/>
      <c r="S638" s="126"/>
      <c r="T638" s="1039"/>
      <c r="U638" s="1039"/>
    </row>
    <row r="639">
      <c r="A639" s="926" t="str">
        <f t="array" ref="A639">if(G639="","",XLOOKUP(D639,'プルダウンメニュー (SE用)'!$D$2:$D1028,'プルダウンメニュー (SE用)'!$C$2:$C1028))</f>
        <v/>
      </c>
      <c r="B639" s="926" t="str">
        <f>iferror(if(H639="GLOW流用","-",if(G639="","","SSE_"&amp;TEXT(vlookup(E639,'プルダウンメニュー (SE用)'!$E$2:$F1028,2,false),"000")&amp;"_"&amp;TEXT(COUNTIF($E$4:E639,E639),"000"))),"")</f>
        <v/>
      </c>
      <c r="C639" s="984"/>
      <c r="D639" s="986"/>
      <c r="E639" s="986"/>
      <c r="F639" s="1018"/>
      <c r="G639" s="1040"/>
      <c r="H639" s="1041"/>
      <c r="I639" s="1042"/>
      <c r="J639" s="1043"/>
      <c r="K639" s="1043"/>
      <c r="L639" s="1044"/>
      <c r="M639" s="1041"/>
      <c r="N639" s="1024"/>
      <c r="O639" s="1024"/>
      <c r="P639" s="868"/>
      <c r="Q639" s="1025"/>
      <c r="R639" s="1039"/>
      <c r="S639" s="126"/>
      <c r="T639" s="1039"/>
      <c r="U639" s="1039"/>
    </row>
    <row r="640">
      <c r="A640" s="926" t="str">
        <f t="array" ref="A640">if(G640="","",XLOOKUP(D640,'プルダウンメニュー (SE用)'!$D$2:$D1028,'プルダウンメニュー (SE用)'!$C$2:$C1028))</f>
        <v/>
      </c>
      <c r="B640" s="926" t="str">
        <f>iferror(if(H640="GLOW流用","-",if(G640="","","SSE_"&amp;TEXT(vlookup(E640,'プルダウンメニュー (SE用)'!$E$2:$F1028,2,false),"000")&amp;"_"&amp;TEXT(COUNTIF($E$4:E640,E640),"000"))),"")</f>
        <v/>
      </c>
      <c r="C640" s="984"/>
      <c r="D640" s="986"/>
      <c r="E640" s="986"/>
      <c r="F640" s="1018"/>
      <c r="G640" s="1040"/>
      <c r="H640" s="1041"/>
      <c r="I640" s="1042"/>
      <c r="J640" s="1043"/>
      <c r="K640" s="1043"/>
      <c r="L640" s="1044"/>
      <c r="M640" s="1041"/>
      <c r="N640" s="1024"/>
      <c r="O640" s="1024"/>
      <c r="P640" s="868"/>
      <c r="Q640" s="1025"/>
      <c r="R640" s="1039"/>
      <c r="S640" s="126"/>
      <c r="T640" s="1039"/>
      <c r="U640" s="1039"/>
    </row>
    <row r="641">
      <c r="A641" s="926" t="str">
        <f t="array" ref="A641">if(G641="","",XLOOKUP(D641,'プルダウンメニュー (SE用)'!$D$2:$D1028,'プルダウンメニュー (SE用)'!$C$2:$C1028))</f>
        <v/>
      </c>
      <c r="B641" s="926" t="str">
        <f>iferror(if(H641="GLOW流用","-",if(G641="","","SSE_"&amp;TEXT(vlookup(E641,'プルダウンメニュー (SE用)'!$E$2:$F1028,2,false),"000")&amp;"_"&amp;TEXT(COUNTIF($E$4:E641,E641),"000"))),"")</f>
        <v/>
      </c>
      <c r="C641" s="984"/>
      <c r="D641" s="986"/>
      <c r="E641" s="986"/>
      <c r="F641" s="1018"/>
      <c r="G641" s="1040"/>
      <c r="H641" s="1041"/>
      <c r="I641" s="1042"/>
      <c r="J641" s="1043"/>
      <c r="K641" s="1043"/>
      <c r="L641" s="1044"/>
      <c r="M641" s="1041"/>
      <c r="N641" s="1024"/>
      <c r="O641" s="1024"/>
      <c r="P641" s="868"/>
      <c r="Q641" s="1025"/>
      <c r="R641" s="1039"/>
      <c r="S641" s="126"/>
      <c r="T641" s="1039"/>
      <c r="U641" s="1039"/>
    </row>
    <row r="642">
      <c r="A642" s="926" t="str">
        <f t="array" ref="A642">if(G642="","",XLOOKUP(D642,'プルダウンメニュー (SE用)'!$D$2:$D1028,'プルダウンメニュー (SE用)'!$C$2:$C1028))</f>
        <v/>
      </c>
      <c r="B642" s="926" t="str">
        <f>iferror(if(H642="GLOW流用","-",if(G642="","","SSE_"&amp;TEXT(vlookup(E642,'プルダウンメニュー (SE用)'!$E$2:$F1028,2,false),"000")&amp;"_"&amp;TEXT(COUNTIF($E$4:E642,E642),"000"))),"")</f>
        <v/>
      </c>
      <c r="C642" s="984"/>
      <c r="D642" s="986"/>
      <c r="E642" s="986"/>
      <c r="F642" s="1018"/>
      <c r="G642" s="1040"/>
      <c r="H642" s="1041"/>
      <c r="I642" s="1042"/>
      <c r="J642" s="1043"/>
      <c r="K642" s="1043"/>
      <c r="L642" s="1044"/>
      <c r="M642" s="1041"/>
      <c r="N642" s="1024"/>
      <c r="O642" s="1024"/>
      <c r="P642" s="868"/>
      <c r="Q642" s="1025"/>
      <c r="R642" s="1039"/>
      <c r="S642" s="126"/>
      <c r="T642" s="1039"/>
      <c r="U642" s="1039"/>
    </row>
    <row r="643">
      <c r="A643" s="926" t="str">
        <f t="array" ref="A643">if(G643="","",XLOOKUP(D643,'プルダウンメニュー (SE用)'!$D$2:$D1028,'プルダウンメニュー (SE用)'!$C$2:$C1028))</f>
        <v/>
      </c>
      <c r="B643" s="926" t="str">
        <f>iferror(if(H643="GLOW流用","-",if(G643="","","SSE_"&amp;TEXT(vlookup(E643,'プルダウンメニュー (SE用)'!$E$2:$F1028,2,false),"000")&amp;"_"&amp;TEXT(COUNTIF($E$4:E643,E643),"000"))),"")</f>
        <v/>
      </c>
      <c r="C643" s="984"/>
      <c r="D643" s="986"/>
      <c r="E643" s="986"/>
      <c r="F643" s="1018"/>
      <c r="G643" s="1040"/>
      <c r="H643" s="1041"/>
      <c r="I643" s="1042"/>
      <c r="J643" s="1043"/>
      <c r="K643" s="1043"/>
      <c r="L643" s="1044"/>
      <c r="M643" s="1041"/>
      <c r="N643" s="1024"/>
      <c r="O643" s="1024"/>
      <c r="P643" s="868"/>
      <c r="Q643" s="1025"/>
      <c r="R643" s="1039"/>
      <c r="S643" s="126"/>
      <c r="T643" s="1039"/>
      <c r="U643" s="1039"/>
    </row>
    <row r="644">
      <c r="A644" s="926" t="str">
        <f t="array" ref="A644">if(G644="","",XLOOKUP(D644,'プルダウンメニュー (SE用)'!$D$2:$D1028,'プルダウンメニュー (SE用)'!$C$2:$C1028))</f>
        <v/>
      </c>
      <c r="B644" s="926" t="str">
        <f>iferror(if(H644="GLOW流用","-",if(G644="","","SSE_"&amp;TEXT(vlookup(E644,'プルダウンメニュー (SE用)'!$E$2:$F1028,2,false),"000")&amp;"_"&amp;TEXT(COUNTIF($E$4:E644,E644),"000"))),"")</f>
        <v/>
      </c>
      <c r="C644" s="984"/>
      <c r="D644" s="986"/>
      <c r="E644" s="986"/>
      <c r="F644" s="1018"/>
      <c r="G644" s="1040"/>
      <c r="H644" s="1041"/>
      <c r="I644" s="1042"/>
      <c r="J644" s="1043"/>
      <c r="K644" s="1043"/>
      <c r="L644" s="1044"/>
      <c r="M644" s="1041"/>
      <c r="N644" s="1024"/>
      <c r="O644" s="1024"/>
      <c r="P644" s="868"/>
      <c r="Q644" s="1025"/>
      <c r="R644" s="1039"/>
      <c r="S644" s="126"/>
      <c r="T644" s="1039"/>
      <c r="U644" s="1039"/>
    </row>
    <row r="645">
      <c r="A645" s="926" t="str">
        <f t="array" ref="A645">if(G645="","",XLOOKUP(D645,'プルダウンメニュー (SE用)'!$D$2:$D1028,'プルダウンメニュー (SE用)'!$C$2:$C1028))</f>
        <v/>
      </c>
      <c r="B645" s="926" t="str">
        <f>iferror(if(H645="GLOW流用","-",if(G645="","","SSE_"&amp;TEXT(vlookup(E645,'プルダウンメニュー (SE用)'!$E$2:$F1028,2,false),"000")&amp;"_"&amp;TEXT(COUNTIF($E$4:E645,E645),"000"))),"")</f>
        <v/>
      </c>
      <c r="C645" s="984"/>
      <c r="D645" s="986"/>
      <c r="E645" s="986"/>
      <c r="F645" s="1018"/>
      <c r="G645" s="1040"/>
      <c r="H645" s="1041"/>
      <c r="I645" s="1042"/>
      <c r="J645" s="1043"/>
      <c r="K645" s="1043"/>
      <c r="L645" s="1044"/>
      <c r="M645" s="1041"/>
      <c r="N645" s="1024"/>
      <c r="O645" s="1024"/>
      <c r="P645" s="868"/>
      <c r="Q645" s="1025"/>
      <c r="R645" s="1039"/>
      <c r="S645" s="126"/>
      <c r="T645" s="1039"/>
      <c r="U645" s="1039"/>
    </row>
    <row r="646">
      <c r="A646" s="926" t="str">
        <f t="array" ref="A646">if(G646="","",XLOOKUP(D646,'プルダウンメニュー (SE用)'!$D$2:$D1028,'プルダウンメニュー (SE用)'!$C$2:$C1028))</f>
        <v/>
      </c>
      <c r="B646" s="926" t="str">
        <f>iferror(if(H646="GLOW流用","-",if(G646="","","SSE_"&amp;TEXT(vlookup(E646,'プルダウンメニュー (SE用)'!$E$2:$F1028,2,false),"000")&amp;"_"&amp;TEXT(COUNTIF($E$4:E646,E646),"000"))),"")</f>
        <v/>
      </c>
      <c r="C646" s="984"/>
      <c r="D646" s="986"/>
      <c r="E646" s="986"/>
      <c r="F646" s="1018"/>
      <c r="G646" s="1040"/>
      <c r="H646" s="1041"/>
      <c r="I646" s="1042"/>
      <c r="J646" s="1043"/>
      <c r="K646" s="1043"/>
      <c r="L646" s="1044"/>
      <c r="M646" s="1041"/>
      <c r="N646" s="1024"/>
      <c r="O646" s="1024"/>
      <c r="P646" s="868"/>
      <c r="Q646" s="1025"/>
      <c r="R646" s="1039"/>
      <c r="S646" s="126"/>
      <c r="T646" s="1039"/>
      <c r="U646" s="1039"/>
    </row>
    <row r="647">
      <c r="A647" s="926" t="str">
        <f t="array" ref="A647">if(G647="","",XLOOKUP(D647,'プルダウンメニュー (SE用)'!$D$2:$D1028,'プルダウンメニュー (SE用)'!$C$2:$C1028))</f>
        <v/>
      </c>
      <c r="B647" s="926" t="str">
        <f>iferror(if(H647="GLOW流用","-",if(G647="","","SSE_"&amp;TEXT(vlookup(E647,'プルダウンメニュー (SE用)'!$E$2:$F1028,2,false),"000")&amp;"_"&amp;TEXT(COUNTIF($E$4:E647,E647),"000"))),"")</f>
        <v/>
      </c>
      <c r="C647" s="984"/>
      <c r="D647" s="986"/>
      <c r="E647" s="986"/>
      <c r="F647" s="1018"/>
      <c r="G647" s="1040"/>
      <c r="H647" s="1041"/>
      <c r="I647" s="1042"/>
      <c r="J647" s="1043"/>
      <c r="K647" s="1043"/>
      <c r="L647" s="1044"/>
      <c r="M647" s="1041"/>
      <c r="N647" s="1024"/>
      <c r="O647" s="1024"/>
      <c r="P647" s="868"/>
      <c r="Q647" s="1025"/>
      <c r="R647" s="1039"/>
      <c r="S647" s="126"/>
      <c r="T647" s="1039"/>
      <c r="U647" s="1039"/>
    </row>
    <row r="648">
      <c r="A648" s="926" t="str">
        <f t="array" ref="A648">if(G648="","",XLOOKUP(D648,'プルダウンメニュー (SE用)'!$D$2:$D1028,'プルダウンメニュー (SE用)'!$C$2:$C1028))</f>
        <v/>
      </c>
      <c r="B648" s="926" t="str">
        <f>iferror(if(H648="GLOW流用","-",if(G648="","","SSE_"&amp;TEXT(vlookup(E648,'プルダウンメニュー (SE用)'!$E$2:$F1028,2,false),"000")&amp;"_"&amp;TEXT(COUNTIF($E$4:E648,E648),"000"))),"")</f>
        <v/>
      </c>
      <c r="C648" s="984"/>
      <c r="D648" s="986"/>
      <c r="E648" s="986"/>
      <c r="F648" s="1018"/>
      <c r="G648" s="1040"/>
      <c r="H648" s="1041"/>
      <c r="I648" s="1042"/>
      <c r="J648" s="1043"/>
      <c r="K648" s="1043"/>
      <c r="L648" s="1044"/>
      <c r="M648" s="1041"/>
      <c r="N648" s="1024"/>
      <c r="O648" s="1024"/>
      <c r="P648" s="868"/>
      <c r="Q648" s="1025"/>
      <c r="R648" s="1039"/>
      <c r="S648" s="126"/>
      <c r="T648" s="1039"/>
      <c r="U648" s="1039"/>
    </row>
    <row r="649">
      <c r="A649" s="926" t="str">
        <f t="array" ref="A649">if(G649="","",XLOOKUP(D649,'プルダウンメニュー (SE用)'!$D$2:$D1028,'プルダウンメニュー (SE用)'!$C$2:$C1028))</f>
        <v/>
      </c>
      <c r="B649" s="926" t="str">
        <f>iferror(if(H649="GLOW流用","-",if(G649="","","SSE_"&amp;TEXT(vlookup(E649,'プルダウンメニュー (SE用)'!$E$2:$F1028,2,false),"000")&amp;"_"&amp;TEXT(COUNTIF($E$4:E649,E649),"000"))),"")</f>
        <v/>
      </c>
      <c r="C649" s="984"/>
      <c r="D649" s="986"/>
      <c r="E649" s="986"/>
      <c r="F649" s="1018"/>
      <c r="G649" s="1040"/>
      <c r="H649" s="1041"/>
      <c r="I649" s="1042"/>
      <c r="J649" s="1043"/>
      <c r="K649" s="1043"/>
      <c r="L649" s="1044"/>
      <c r="M649" s="1041"/>
      <c r="N649" s="1107"/>
      <c r="O649" s="1107"/>
      <c r="P649" s="1025"/>
      <c r="Q649" s="1025"/>
      <c r="R649" s="1039"/>
      <c r="S649" s="126"/>
      <c r="T649" s="1039"/>
      <c r="U649" s="1039"/>
    </row>
    <row r="650">
      <c r="A650" s="926" t="str">
        <f t="array" ref="A650">if(G650="","",XLOOKUP(D650,'プルダウンメニュー (SE用)'!$D$2:$D1028,'プルダウンメニュー (SE用)'!$C$2:$C1028))</f>
        <v/>
      </c>
      <c r="B650" s="926" t="str">
        <f>iferror(if(H650="GLOW流用","-",if(G650="","","SSE_"&amp;TEXT(vlookup(E650,'プルダウンメニュー (SE用)'!$E$2:$F1028,2,false),"000")&amp;"_"&amp;TEXT(COUNTIF($E$4:E650,E650),"000"))),"")</f>
        <v/>
      </c>
      <c r="C650" s="984"/>
      <c r="D650" s="986"/>
      <c r="E650" s="986"/>
      <c r="F650" s="1018"/>
      <c r="G650" s="1040"/>
      <c r="H650" s="1041"/>
      <c r="I650" s="1042"/>
      <c r="J650" s="1043"/>
      <c r="K650" s="1043"/>
      <c r="L650" s="1044"/>
      <c r="M650" s="1041"/>
      <c r="N650" s="1107"/>
      <c r="O650" s="1107"/>
      <c r="P650" s="1025"/>
      <c r="Q650" s="1025"/>
      <c r="R650" s="1039"/>
      <c r="S650" s="126"/>
      <c r="T650" s="1039"/>
      <c r="U650" s="1039"/>
    </row>
    <row r="651">
      <c r="A651" s="926" t="str">
        <f t="array" ref="A651">if(G651="","",XLOOKUP(D651,'プルダウンメニュー (SE用)'!$D$2:$D1028,'プルダウンメニュー (SE用)'!$C$2:$C1028))</f>
        <v/>
      </c>
      <c r="B651" s="926" t="str">
        <f>iferror(if(H651="GLOW流用","-",if(G651="","","SSE_"&amp;TEXT(vlookup(E651,'プルダウンメニュー (SE用)'!$E$2:$F1028,2,false),"000")&amp;"_"&amp;TEXT(COUNTIF($E$4:E651,E651),"000"))),"")</f>
        <v/>
      </c>
      <c r="C651" s="984"/>
      <c r="D651" s="986"/>
      <c r="E651" s="986"/>
      <c r="F651" s="1018"/>
      <c r="G651" s="1040"/>
      <c r="H651" s="1041"/>
      <c r="I651" s="1042"/>
      <c r="J651" s="1043"/>
      <c r="K651" s="1043"/>
      <c r="L651" s="1044"/>
      <c r="M651" s="1041"/>
      <c r="N651" s="1107"/>
      <c r="O651" s="1107"/>
      <c r="P651" s="1025"/>
      <c r="Q651" s="1025"/>
      <c r="R651" s="1039"/>
      <c r="S651" s="126"/>
      <c r="T651" s="1039"/>
      <c r="U651" s="1039"/>
    </row>
    <row r="652">
      <c r="A652" s="926" t="str">
        <f t="array" ref="A652">if(G652="","",XLOOKUP(D652,'プルダウンメニュー (SE用)'!$D$2:$D1028,'プルダウンメニュー (SE用)'!$C$2:$C1028))</f>
        <v/>
      </c>
      <c r="B652" s="926" t="str">
        <f>iferror(if(H652="GLOW流用","-",if(G652="","","SSE_"&amp;TEXT(vlookup(E652,'プルダウンメニュー (SE用)'!$E$2:$F1028,2,false),"000")&amp;"_"&amp;TEXT(COUNTIF($E$4:E652,E652),"000"))),"")</f>
        <v/>
      </c>
      <c r="C652" s="984"/>
      <c r="D652" s="986"/>
      <c r="E652" s="986"/>
      <c r="F652" s="1018"/>
      <c r="G652" s="1040"/>
      <c r="H652" s="1041"/>
      <c r="I652" s="1042"/>
      <c r="J652" s="1043"/>
      <c r="K652" s="1043"/>
      <c r="L652" s="1044"/>
      <c r="M652" s="1041"/>
      <c r="N652" s="1107"/>
      <c r="O652" s="1107"/>
      <c r="P652" s="1025"/>
      <c r="Q652" s="1025"/>
      <c r="R652" s="1039"/>
      <c r="S652" s="126"/>
      <c r="T652" s="1039"/>
      <c r="U652" s="1039"/>
    </row>
    <row r="653">
      <c r="A653" s="926" t="str">
        <f t="array" ref="A653">if(G653="","",XLOOKUP(D653,'プルダウンメニュー (SE用)'!$D$2:$D1028,'プルダウンメニュー (SE用)'!$C$2:$C1028))</f>
        <v/>
      </c>
      <c r="B653" s="926" t="str">
        <f>iferror(if(H653="GLOW流用","-",if(G653="","","SSE_"&amp;TEXT(vlookup(E653,'プルダウンメニュー (SE用)'!$E$2:$F1028,2,false),"000")&amp;"_"&amp;TEXT(COUNTIF($E$4:E653,E653),"000"))),"")</f>
        <v/>
      </c>
      <c r="C653" s="984"/>
      <c r="D653" s="986"/>
      <c r="E653" s="986"/>
      <c r="F653" s="1018"/>
      <c r="G653" s="1040"/>
      <c r="H653" s="1041"/>
      <c r="I653" s="1042"/>
      <c r="J653" s="1043"/>
      <c r="K653" s="1043"/>
      <c r="L653" s="1044"/>
      <c r="M653" s="1041"/>
      <c r="N653" s="1107"/>
      <c r="O653" s="1107"/>
      <c r="P653" s="1025"/>
      <c r="Q653" s="1025"/>
      <c r="R653" s="1039"/>
      <c r="S653" s="126"/>
      <c r="T653" s="1039"/>
      <c r="U653" s="1039"/>
    </row>
    <row r="654">
      <c r="A654" s="926" t="str">
        <f t="array" ref="A654">if(G654="","",XLOOKUP(D654,'プルダウンメニュー (SE用)'!$D$2:$D1028,'プルダウンメニュー (SE用)'!$C$2:$C1028))</f>
        <v/>
      </c>
      <c r="B654" s="926" t="str">
        <f>iferror(if(H654="GLOW流用","-",if(G654="","","SSE_"&amp;TEXT(vlookup(E654,'プルダウンメニュー (SE用)'!$E$2:$F1028,2,false),"000")&amp;"_"&amp;TEXT(COUNTIF($E$4:E654,E654),"000"))),"")</f>
        <v/>
      </c>
      <c r="C654" s="984"/>
      <c r="D654" s="986"/>
      <c r="E654" s="986"/>
      <c r="F654" s="1018"/>
      <c r="G654" s="1040"/>
      <c r="H654" s="1041"/>
      <c r="I654" s="1042"/>
      <c r="J654" s="1043"/>
      <c r="K654" s="1043"/>
      <c r="L654" s="1044"/>
      <c r="M654" s="1041"/>
      <c r="N654" s="1107"/>
      <c r="O654" s="1107"/>
      <c r="P654" s="1025"/>
      <c r="Q654" s="1025"/>
      <c r="R654" s="1039"/>
      <c r="S654" s="126"/>
      <c r="T654" s="1039"/>
      <c r="U654" s="1039"/>
    </row>
    <row r="655">
      <c r="A655" s="926" t="str">
        <f t="array" ref="A655">if(G655="","",XLOOKUP(D655,'プルダウンメニュー (SE用)'!$D$2:$D1028,'プルダウンメニュー (SE用)'!$C$2:$C1028))</f>
        <v/>
      </c>
      <c r="B655" s="926" t="str">
        <f>iferror(if(H655="GLOW流用","-",if(G655="","","SSE_"&amp;TEXT(vlookup(E655,'プルダウンメニュー (SE用)'!$E$2:$F1028,2,false),"000")&amp;"_"&amp;TEXT(COUNTIF($E$4:E655,E655),"000"))),"")</f>
        <v/>
      </c>
      <c r="C655" s="984"/>
      <c r="D655" s="986"/>
      <c r="E655" s="986"/>
      <c r="F655" s="1018"/>
      <c r="G655" s="1040"/>
      <c r="H655" s="1041"/>
      <c r="I655" s="1042"/>
      <c r="J655" s="1043"/>
      <c r="K655" s="1043"/>
      <c r="L655" s="1044"/>
      <c r="M655" s="1041"/>
      <c r="N655" s="1107"/>
      <c r="O655" s="1107"/>
      <c r="P655" s="1025"/>
      <c r="Q655" s="1025"/>
      <c r="R655" s="1039"/>
      <c r="S655" s="126"/>
      <c r="T655" s="1039"/>
      <c r="U655" s="1039"/>
    </row>
    <row r="656">
      <c r="A656" s="926" t="str">
        <f t="array" ref="A656">if(G656="","",XLOOKUP(D656,'プルダウンメニュー (SE用)'!$D$2:$D1028,'プルダウンメニュー (SE用)'!$C$2:$C1028))</f>
        <v/>
      </c>
      <c r="B656" s="926" t="str">
        <f>iferror(if(H656="GLOW流用","-",if(G656="","","SSE_"&amp;TEXT(vlookup(E656,'プルダウンメニュー (SE用)'!$E$2:$F1028,2,false),"000")&amp;"_"&amp;TEXT(COUNTIF($E$4:E656,E656),"000"))),"")</f>
        <v/>
      </c>
      <c r="C656" s="984"/>
      <c r="D656" s="986"/>
      <c r="E656" s="986"/>
      <c r="F656" s="1018"/>
      <c r="G656" s="1040"/>
      <c r="H656" s="1041"/>
      <c r="I656" s="1042"/>
      <c r="J656" s="1043"/>
      <c r="K656" s="1043"/>
      <c r="L656" s="1044"/>
      <c r="M656" s="1041"/>
      <c r="N656" s="1107"/>
      <c r="O656" s="1107"/>
      <c r="P656" s="1025"/>
      <c r="Q656" s="1025"/>
      <c r="R656" s="1025"/>
      <c r="S656" s="1025"/>
      <c r="T656" s="1039"/>
      <c r="U656" s="1039"/>
    </row>
    <row r="657">
      <c r="A657" s="926" t="str">
        <f t="array" ref="A657">if(G657="","",XLOOKUP(D657,'プルダウンメニュー (SE用)'!$D$2:$D1028,'プルダウンメニュー (SE用)'!$C$2:$C1028))</f>
        <v/>
      </c>
      <c r="B657" s="926" t="str">
        <f>iferror(if(H657="GLOW流用","-",if(G657="","","SSE_"&amp;TEXT(vlookup(E657,'プルダウンメニュー (SE用)'!$E$2:$F1028,2,false),"000")&amp;"_"&amp;TEXT(COUNTIF($E$4:E657,E657),"000"))),"")</f>
        <v/>
      </c>
      <c r="C657" s="984"/>
      <c r="D657" s="986"/>
      <c r="E657" s="986"/>
      <c r="F657" s="1018"/>
      <c r="G657" s="1040"/>
      <c r="H657" s="1041"/>
      <c r="I657" s="1042"/>
      <c r="J657" s="1043"/>
      <c r="K657" s="1043"/>
      <c r="L657" s="1044"/>
      <c r="M657" s="1041"/>
      <c r="N657" s="1107"/>
      <c r="O657" s="1107"/>
      <c r="P657" s="1025"/>
      <c r="Q657" s="1025"/>
      <c r="R657" s="1025"/>
      <c r="S657" s="1025"/>
      <c r="T657" s="1039"/>
      <c r="U657" s="1039"/>
    </row>
    <row r="658">
      <c r="A658" s="926" t="str">
        <f t="array" ref="A658">if(G658="","",XLOOKUP(D658,'プルダウンメニュー (SE用)'!$D$2:$D1028,'プルダウンメニュー (SE用)'!$C$2:$C1028))</f>
        <v/>
      </c>
      <c r="B658" s="926" t="str">
        <f>iferror(if(H658="GLOW流用","-",if(G658="","","SSE_"&amp;TEXT(vlookup(E658,'プルダウンメニュー (SE用)'!$E$2:$F1028,2,false),"000")&amp;"_"&amp;TEXT(COUNTIF($E$4:E658,E658),"000"))),"")</f>
        <v/>
      </c>
      <c r="C658" s="984"/>
      <c r="D658" s="986"/>
      <c r="E658" s="986"/>
      <c r="F658" s="1018"/>
      <c r="G658" s="1040"/>
      <c r="H658" s="1041"/>
      <c r="I658" s="1042"/>
      <c r="J658" s="1043"/>
      <c r="K658" s="1043"/>
      <c r="L658" s="1044"/>
      <c r="M658" s="1041"/>
      <c r="N658" s="1107"/>
      <c r="O658" s="1107"/>
      <c r="P658" s="1025"/>
      <c r="Q658" s="1025"/>
      <c r="R658" s="1025"/>
      <c r="S658" s="1025"/>
      <c r="T658" s="1039"/>
      <c r="U658" s="1039"/>
    </row>
    <row r="659">
      <c r="A659" s="926" t="str">
        <f t="array" ref="A659">if(G659="","",XLOOKUP(D659,'プルダウンメニュー (SE用)'!$D$2:$D1028,'プルダウンメニュー (SE用)'!$C$2:$C1028))</f>
        <v/>
      </c>
      <c r="B659" s="926" t="str">
        <f>iferror(if(H659="GLOW流用","-",if(G659="","","SSE_"&amp;TEXT(vlookup(E659,'プルダウンメニュー (SE用)'!$E$2:$F1028,2,false),"000")&amp;"_"&amp;TEXT(COUNTIF($E$4:E659,E659),"000"))),"")</f>
        <v/>
      </c>
      <c r="C659" s="984"/>
      <c r="D659" s="986"/>
      <c r="E659" s="986"/>
      <c r="F659" s="1018"/>
      <c r="G659" s="1040"/>
      <c r="H659" s="1041"/>
      <c r="I659" s="1042"/>
      <c r="J659" s="1043"/>
      <c r="K659" s="1043"/>
      <c r="L659" s="1044"/>
      <c r="M659" s="1041"/>
      <c r="N659" s="1107"/>
      <c r="O659" s="1107"/>
      <c r="P659" s="1025"/>
      <c r="Q659" s="1025"/>
      <c r="R659" s="1025"/>
      <c r="S659" s="1025"/>
      <c r="T659" s="1039"/>
      <c r="U659" s="1039"/>
    </row>
    <row r="660">
      <c r="A660" s="926" t="str">
        <f t="array" ref="A660">if(G660="","",XLOOKUP(D660,'プルダウンメニュー (SE用)'!$D$2:$D1028,'プルダウンメニュー (SE用)'!$C$2:$C1028))</f>
        <v/>
      </c>
      <c r="B660" s="926" t="str">
        <f>iferror(if(H660="GLOW流用","-",if(G660="","","SSE_"&amp;TEXT(vlookup(E660,'プルダウンメニュー (SE用)'!$E$2:$F1028,2,false),"000")&amp;"_"&amp;TEXT(COUNTIF($E$4:E660,E660),"000"))),"")</f>
        <v/>
      </c>
      <c r="C660" s="984"/>
      <c r="D660" s="986"/>
      <c r="E660" s="986"/>
      <c r="F660" s="1018"/>
      <c r="G660" s="1040"/>
      <c r="H660" s="1041"/>
      <c r="I660" s="1042"/>
      <c r="J660" s="1043"/>
      <c r="K660" s="1043"/>
      <c r="L660" s="1044"/>
      <c r="M660" s="1041"/>
      <c r="N660" s="1107"/>
      <c r="O660" s="1107"/>
      <c r="P660" s="1025"/>
      <c r="Q660" s="1025"/>
      <c r="R660" s="1025"/>
      <c r="S660" s="1025"/>
      <c r="T660" s="1039"/>
      <c r="U660" s="1039"/>
    </row>
    <row r="661">
      <c r="A661" s="926" t="str">
        <f t="array" ref="A661">if(G661="","",XLOOKUP(D661,'プルダウンメニュー (SE用)'!$D$2:$D1028,'プルダウンメニュー (SE用)'!$C$2:$C1028))</f>
        <v/>
      </c>
      <c r="B661" s="926" t="str">
        <f>iferror(if(H661="GLOW流用","-",if(G661="","","SSE_"&amp;TEXT(vlookup(E661,'プルダウンメニュー (SE用)'!$E$2:$F1028,2,false),"000")&amp;"_"&amp;TEXT(COUNTIF($E$4:E661,E661),"000"))),"")</f>
        <v/>
      </c>
      <c r="C661" s="984"/>
      <c r="D661" s="986"/>
      <c r="E661" s="986"/>
      <c r="F661" s="1018"/>
      <c r="G661" s="1040"/>
      <c r="H661" s="1041"/>
      <c r="I661" s="1042"/>
      <c r="J661" s="1043"/>
      <c r="K661" s="1043"/>
      <c r="L661" s="1044"/>
      <c r="M661" s="1041"/>
      <c r="N661" s="1107"/>
      <c r="O661" s="1107"/>
      <c r="P661" s="1025"/>
      <c r="Q661" s="1025"/>
      <c r="R661" s="1025"/>
      <c r="S661" s="1025"/>
      <c r="T661" s="1039"/>
      <c r="U661" s="1039"/>
    </row>
    <row r="662">
      <c r="A662" s="926" t="str">
        <f t="array" ref="A662">if(G662="","",XLOOKUP(D662,'プルダウンメニュー (SE用)'!$D$2:$D1028,'プルダウンメニュー (SE用)'!$C$2:$C1028))</f>
        <v/>
      </c>
      <c r="B662" s="926" t="str">
        <f>iferror(if(H662="GLOW流用","-",if(G662="","","SSE_"&amp;TEXT(vlookup(E662,'プルダウンメニュー (SE用)'!$E$2:$F1028,2,false),"000")&amp;"_"&amp;TEXT(COUNTIF($E$4:E662,E662),"000"))),"")</f>
        <v/>
      </c>
      <c r="C662" s="984"/>
      <c r="D662" s="986"/>
      <c r="E662" s="986"/>
      <c r="F662" s="1018"/>
      <c r="G662" s="1040"/>
      <c r="H662" s="1041"/>
      <c r="I662" s="1042"/>
      <c r="J662" s="1043"/>
      <c r="K662" s="1043"/>
      <c r="L662" s="1044"/>
      <c r="M662" s="1041"/>
      <c r="N662" s="1107"/>
      <c r="O662" s="1107"/>
      <c r="P662" s="1025"/>
      <c r="Q662" s="1025"/>
      <c r="R662" s="1025"/>
      <c r="S662" s="1025"/>
      <c r="T662" s="1039"/>
      <c r="U662" s="1039"/>
    </row>
    <row r="663">
      <c r="A663" s="926" t="str">
        <f t="array" ref="A663">if(G663="","",XLOOKUP(D663,'プルダウンメニュー (SE用)'!$D$2:$D1028,'プルダウンメニュー (SE用)'!$C$2:$C1028))</f>
        <v/>
      </c>
      <c r="B663" s="926" t="str">
        <f>iferror(if(H663="GLOW流用","-",if(G663="","","SSE_"&amp;TEXT(vlookup(E663,'プルダウンメニュー (SE用)'!$E$2:$F1028,2,false),"000")&amp;"_"&amp;TEXT(COUNTIF($E$4:E663,E663),"000"))),"")</f>
        <v/>
      </c>
      <c r="C663" s="984"/>
      <c r="D663" s="986"/>
      <c r="E663" s="986"/>
      <c r="F663" s="1018"/>
      <c r="G663" s="1040"/>
      <c r="H663" s="1041"/>
      <c r="I663" s="1042"/>
      <c r="J663" s="1043"/>
      <c r="K663" s="1043"/>
      <c r="L663" s="1044"/>
      <c r="M663" s="1041"/>
      <c r="N663" s="1107"/>
      <c r="O663" s="1107"/>
      <c r="P663" s="1025"/>
      <c r="Q663" s="1025"/>
      <c r="R663" s="1025"/>
      <c r="S663" s="1025"/>
      <c r="T663" s="1039"/>
      <c r="U663" s="1039"/>
    </row>
    <row r="664">
      <c r="A664" s="926" t="str">
        <f t="array" ref="A664">if(G664="","",XLOOKUP(D664,'プルダウンメニュー (SE用)'!$D$2:$D1028,'プルダウンメニュー (SE用)'!$C$2:$C1028))</f>
        <v/>
      </c>
      <c r="B664" s="926" t="str">
        <f>iferror(if(H664="GLOW流用","-",if(G664="","","SSE_"&amp;TEXT(vlookup(E664,'プルダウンメニュー (SE用)'!$E$2:$F1028,2,false),"000")&amp;"_"&amp;TEXT(COUNTIF($E$4:E664,E664),"000"))),"")</f>
        <v/>
      </c>
      <c r="C664" s="984"/>
      <c r="D664" s="986"/>
      <c r="E664" s="986"/>
      <c r="F664" s="1018"/>
      <c r="G664" s="1040"/>
      <c r="H664" s="1041"/>
      <c r="I664" s="1042"/>
      <c r="J664" s="1043"/>
      <c r="K664" s="1043"/>
      <c r="L664" s="1044"/>
      <c r="M664" s="1041"/>
      <c r="N664" s="1107"/>
      <c r="O664" s="1107"/>
      <c r="P664" s="1025"/>
      <c r="Q664" s="1025"/>
      <c r="R664" s="1025"/>
      <c r="S664" s="1025"/>
      <c r="T664" s="1039"/>
      <c r="U664" s="1039"/>
    </row>
    <row r="665">
      <c r="A665" s="926" t="str">
        <f t="array" ref="A665">if(G665="","",XLOOKUP(D665,'プルダウンメニュー (SE用)'!$D$2:$D1028,'プルダウンメニュー (SE用)'!$C$2:$C1028))</f>
        <v/>
      </c>
      <c r="B665" s="926" t="str">
        <f>iferror(if(H665="GLOW流用","-",if(G665="","","SSE_"&amp;TEXT(vlookup(E665,'プルダウンメニュー (SE用)'!$E$2:$F1028,2,false),"000")&amp;"_"&amp;TEXT(COUNTIF($E$4:E665,E665),"000"))),"")</f>
        <v/>
      </c>
      <c r="C665" s="984"/>
      <c r="D665" s="986"/>
      <c r="E665" s="986"/>
      <c r="F665" s="1018"/>
      <c r="G665" s="1040"/>
      <c r="H665" s="1041"/>
      <c r="I665" s="1042"/>
      <c r="J665" s="1043"/>
      <c r="K665" s="1043"/>
      <c r="L665" s="1044"/>
      <c r="M665" s="1041"/>
      <c r="N665" s="1107"/>
      <c r="O665" s="1107"/>
      <c r="P665" s="1025"/>
      <c r="Q665" s="1025"/>
      <c r="R665" s="1025"/>
      <c r="S665" s="1025"/>
      <c r="T665" s="1039"/>
      <c r="U665" s="1039"/>
    </row>
    <row r="666">
      <c r="A666" s="926" t="str">
        <f t="array" ref="A666">if(G666="","",XLOOKUP(D666,'プルダウンメニュー (SE用)'!$D$2:$D1028,'プルダウンメニュー (SE用)'!$C$2:$C1028))</f>
        <v/>
      </c>
      <c r="B666" s="926" t="str">
        <f>iferror(if(H666="GLOW流用","-",if(G666="","","SSE_"&amp;TEXT(vlookup(E666,'プルダウンメニュー (SE用)'!$E$2:$F1028,2,false),"000")&amp;"_"&amp;TEXT(COUNTIF($E$4:E666,E666),"000"))),"")</f>
        <v/>
      </c>
      <c r="C666" s="984"/>
      <c r="D666" s="986"/>
      <c r="E666" s="986"/>
      <c r="F666" s="1018"/>
      <c r="G666" s="1040"/>
      <c r="H666" s="1041"/>
      <c r="I666" s="1042"/>
      <c r="J666" s="1043"/>
      <c r="K666" s="1043"/>
      <c r="L666" s="1044"/>
      <c r="M666" s="1041"/>
      <c r="N666" s="1107"/>
      <c r="O666" s="1107"/>
      <c r="P666" s="1025"/>
      <c r="Q666" s="1025"/>
      <c r="R666" s="1025"/>
      <c r="S666" s="1025"/>
      <c r="T666" s="1039"/>
      <c r="U666" s="1039"/>
    </row>
    <row r="667">
      <c r="A667" s="926" t="str">
        <f t="array" ref="A667">if(G667="","",XLOOKUP(D667,'プルダウンメニュー (SE用)'!$D$2:$D1028,'プルダウンメニュー (SE用)'!$C$2:$C1028))</f>
        <v/>
      </c>
      <c r="B667" s="926" t="str">
        <f>iferror(if(H667="GLOW流用","-",if(G667="","","SSE_"&amp;TEXT(vlookup(E667,'プルダウンメニュー (SE用)'!$E$2:$F1028,2,false),"000")&amp;"_"&amp;TEXT(COUNTIF($E$4:E667,E667),"000"))),"")</f>
        <v/>
      </c>
      <c r="C667" s="984"/>
      <c r="D667" s="986"/>
      <c r="E667" s="986"/>
      <c r="F667" s="1018"/>
      <c r="G667" s="1040"/>
      <c r="H667" s="1041"/>
      <c r="I667" s="1042"/>
      <c r="J667" s="1043"/>
      <c r="K667" s="1043"/>
      <c r="L667" s="1044"/>
      <c r="M667" s="1041"/>
      <c r="N667" s="1107"/>
      <c r="O667" s="1107"/>
      <c r="P667" s="1025"/>
      <c r="Q667" s="1025"/>
      <c r="R667" s="1025"/>
      <c r="S667" s="1025"/>
      <c r="T667" s="1039"/>
      <c r="U667" s="1039"/>
    </row>
    <row r="668">
      <c r="A668" s="926" t="str">
        <f t="array" ref="A668">if(G668="","",XLOOKUP(D668,'プルダウンメニュー (SE用)'!$D$2:$D1028,'プルダウンメニュー (SE用)'!$C$2:$C1028))</f>
        <v/>
      </c>
      <c r="B668" s="926" t="str">
        <f>iferror(if(H668="GLOW流用","-",if(G668="","","SSE_"&amp;TEXT(vlookup(E668,'プルダウンメニュー (SE用)'!$E$2:$F1028,2,false),"000")&amp;"_"&amp;TEXT(COUNTIF($E$4:E668,E668),"000"))),"")</f>
        <v/>
      </c>
      <c r="C668" s="984"/>
      <c r="D668" s="986"/>
      <c r="E668" s="986"/>
      <c r="F668" s="1018"/>
      <c r="G668" s="1040"/>
      <c r="H668" s="1041"/>
      <c r="I668" s="1042"/>
      <c r="J668" s="1043"/>
      <c r="K668" s="1043"/>
      <c r="L668" s="1044"/>
      <c r="M668" s="1041"/>
      <c r="N668" s="1107"/>
      <c r="O668" s="1107"/>
      <c r="P668" s="1025"/>
      <c r="Q668" s="1025"/>
      <c r="R668" s="1025"/>
      <c r="S668" s="1025"/>
      <c r="T668" s="1039"/>
      <c r="U668" s="1039"/>
    </row>
    <row r="669">
      <c r="A669" s="926" t="str">
        <f t="array" ref="A669">if(G669="","",XLOOKUP(D669,'プルダウンメニュー (SE用)'!$D$2:$D1028,'プルダウンメニュー (SE用)'!$C$2:$C1028))</f>
        <v/>
      </c>
      <c r="B669" s="926" t="str">
        <f>iferror(if(H669="GLOW流用","-",if(G669="","","SSE_"&amp;TEXT(vlookup(E669,'プルダウンメニュー (SE用)'!$E$2:$F1028,2,false),"000")&amp;"_"&amp;TEXT(COUNTIF($E$4:E669,E669),"000"))),"")</f>
        <v/>
      </c>
      <c r="C669" s="984"/>
      <c r="D669" s="986"/>
      <c r="E669" s="986"/>
      <c r="F669" s="1018"/>
      <c r="G669" s="1040"/>
      <c r="H669" s="1041"/>
      <c r="I669" s="1042"/>
      <c r="J669" s="1043"/>
      <c r="K669" s="1043"/>
      <c r="L669" s="1044"/>
      <c r="M669" s="1041"/>
      <c r="N669" s="1107"/>
      <c r="O669" s="1107"/>
      <c r="P669" s="1025"/>
      <c r="Q669" s="1025"/>
      <c r="R669" s="1025"/>
      <c r="S669" s="1025"/>
      <c r="T669" s="1039"/>
      <c r="U669" s="1039"/>
    </row>
    <row r="670">
      <c r="A670" s="926" t="str">
        <f t="array" ref="A670">if(G670="","",XLOOKUP(D670,'プルダウンメニュー (SE用)'!$D$2:$D1028,'プルダウンメニュー (SE用)'!$C$2:$C1028))</f>
        <v/>
      </c>
      <c r="B670" s="926" t="str">
        <f>iferror(if(H670="GLOW流用","-",if(G670="","","SSE_"&amp;TEXT(vlookup(E670,'プルダウンメニュー (SE用)'!$E$2:$F1028,2,false),"000")&amp;"_"&amp;TEXT(COUNTIF($E$4:E670,E670),"000"))),"")</f>
        <v/>
      </c>
      <c r="C670" s="984"/>
      <c r="D670" s="986"/>
      <c r="E670" s="986"/>
      <c r="F670" s="1018"/>
      <c r="G670" s="1040"/>
      <c r="H670" s="1041"/>
      <c r="I670" s="1042"/>
      <c r="J670" s="1043"/>
      <c r="K670" s="1043"/>
      <c r="L670" s="1044"/>
      <c r="M670" s="1041"/>
      <c r="N670" s="1107"/>
      <c r="O670" s="1107"/>
      <c r="P670" s="1025"/>
      <c r="Q670" s="1025"/>
      <c r="R670" s="1025"/>
      <c r="S670" s="1025"/>
      <c r="T670" s="1039"/>
      <c r="U670" s="1039"/>
    </row>
    <row r="671">
      <c r="A671" s="926" t="str">
        <f t="array" ref="A671">if(G671="","",XLOOKUP(D671,'プルダウンメニュー (SE用)'!$D$2:$D1028,'プルダウンメニュー (SE用)'!$C$2:$C1028))</f>
        <v/>
      </c>
      <c r="B671" s="926" t="str">
        <f>iferror(if(H671="GLOW流用","-",if(G671="","","SSE_"&amp;TEXT(vlookup(E671,'プルダウンメニュー (SE用)'!$E$2:$F1028,2,false),"000")&amp;"_"&amp;TEXT(COUNTIF($E$4:E671,E671),"000"))),"")</f>
        <v/>
      </c>
      <c r="C671" s="984"/>
      <c r="D671" s="986"/>
      <c r="E671" s="986"/>
      <c r="F671" s="1018"/>
      <c r="G671" s="1040"/>
      <c r="H671" s="1041"/>
      <c r="I671" s="1042"/>
      <c r="J671" s="1043"/>
      <c r="K671" s="1043"/>
      <c r="L671" s="1044"/>
      <c r="M671" s="1041"/>
      <c r="N671" s="1107"/>
      <c r="O671" s="1107"/>
      <c r="P671" s="1025"/>
      <c r="Q671" s="1025"/>
      <c r="R671" s="1025"/>
      <c r="S671" s="1025"/>
      <c r="T671" s="1039"/>
      <c r="U671" s="1039"/>
    </row>
    <row r="672">
      <c r="A672" s="926" t="str">
        <f t="array" ref="A672">if(G672="","",XLOOKUP(D672,'プルダウンメニュー (SE用)'!$D$2:$D1028,'プルダウンメニュー (SE用)'!$C$2:$C1028))</f>
        <v/>
      </c>
      <c r="B672" s="926" t="str">
        <f>iferror(if(H672="GLOW流用","-",if(G672="","","SSE_"&amp;TEXT(vlookup(E672,'プルダウンメニュー (SE用)'!$E$2:$F1028,2,false),"000")&amp;"_"&amp;TEXT(COUNTIF($E$4:E672,E672),"000"))),"")</f>
        <v/>
      </c>
      <c r="C672" s="984"/>
      <c r="D672" s="986"/>
      <c r="E672" s="986"/>
      <c r="F672" s="1018"/>
      <c r="G672" s="1040"/>
      <c r="H672" s="1041"/>
      <c r="I672" s="1042"/>
      <c r="J672" s="1043"/>
      <c r="K672" s="1043"/>
      <c r="L672" s="1044"/>
      <c r="M672" s="1041"/>
      <c r="N672" s="1107"/>
      <c r="O672" s="1107"/>
      <c r="P672" s="1025"/>
      <c r="Q672" s="1025"/>
      <c r="R672" s="1025"/>
      <c r="S672" s="1025"/>
      <c r="T672" s="1039"/>
      <c r="U672" s="1039"/>
    </row>
    <row r="673">
      <c r="A673" s="926" t="str">
        <f t="array" ref="A673">if(G673="","",XLOOKUP(D673,'プルダウンメニュー (SE用)'!$D$2:$D1028,'プルダウンメニュー (SE用)'!$C$2:$C1028))</f>
        <v/>
      </c>
      <c r="B673" s="926" t="str">
        <f>iferror(if(H673="GLOW流用","-",if(G673="","","SSE_"&amp;TEXT(vlookup(E673,'プルダウンメニュー (SE用)'!$E$2:$F1028,2,false),"000")&amp;"_"&amp;TEXT(COUNTIF($E$4:E673,E673),"000"))),"")</f>
        <v/>
      </c>
      <c r="C673" s="984"/>
      <c r="D673" s="986"/>
      <c r="E673" s="986"/>
      <c r="F673" s="1018"/>
      <c r="G673" s="1040"/>
      <c r="H673" s="1041"/>
      <c r="I673" s="1042"/>
      <c r="J673" s="1043"/>
      <c r="K673" s="1043"/>
      <c r="L673" s="1044"/>
      <c r="M673" s="1041"/>
      <c r="N673" s="1107"/>
      <c r="O673" s="1107"/>
      <c r="P673" s="1025"/>
      <c r="Q673" s="1025"/>
      <c r="R673" s="1025"/>
      <c r="S673" s="1025"/>
      <c r="T673" s="1039"/>
      <c r="U673" s="1039"/>
    </row>
    <row r="674">
      <c r="A674" s="926" t="str">
        <f t="array" ref="A674">if(G674="","",XLOOKUP(D674,'プルダウンメニュー (SE用)'!$D$2:$D1028,'プルダウンメニュー (SE用)'!$C$2:$C1028))</f>
        <v/>
      </c>
      <c r="B674" s="926" t="str">
        <f>iferror(if(H674="GLOW流用","-",if(G674="","","SSE_"&amp;TEXT(vlookup(E674,'プルダウンメニュー (SE用)'!$E$2:$F1028,2,false),"000")&amp;"_"&amp;TEXT(COUNTIF($E$4:E674,E674),"000"))),"")</f>
        <v/>
      </c>
      <c r="C674" s="984"/>
      <c r="D674" s="986"/>
      <c r="E674" s="986"/>
      <c r="F674" s="1018"/>
      <c r="G674" s="1040"/>
      <c r="H674" s="1041"/>
      <c r="I674" s="1042"/>
      <c r="J674" s="1043"/>
      <c r="K674" s="1043"/>
      <c r="L674" s="1044"/>
      <c r="M674" s="1041"/>
      <c r="N674" s="1107"/>
      <c r="O674" s="1107"/>
      <c r="P674" s="1025"/>
      <c r="Q674" s="1025"/>
      <c r="R674" s="1025"/>
      <c r="S674" s="1025"/>
      <c r="T674" s="1039"/>
      <c r="U674" s="1039"/>
    </row>
    <row r="675">
      <c r="A675" s="926" t="str">
        <f t="array" ref="A675">if(G675="","",XLOOKUP(D675,'プルダウンメニュー (SE用)'!$D$2:$D1028,'プルダウンメニュー (SE用)'!$C$2:$C1028))</f>
        <v/>
      </c>
      <c r="B675" s="926" t="str">
        <f>iferror(if(H675="GLOW流用","-",if(G675="","","SSE_"&amp;TEXT(vlookup(E675,'プルダウンメニュー (SE用)'!$E$2:$F1028,2,false),"000")&amp;"_"&amp;TEXT(COUNTIF($E$4:E675,E675),"000"))),"")</f>
        <v/>
      </c>
      <c r="C675" s="984"/>
      <c r="D675" s="986"/>
      <c r="E675" s="986"/>
      <c r="F675" s="1018"/>
      <c r="G675" s="1040"/>
      <c r="H675" s="1041"/>
      <c r="I675" s="1042"/>
      <c r="J675" s="1043"/>
      <c r="K675" s="1043"/>
      <c r="L675" s="1044"/>
      <c r="M675" s="1041"/>
      <c r="N675" s="1107"/>
      <c r="O675" s="1107"/>
      <c r="P675" s="1025"/>
      <c r="Q675" s="1025"/>
      <c r="R675" s="1025"/>
      <c r="S675" s="1025"/>
      <c r="T675" s="1039"/>
      <c r="U675" s="1039"/>
    </row>
    <row r="676">
      <c r="A676" s="926" t="str">
        <f t="array" ref="A676">if(G676="","",XLOOKUP(D676,'プルダウンメニュー (SE用)'!$D$2:$D1028,'プルダウンメニュー (SE用)'!$C$2:$C1028))</f>
        <v/>
      </c>
      <c r="B676" s="926" t="str">
        <f>iferror(if(H676="GLOW流用","-",if(G676="","","SSE_"&amp;TEXT(vlookup(E676,'プルダウンメニュー (SE用)'!$E$2:$F1028,2,false),"000")&amp;"_"&amp;TEXT(COUNTIF($E$4:E676,E676),"000"))),"")</f>
        <v/>
      </c>
      <c r="C676" s="984"/>
      <c r="D676" s="986"/>
      <c r="E676" s="986"/>
      <c r="F676" s="1018"/>
      <c r="G676" s="1040"/>
      <c r="H676" s="1041"/>
      <c r="I676" s="1042"/>
      <c r="J676" s="1043"/>
      <c r="K676" s="1043"/>
      <c r="L676" s="1044"/>
      <c r="M676" s="1041"/>
      <c r="N676" s="1107"/>
      <c r="O676" s="1107"/>
      <c r="P676" s="1025"/>
      <c r="Q676" s="1025"/>
      <c r="R676" s="1025"/>
      <c r="S676" s="1025"/>
      <c r="T676" s="1039"/>
      <c r="U676" s="1039"/>
    </row>
    <row r="677">
      <c r="A677" s="926" t="str">
        <f t="array" ref="A677">if(G677="","",XLOOKUP(D677,'プルダウンメニュー (SE用)'!$D$2:$D1028,'プルダウンメニュー (SE用)'!$C$2:$C1028))</f>
        <v/>
      </c>
      <c r="B677" s="926" t="str">
        <f>iferror(if(H677="GLOW流用","-",if(G677="","","SSE_"&amp;TEXT(vlookup(E677,'プルダウンメニュー (SE用)'!$E$2:$F1028,2,false),"000")&amp;"_"&amp;TEXT(COUNTIF($E$4:E677,E677),"000"))),"")</f>
        <v/>
      </c>
      <c r="C677" s="984"/>
      <c r="D677" s="986"/>
      <c r="E677" s="986"/>
      <c r="F677" s="1018"/>
      <c r="G677" s="1040"/>
      <c r="H677" s="1041"/>
      <c r="I677" s="1042"/>
      <c r="J677" s="1043"/>
      <c r="K677" s="1043"/>
      <c r="L677" s="1044"/>
      <c r="M677" s="1041"/>
      <c r="N677" s="1107"/>
      <c r="O677" s="1107"/>
      <c r="P677" s="1025"/>
      <c r="Q677" s="1025"/>
      <c r="R677" s="1025"/>
      <c r="S677" s="1025"/>
      <c r="T677" s="1039"/>
      <c r="U677" s="1039"/>
    </row>
    <row r="678">
      <c r="A678" s="926" t="str">
        <f t="array" ref="A678">if(G678="","",XLOOKUP(D678,'プルダウンメニュー (SE用)'!$D$2:$D1028,'プルダウンメニュー (SE用)'!$C$2:$C1028))</f>
        <v/>
      </c>
      <c r="B678" s="926" t="str">
        <f>iferror(if(H678="GLOW流用","-",if(G678="","","SSE_"&amp;TEXT(vlookup(E678,'プルダウンメニュー (SE用)'!$E$2:$F1028,2,false),"000")&amp;"_"&amp;TEXT(COUNTIF($E$4:E678,E678),"000"))),"")</f>
        <v/>
      </c>
      <c r="C678" s="984"/>
      <c r="D678" s="986"/>
      <c r="E678" s="986"/>
      <c r="F678" s="1018"/>
      <c r="G678" s="1040"/>
      <c r="H678" s="1041"/>
      <c r="I678" s="1042"/>
      <c r="J678" s="1043"/>
      <c r="K678" s="1043"/>
      <c r="L678" s="1044"/>
      <c r="M678" s="1041"/>
      <c r="N678" s="1107"/>
      <c r="O678" s="1107"/>
      <c r="P678" s="1025"/>
      <c r="Q678" s="1025"/>
      <c r="R678" s="1025"/>
      <c r="S678" s="1025"/>
      <c r="T678" s="1039"/>
      <c r="U678" s="1039"/>
    </row>
    <row r="679">
      <c r="A679" s="926" t="str">
        <f t="array" ref="A679">if(G679="","",XLOOKUP(D679,'プルダウンメニュー (SE用)'!$D$2:$D1028,'プルダウンメニュー (SE用)'!$C$2:$C1028))</f>
        <v/>
      </c>
      <c r="B679" s="926" t="str">
        <f>iferror(if(H679="GLOW流用","-",if(G679="","","SSE_"&amp;TEXT(vlookup(E679,'プルダウンメニュー (SE用)'!$E$2:$F1028,2,false),"000")&amp;"_"&amp;TEXT(COUNTIF($E$4:E679,E679),"000"))),"")</f>
        <v/>
      </c>
      <c r="C679" s="984"/>
      <c r="D679" s="986"/>
      <c r="E679" s="986"/>
      <c r="F679" s="1018"/>
      <c r="G679" s="1040"/>
      <c r="H679" s="1041"/>
      <c r="I679" s="1042"/>
      <c r="J679" s="1043"/>
      <c r="K679" s="1043"/>
      <c r="L679" s="1044"/>
      <c r="M679" s="1041"/>
      <c r="N679" s="1107"/>
      <c r="O679" s="1107"/>
      <c r="P679" s="1025"/>
      <c r="Q679" s="1025"/>
      <c r="R679" s="1025"/>
      <c r="S679" s="1025"/>
      <c r="T679" s="1039"/>
      <c r="U679" s="1039"/>
    </row>
    <row r="680">
      <c r="A680" s="926" t="str">
        <f t="array" ref="A680">if(G680="","",XLOOKUP(D680,'プルダウンメニュー (SE用)'!$D$2:$D1028,'プルダウンメニュー (SE用)'!$C$2:$C1028))</f>
        <v/>
      </c>
      <c r="B680" s="926" t="str">
        <f>iferror(if(H680="GLOW流用","-",if(G680="","","SSE_"&amp;TEXT(vlookup(E680,'プルダウンメニュー (SE用)'!$E$2:$F1028,2,false),"000")&amp;"_"&amp;TEXT(COUNTIF($E$4:E680,E680),"000"))),"")</f>
        <v/>
      </c>
      <c r="C680" s="984"/>
      <c r="D680" s="986"/>
      <c r="E680" s="986"/>
      <c r="F680" s="1018"/>
      <c r="G680" s="1040"/>
      <c r="H680" s="1041"/>
      <c r="I680" s="1042"/>
      <c r="J680" s="1043"/>
      <c r="K680" s="1043"/>
      <c r="L680" s="1044"/>
      <c r="M680" s="1041"/>
      <c r="N680" s="1107"/>
      <c r="O680" s="1107"/>
      <c r="P680" s="1025"/>
      <c r="Q680" s="1025"/>
      <c r="R680" s="1025"/>
      <c r="S680" s="1025"/>
      <c r="T680" s="1039"/>
      <c r="U680" s="1039"/>
    </row>
    <row r="681">
      <c r="A681" s="926" t="str">
        <f t="array" ref="A681">if(G681="","",XLOOKUP(D681,'プルダウンメニュー (SE用)'!$D$2:$D1028,'プルダウンメニュー (SE用)'!$C$2:$C1028))</f>
        <v/>
      </c>
      <c r="B681" s="926" t="str">
        <f>iferror(if(H681="GLOW流用","-",if(G681="","","SSE_"&amp;TEXT(vlookup(E681,'プルダウンメニュー (SE用)'!$E$2:$F1028,2,false),"000")&amp;"_"&amp;TEXT(COUNTIF($E$4:E681,E681),"000"))),"")</f>
        <v/>
      </c>
      <c r="C681" s="984"/>
      <c r="D681" s="986"/>
      <c r="E681" s="986"/>
      <c r="F681" s="1018"/>
      <c r="G681" s="1040"/>
      <c r="H681" s="1041"/>
      <c r="I681" s="1042"/>
      <c r="J681" s="1043"/>
      <c r="K681" s="1043"/>
      <c r="L681" s="1044"/>
      <c r="M681" s="1041"/>
      <c r="N681" s="1107"/>
      <c r="O681" s="1107"/>
      <c r="P681" s="1025"/>
      <c r="Q681" s="1025"/>
      <c r="R681" s="1025"/>
      <c r="S681" s="1025"/>
      <c r="T681" s="1039"/>
      <c r="U681" s="1039"/>
    </row>
    <row r="682">
      <c r="A682" s="926" t="str">
        <f t="array" ref="A682">if(G682="","",XLOOKUP(D682,'プルダウンメニュー (SE用)'!$D$2:$D1028,'プルダウンメニュー (SE用)'!$C$2:$C1028))</f>
        <v/>
      </c>
      <c r="B682" s="926" t="str">
        <f>iferror(if(H682="GLOW流用","-",if(G682="","","SSE_"&amp;TEXT(vlookup(E682,'プルダウンメニュー (SE用)'!$E$2:$F1028,2,false),"000")&amp;"_"&amp;TEXT(COUNTIF($E$4:E682,E682),"000"))),"")</f>
        <v/>
      </c>
      <c r="C682" s="984"/>
      <c r="D682" s="986"/>
      <c r="E682" s="986"/>
      <c r="F682" s="1018"/>
      <c r="G682" s="1040"/>
      <c r="H682" s="1041"/>
      <c r="I682" s="1042"/>
      <c r="J682" s="1043"/>
      <c r="K682" s="1043"/>
      <c r="L682" s="1044"/>
      <c r="M682" s="1041"/>
      <c r="N682" s="1107"/>
      <c r="O682" s="1107"/>
      <c r="P682" s="1025"/>
      <c r="Q682" s="1025"/>
      <c r="R682" s="1025"/>
      <c r="S682" s="1025"/>
      <c r="T682" s="1039"/>
      <c r="U682" s="1039"/>
    </row>
    <row r="683">
      <c r="A683" s="926" t="str">
        <f t="array" ref="A683">if(G683="","",XLOOKUP(D683,'プルダウンメニュー (SE用)'!$D$2:$D1028,'プルダウンメニュー (SE用)'!$C$2:$C1028))</f>
        <v/>
      </c>
      <c r="B683" s="926" t="str">
        <f>iferror(if(H683="GLOW流用","-",if(G683="","","SSE_"&amp;TEXT(vlookup(E683,'プルダウンメニュー (SE用)'!$E$2:$F1028,2,false),"000")&amp;"_"&amp;TEXT(COUNTIF($E$4:E683,E683),"000"))),"")</f>
        <v/>
      </c>
      <c r="C683" s="984"/>
      <c r="D683" s="986"/>
      <c r="E683" s="986"/>
      <c r="F683" s="1018"/>
      <c r="G683" s="1040"/>
      <c r="H683" s="1041"/>
      <c r="I683" s="1042"/>
      <c r="J683" s="1043"/>
      <c r="K683" s="1043"/>
      <c r="L683" s="1044"/>
      <c r="M683" s="1041"/>
      <c r="N683" s="1107"/>
      <c r="O683" s="1107"/>
      <c r="P683" s="1025"/>
      <c r="Q683" s="1025"/>
      <c r="R683" s="1025"/>
      <c r="S683" s="1025"/>
      <c r="T683" s="1039"/>
      <c r="U683" s="1039"/>
    </row>
    <row r="684">
      <c r="A684" s="926" t="str">
        <f t="array" ref="A684">if(G684="","",XLOOKUP(D684,'プルダウンメニュー (SE用)'!$D$2:$D1028,'プルダウンメニュー (SE用)'!$C$2:$C1028))</f>
        <v/>
      </c>
      <c r="B684" s="926" t="str">
        <f>iferror(if(H684="GLOW流用","-",if(G684="","","SSE_"&amp;TEXT(vlookup(E684,'プルダウンメニュー (SE用)'!$E$2:$F1028,2,false),"000")&amp;"_"&amp;TEXT(COUNTIF($E$4:E684,E684),"000"))),"")</f>
        <v/>
      </c>
      <c r="C684" s="984"/>
      <c r="D684" s="986"/>
      <c r="E684" s="986"/>
      <c r="F684" s="1018"/>
      <c r="G684" s="1040"/>
      <c r="H684" s="1041"/>
      <c r="I684" s="1042"/>
      <c r="J684" s="1043"/>
      <c r="K684" s="1043"/>
      <c r="L684" s="1044"/>
      <c r="M684" s="1041"/>
      <c r="N684" s="1107"/>
      <c r="O684" s="1107"/>
      <c r="P684" s="1025"/>
      <c r="Q684" s="1025"/>
      <c r="R684" s="1025"/>
      <c r="S684" s="1025"/>
      <c r="T684" s="1039"/>
      <c r="U684" s="1039"/>
    </row>
    <row r="685">
      <c r="A685" s="926" t="str">
        <f t="array" ref="A685">if(G685="","",XLOOKUP(D685,'プルダウンメニュー (SE用)'!$D$2:$D1028,'プルダウンメニュー (SE用)'!$C$2:$C1028))</f>
        <v/>
      </c>
      <c r="B685" s="926" t="str">
        <f>iferror(if(H685="GLOW流用","-",if(G685="","","SSE_"&amp;TEXT(vlookup(E685,'プルダウンメニュー (SE用)'!$E$2:$F1028,2,false),"000")&amp;"_"&amp;TEXT(COUNTIF($E$4:E685,E685),"000"))),"")</f>
        <v/>
      </c>
      <c r="C685" s="984"/>
      <c r="D685" s="986"/>
      <c r="E685" s="986"/>
      <c r="F685" s="1018"/>
      <c r="G685" s="1040"/>
      <c r="H685" s="1041"/>
      <c r="I685" s="1042"/>
      <c r="J685" s="1043"/>
      <c r="K685" s="1043"/>
      <c r="L685" s="1044"/>
      <c r="M685" s="1041"/>
      <c r="N685" s="1107"/>
      <c r="O685" s="1107"/>
      <c r="P685" s="1025"/>
      <c r="Q685" s="1025"/>
      <c r="R685" s="1025"/>
      <c r="S685" s="1025"/>
      <c r="T685" s="1039"/>
      <c r="U685" s="1039"/>
    </row>
    <row r="686">
      <c r="A686" s="926" t="str">
        <f t="array" ref="A686">if(G686="","",XLOOKUP(D686,'プルダウンメニュー (SE用)'!$D$2:$D1028,'プルダウンメニュー (SE用)'!$C$2:$C1028))</f>
        <v/>
      </c>
      <c r="B686" s="926" t="str">
        <f>iferror(if(H686="GLOW流用","-",if(G686="","","SSE_"&amp;TEXT(vlookup(E686,'プルダウンメニュー (SE用)'!$E$2:$F1028,2,false),"000")&amp;"_"&amp;TEXT(COUNTIF($E$4:E686,E686),"000"))),"")</f>
        <v/>
      </c>
      <c r="C686" s="984"/>
      <c r="D686" s="986"/>
      <c r="E686" s="986"/>
      <c r="F686" s="1018"/>
      <c r="G686" s="1040"/>
      <c r="H686" s="1041"/>
      <c r="I686" s="1042"/>
      <c r="J686" s="1043"/>
      <c r="K686" s="1043"/>
      <c r="L686" s="1044"/>
      <c r="M686" s="1041"/>
      <c r="N686" s="1107"/>
      <c r="O686" s="1107"/>
      <c r="P686" s="1025"/>
      <c r="Q686" s="1025"/>
      <c r="R686" s="1025"/>
      <c r="S686" s="1025"/>
      <c r="T686" s="1039"/>
      <c r="U686" s="1039"/>
    </row>
    <row r="687">
      <c r="A687" s="926" t="str">
        <f t="array" ref="A687">if(G687="","",XLOOKUP(D687,'プルダウンメニュー (SE用)'!$D$2:$D1028,'プルダウンメニュー (SE用)'!$C$2:$C1028))</f>
        <v/>
      </c>
      <c r="B687" s="926" t="str">
        <f>iferror(if(H687="GLOW流用","-",if(G687="","","SSE_"&amp;TEXT(vlookup(E687,'プルダウンメニュー (SE用)'!$E$2:$F1028,2,false),"000")&amp;"_"&amp;TEXT(COUNTIF($E$4:E687,E687),"000"))),"")</f>
        <v/>
      </c>
      <c r="C687" s="984"/>
      <c r="D687" s="986"/>
      <c r="E687" s="986"/>
      <c r="F687" s="1018"/>
      <c r="G687" s="1040"/>
      <c r="H687" s="1041"/>
      <c r="I687" s="1042"/>
      <c r="J687" s="1043"/>
      <c r="K687" s="1043"/>
      <c r="L687" s="1044"/>
      <c r="M687" s="1041"/>
      <c r="N687" s="1107"/>
      <c r="O687" s="1107"/>
      <c r="P687" s="1025"/>
      <c r="Q687" s="1025"/>
      <c r="R687" s="1025"/>
      <c r="S687" s="1025"/>
      <c r="T687" s="1039"/>
      <c r="U687" s="1039"/>
    </row>
    <row r="688">
      <c r="A688" s="926" t="str">
        <f t="array" ref="A688">if(G688="","",XLOOKUP(D688,'プルダウンメニュー (SE用)'!$D$2:$D1028,'プルダウンメニュー (SE用)'!$C$2:$C1028))</f>
        <v/>
      </c>
      <c r="B688" s="926" t="str">
        <f>iferror(if(H688="GLOW流用","-",if(G688="","","SSE_"&amp;TEXT(vlookup(E688,'プルダウンメニュー (SE用)'!$E$2:$F1028,2,false),"000")&amp;"_"&amp;TEXT(COUNTIF($E$4:E688,E688),"000"))),"")</f>
        <v/>
      </c>
      <c r="C688" s="984"/>
      <c r="D688" s="986"/>
      <c r="E688" s="986"/>
      <c r="F688" s="1018"/>
      <c r="G688" s="1040"/>
      <c r="H688" s="1041"/>
      <c r="I688" s="1042"/>
      <c r="J688" s="1043"/>
      <c r="K688" s="1043"/>
      <c r="L688" s="1044"/>
      <c r="M688" s="1041"/>
      <c r="N688" s="1107"/>
      <c r="O688" s="1107"/>
      <c r="P688" s="1025"/>
      <c r="Q688" s="1025"/>
      <c r="R688" s="1025"/>
      <c r="S688" s="1025"/>
      <c r="T688" s="1039"/>
      <c r="U688" s="1039"/>
    </row>
    <row r="689">
      <c r="A689" s="926" t="str">
        <f t="array" ref="A689">if(G689="","",XLOOKUP(D689,'プルダウンメニュー (SE用)'!$D$2:$D1028,'プルダウンメニュー (SE用)'!$C$2:$C1028))</f>
        <v/>
      </c>
      <c r="B689" s="926" t="str">
        <f>iferror(if(H689="GLOW流用","-",if(G689="","","SSE_"&amp;TEXT(vlookup(E689,'プルダウンメニュー (SE用)'!$E$2:$F1028,2,false),"000")&amp;"_"&amp;TEXT(COUNTIF($E$4:E689,E689),"000"))),"")</f>
        <v/>
      </c>
      <c r="C689" s="984"/>
      <c r="D689" s="986"/>
      <c r="E689" s="986"/>
      <c r="F689" s="1018"/>
      <c r="G689" s="1040"/>
      <c r="H689" s="1041"/>
      <c r="I689" s="1042"/>
      <c r="J689" s="1043"/>
      <c r="K689" s="1043"/>
      <c r="L689" s="1044"/>
      <c r="M689" s="1041"/>
      <c r="N689" s="1107"/>
      <c r="O689" s="1107"/>
      <c r="P689" s="1025"/>
      <c r="Q689" s="1025"/>
      <c r="R689" s="1025"/>
      <c r="S689" s="1025"/>
      <c r="T689" s="1039"/>
      <c r="U689" s="1039"/>
    </row>
    <row r="690">
      <c r="A690" s="926" t="str">
        <f t="array" ref="A690">if(G690="","",XLOOKUP(D690,'プルダウンメニュー (SE用)'!$D$2:$D1028,'プルダウンメニュー (SE用)'!$C$2:$C1028))</f>
        <v/>
      </c>
      <c r="B690" s="926" t="str">
        <f>iferror(if(H690="GLOW流用","-",if(G690="","","SSE_"&amp;TEXT(vlookup(E690,'プルダウンメニュー (SE用)'!$E$2:$F1028,2,false),"000")&amp;"_"&amp;TEXT(COUNTIF($E$4:E690,E690),"000"))),"")</f>
        <v/>
      </c>
      <c r="C690" s="984"/>
      <c r="D690" s="986"/>
      <c r="E690" s="986"/>
      <c r="F690" s="1018"/>
      <c r="G690" s="1040"/>
      <c r="H690" s="1041"/>
      <c r="I690" s="1042"/>
      <c r="J690" s="1043"/>
      <c r="K690" s="1043"/>
      <c r="L690" s="1044"/>
      <c r="M690" s="1041"/>
      <c r="N690" s="1107"/>
      <c r="O690" s="1107"/>
      <c r="P690" s="1025"/>
      <c r="Q690" s="1025"/>
      <c r="R690" s="1025"/>
      <c r="S690" s="1025"/>
      <c r="T690" s="1039"/>
      <c r="U690" s="1039"/>
    </row>
    <row r="691">
      <c r="A691" s="926" t="str">
        <f t="array" ref="A691">if(G691="","",XLOOKUP(D691,'プルダウンメニュー (SE用)'!$D$2:$D1028,'プルダウンメニュー (SE用)'!$C$2:$C1028))</f>
        <v/>
      </c>
      <c r="B691" s="926" t="str">
        <f>iferror(if(H691="GLOW流用","-",if(G691="","","SSE_"&amp;TEXT(vlookup(E691,'プルダウンメニュー (SE用)'!$E$2:$F1028,2,false),"000")&amp;"_"&amp;TEXT(COUNTIF($E$4:E691,E691),"000"))),"")</f>
        <v/>
      </c>
      <c r="C691" s="984"/>
      <c r="D691" s="986"/>
      <c r="E691" s="986"/>
      <c r="F691" s="1018"/>
      <c r="G691" s="1040"/>
      <c r="H691" s="1041"/>
      <c r="I691" s="1042"/>
      <c r="J691" s="1043"/>
      <c r="K691" s="1043"/>
      <c r="L691" s="1044"/>
      <c r="M691" s="1041"/>
      <c r="N691" s="1107"/>
      <c r="O691" s="1107"/>
      <c r="P691" s="1025"/>
      <c r="Q691" s="1025"/>
      <c r="R691" s="1025"/>
      <c r="S691" s="1025"/>
      <c r="T691" s="1039"/>
      <c r="U691" s="1039"/>
    </row>
    <row r="692">
      <c r="A692" s="926" t="str">
        <f t="array" ref="A692">if(G692="","",XLOOKUP(D692,'プルダウンメニュー (SE用)'!$D$2:$D1028,'プルダウンメニュー (SE用)'!$C$2:$C1028))</f>
        <v/>
      </c>
      <c r="B692" s="926" t="str">
        <f>iferror(if(H692="GLOW流用","-",if(G692="","","SSE_"&amp;TEXT(vlookup(E692,'プルダウンメニュー (SE用)'!$E$2:$F1028,2,false),"000")&amp;"_"&amp;TEXT(COUNTIF($E$4:E692,E692),"000"))),"")</f>
        <v/>
      </c>
      <c r="C692" s="984"/>
      <c r="D692" s="986"/>
      <c r="E692" s="986"/>
      <c r="F692" s="1018"/>
      <c r="G692" s="1040"/>
      <c r="H692" s="1041"/>
      <c r="I692" s="1042"/>
      <c r="J692" s="1043"/>
      <c r="K692" s="1043"/>
      <c r="L692" s="1044"/>
      <c r="M692" s="1041"/>
      <c r="N692" s="1107"/>
      <c r="O692" s="1107"/>
      <c r="P692" s="1025"/>
      <c r="Q692" s="1025"/>
      <c r="R692" s="1025"/>
      <c r="S692" s="1025"/>
      <c r="T692" s="1039"/>
      <c r="U692" s="1039"/>
    </row>
    <row r="693">
      <c r="A693" s="926" t="str">
        <f t="array" ref="A693">if(G693="","",XLOOKUP(D693,'プルダウンメニュー (SE用)'!$D$2:$D1028,'プルダウンメニュー (SE用)'!$C$2:$C1028))</f>
        <v/>
      </c>
      <c r="B693" s="926" t="str">
        <f>iferror(if(H693="GLOW流用","-",if(G693="","","SSE_"&amp;TEXT(vlookup(E693,'プルダウンメニュー (SE用)'!$E$2:$F1028,2,false),"000")&amp;"_"&amp;TEXT(COUNTIF($E$4:E693,E693),"000"))),"")</f>
        <v/>
      </c>
      <c r="C693" s="984"/>
      <c r="D693" s="986"/>
      <c r="E693" s="986"/>
      <c r="F693" s="1018"/>
      <c r="G693" s="1040"/>
      <c r="H693" s="1041"/>
      <c r="I693" s="1042"/>
      <c r="J693" s="1043"/>
      <c r="K693" s="1043"/>
      <c r="L693" s="1044"/>
      <c r="M693" s="1041"/>
      <c r="N693" s="1107"/>
      <c r="O693" s="1107"/>
      <c r="P693" s="1025"/>
      <c r="Q693" s="1025"/>
      <c r="R693" s="1025"/>
      <c r="S693" s="1025"/>
      <c r="T693" s="1039"/>
      <c r="U693" s="1039"/>
    </row>
    <row r="694">
      <c r="A694" s="926" t="str">
        <f t="array" ref="A694">if(G694="","",XLOOKUP(D694,'プルダウンメニュー (SE用)'!$D$2:$D1028,'プルダウンメニュー (SE用)'!$C$2:$C1028))</f>
        <v/>
      </c>
      <c r="B694" s="926" t="str">
        <f>iferror(if(H694="GLOW流用","-",if(G694="","","SSE_"&amp;TEXT(vlookup(E694,'プルダウンメニュー (SE用)'!$E$2:$F1028,2,false),"000")&amp;"_"&amp;TEXT(COUNTIF($E$4:E694,E694),"000"))),"")</f>
        <v/>
      </c>
      <c r="C694" s="984"/>
      <c r="D694" s="986"/>
      <c r="E694" s="986"/>
      <c r="F694" s="1018"/>
      <c r="G694" s="1040"/>
      <c r="H694" s="1041"/>
      <c r="I694" s="1042"/>
      <c r="J694" s="1043"/>
      <c r="K694" s="1043"/>
      <c r="L694" s="1044"/>
      <c r="M694" s="1041"/>
      <c r="N694" s="1107"/>
      <c r="O694" s="1107"/>
      <c r="P694" s="1025"/>
      <c r="Q694" s="1025"/>
      <c r="R694" s="1025"/>
      <c r="S694" s="1025"/>
      <c r="T694" s="1039"/>
      <c r="U694" s="1039"/>
    </row>
    <row r="695">
      <c r="A695" s="926" t="str">
        <f t="array" ref="A695">if(G695="","",XLOOKUP(D695,'プルダウンメニュー (SE用)'!$D$2:$D1028,'プルダウンメニュー (SE用)'!$C$2:$C1028))</f>
        <v/>
      </c>
      <c r="B695" s="926" t="str">
        <f>iferror(if(H695="GLOW流用","-",if(G695="","","SSE_"&amp;TEXT(vlookup(E695,'プルダウンメニュー (SE用)'!$E$2:$F1028,2,false),"000")&amp;"_"&amp;TEXT(COUNTIF($E$4:E695,E695),"000"))),"")</f>
        <v/>
      </c>
      <c r="C695" s="984"/>
      <c r="D695" s="986"/>
      <c r="E695" s="986"/>
      <c r="F695" s="1018"/>
      <c r="G695" s="1040"/>
      <c r="H695" s="1041"/>
      <c r="I695" s="1042"/>
      <c r="J695" s="1043"/>
      <c r="K695" s="1043"/>
      <c r="L695" s="1044"/>
      <c r="M695" s="1041"/>
      <c r="N695" s="1107"/>
      <c r="O695" s="1107"/>
      <c r="P695" s="1025"/>
      <c r="Q695" s="1025"/>
      <c r="R695" s="1025"/>
      <c r="S695" s="1025"/>
      <c r="T695" s="1039"/>
      <c r="U695" s="1039"/>
    </row>
    <row r="696">
      <c r="A696" s="926" t="str">
        <f t="array" ref="A696">if(G696="","",XLOOKUP(D696,'プルダウンメニュー (SE用)'!$D$2:$D1028,'プルダウンメニュー (SE用)'!$C$2:$C1028))</f>
        <v/>
      </c>
      <c r="B696" s="926" t="str">
        <f>iferror(if(H696="GLOW流用","-",if(G696="","","SSE_"&amp;TEXT(vlookup(E696,'プルダウンメニュー (SE用)'!$E$2:$F1028,2,false),"000")&amp;"_"&amp;TEXT(COUNTIF($E$4:E696,E696),"000"))),"")</f>
        <v/>
      </c>
      <c r="C696" s="984"/>
      <c r="D696" s="986"/>
      <c r="E696" s="986"/>
      <c r="F696" s="1018"/>
      <c r="G696" s="1040"/>
      <c r="H696" s="1041"/>
      <c r="I696" s="1042"/>
      <c r="J696" s="1043"/>
      <c r="K696" s="1043"/>
      <c r="L696" s="1044"/>
      <c r="M696" s="1041"/>
      <c r="N696" s="1107"/>
      <c r="O696" s="1107"/>
      <c r="P696" s="1025"/>
      <c r="Q696" s="1025"/>
      <c r="R696" s="1025"/>
      <c r="S696" s="1025"/>
      <c r="T696" s="1039"/>
      <c r="U696" s="1039"/>
    </row>
    <row r="697">
      <c r="A697" s="926" t="str">
        <f t="array" ref="A697">if(G697="","",XLOOKUP(D697,'プルダウンメニュー (SE用)'!$D$2:$D1028,'プルダウンメニュー (SE用)'!$C$2:$C1028))</f>
        <v/>
      </c>
      <c r="B697" s="926" t="str">
        <f>iferror(if(H697="GLOW流用","-",if(G697="","","SSE_"&amp;TEXT(vlookup(E697,'プルダウンメニュー (SE用)'!$E$2:$F1028,2,false),"000")&amp;"_"&amp;TEXT(COUNTIF($E$4:E697,E697),"000"))),"")</f>
        <v/>
      </c>
      <c r="C697" s="984"/>
      <c r="D697" s="986"/>
      <c r="E697" s="986"/>
      <c r="F697" s="1018"/>
      <c r="G697" s="1040"/>
      <c r="H697" s="1041"/>
      <c r="I697" s="1042"/>
      <c r="J697" s="1043"/>
      <c r="K697" s="1043"/>
      <c r="L697" s="1044"/>
      <c r="M697" s="1041"/>
      <c r="N697" s="1107"/>
      <c r="O697" s="1107"/>
      <c r="P697" s="1025"/>
      <c r="Q697" s="1025"/>
      <c r="R697" s="1025"/>
      <c r="S697" s="1025"/>
      <c r="T697" s="1039"/>
      <c r="U697" s="1039"/>
    </row>
    <row r="698">
      <c r="A698" s="926" t="str">
        <f t="array" ref="A698">if(G698="","",XLOOKUP(D698,'プルダウンメニュー (SE用)'!$D$2:$D1028,'プルダウンメニュー (SE用)'!$C$2:$C1028))</f>
        <v/>
      </c>
      <c r="B698" s="926" t="str">
        <f>iferror(if(H698="GLOW流用","-",if(G698="","","SSE_"&amp;TEXT(vlookup(E698,'プルダウンメニュー (SE用)'!$E$2:$F1028,2,false),"000")&amp;"_"&amp;TEXT(COUNTIF($E$4:E698,E698),"000"))),"")</f>
        <v/>
      </c>
      <c r="C698" s="984"/>
      <c r="D698" s="986"/>
      <c r="E698" s="986"/>
      <c r="F698" s="1018"/>
      <c r="G698" s="1040"/>
      <c r="H698" s="1041"/>
      <c r="I698" s="1042"/>
      <c r="J698" s="1043"/>
      <c r="K698" s="1043"/>
      <c r="L698" s="1044"/>
      <c r="M698" s="1041"/>
      <c r="N698" s="1107"/>
      <c r="O698" s="1107"/>
      <c r="P698" s="1025"/>
      <c r="Q698" s="1025"/>
      <c r="R698" s="1025"/>
      <c r="S698" s="1025"/>
      <c r="T698" s="1039"/>
      <c r="U698" s="1039"/>
    </row>
    <row r="699">
      <c r="A699" s="926" t="str">
        <f t="array" ref="A699">if(G699="","",XLOOKUP(D699,'プルダウンメニュー (SE用)'!$D$2:$D1028,'プルダウンメニュー (SE用)'!$C$2:$C1028))</f>
        <v/>
      </c>
      <c r="B699" s="926" t="str">
        <f>iferror(if(H699="GLOW流用","-",if(G699="","","SSE_"&amp;TEXT(vlookup(E699,'プルダウンメニュー (SE用)'!$E$2:$F1028,2,false),"000")&amp;"_"&amp;TEXT(COUNTIF($E$4:E699,E699),"000"))),"")</f>
        <v/>
      </c>
      <c r="C699" s="984"/>
      <c r="D699" s="986"/>
      <c r="E699" s="986"/>
      <c r="F699" s="1018"/>
      <c r="G699" s="1040"/>
      <c r="H699" s="1041"/>
      <c r="I699" s="1042"/>
      <c r="J699" s="1043"/>
      <c r="K699" s="1043"/>
      <c r="L699" s="1044"/>
      <c r="M699" s="1041"/>
      <c r="N699" s="1107"/>
      <c r="O699" s="1107"/>
      <c r="P699" s="1025"/>
      <c r="Q699" s="1025"/>
      <c r="R699" s="1025"/>
      <c r="S699" s="1025"/>
      <c r="T699" s="1039"/>
      <c r="U699" s="1039"/>
    </row>
    <row r="700">
      <c r="A700" s="926" t="str">
        <f t="array" ref="A700">if(G700="","",XLOOKUP(D700,'プルダウンメニュー (SE用)'!$D$2:$D1028,'プルダウンメニュー (SE用)'!$C$2:$C1028))</f>
        <v/>
      </c>
      <c r="B700" s="926" t="str">
        <f>iferror(if(H700="GLOW流用","-",if(G700="","","SSE_"&amp;TEXT(vlookup(E700,'プルダウンメニュー (SE用)'!$E$2:$F1028,2,false),"000")&amp;"_"&amp;TEXT(COUNTIF($E$4:E700,E700),"000"))),"")</f>
        <v/>
      </c>
      <c r="C700" s="984"/>
      <c r="D700" s="986"/>
      <c r="E700" s="986"/>
      <c r="F700" s="1018"/>
      <c r="G700" s="1040"/>
      <c r="H700" s="1041"/>
      <c r="I700" s="1042"/>
      <c r="J700" s="1043"/>
      <c r="K700" s="1043"/>
      <c r="L700" s="1044"/>
      <c r="M700" s="1041"/>
      <c r="N700" s="1107"/>
      <c r="O700" s="1107"/>
      <c r="P700" s="1025"/>
      <c r="Q700" s="1025"/>
      <c r="R700" s="1025"/>
      <c r="S700" s="1025"/>
      <c r="T700" s="1039"/>
      <c r="U700" s="1039"/>
    </row>
    <row r="701">
      <c r="A701" s="926" t="str">
        <f t="array" ref="A701">if(G701="","",XLOOKUP(D701,'プルダウンメニュー (SE用)'!$D$2:$D1028,'プルダウンメニュー (SE用)'!$C$2:$C1028))</f>
        <v/>
      </c>
      <c r="B701" s="926" t="str">
        <f>iferror(if(H701="GLOW流用","-",if(G701="","","SSE_"&amp;TEXT(vlookup(E701,'プルダウンメニュー (SE用)'!$E$2:$F1028,2,false),"000")&amp;"_"&amp;TEXT(COUNTIF($E$4:E701,E701),"000"))),"")</f>
        <v/>
      </c>
      <c r="C701" s="984"/>
      <c r="D701" s="986"/>
      <c r="E701" s="986"/>
      <c r="F701" s="1018"/>
      <c r="G701" s="1040"/>
      <c r="H701" s="1041"/>
      <c r="I701" s="1042"/>
      <c r="J701" s="1043"/>
      <c r="K701" s="1043"/>
      <c r="L701" s="1044"/>
      <c r="M701" s="1041"/>
      <c r="N701" s="1107"/>
      <c r="O701" s="1107"/>
      <c r="P701" s="1025"/>
      <c r="Q701" s="1025"/>
      <c r="R701" s="1025"/>
      <c r="S701" s="1025"/>
      <c r="T701" s="1039"/>
      <c r="U701" s="1039"/>
    </row>
    <row r="702">
      <c r="A702" s="926" t="str">
        <f t="array" ref="A702">if(G702="","",XLOOKUP(D702,'プルダウンメニュー (SE用)'!$D$2:$D1028,'プルダウンメニュー (SE用)'!$C$2:$C1028))</f>
        <v/>
      </c>
      <c r="B702" s="926" t="str">
        <f>iferror(if(H702="GLOW流用","-",if(G702="","","SSE_"&amp;TEXT(vlookup(E702,'プルダウンメニュー (SE用)'!$E$2:$F1028,2,false),"000")&amp;"_"&amp;TEXT(COUNTIF($E$4:E702,E702),"000"))),"")</f>
        <v/>
      </c>
      <c r="C702" s="984"/>
      <c r="D702" s="986"/>
      <c r="E702" s="986"/>
      <c r="F702" s="1018"/>
      <c r="G702" s="1040"/>
      <c r="H702" s="1041"/>
      <c r="I702" s="1042"/>
      <c r="J702" s="1043"/>
      <c r="K702" s="1043"/>
      <c r="L702" s="1044"/>
      <c r="M702" s="1041"/>
      <c r="N702" s="1107"/>
      <c r="O702" s="1107"/>
      <c r="P702" s="1025"/>
      <c r="Q702" s="1025"/>
      <c r="R702" s="1025"/>
      <c r="S702" s="1025"/>
      <c r="T702" s="1039"/>
      <c r="U702" s="1039"/>
    </row>
    <row r="703">
      <c r="A703" s="926" t="str">
        <f t="array" ref="A703">if(G703="","",XLOOKUP(D703,'プルダウンメニュー (SE用)'!$D$2:$D1028,'プルダウンメニュー (SE用)'!$C$2:$C1028))</f>
        <v/>
      </c>
      <c r="B703" s="926" t="str">
        <f>iferror(if(H703="GLOW流用","-",if(G703="","","SSE_"&amp;TEXT(vlookup(E703,'プルダウンメニュー (SE用)'!$E$2:$F1028,2,false),"000")&amp;"_"&amp;TEXT(COUNTIF($E$4:E703,E703),"000"))),"")</f>
        <v/>
      </c>
      <c r="C703" s="984"/>
      <c r="D703" s="986"/>
      <c r="E703" s="986"/>
      <c r="F703" s="1018"/>
      <c r="G703" s="1040"/>
      <c r="H703" s="1041"/>
      <c r="I703" s="1042"/>
      <c r="J703" s="1043"/>
      <c r="K703" s="1043"/>
      <c r="L703" s="1044"/>
      <c r="M703" s="1041"/>
      <c r="N703" s="1107"/>
      <c r="O703" s="1107"/>
      <c r="P703" s="1025"/>
      <c r="Q703" s="1025"/>
      <c r="R703" s="1025"/>
      <c r="S703" s="1025"/>
      <c r="T703" s="1039"/>
      <c r="U703" s="1039"/>
    </row>
    <row r="704">
      <c r="A704" s="926" t="str">
        <f t="array" ref="A704">if(G704="","",XLOOKUP(D704,'プルダウンメニュー (SE用)'!$D$2:$D1028,'プルダウンメニュー (SE用)'!$C$2:$C1028))</f>
        <v/>
      </c>
      <c r="B704" s="926" t="str">
        <f>iferror(if(H704="GLOW流用","-",if(G704="","","SSE_"&amp;TEXT(vlookup(E704,'プルダウンメニュー (SE用)'!$E$2:$F1028,2,false),"000")&amp;"_"&amp;TEXT(COUNTIF($E$4:E704,E704),"000"))),"")</f>
        <v/>
      </c>
      <c r="C704" s="984"/>
      <c r="D704" s="986"/>
      <c r="E704" s="986"/>
      <c r="F704" s="1018"/>
      <c r="G704" s="1040"/>
      <c r="H704" s="1041"/>
      <c r="I704" s="1042"/>
      <c r="J704" s="1043"/>
      <c r="K704" s="1043"/>
      <c r="L704" s="1044"/>
      <c r="M704" s="1041"/>
      <c r="N704" s="1107"/>
      <c r="O704" s="1107"/>
      <c r="P704" s="1025"/>
      <c r="Q704" s="1025"/>
      <c r="R704" s="1025"/>
      <c r="S704" s="1025"/>
      <c r="T704" s="1039"/>
      <c r="U704" s="1039"/>
    </row>
    <row r="705">
      <c r="A705" s="926" t="str">
        <f t="array" ref="A705">if(G705="","",XLOOKUP(D705,'プルダウンメニュー (SE用)'!$D$2:$D1028,'プルダウンメニュー (SE用)'!$C$2:$C1028))</f>
        <v/>
      </c>
      <c r="B705" s="926" t="str">
        <f>iferror(if(H705="GLOW流用","-",if(G705="","","SSE_"&amp;TEXT(vlookup(E705,'プルダウンメニュー (SE用)'!$E$2:$F1028,2,false),"000")&amp;"_"&amp;TEXT(COUNTIF($E$4:E705,E705),"000"))),"")</f>
        <v/>
      </c>
      <c r="C705" s="984"/>
      <c r="D705" s="986"/>
      <c r="E705" s="986"/>
      <c r="F705" s="1018"/>
      <c r="G705" s="1040"/>
      <c r="H705" s="1041"/>
      <c r="I705" s="1042"/>
      <c r="J705" s="1043"/>
      <c r="K705" s="1043"/>
      <c r="L705" s="1044"/>
      <c r="M705" s="1041"/>
      <c r="N705" s="1107"/>
      <c r="O705" s="1107"/>
      <c r="P705" s="1025"/>
      <c r="Q705" s="1025"/>
      <c r="R705" s="1025"/>
      <c r="S705" s="1025"/>
      <c r="T705" s="1039"/>
      <c r="U705" s="1039"/>
    </row>
    <row r="706">
      <c r="A706" s="926" t="str">
        <f t="array" ref="A706">if(G706="","",XLOOKUP(D706,'プルダウンメニュー (SE用)'!$D$2:$D1028,'プルダウンメニュー (SE用)'!$C$2:$C1028))</f>
        <v/>
      </c>
      <c r="B706" s="926" t="str">
        <f>iferror(if(H706="GLOW流用","-",if(G706="","","SSE_"&amp;TEXT(vlookup(E706,'プルダウンメニュー (SE用)'!$E$2:$F1028,2,false),"000")&amp;"_"&amp;TEXT(COUNTIF($E$4:E706,E706),"000"))),"")</f>
        <v/>
      </c>
      <c r="C706" s="984"/>
      <c r="D706" s="986"/>
      <c r="E706" s="986"/>
      <c r="F706" s="1018"/>
      <c r="G706" s="1040"/>
      <c r="H706" s="1041"/>
      <c r="I706" s="1042"/>
      <c r="J706" s="1043"/>
      <c r="K706" s="1043"/>
      <c r="L706" s="1044"/>
      <c r="M706" s="1041"/>
      <c r="N706" s="1107"/>
      <c r="O706" s="1107"/>
      <c r="P706" s="1025"/>
      <c r="Q706" s="1025"/>
      <c r="R706" s="1025"/>
      <c r="S706" s="1025"/>
      <c r="T706" s="1039"/>
      <c r="U706" s="1039"/>
    </row>
    <row r="707">
      <c r="A707" s="926" t="str">
        <f t="array" ref="A707">if(G707="","",XLOOKUP(D707,'プルダウンメニュー (SE用)'!$D$2:$D1028,'プルダウンメニュー (SE用)'!$C$2:$C1028))</f>
        <v/>
      </c>
      <c r="B707" s="926" t="str">
        <f>iferror(if(H707="GLOW流用","-",if(G707="","","SSE_"&amp;TEXT(vlookup(E707,'プルダウンメニュー (SE用)'!$E$2:$F1028,2,false),"000")&amp;"_"&amp;TEXT(COUNTIF($E$4:E707,E707),"000"))),"")</f>
        <v/>
      </c>
      <c r="C707" s="984"/>
      <c r="D707" s="986"/>
      <c r="E707" s="986"/>
      <c r="F707" s="1018"/>
      <c r="G707" s="1040"/>
      <c r="H707" s="1041"/>
      <c r="I707" s="1042"/>
      <c r="J707" s="1043"/>
      <c r="K707" s="1043"/>
      <c r="L707" s="1044"/>
      <c r="M707" s="1041"/>
      <c r="N707" s="1107"/>
      <c r="O707" s="1107"/>
      <c r="P707" s="1025"/>
      <c r="Q707" s="1025"/>
      <c r="R707" s="1025"/>
      <c r="S707" s="1025"/>
      <c r="T707" s="1039"/>
      <c r="U707" s="1039"/>
    </row>
    <row r="708">
      <c r="A708" s="926" t="str">
        <f t="array" ref="A708">if(G708="","",XLOOKUP(D708,'プルダウンメニュー (SE用)'!$D$2:$D1028,'プルダウンメニュー (SE用)'!$C$2:$C1028))</f>
        <v/>
      </c>
      <c r="B708" s="926" t="str">
        <f>iferror(if(H708="GLOW流用","-",if(G708="","","SSE_"&amp;TEXT(vlookup(E708,'プルダウンメニュー (SE用)'!$E$2:$F1028,2,false),"000")&amp;"_"&amp;TEXT(COUNTIF($E$4:E708,E708),"000"))),"")</f>
        <v/>
      </c>
      <c r="C708" s="984"/>
      <c r="D708" s="986"/>
      <c r="E708" s="986"/>
      <c r="F708" s="1018"/>
      <c r="G708" s="1040"/>
      <c r="H708" s="1041"/>
      <c r="I708" s="1042"/>
      <c r="J708" s="1043"/>
      <c r="K708" s="1043"/>
      <c r="L708" s="1044"/>
      <c r="M708" s="1041"/>
      <c r="N708" s="1107"/>
      <c r="O708" s="1107"/>
      <c r="P708" s="1025"/>
      <c r="Q708" s="1025"/>
      <c r="R708" s="1025"/>
      <c r="S708" s="1025"/>
      <c r="T708" s="1039"/>
      <c r="U708" s="1039"/>
    </row>
    <row r="709">
      <c r="A709" s="926" t="str">
        <f t="array" ref="A709">if(G709="","",XLOOKUP(D709,'プルダウンメニュー (SE用)'!$D$2:$D1028,'プルダウンメニュー (SE用)'!$C$2:$C1028))</f>
        <v/>
      </c>
      <c r="B709" s="926" t="str">
        <f>iferror(if(H709="GLOW流用","-",if(G709="","","SSE_"&amp;TEXT(vlookup(E709,'プルダウンメニュー (SE用)'!$E$2:$F1028,2,false),"000")&amp;"_"&amp;TEXT(COUNTIF($E$4:E709,E709),"000"))),"")</f>
        <v/>
      </c>
      <c r="C709" s="984"/>
      <c r="D709" s="986"/>
      <c r="E709" s="986"/>
      <c r="F709" s="1018"/>
      <c r="G709" s="1040"/>
      <c r="H709" s="1041"/>
      <c r="I709" s="1042"/>
      <c r="J709" s="1043"/>
      <c r="K709" s="1043"/>
      <c r="L709" s="1044"/>
      <c r="M709" s="1041"/>
      <c r="N709" s="1107"/>
      <c r="O709" s="1107"/>
      <c r="P709" s="1025"/>
      <c r="Q709" s="1025"/>
      <c r="R709" s="1025"/>
      <c r="S709" s="1025"/>
      <c r="T709" s="1039"/>
      <c r="U709" s="1039"/>
    </row>
    <row r="710">
      <c r="A710" s="926" t="str">
        <f t="array" ref="A710">if(G710="","",XLOOKUP(D710,'プルダウンメニュー (SE用)'!$D$2:$D1028,'プルダウンメニュー (SE用)'!$C$2:$C1028))</f>
        <v/>
      </c>
      <c r="B710" s="926" t="str">
        <f>iferror(if(H710="GLOW流用","-",if(G710="","","SSE_"&amp;TEXT(vlookup(E710,'プルダウンメニュー (SE用)'!$E$2:$F1028,2,false),"000")&amp;"_"&amp;TEXT(COUNTIF($E$4:E710,E710),"000"))),"")</f>
        <v/>
      </c>
      <c r="C710" s="984"/>
      <c r="D710" s="986"/>
      <c r="E710" s="986"/>
      <c r="F710" s="1018"/>
      <c r="G710" s="1040"/>
      <c r="H710" s="1041"/>
      <c r="I710" s="1042"/>
      <c r="J710" s="1043"/>
      <c r="K710" s="1043"/>
      <c r="L710" s="1044"/>
      <c r="M710" s="1041"/>
      <c r="N710" s="1107"/>
      <c r="O710" s="1107"/>
      <c r="P710" s="1025"/>
      <c r="Q710" s="1025"/>
      <c r="R710" s="1025"/>
      <c r="S710" s="1025"/>
      <c r="T710" s="1039"/>
      <c r="U710" s="1039"/>
    </row>
    <row r="711">
      <c r="A711" s="926" t="str">
        <f t="array" ref="A711">if(G711="","",XLOOKUP(D711,'プルダウンメニュー (SE用)'!$D$2:$D1028,'プルダウンメニュー (SE用)'!$C$2:$C1028))</f>
        <v/>
      </c>
      <c r="B711" s="926" t="str">
        <f>iferror(if(H711="GLOW流用","-",if(G711="","","SSE_"&amp;TEXT(vlookup(E711,'プルダウンメニュー (SE用)'!$E$2:$F1028,2,false),"000")&amp;"_"&amp;TEXT(COUNTIF($E$4:E711,E711),"000"))),"")</f>
        <v/>
      </c>
      <c r="C711" s="984"/>
      <c r="D711" s="986"/>
      <c r="E711" s="986"/>
      <c r="F711" s="1018"/>
      <c r="G711" s="1040"/>
      <c r="H711" s="1041"/>
      <c r="I711" s="1042"/>
      <c r="J711" s="1043"/>
      <c r="K711" s="1043"/>
      <c r="L711" s="1044"/>
      <c r="M711" s="1041"/>
      <c r="N711" s="1107"/>
      <c r="O711" s="1107"/>
      <c r="P711" s="1025"/>
      <c r="Q711" s="1025"/>
      <c r="R711" s="1025"/>
      <c r="S711" s="1025"/>
      <c r="T711" s="1039"/>
      <c r="U711" s="1039"/>
    </row>
    <row r="712">
      <c r="A712" s="926" t="str">
        <f t="array" ref="A712">if(G712="","",XLOOKUP(D712,'プルダウンメニュー (SE用)'!$D$2:$D1028,'プルダウンメニュー (SE用)'!$C$2:$C1028))</f>
        <v/>
      </c>
      <c r="B712" s="926" t="str">
        <f>iferror(if(H712="GLOW流用","-",if(G712="","","SSE_"&amp;TEXT(vlookup(E712,'プルダウンメニュー (SE用)'!$E$2:$F1028,2,false),"000")&amp;"_"&amp;TEXT(COUNTIF($E$4:E712,E712),"000"))),"")</f>
        <v/>
      </c>
      <c r="C712" s="984"/>
      <c r="D712" s="986"/>
      <c r="E712" s="986"/>
      <c r="F712" s="1018"/>
      <c r="G712" s="1040"/>
      <c r="H712" s="1041"/>
      <c r="I712" s="1042"/>
      <c r="J712" s="1043"/>
      <c r="K712" s="1043"/>
      <c r="L712" s="1044"/>
      <c r="M712" s="1041"/>
      <c r="N712" s="1107"/>
      <c r="O712" s="1107"/>
      <c r="P712" s="1025"/>
      <c r="Q712" s="1025"/>
      <c r="R712" s="1025"/>
      <c r="S712" s="1025"/>
      <c r="T712" s="1039"/>
      <c r="U712" s="1039"/>
    </row>
    <row r="713">
      <c r="A713" s="926" t="str">
        <f t="array" ref="A713">if(G713="","",XLOOKUP(D713,'プルダウンメニュー (SE用)'!$D$2:$D1028,'プルダウンメニュー (SE用)'!$C$2:$C1028))</f>
        <v/>
      </c>
      <c r="B713" s="926" t="str">
        <f>iferror(if(H713="GLOW流用","-",if(G713="","","SSE_"&amp;TEXT(vlookup(E713,'プルダウンメニュー (SE用)'!$E$2:$F1028,2,false),"000")&amp;"_"&amp;TEXT(COUNTIF($E$4:E713,E713),"000"))),"")</f>
        <v/>
      </c>
      <c r="C713" s="984"/>
      <c r="D713" s="986"/>
      <c r="E713" s="986"/>
      <c r="F713" s="1018"/>
      <c r="G713" s="1040"/>
      <c r="H713" s="1041"/>
      <c r="I713" s="1042"/>
      <c r="J713" s="1043"/>
      <c r="K713" s="1043"/>
      <c r="L713" s="1044"/>
      <c r="M713" s="1041"/>
      <c r="N713" s="1107"/>
      <c r="O713" s="1107"/>
      <c r="P713" s="1025"/>
      <c r="Q713" s="1025"/>
      <c r="R713" s="1025"/>
      <c r="S713" s="1025"/>
      <c r="T713" s="1039"/>
      <c r="U713" s="1039"/>
    </row>
    <row r="714">
      <c r="A714" s="926" t="str">
        <f t="array" ref="A714">if(G714="","",XLOOKUP(D714,'プルダウンメニュー (SE用)'!$D$2:$D1028,'プルダウンメニュー (SE用)'!$C$2:$C1028))</f>
        <v/>
      </c>
      <c r="B714" s="926" t="str">
        <f>iferror(if(H714="GLOW流用","-",if(G714="","","SSE_"&amp;TEXT(vlookup(E714,'プルダウンメニュー (SE用)'!$E$2:$F1028,2,false),"000")&amp;"_"&amp;TEXT(COUNTIF($E$4:E714,E714),"000"))),"")</f>
        <v/>
      </c>
      <c r="C714" s="984"/>
      <c r="D714" s="986"/>
      <c r="E714" s="986"/>
      <c r="F714" s="1018"/>
      <c r="G714" s="1040"/>
      <c r="H714" s="1041"/>
      <c r="I714" s="1042"/>
      <c r="J714" s="1043"/>
      <c r="K714" s="1043"/>
      <c r="L714" s="1044"/>
      <c r="M714" s="1041"/>
      <c r="N714" s="1107"/>
      <c r="O714" s="1107"/>
      <c r="P714" s="1025"/>
      <c r="Q714" s="1025"/>
      <c r="R714" s="1025"/>
      <c r="S714" s="1025"/>
      <c r="T714" s="1039"/>
      <c r="U714" s="1039"/>
    </row>
    <row r="715">
      <c r="A715" s="926" t="str">
        <f t="array" ref="A715">if(G715="","",XLOOKUP(D715,'プルダウンメニュー (SE用)'!$D$2:$D1028,'プルダウンメニュー (SE用)'!$C$2:$C1028))</f>
        <v/>
      </c>
      <c r="B715" s="926" t="str">
        <f>iferror(if(H715="GLOW流用","-",if(G715="","","SSE_"&amp;TEXT(vlookup(E715,'プルダウンメニュー (SE用)'!$E$2:$F1028,2,false),"000")&amp;"_"&amp;TEXT(COUNTIF($E$4:E715,E715),"000"))),"")</f>
        <v/>
      </c>
      <c r="C715" s="984"/>
      <c r="D715" s="986"/>
      <c r="E715" s="986"/>
      <c r="F715" s="1018"/>
      <c r="G715" s="1040"/>
      <c r="H715" s="1041"/>
      <c r="I715" s="1042"/>
      <c r="J715" s="1043"/>
      <c r="K715" s="1043"/>
      <c r="L715" s="1044"/>
      <c r="M715" s="1041"/>
      <c r="N715" s="1107"/>
      <c r="O715" s="1107"/>
      <c r="P715" s="1025"/>
      <c r="Q715" s="1025"/>
      <c r="R715" s="1025"/>
      <c r="S715" s="1025"/>
      <c r="T715" s="1039"/>
      <c r="U715" s="1039"/>
    </row>
    <row r="716">
      <c r="A716" s="926" t="str">
        <f t="array" ref="A716">if(G716="","",XLOOKUP(D716,'プルダウンメニュー (SE用)'!$D$2:$D1028,'プルダウンメニュー (SE用)'!$C$2:$C1028))</f>
        <v/>
      </c>
      <c r="B716" s="926" t="str">
        <f>iferror(if(H716="GLOW流用","-",if(G716="","","SSE_"&amp;TEXT(vlookup(E716,'プルダウンメニュー (SE用)'!$E$2:$F1028,2,false),"000")&amp;"_"&amp;TEXT(COUNTIF($E$4:E716,E716),"000"))),"")</f>
        <v/>
      </c>
      <c r="C716" s="984"/>
      <c r="D716" s="986"/>
      <c r="E716" s="986"/>
      <c r="F716" s="1018"/>
      <c r="G716" s="1040"/>
      <c r="H716" s="1041"/>
      <c r="I716" s="1042"/>
      <c r="J716" s="1043"/>
      <c r="K716" s="1043"/>
      <c r="L716" s="1044"/>
      <c r="M716" s="1041"/>
      <c r="N716" s="1107"/>
      <c r="O716" s="1107"/>
      <c r="P716" s="1025"/>
      <c r="Q716" s="1025"/>
      <c r="R716" s="1025"/>
      <c r="S716" s="1025"/>
      <c r="T716" s="1039"/>
      <c r="U716" s="1039"/>
    </row>
    <row r="717">
      <c r="A717" s="926" t="str">
        <f t="array" ref="A717">if(G717="","",XLOOKUP(D717,'プルダウンメニュー (SE用)'!$D$2:$D1028,'プルダウンメニュー (SE用)'!$C$2:$C1028))</f>
        <v/>
      </c>
      <c r="B717" s="926" t="str">
        <f>iferror(if(H717="GLOW流用","-",if(G717="","","SSE_"&amp;TEXT(vlookup(E717,'プルダウンメニュー (SE用)'!$E$2:$F1028,2,false),"000")&amp;"_"&amp;TEXT(COUNTIF($E$4:E717,E717),"000"))),"")</f>
        <v/>
      </c>
      <c r="C717" s="984"/>
      <c r="D717" s="986"/>
      <c r="E717" s="986"/>
      <c r="F717" s="1018"/>
      <c r="G717" s="1040"/>
      <c r="H717" s="1041"/>
      <c r="I717" s="1042"/>
      <c r="J717" s="1043"/>
      <c r="K717" s="1043"/>
      <c r="L717" s="1044"/>
      <c r="M717" s="1041"/>
      <c r="N717" s="1107"/>
      <c r="O717" s="1107"/>
      <c r="P717" s="1025"/>
      <c r="Q717" s="1025"/>
      <c r="R717" s="1025"/>
      <c r="S717" s="1025"/>
      <c r="T717" s="1039"/>
      <c r="U717" s="1039"/>
    </row>
    <row r="718">
      <c r="A718" s="926" t="str">
        <f t="array" ref="A718">if(G718="","",XLOOKUP(D718,'プルダウンメニュー (SE用)'!$D$2:$D1028,'プルダウンメニュー (SE用)'!$C$2:$C1028))</f>
        <v/>
      </c>
      <c r="B718" s="926" t="str">
        <f>iferror(if(H718="GLOW流用","-",if(G718="","","SSE_"&amp;TEXT(vlookup(E718,'プルダウンメニュー (SE用)'!$E$2:$F1028,2,false),"000")&amp;"_"&amp;TEXT(COUNTIF($E$4:E718,E718),"000"))),"")</f>
        <v/>
      </c>
      <c r="C718" s="984"/>
      <c r="D718" s="986"/>
      <c r="E718" s="986"/>
      <c r="F718" s="1018"/>
      <c r="G718" s="1040"/>
      <c r="H718" s="1041"/>
      <c r="I718" s="1042"/>
      <c r="J718" s="1043"/>
      <c r="K718" s="1043"/>
      <c r="L718" s="1044"/>
      <c r="M718" s="1041"/>
      <c r="N718" s="1107"/>
      <c r="O718" s="1107"/>
      <c r="P718" s="1025"/>
      <c r="Q718" s="1025"/>
      <c r="R718" s="1025"/>
      <c r="S718" s="1025"/>
      <c r="T718" s="1039"/>
      <c r="U718" s="1039"/>
    </row>
    <row r="719">
      <c r="A719" s="926" t="str">
        <f t="array" ref="A719">if(G719="","",XLOOKUP(D719,'プルダウンメニュー (SE用)'!$D$2:$D1028,'プルダウンメニュー (SE用)'!$C$2:$C1028))</f>
        <v/>
      </c>
      <c r="B719" s="926" t="str">
        <f>iferror(if(H719="GLOW流用","-",if(G719="","","SSE_"&amp;TEXT(vlookup(E719,'プルダウンメニュー (SE用)'!$E$2:$F1028,2,false),"000")&amp;"_"&amp;TEXT(COUNTIF($E$4:E719,E719),"000"))),"")</f>
        <v/>
      </c>
      <c r="C719" s="984"/>
      <c r="D719" s="986"/>
      <c r="E719" s="986"/>
      <c r="F719" s="1018"/>
      <c r="G719" s="1040"/>
      <c r="H719" s="1041"/>
      <c r="I719" s="1042"/>
      <c r="J719" s="1043"/>
      <c r="K719" s="1043"/>
      <c r="L719" s="1044"/>
      <c r="M719" s="1041"/>
      <c r="N719" s="1107"/>
      <c r="O719" s="1107"/>
      <c r="P719" s="1025"/>
      <c r="Q719" s="1025"/>
      <c r="R719" s="1025"/>
      <c r="S719" s="1025"/>
      <c r="T719" s="1039"/>
      <c r="U719" s="1039"/>
    </row>
    <row r="720">
      <c r="A720" s="926" t="str">
        <f t="array" ref="A720">if(G720="","",XLOOKUP(D720,'プルダウンメニュー (SE用)'!$D$2:$D1028,'プルダウンメニュー (SE用)'!$C$2:$C1028))</f>
        <v/>
      </c>
      <c r="B720" s="926" t="str">
        <f>iferror(if(H720="GLOW流用","-",if(G720="","","SSE_"&amp;TEXT(vlookup(E720,'プルダウンメニュー (SE用)'!$E$2:$F1028,2,false),"000")&amp;"_"&amp;TEXT(COUNTIF($E$4:E720,E720),"000"))),"")</f>
        <v/>
      </c>
      <c r="C720" s="984"/>
      <c r="D720" s="986"/>
      <c r="E720" s="986"/>
      <c r="F720" s="1018"/>
      <c r="G720" s="1040"/>
      <c r="H720" s="1041"/>
      <c r="I720" s="1042"/>
      <c r="J720" s="1043"/>
      <c r="K720" s="1043"/>
      <c r="L720" s="1044"/>
      <c r="M720" s="1041"/>
      <c r="N720" s="1107"/>
      <c r="O720" s="1107"/>
      <c r="P720" s="1025"/>
      <c r="Q720" s="1025"/>
      <c r="R720" s="1025"/>
      <c r="S720" s="1025"/>
      <c r="T720" s="1039"/>
      <c r="U720" s="1039"/>
    </row>
    <row r="721">
      <c r="A721" s="926" t="str">
        <f t="array" ref="A721">if(G721="","",XLOOKUP(D721,'プルダウンメニュー (SE用)'!$D$2:$D1028,'プルダウンメニュー (SE用)'!$C$2:$C1028))</f>
        <v/>
      </c>
      <c r="B721" s="926" t="str">
        <f>iferror(if(H721="GLOW流用","-",if(G721="","","SSE_"&amp;TEXT(vlookup(E721,'プルダウンメニュー (SE用)'!$E$2:$F1028,2,false),"000")&amp;"_"&amp;TEXT(COUNTIF($E$4:E721,E721),"000"))),"")</f>
        <v/>
      </c>
      <c r="C721" s="984"/>
      <c r="D721" s="986"/>
      <c r="E721" s="986"/>
      <c r="F721" s="1018"/>
      <c r="G721" s="1040"/>
      <c r="H721" s="1041"/>
      <c r="I721" s="1042"/>
      <c r="J721" s="1043"/>
      <c r="K721" s="1043"/>
      <c r="L721" s="1044"/>
      <c r="M721" s="1041"/>
      <c r="N721" s="1107"/>
      <c r="O721" s="1107"/>
      <c r="P721" s="1025"/>
      <c r="Q721" s="1025"/>
      <c r="R721" s="1025"/>
      <c r="S721" s="1025"/>
      <c r="T721" s="1039"/>
      <c r="U721" s="1039"/>
    </row>
    <row r="722">
      <c r="A722" s="926" t="str">
        <f t="array" ref="A722">if(G722="","",XLOOKUP(D722,'プルダウンメニュー (SE用)'!$D$2:$D1028,'プルダウンメニュー (SE用)'!$C$2:$C1028))</f>
        <v/>
      </c>
      <c r="B722" s="926" t="str">
        <f>iferror(if(H722="GLOW流用","-",if(G722="","","SSE_"&amp;TEXT(vlookup(E722,'プルダウンメニュー (SE用)'!$E$2:$F1028,2,false),"000")&amp;"_"&amp;TEXT(COUNTIF($E$4:E722,E722),"000"))),"")</f>
        <v/>
      </c>
      <c r="C722" s="984"/>
      <c r="D722" s="986"/>
      <c r="E722" s="986"/>
      <c r="F722" s="1018"/>
      <c r="G722" s="1040"/>
      <c r="H722" s="1041"/>
      <c r="I722" s="1042"/>
      <c r="J722" s="1043"/>
      <c r="K722" s="1043"/>
      <c r="L722" s="1044"/>
      <c r="M722" s="1041"/>
      <c r="N722" s="1107"/>
      <c r="O722" s="1107"/>
      <c r="P722" s="1025"/>
      <c r="Q722" s="1025"/>
      <c r="R722" s="1025"/>
      <c r="S722" s="1025"/>
      <c r="T722" s="1039"/>
      <c r="U722" s="1039"/>
    </row>
    <row r="723">
      <c r="A723" s="926" t="str">
        <f t="array" ref="A723">if(G723="","",XLOOKUP(D723,'プルダウンメニュー (SE用)'!$D$2:$D1028,'プルダウンメニュー (SE用)'!$C$2:$C1028))</f>
        <v/>
      </c>
      <c r="B723" s="926" t="str">
        <f>iferror(if(H723="GLOW流用","-",if(G723="","","SSE_"&amp;TEXT(vlookup(E723,'プルダウンメニュー (SE用)'!$E$2:$F1028,2,false),"000")&amp;"_"&amp;TEXT(COUNTIF($E$4:E723,E723),"000"))),"")</f>
        <v/>
      </c>
      <c r="C723" s="984"/>
      <c r="D723" s="986"/>
      <c r="E723" s="986"/>
      <c r="F723" s="1018"/>
      <c r="G723" s="1040"/>
      <c r="H723" s="1041"/>
      <c r="I723" s="1042"/>
      <c r="J723" s="1043"/>
      <c r="K723" s="1043"/>
      <c r="L723" s="1044"/>
      <c r="M723" s="1041"/>
      <c r="N723" s="1107"/>
      <c r="O723" s="1107"/>
      <c r="P723" s="1025"/>
      <c r="Q723" s="1025"/>
      <c r="R723" s="1025"/>
      <c r="S723" s="1025"/>
      <c r="T723" s="1039"/>
      <c r="U723" s="1039"/>
    </row>
    <row r="724">
      <c r="A724" s="926" t="str">
        <f t="array" ref="A724">if(G724="","",XLOOKUP(D724,'プルダウンメニュー (SE用)'!$D$2:$D1028,'プルダウンメニュー (SE用)'!$C$2:$C1028))</f>
        <v/>
      </c>
      <c r="B724" s="926" t="str">
        <f>iferror(if(H724="GLOW流用","-",if(G724="","","SSE_"&amp;TEXT(vlookup(E724,'プルダウンメニュー (SE用)'!$E$2:$F1028,2,false),"000")&amp;"_"&amp;TEXT(COUNTIF($E$4:E724,E724),"000"))),"")</f>
        <v/>
      </c>
      <c r="C724" s="984"/>
      <c r="D724" s="986"/>
      <c r="E724" s="986"/>
      <c r="F724" s="1018"/>
      <c r="G724" s="1040"/>
      <c r="H724" s="1041"/>
      <c r="I724" s="1042"/>
      <c r="J724" s="1043"/>
      <c r="K724" s="1043"/>
      <c r="L724" s="1044"/>
      <c r="M724" s="1041"/>
      <c r="N724" s="1107"/>
      <c r="O724" s="1107"/>
      <c r="P724" s="1025"/>
      <c r="Q724" s="1025"/>
      <c r="R724" s="1025"/>
      <c r="S724" s="1025"/>
      <c r="T724" s="1039"/>
      <c r="U724" s="1039"/>
    </row>
    <row r="725">
      <c r="A725" s="926" t="str">
        <f t="array" ref="A725">if(G725="","",XLOOKUP(D725,'プルダウンメニュー (SE用)'!$D$2:$D1028,'プルダウンメニュー (SE用)'!$C$2:$C1028))</f>
        <v/>
      </c>
      <c r="B725" s="926" t="str">
        <f>iferror(if(H725="GLOW流用","-",if(G725="","","SSE_"&amp;TEXT(vlookup(E725,'プルダウンメニュー (SE用)'!$E$2:$F1028,2,false),"000")&amp;"_"&amp;TEXT(COUNTIF($E$4:E725,E725),"000"))),"")</f>
        <v/>
      </c>
      <c r="C725" s="984"/>
      <c r="D725" s="986"/>
      <c r="E725" s="986"/>
      <c r="F725" s="1018"/>
      <c r="G725" s="1040"/>
      <c r="H725" s="1041"/>
      <c r="I725" s="1042"/>
      <c r="J725" s="1043"/>
      <c r="K725" s="1043"/>
      <c r="L725" s="1044"/>
      <c r="M725" s="1041"/>
      <c r="N725" s="1107"/>
      <c r="O725" s="1107"/>
      <c r="P725" s="1025"/>
      <c r="Q725" s="1025"/>
      <c r="R725" s="1025"/>
      <c r="S725" s="1025"/>
      <c r="T725" s="1039"/>
      <c r="U725" s="1039"/>
    </row>
    <row r="726">
      <c r="A726" s="926" t="str">
        <f t="array" ref="A726">if(G726="","",XLOOKUP(D726,'プルダウンメニュー (SE用)'!$D$2:$D1028,'プルダウンメニュー (SE用)'!$C$2:$C1028))</f>
        <v/>
      </c>
      <c r="B726" s="926" t="str">
        <f>iferror(if(H726="GLOW流用","-",if(G726="","","SSE_"&amp;TEXT(vlookup(E726,'プルダウンメニュー (SE用)'!$E$2:$F1028,2,false),"000")&amp;"_"&amp;TEXT(COUNTIF($E$4:E726,E726),"000"))),"")</f>
        <v/>
      </c>
      <c r="C726" s="984"/>
      <c r="D726" s="986"/>
      <c r="E726" s="986"/>
      <c r="F726" s="1018"/>
      <c r="G726" s="1040"/>
      <c r="H726" s="1041"/>
      <c r="I726" s="1042"/>
      <c r="J726" s="1043"/>
      <c r="K726" s="1043"/>
      <c r="L726" s="1044"/>
      <c r="M726" s="1041"/>
      <c r="N726" s="1107"/>
      <c r="O726" s="1107"/>
      <c r="P726" s="1025"/>
      <c r="Q726" s="1025"/>
      <c r="R726" s="1025"/>
      <c r="S726" s="1025"/>
      <c r="T726" s="1039"/>
      <c r="U726" s="1039"/>
    </row>
    <row r="727">
      <c r="A727" s="926" t="str">
        <f t="array" ref="A727">if(G727="","",XLOOKUP(D727,'プルダウンメニュー (SE用)'!$D$2:$D1028,'プルダウンメニュー (SE用)'!$C$2:$C1028))</f>
        <v/>
      </c>
      <c r="B727" s="926" t="str">
        <f>iferror(if(H727="GLOW流用","-",if(G727="","","SSE_"&amp;TEXT(vlookup(E727,'プルダウンメニュー (SE用)'!$E$2:$F1028,2,false),"000")&amp;"_"&amp;TEXT(COUNTIF($E$4:E727,E727),"000"))),"")</f>
        <v/>
      </c>
      <c r="C727" s="984"/>
      <c r="D727" s="986"/>
      <c r="E727" s="986"/>
      <c r="F727" s="1018"/>
      <c r="G727" s="1040"/>
      <c r="H727" s="1041"/>
      <c r="I727" s="1042"/>
      <c r="J727" s="1043"/>
      <c r="K727" s="1043"/>
      <c r="L727" s="1044"/>
      <c r="M727" s="1041"/>
      <c r="N727" s="1107"/>
      <c r="O727" s="1107"/>
      <c r="P727" s="1025"/>
      <c r="Q727" s="1025"/>
      <c r="R727" s="1025"/>
      <c r="S727" s="1025"/>
      <c r="T727" s="1039"/>
      <c r="U727" s="1039"/>
    </row>
    <row r="728">
      <c r="A728" s="926" t="str">
        <f t="array" ref="A728">if(G728="","",XLOOKUP(D728,'プルダウンメニュー (SE用)'!$D$2:$D1028,'プルダウンメニュー (SE用)'!$C$2:$C1028))</f>
        <v/>
      </c>
      <c r="B728" s="926" t="str">
        <f>iferror(if(H728="GLOW流用","-",if(G728="","","SSE_"&amp;TEXT(vlookup(E728,'プルダウンメニュー (SE用)'!$E$2:$F1028,2,false),"000")&amp;"_"&amp;TEXT(COUNTIF($E$4:E728,E728),"000"))),"")</f>
        <v/>
      </c>
      <c r="C728" s="984"/>
      <c r="D728" s="986"/>
      <c r="E728" s="986"/>
      <c r="F728" s="1018"/>
      <c r="G728" s="1040"/>
      <c r="H728" s="1041"/>
      <c r="I728" s="1042"/>
      <c r="J728" s="1043"/>
      <c r="K728" s="1043"/>
      <c r="L728" s="1044"/>
      <c r="M728" s="1041"/>
      <c r="N728" s="1107"/>
      <c r="O728" s="1107"/>
      <c r="P728" s="1025"/>
      <c r="Q728" s="1025"/>
      <c r="R728" s="1025"/>
      <c r="S728" s="1025"/>
      <c r="T728" s="1039"/>
      <c r="U728" s="1039"/>
    </row>
    <row r="729">
      <c r="A729" s="926" t="str">
        <f t="array" ref="A729">if(G729="","",XLOOKUP(D729,'プルダウンメニュー (SE用)'!$D$2:$D1028,'プルダウンメニュー (SE用)'!$C$2:$C1028))</f>
        <v/>
      </c>
      <c r="B729" s="926" t="str">
        <f>iferror(if(H729="GLOW流用","-",if(G729="","","SSE_"&amp;TEXT(vlookup(E729,'プルダウンメニュー (SE用)'!$E$2:$F1028,2,false),"000")&amp;"_"&amp;TEXT(COUNTIF($E$4:E729,E729),"000"))),"")</f>
        <v/>
      </c>
      <c r="C729" s="984"/>
      <c r="D729" s="986"/>
      <c r="E729" s="986"/>
      <c r="F729" s="1018"/>
      <c r="G729" s="1040"/>
      <c r="H729" s="1041"/>
      <c r="I729" s="1042"/>
      <c r="J729" s="1043"/>
      <c r="K729" s="1043"/>
      <c r="L729" s="1044"/>
      <c r="M729" s="1041"/>
      <c r="N729" s="1107"/>
      <c r="O729" s="1107"/>
      <c r="P729" s="1025"/>
      <c r="Q729" s="1025"/>
      <c r="R729" s="1025"/>
      <c r="S729" s="1025"/>
      <c r="T729" s="1039"/>
      <c r="U729" s="1039"/>
    </row>
    <row r="730">
      <c r="A730" s="926" t="str">
        <f t="array" ref="A730">if(G730="","",XLOOKUP(D730,'プルダウンメニュー (SE用)'!$D$2:$D1028,'プルダウンメニュー (SE用)'!$C$2:$C1028))</f>
        <v/>
      </c>
      <c r="B730" s="926" t="str">
        <f>iferror(if(H730="GLOW流用","-",if(G730="","","SSE_"&amp;TEXT(vlookup(E730,'プルダウンメニュー (SE用)'!$E$2:$F1028,2,false),"000")&amp;"_"&amp;TEXT(COUNTIF($E$4:E730,E730),"000"))),"")</f>
        <v/>
      </c>
      <c r="C730" s="984"/>
      <c r="D730" s="986"/>
      <c r="E730" s="986"/>
      <c r="F730" s="1018"/>
      <c r="G730" s="1040"/>
      <c r="H730" s="1041"/>
      <c r="I730" s="1042"/>
      <c r="J730" s="1043"/>
      <c r="K730" s="1043"/>
      <c r="L730" s="1044"/>
      <c r="M730" s="1041"/>
      <c r="N730" s="1107"/>
      <c r="O730" s="1107"/>
      <c r="P730" s="1025"/>
      <c r="Q730" s="1025"/>
      <c r="R730" s="1025"/>
      <c r="S730" s="1025"/>
      <c r="T730" s="1039"/>
      <c r="U730" s="1039"/>
    </row>
    <row r="731">
      <c r="A731" s="926" t="str">
        <f t="array" ref="A731">if(G731="","",XLOOKUP(D731,'プルダウンメニュー (SE用)'!$D$2:$D1028,'プルダウンメニュー (SE用)'!$C$2:$C1028))</f>
        <v/>
      </c>
      <c r="B731" s="926" t="str">
        <f>iferror(if(H731="GLOW流用","-",if(G731="","","SSE_"&amp;TEXT(vlookup(E731,'プルダウンメニュー (SE用)'!$E$2:$F1028,2,false),"000")&amp;"_"&amp;TEXT(COUNTIF($E$4:E731,E731),"000"))),"")</f>
        <v/>
      </c>
      <c r="C731" s="984"/>
      <c r="D731" s="986"/>
      <c r="E731" s="986"/>
      <c r="F731" s="1018"/>
      <c r="G731" s="1040"/>
      <c r="H731" s="1041"/>
      <c r="I731" s="1042"/>
      <c r="J731" s="1043"/>
      <c r="K731" s="1043"/>
      <c r="L731" s="1044"/>
      <c r="M731" s="1041"/>
      <c r="N731" s="1107"/>
      <c r="O731" s="1107"/>
      <c r="P731" s="1025"/>
      <c r="Q731" s="1025"/>
      <c r="R731" s="1025"/>
      <c r="S731" s="1025"/>
      <c r="T731" s="1039"/>
      <c r="U731" s="1039"/>
    </row>
    <row r="732">
      <c r="A732" s="926" t="str">
        <f t="array" ref="A732">if(G732="","",XLOOKUP(D732,'プルダウンメニュー (SE用)'!$D$2:$D1028,'プルダウンメニュー (SE用)'!$C$2:$C1028))</f>
        <v/>
      </c>
      <c r="B732" s="926" t="str">
        <f>iferror(if(H732="GLOW流用","-",if(G732="","","SSE_"&amp;TEXT(vlookup(E732,'プルダウンメニュー (SE用)'!$E$2:$F1028,2,false),"000")&amp;"_"&amp;TEXT(COUNTIF($E$4:E732,E732),"000"))),"")</f>
        <v/>
      </c>
      <c r="C732" s="984"/>
      <c r="D732" s="986"/>
      <c r="E732" s="986"/>
      <c r="F732" s="1018"/>
      <c r="G732" s="1040"/>
      <c r="H732" s="1041"/>
      <c r="I732" s="1042"/>
      <c r="J732" s="1043"/>
      <c r="K732" s="1043"/>
      <c r="L732" s="1044"/>
      <c r="M732" s="1041"/>
      <c r="N732" s="1107"/>
      <c r="O732" s="1107"/>
      <c r="P732" s="1025"/>
      <c r="Q732" s="1025"/>
      <c r="R732" s="1025"/>
      <c r="S732" s="1025"/>
      <c r="T732" s="1039"/>
      <c r="U732" s="1039"/>
    </row>
    <row r="733">
      <c r="A733" s="926" t="str">
        <f t="array" ref="A733">if(G733="","",XLOOKUP(D733,'プルダウンメニュー (SE用)'!$D$2:$D1028,'プルダウンメニュー (SE用)'!$C$2:$C1028))</f>
        <v/>
      </c>
      <c r="B733" s="926" t="str">
        <f>iferror(if(H733="GLOW流用","-",if(G733="","","SSE_"&amp;TEXT(vlookup(E733,'プルダウンメニュー (SE用)'!$E$2:$F1028,2,false),"000")&amp;"_"&amp;TEXT(COUNTIF($E$4:E733,E733),"000"))),"")</f>
        <v/>
      </c>
      <c r="C733" s="984"/>
      <c r="D733" s="986"/>
      <c r="E733" s="986"/>
      <c r="F733" s="1018"/>
      <c r="G733" s="1040"/>
      <c r="H733" s="1041"/>
      <c r="I733" s="1042"/>
      <c r="J733" s="1043"/>
      <c r="K733" s="1043"/>
      <c r="L733" s="1044"/>
      <c r="M733" s="1041"/>
      <c r="N733" s="1107"/>
      <c r="O733" s="1107"/>
      <c r="P733" s="1025"/>
      <c r="Q733" s="1025"/>
      <c r="R733" s="1025"/>
      <c r="S733" s="1025"/>
      <c r="T733" s="1039"/>
      <c r="U733" s="1039"/>
    </row>
    <row r="734">
      <c r="A734" s="926" t="str">
        <f t="array" ref="A734">if(G734="","",XLOOKUP(D734,'プルダウンメニュー (SE用)'!$D$2:$D1028,'プルダウンメニュー (SE用)'!$C$2:$C1028))</f>
        <v/>
      </c>
      <c r="B734" s="926" t="str">
        <f>iferror(if(H734="GLOW流用","-",if(G734="","","SSE_"&amp;TEXT(vlookup(E734,'プルダウンメニュー (SE用)'!$E$2:$F1028,2,false),"000")&amp;"_"&amp;TEXT(COUNTIF($E$4:E734,E734),"000"))),"")</f>
        <v/>
      </c>
      <c r="C734" s="984"/>
      <c r="D734" s="986"/>
      <c r="E734" s="986"/>
      <c r="F734" s="1018"/>
      <c r="G734" s="1040"/>
      <c r="H734" s="1041"/>
      <c r="I734" s="1042"/>
      <c r="J734" s="1043"/>
      <c r="K734" s="1043"/>
      <c r="L734" s="1044"/>
      <c r="M734" s="1041"/>
      <c r="N734" s="1107"/>
      <c r="O734" s="1107"/>
      <c r="P734" s="1025"/>
      <c r="Q734" s="1025"/>
      <c r="R734" s="1025"/>
      <c r="S734" s="1025"/>
      <c r="T734" s="1039"/>
      <c r="U734" s="1039"/>
    </row>
    <row r="735">
      <c r="A735" s="926" t="str">
        <f t="array" ref="A735">if(G735="","",XLOOKUP(D735,'プルダウンメニュー (SE用)'!$D$2:$D1028,'プルダウンメニュー (SE用)'!$C$2:$C1028))</f>
        <v/>
      </c>
      <c r="B735" s="926" t="str">
        <f>iferror(if(H735="GLOW流用","-",if(G735="","","SSE_"&amp;TEXT(vlookup(E735,'プルダウンメニュー (SE用)'!$E$2:$F1028,2,false),"000")&amp;"_"&amp;TEXT(COUNTIF($E$4:E735,E735),"000"))),"")</f>
        <v/>
      </c>
      <c r="C735" s="984"/>
      <c r="D735" s="986"/>
      <c r="E735" s="986"/>
      <c r="F735" s="1018"/>
      <c r="G735" s="1040"/>
      <c r="H735" s="1041"/>
      <c r="I735" s="1042"/>
      <c r="J735" s="1043"/>
      <c r="K735" s="1043"/>
      <c r="L735" s="1044"/>
      <c r="M735" s="1041"/>
      <c r="N735" s="1107"/>
      <c r="O735" s="1107"/>
      <c r="P735" s="1025"/>
      <c r="Q735" s="1025"/>
      <c r="R735" s="1025"/>
      <c r="S735" s="1025"/>
      <c r="T735" s="1039"/>
      <c r="U735" s="1039"/>
    </row>
    <row r="736">
      <c r="A736" s="926" t="str">
        <f t="array" ref="A736">if(G736="","",XLOOKUP(D736,'プルダウンメニュー (SE用)'!$D$2:$D1028,'プルダウンメニュー (SE用)'!$C$2:$C1028))</f>
        <v/>
      </c>
      <c r="B736" s="926" t="str">
        <f>iferror(if(H736="GLOW流用","-",if(G736="","","SSE_"&amp;TEXT(vlookup(E736,'プルダウンメニュー (SE用)'!$E$2:$F1028,2,false),"000")&amp;"_"&amp;TEXT(COUNTIF($E$4:E736,E736),"000"))),"")</f>
        <v/>
      </c>
      <c r="C736" s="984"/>
      <c r="D736" s="986"/>
      <c r="E736" s="986"/>
      <c r="F736" s="1018"/>
      <c r="G736" s="1040"/>
      <c r="H736" s="1041"/>
      <c r="I736" s="1042"/>
      <c r="J736" s="1043"/>
      <c r="K736" s="1043"/>
      <c r="L736" s="1044"/>
      <c r="M736" s="1041"/>
      <c r="N736" s="1107"/>
      <c r="O736" s="1107"/>
      <c r="P736" s="1025"/>
      <c r="Q736" s="1025"/>
      <c r="R736" s="1025"/>
      <c r="S736" s="1025"/>
      <c r="T736" s="1039"/>
      <c r="U736" s="1039"/>
    </row>
    <row r="737">
      <c r="A737" s="926" t="str">
        <f t="array" ref="A737">if(G737="","",XLOOKUP(D737,'プルダウンメニュー (SE用)'!$D$2:$D1028,'プルダウンメニュー (SE用)'!$C$2:$C1028))</f>
        <v/>
      </c>
      <c r="B737" s="926" t="str">
        <f>iferror(if(H737="GLOW流用","-",if(G737="","","SSE_"&amp;TEXT(vlookup(E737,'プルダウンメニュー (SE用)'!$E$2:$F1028,2,false),"000")&amp;"_"&amp;TEXT(COUNTIF($E$4:E737,E737),"000"))),"")</f>
        <v/>
      </c>
      <c r="C737" s="984"/>
      <c r="D737" s="986"/>
      <c r="E737" s="986"/>
      <c r="F737" s="1018"/>
      <c r="G737" s="1040"/>
      <c r="H737" s="1041"/>
      <c r="I737" s="1042"/>
      <c r="J737" s="1043"/>
      <c r="K737" s="1043"/>
      <c r="L737" s="1044"/>
      <c r="M737" s="1041"/>
      <c r="N737" s="1107"/>
      <c r="O737" s="1107"/>
      <c r="P737" s="1025"/>
      <c r="Q737" s="1025"/>
      <c r="R737" s="1025"/>
      <c r="S737" s="1025"/>
      <c r="T737" s="1039"/>
      <c r="U737" s="1039"/>
    </row>
    <row r="738">
      <c r="A738" s="926" t="str">
        <f t="array" ref="A738">if(G738="","",XLOOKUP(D738,'プルダウンメニュー (SE用)'!$D$2:$D1028,'プルダウンメニュー (SE用)'!$C$2:$C1028))</f>
        <v/>
      </c>
      <c r="B738" s="926" t="str">
        <f>iferror(if(H738="GLOW流用","-",if(G738="","","SSE_"&amp;TEXT(vlookup(E738,'プルダウンメニュー (SE用)'!$E$2:$F1028,2,false),"000")&amp;"_"&amp;TEXT(COUNTIF($E$4:E738,E738),"000"))),"")</f>
        <v/>
      </c>
      <c r="C738" s="984"/>
      <c r="D738" s="986"/>
      <c r="E738" s="986"/>
      <c r="F738" s="1018"/>
      <c r="G738" s="1040"/>
      <c r="H738" s="1041"/>
      <c r="I738" s="1042"/>
      <c r="J738" s="1043"/>
      <c r="K738" s="1043"/>
      <c r="L738" s="1044"/>
      <c r="M738" s="1041"/>
      <c r="N738" s="1107"/>
      <c r="O738" s="1107"/>
      <c r="P738" s="1025"/>
      <c r="Q738" s="1025"/>
      <c r="R738" s="1025"/>
      <c r="S738" s="1025"/>
      <c r="T738" s="1039"/>
      <c r="U738" s="1039"/>
    </row>
    <row r="739">
      <c r="A739" s="926" t="str">
        <f t="array" ref="A739">if(G739="","",XLOOKUP(D739,'プルダウンメニュー (SE用)'!$D$2:$D1028,'プルダウンメニュー (SE用)'!$C$2:$C1028))</f>
        <v/>
      </c>
      <c r="B739" s="926" t="str">
        <f>iferror(if(H739="GLOW流用","-",if(G739="","","SSE_"&amp;TEXT(vlookup(E739,'プルダウンメニュー (SE用)'!$E$2:$F1028,2,false),"000")&amp;"_"&amp;TEXT(COUNTIF($E$4:E739,E739),"000"))),"")</f>
        <v/>
      </c>
      <c r="C739" s="984"/>
      <c r="D739" s="986"/>
      <c r="E739" s="986"/>
      <c r="F739" s="1018"/>
      <c r="G739" s="1040"/>
      <c r="H739" s="1041"/>
      <c r="I739" s="1042"/>
      <c r="J739" s="1043"/>
      <c r="K739" s="1043"/>
      <c r="L739" s="1044"/>
      <c r="M739" s="1041"/>
      <c r="N739" s="1107"/>
      <c r="O739" s="1107"/>
      <c r="P739" s="1025"/>
      <c r="Q739" s="1025"/>
      <c r="R739" s="1025"/>
      <c r="S739" s="1025"/>
      <c r="T739" s="1039"/>
      <c r="U739" s="1039"/>
    </row>
    <row r="740">
      <c r="A740" s="926" t="str">
        <f t="array" ref="A740">if(G740="","",XLOOKUP(D740,'プルダウンメニュー (SE用)'!$D$2:$D1028,'プルダウンメニュー (SE用)'!$C$2:$C1028))</f>
        <v/>
      </c>
      <c r="B740" s="926" t="str">
        <f>iferror(if(H740="GLOW流用","-",if(G740="","","SSE_"&amp;TEXT(vlookup(E740,'プルダウンメニュー (SE用)'!$E$2:$F1028,2,false),"000")&amp;"_"&amp;TEXT(COUNTIF($E$4:E740,E740),"000"))),"")</f>
        <v/>
      </c>
      <c r="C740" s="984"/>
      <c r="D740" s="986"/>
      <c r="E740" s="986"/>
      <c r="F740" s="1018"/>
      <c r="G740" s="1040"/>
      <c r="H740" s="1041"/>
      <c r="I740" s="1042"/>
      <c r="J740" s="1043"/>
      <c r="K740" s="1043"/>
      <c r="L740" s="1044"/>
      <c r="M740" s="1041"/>
      <c r="N740" s="1107"/>
      <c r="O740" s="1107"/>
      <c r="P740" s="1025"/>
      <c r="Q740" s="1025"/>
      <c r="R740" s="1025"/>
      <c r="S740" s="1025"/>
      <c r="T740" s="1039"/>
      <c r="U740" s="1039"/>
    </row>
    <row r="741">
      <c r="A741" s="926" t="str">
        <f t="array" ref="A741">if(G741="","",XLOOKUP(D741,'プルダウンメニュー (SE用)'!$D$2:$D1028,'プルダウンメニュー (SE用)'!$C$2:$C1028))</f>
        <v/>
      </c>
      <c r="B741" s="926" t="str">
        <f>iferror(if(H741="GLOW流用","-",if(G741="","","SSE_"&amp;TEXT(vlookup(E741,'プルダウンメニュー (SE用)'!$E$2:$F1028,2,false),"000")&amp;"_"&amp;TEXT(COUNTIF($E$4:E741,E741),"000"))),"")</f>
        <v/>
      </c>
      <c r="C741" s="984"/>
      <c r="D741" s="986"/>
      <c r="E741" s="986"/>
      <c r="F741" s="1018"/>
      <c r="G741" s="1040"/>
      <c r="H741" s="1041"/>
      <c r="I741" s="1042"/>
      <c r="J741" s="1043"/>
      <c r="K741" s="1043"/>
      <c r="L741" s="1044"/>
      <c r="M741" s="1041"/>
      <c r="N741" s="1107"/>
      <c r="O741" s="1107"/>
      <c r="P741" s="1025"/>
      <c r="Q741" s="1025"/>
      <c r="R741" s="1025"/>
      <c r="S741" s="1025"/>
      <c r="T741" s="1039"/>
      <c r="U741" s="1039"/>
    </row>
    <row r="742">
      <c r="A742" s="926" t="str">
        <f t="array" ref="A742">if(G742="","",XLOOKUP(D742,'プルダウンメニュー (SE用)'!$D$2:$D1028,'プルダウンメニュー (SE用)'!$C$2:$C1028))</f>
        <v/>
      </c>
      <c r="B742" s="926" t="str">
        <f>iferror(if(H742="GLOW流用","-",if(G742="","","SSE_"&amp;TEXT(vlookup(E742,'プルダウンメニュー (SE用)'!$E$2:$F1028,2,false),"000")&amp;"_"&amp;TEXT(COUNTIF($E$4:E742,E742),"000"))),"")</f>
        <v/>
      </c>
      <c r="C742" s="984"/>
      <c r="D742" s="986"/>
      <c r="E742" s="986"/>
      <c r="F742" s="1018"/>
      <c r="G742" s="1040"/>
      <c r="H742" s="1041"/>
      <c r="I742" s="1042"/>
      <c r="J742" s="1043"/>
      <c r="K742" s="1043"/>
      <c r="L742" s="1044"/>
      <c r="M742" s="1041"/>
      <c r="N742" s="1107"/>
      <c r="O742" s="1107"/>
      <c r="P742" s="1025"/>
      <c r="Q742" s="1025"/>
      <c r="R742" s="1025"/>
      <c r="S742" s="1025"/>
      <c r="T742" s="1039"/>
      <c r="U742" s="1039"/>
    </row>
    <row r="743">
      <c r="A743" s="926" t="str">
        <f t="array" ref="A743">if(G743="","",XLOOKUP(D743,'プルダウンメニュー (SE用)'!$D$2:$D1028,'プルダウンメニュー (SE用)'!$C$2:$C1028))</f>
        <v/>
      </c>
      <c r="B743" s="926" t="str">
        <f>iferror(if(H743="GLOW流用","-",if(G743="","","SSE_"&amp;TEXT(vlookup(E743,'プルダウンメニュー (SE用)'!$E$2:$F1028,2,false),"000")&amp;"_"&amp;TEXT(COUNTIF($E$4:E743,E743),"000"))),"")</f>
        <v/>
      </c>
      <c r="C743" s="984"/>
      <c r="D743" s="986"/>
      <c r="E743" s="986"/>
      <c r="F743" s="1018"/>
      <c r="G743" s="1040"/>
      <c r="H743" s="1041"/>
      <c r="I743" s="1042"/>
      <c r="J743" s="1043"/>
      <c r="K743" s="1043"/>
      <c r="L743" s="1044"/>
      <c r="M743" s="1041"/>
      <c r="N743" s="1107"/>
      <c r="O743" s="1107"/>
      <c r="P743" s="1025"/>
      <c r="Q743" s="1025"/>
      <c r="R743" s="1025"/>
      <c r="S743" s="1025"/>
      <c r="T743" s="1039"/>
      <c r="U743" s="1039"/>
    </row>
    <row r="744">
      <c r="A744" s="926" t="str">
        <f t="array" ref="A744">if(G744="","",XLOOKUP(D744,'プルダウンメニュー (SE用)'!$D$2:$D1028,'プルダウンメニュー (SE用)'!$C$2:$C1028))</f>
        <v/>
      </c>
      <c r="B744" s="926" t="str">
        <f>iferror(if(H744="GLOW流用","-",if(G744="","","SSE_"&amp;TEXT(vlookup(E744,'プルダウンメニュー (SE用)'!$E$2:$F1028,2,false),"000")&amp;"_"&amp;TEXT(COUNTIF($E$4:E744,E744),"000"))),"")</f>
        <v/>
      </c>
      <c r="C744" s="984"/>
      <c r="D744" s="986"/>
      <c r="E744" s="986"/>
      <c r="F744" s="1018"/>
      <c r="G744" s="1040"/>
      <c r="H744" s="1041"/>
      <c r="I744" s="1042"/>
      <c r="J744" s="1043"/>
      <c r="K744" s="1043"/>
      <c r="L744" s="1044"/>
      <c r="M744" s="1041"/>
      <c r="N744" s="1107"/>
      <c r="O744" s="1107"/>
      <c r="P744" s="1025"/>
      <c r="Q744" s="1025"/>
      <c r="R744" s="1025"/>
      <c r="S744" s="1025"/>
      <c r="T744" s="1039"/>
      <c r="U744" s="1039"/>
    </row>
    <row r="745">
      <c r="A745" s="926" t="str">
        <f t="array" ref="A745">if(G745="","",XLOOKUP(D745,'プルダウンメニュー (SE用)'!$D$2:$D1028,'プルダウンメニュー (SE用)'!$C$2:$C1028))</f>
        <v/>
      </c>
      <c r="B745" s="926" t="str">
        <f>iferror(if(H745="GLOW流用","-",if(G745="","","SSE_"&amp;TEXT(vlookup(E745,'プルダウンメニュー (SE用)'!$E$2:$F1028,2,false),"000")&amp;"_"&amp;TEXT(COUNTIF($E$4:E745,E745),"000"))),"")</f>
        <v/>
      </c>
      <c r="C745" s="984"/>
      <c r="D745" s="986"/>
      <c r="E745" s="986"/>
      <c r="F745" s="1018"/>
      <c r="G745" s="1040"/>
      <c r="H745" s="1041"/>
      <c r="I745" s="1042"/>
      <c r="J745" s="1043"/>
      <c r="K745" s="1043"/>
      <c r="L745" s="1044"/>
      <c r="M745" s="1041"/>
      <c r="N745" s="1107"/>
      <c r="O745" s="1107"/>
      <c r="P745" s="1025"/>
      <c r="Q745" s="1025"/>
      <c r="R745" s="1025"/>
      <c r="S745" s="1025"/>
      <c r="T745" s="1039"/>
      <c r="U745" s="1039"/>
    </row>
    <row r="746">
      <c r="A746" s="926" t="str">
        <f t="array" ref="A746">if(G746="","",XLOOKUP(D746,'プルダウンメニュー (SE用)'!$D$2:$D1028,'プルダウンメニュー (SE用)'!$C$2:$C1028))</f>
        <v/>
      </c>
      <c r="B746" s="926" t="str">
        <f>iferror(if(H746="GLOW流用","-",if(G746="","","SSE_"&amp;TEXT(vlookup(E746,'プルダウンメニュー (SE用)'!$E$2:$F1028,2,false),"000")&amp;"_"&amp;TEXT(COUNTIF($E$4:E746,E746),"000"))),"")</f>
        <v/>
      </c>
      <c r="C746" s="984"/>
      <c r="D746" s="986"/>
      <c r="E746" s="986"/>
      <c r="F746" s="1018"/>
      <c r="G746" s="1040"/>
      <c r="H746" s="1041"/>
      <c r="I746" s="1042"/>
      <c r="J746" s="1043"/>
      <c r="K746" s="1043"/>
      <c r="L746" s="1044"/>
      <c r="M746" s="1041"/>
      <c r="N746" s="1107"/>
      <c r="O746" s="1107"/>
      <c r="P746" s="1025"/>
      <c r="Q746" s="1025"/>
      <c r="R746" s="1025"/>
      <c r="S746" s="1025"/>
      <c r="T746" s="1039"/>
      <c r="U746" s="1039"/>
    </row>
    <row r="747">
      <c r="A747" s="926" t="str">
        <f t="array" ref="A747">if(G747="","",XLOOKUP(D747,'プルダウンメニュー (SE用)'!$D$2:$D1028,'プルダウンメニュー (SE用)'!$C$2:$C1028))</f>
        <v/>
      </c>
      <c r="B747" s="926" t="str">
        <f>iferror(if(H747="GLOW流用","-",if(G747="","","SSE_"&amp;TEXT(vlookup(E747,'プルダウンメニュー (SE用)'!$E$2:$F1028,2,false),"000")&amp;"_"&amp;TEXT(COUNTIF($E$4:E747,E747),"000"))),"")</f>
        <v/>
      </c>
      <c r="C747" s="984"/>
      <c r="D747" s="986"/>
      <c r="E747" s="986"/>
      <c r="F747" s="1018"/>
      <c r="G747" s="1040"/>
      <c r="H747" s="1041"/>
      <c r="I747" s="1042"/>
      <c r="J747" s="1043"/>
      <c r="K747" s="1043"/>
      <c r="L747" s="1044"/>
      <c r="M747" s="1041"/>
      <c r="N747" s="1107"/>
      <c r="O747" s="1107"/>
      <c r="P747" s="1025"/>
      <c r="Q747" s="1025"/>
      <c r="R747" s="1025"/>
      <c r="S747" s="1025"/>
      <c r="T747" s="1039"/>
      <c r="U747" s="1039"/>
    </row>
    <row r="748">
      <c r="A748" s="926" t="str">
        <f t="array" ref="A748">if(G748="","",XLOOKUP(D748,'プルダウンメニュー (SE用)'!$D$2:$D1028,'プルダウンメニュー (SE用)'!$C$2:$C1028))</f>
        <v/>
      </c>
      <c r="B748" s="926" t="str">
        <f>iferror(if(H748="GLOW流用","-",if(G748="","","SSE_"&amp;TEXT(vlookup(E748,'プルダウンメニュー (SE用)'!$E$2:$F1028,2,false),"000")&amp;"_"&amp;TEXT(COUNTIF($E$4:E748,E748),"000"))),"")</f>
        <v/>
      </c>
      <c r="C748" s="984"/>
      <c r="D748" s="986"/>
      <c r="E748" s="986"/>
      <c r="F748" s="1018"/>
      <c r="G748" s="1040"/>
      <c r="H748" s="1041"/>
      <c r="I748" s="1042"/>
      <c r="J748" s="1043"/>
      <c r="K748" s="1043"/>
      <c r="L748" s="1044"/>
      <c r="M748" s="1041"/>
      <c r="N748" s="1107"/>
      <c r="O748" s="1107"/>
      <c r="P748" s="1025"/>
      <c r="Q748" s="1025"/>
      <c r="R748" s="1025"/>
      <c r="S748" s="1025"/>
      <c r="T748" s="1039"/>
      <c r="U748" s="1039"/>
    </row>
    <row r="749">
      <c r="A749" s="926" t="str">
        <f t="array" ref="A749">if(G749="","",XLOOKUP(D749,'プルダウンメニュー (SE用)'!$D$2:$D1028,'プルダウンメニュー (SE用)'!$C$2:$C1028))</f>
        <v/>
      </c>
      <c r="B749" s="926" t="str">
        <f>iferror(if(H749="GLOW流用","-",if(G749="","","SSE_"&amp;TEXT(vlookup(E749,'プルダウンメニュー (SE用)'!$E$2:$F1028,2,false),"000")&amp;"_"&amp;TEXT(COUNTIF($E$4:E749,E749),"000"))),"")</f>
        <v/>
      </c>
      <c r="C749" s="984"/>
      <c r="D749" s="986"/>
      <c r="E749" s="986"/>
      <c r="F749" s="1018"/>
      <c r="G749" s="1040"/>
      <c r="H749" s="1041"/>
      <c r="I749" s="1042"/>
      <c r="J749" s="1043"/>
      <c r="K749" s="1043"/>
      <c r="L749" s="1044"/>
      <c r="M749" s="1041"/>
      <c r="N749" s="1107"/>
      <c r="O749" s="1107"/>
      <c r="P749" s="1025"/>
      <c r="Q749" s="1025"/>
      <c r="R749" s="1025"/>
      <c r="S749" s="1025"/>
      <c r="T749" s="1039"/>
      <c r="U749" s="1039"/>
    </row>
    <row r="750">
      <c r="A750" s="926" t="str">
        <f t="array" ref="A750">if(G750="","",XLOOKUP(D750,'プルダウンメニュー (SE用)'!$D$2:$D1028,'プルダウンメニュー (SE用)'!$C$2:$C1028))</f>
        <v/>
      </c>
      <c r="B750" s="926" t="str">
        <f>iferror(if(H750="GLOW流用","-",if(G750="","","SSE_"&amp;TEXT(vlookup(E750,'プルダウンメニュー (SE用)'!$E$2:$F1028,2,false),"000")&amp;"_"&amp;TEXT(COUNTIF($E$4:E750,E750),"000"))),"")</f>
        <v/>
      </c>
      <c r="C750" s="984"/>
      <c r="D750" s="986"/>
      <c r="E750" s="986"/>
      <c r="F750" s="1018"/>
      <c r="G750" s="1040"/>
      <c r="H750" s="1041"/>
      <c r="I750" s="1042"/>
      <c r="J750" s="1043"/>
      <c r="K750" s="1043"/>
      <c r="L750" s="1044"/>
      <c r="M750" s="1041"/>
      <c r="N750" s="1107"/>
      <c r="O750" s="1107"/>
      <c r="P750" s="1025"/>
      <c r="Q750" s="1025"/>
      <c r="R750" s="1025"/>
      <c r="S750" s="1025"/>
      <c r="T750" s="1039"/>
      <c r="U750" s="1039"/>
    </row>
    <row r="751">
      <c r="A751" s="926" t="str">
        <f t="array" ref="A751">if(G751="","",XLOOKUP(D751,'プルダウンメニュー (SE用)'!$D$2:$D1028,'プルダウンメニュー (SE用)'!$C$2:$C1028))</f>
        <v/>
      </c>
      <c r="B751" s="926" t="str">
        <f>iferror(if(H751="GLOW流用","-",if(G751="","","SSE_"&amp;TEXT(vlookup(E751,'プルダウンメニュー (SE用)'!$E$2:$F1028,2,false),"000")&amp;"_"&amp;TEXT(COUNTIF($E$4:E751,E751),"000"))),"")</f>
        <v/>
      </c>
      <c r="C751" s="984"/>
      <c r="D751" s="986"/>
      <c r="E751" s="986"/>
      <c r="F751" s="1018"/>
      <c r="G751" s="1040"/>
      <c r="H751" s="1041"/>
      <c r="I751" s="1042"/>
      <c r="J751" s="1043"/>
      <c r="K751" s="1043"/>
      <c r="L751" s="1044"/>
      <c r="M751" s="1041"/>
      <c r="N751" s="1107"/>
      <c r="O751" s="1107"/>
      <c r="P751" s="1025"/>
      <c r="Q751" s="1025"/>
      <c r="R751" s="1025"/>
      <c r="S751" s="1025"/>
      <c r="T751" s="1039"/>
      <c r="U751" s="1039"/>
    </row>
    <row r="752">
      <c r="A752" s="926" t="str">
        <f t="array" ref="A752">if(G752="","",XLOOKUP(D752,'プルダウンメニュー (SE用)'!$D$2:$D1028,'プルダウンメニュー (SE用)'!$C$2:$C1028))</f>
        <v/>
      </c>
      <c r="B752" s="926" t="str">
        <f>iferror(if(H752="GLOW流用","-",if(G752="","","SSE_"&amp;TEXT(vlookup(E752,'プルダウンメニュー (SE用)'!$E$2:$F1028,2,false),"000")&amp;"_"&amp;TEXT(COUNTIF($E$4:E752,E752),"000"))),"")</f>
        <v/>
      </c>
      <c r="C752" s="984"/>
      <c r="D752" s="986"/>
      <c r="E752" s="986"/>
      <c r="F752" s="1018"/>
      <c r="G752" s="1040"/>
      <c r="H752" s="1041"/>
      <c r="I752" s="1042"/>
      <c r="J752" s="1043"/>
      <c r="K752" s="1043"/>
      <c r="L752" s="1044"/>
      <c r="M752" s="1041"/>
      <c r="N752" s="1107"/>
      <c r="O752" s="1107"/>
      <c r="P752" s="1025"/>
      <c r="Q752" s="1025"/>
      <c r="R752" s="1025"/>
      <c r="S752" s="1025"/>
      <c r="T752" s="1039"/>
      <c r="U752" s="1039"/>
    </row>
    <row r="753">
      <c r="A753" s="926" t="str">
        <f t="array" ref="A753">if(G753="","",XLOOKUP(D753,'プルダウンメニュー (SE用)'!$D$2:$D1028,'プルダウンメニュー (SE用)'!$C$2:$C1028))</f>
        <v/>
      </c>
      <c r="B753" s="926" t="str">
        <f>iferror(if(H753="GLOW流用","-",if(G753="","","SSE_"&amp;TEXT(vlookup(E753,'プルダウンメニュー (SE用)'!$E$2:$F1028,2,false),"000")&amp;"_"&amp;TEXT(COUNTIF($E$4:E753,E753),"000"))),"")</f>
        <v/>
      </c>
      <c r="C753" s="984"/>
      <c r="D753" s="986"/>
      <c r="E753" s="986"/>
      <c r="F753" s="1018"/>
      <c r="G753" s="1040"/>
      <c r="H753" s="1041"/>
      <c r="I753" s="1042"/>
      <c r="J753" s="1043"/>
      <c r="K753" s="1043"/>
      <c r="L753" s="1044"/>
      <c r="M753" s="1041"/>
      <c r="N753" s="1107"/>
      <c r="O753" s="1107"/>
      <c r="P753" s="1025"/>
      <c r="Q753" s="1025"/>
      <c r="R753" s="1025"/>
      <c r="S753" s="1025"/>
      <c r="T753" s="1039"/>
      <c r="U753" s="1039"/>
    </row>
    <row r="754">
      <c r="A754" s="926" t="str">
        <f t="array" ref="A754">if(G754="","",XLOOKUP(D754,'プルダウンメニュー (SE用)'!$D$2:$D1028,'プルダウンメニュー (SE用)'!$C$2:$C1028))</f>
        <v/>
      </c>
      <c r="B754" s="926" t="str">
        <f>iferror(if(H754="GLOW流用","-",if(G754="","","SSE_"&amp;TEXT(vlookup(E754,'プルダウンメニュー (SE用)'!$E$2:$F1028,2,false),"000")&amp;"_"&amp;TEXT(COUNTIF($E$4:E754,E754),"000"))),"")</f>
        <v/>
      </c>
      <c r="C754" s="984"/>
      <c r="D754" s="986"/>
      <c r="E754" s="986"/>
      <c r="F754" s="1018"/>
      <c r="G754" s="1040"/>
      <c r="H754" s="1041"/>
      <c r="I754" s="1042"/>
      <c r="J754" s="1043"/>
      <c r="K754" s="1043"/>
      <c r="L754" s="1044"/>
      <c r="M754" s="1041"/>
      <c r="N754" s="1107"/>
      <c r="O754" s="1107"/>
      <c r="P754" s="1025"/>
      <c r="Q754" s="1025"/>
      <c r="R754" s="1025"/>
      <c r="S754" s="1025"/>
      <c r="T754" s="1039"/>
      <c r="U754" s="1039"/>
    </row>
    <row r="755">
      <c r="A755" s="926" t="str">
        <f t="array" ref="A755">if(G755="","",XLOOKUP(D755,'プルダウンメニュー (SE用)'!$D$2:$D1028,'プルダウンメニュー (SE用)'!$C$2:$C1028))</f>
        <v/>
      </c>
      <c r="B755" s="926" t="str">
        <f>iferror(if(H755="GLOW流用","-",if(G755="","","SSE_"&amp;TEXT(vlookup(E755,'プルダウンメニュー (SE用)'!$E$2:$F1028,2,false),"000")&amp;"_"&amp;TEXT(COUNTIF($E$4:E755,E755),"000"))),"")</f>
        <v/>
      </c>
      <c r="C755" s="984"/>
      <c r="D755" s="986"/>
      <c r="E755" s="986"/>
      <c r="F755" s="1018"/>
      <c r="G755" s="1040"/>
      <c r="H755" s="1041"/>
      <c r="I755" s="1042"/>
      <c r="J755" s="1043"/>
      <c r="K755" s="1043"/>
      <c r="L755" s="1044"/>
      <c r="M755" s="1041"/>
      <c r="N755" s="1107"/>
      <c r="O755" s="1107"/>
      <c r="P755" s="1025"/>
      <c r="Q755" s="1025"/>
      <c r="R755" s="1025"/>
      <c r="S755" s="1025"/>
      <c r="T755" s="1039"/>
      <c r="U755" s="1039"/>
    </row>
    <row r="756">
      <c r="A756" s="926" t="str">
        <f t="array" ref="A756">if(G756="","",XLOOKUP(D756,'プルダウンメニュー (SE用)'!$D$2:$D1028,'プルダウンメニュー (SE用)'!$C$2:$C1028))</f>
        <v/>
      </c>
      <c r="B756" s="926" t="str">
        <f>iferror(if(H756="GLOW流用","-",if(G756="","","SSE_"&amp;TEXT(vlookup(E756,'プルダウンメニュー (SE用)'!$E$2:$F1028,2,false),"000")&amp;"_"&amp;TEXT(COUNTIF($E$4:E756,E756),"000"))),"")</f>
        <v/>
      </c>
      <c r="C756" s="984"/>
      <c r="D756" s="986"/>
      <c r="E756" s="986"/>
      <c r="F756" s="1018"/>
      <c r="G756" s="1040"/>
      <c r="H756" s="1041"/>
      <c r="I756" s="1042"/>
      <c r="J756" s="1043"/>
      <c r="K756" s="1043"/>
      <c r="L756" s="1044"/>
      <c r="M756" s="1041"/>
      <c r="N756" s="1107"/>
      <c r="O756" s="1107"/>
      <c r="P756" s="1025"/>
      <c r="Q756" s="1025"/>
      <c r="R756" s="1025"/>
      <c r="S756" s="1025"/>
      <c r="T756" s="1039"/>
      <c r="U756" s="1039"/>
    </row>
    <row r="757">
      <c r="A757" s="926" t="str">
        <f t="array" ref="A757">if(G757="","",XLOOKUP(D757,'プルダウンメニュー (SE用)'!$D$2:$D1028,'プルダウンメニュー (SE用)'!$C$2:$C1028))</f>
        <v/>
      </c>
      <c r="B757" s="926" t="str">
        <f>iferror(if(H757="GLOW流用","-",if(G757="","","SSE_"&amp;TEXT(vlookup(E757,'プルダウンメニュー (SE用)'!$E$2:$F1028,2,false),"000")&amp;"_"&amp;TEXT(COUNTIF($E$4:E757,E757),"000"))),"")</f>
        <v/>
      </c>
      <c r="C757" s="984"/>
      <c r="D757" s="986"/>
      <c r="E757" s="986"/>
      <c r="F757" s="1018"/>
      <c r="G757" s="1040"/>
      <c r="H757" s="1041"/>
      <c r="I757" s="1042"/>
      <c r="J757" s="1043"/>
      <c r="K757" s="1043"/>
      <c r="L757" s="1044"/>
      <c r="M757" s="1041"/>
      <c r="N757" s="1107"/>
      <c r="O757" s="1107"/>
      <c r="P757" s="1025"/>
      <c r="Q757" s="1025"/>
      <c r="R757" s="1025"/>
      <c r="S757" s="1025"/>
      <c r="T757" s="1039"/>
      <c r="U757" s="1039"/>
    </row>
    <row r="758">
      <c r="A758" s="926" t="str">
        <f t="array" ref="A758">if(G758="","",XLOOKUP(D758,'プルダウンメニュー (SE用)'!$D$2:$D1028,'プルダウンメニュー (SE用)'!$C$2:$C1028))</f>
        <v/>
      </c>
      <c r="B758" s="926" t="str">
        <f>iferror(if(H758="GLOW流用","-",if(G758="","","SSE_"&amp;TEXT(vlookup(E758,'プルダウンメニュー (SE用)'!$E$2:$F1028,2,false),"000")&amp;"_"&amp;TEXT(COUNTIF($E$4:E758,E758),"000"))),"")</f>
        <v/>
      </c>
      <c r="C758" s="984"/>
      <c r="D758" s="986"/>
      <c r="E758" s="986"/>
      <c r="F758" s="1018"/>
      <c r="G758" s="1040"/>
      <c r="H758" s="1041"/>
      <c r="I758" s="1042"/>
      <c r="J758" s="1043"/>
      <c r="K758" s="1043"/>
      <c r="L758" s="1044"/>
      <c r="M758" s="1041"/>
      <c r="N758" s="1107"/>
      <c r="O758" s="1107"/>
      <c r="P758" s="1025"/>
      <c r="Q758" s="1025"/>
      <c r="R758" s="1025"/>
      <c r="S758" s="1025"/>
      <c r="T758" s="1039"/>
      <c r="U758" s="1039"/>
    </row>
    <row r="759">
      <c r="A759" s="926" t="str">
        <f t="array" ref="A759">if(G759="","",XLOOKUP(D759,'プルダウンメニュー (SE用)'!$D$2:$D1028,'プルダウンメニュー (SE用)'!$C$2:$C1028))</f>
        <v/>
      </c>
      <c r="B759" s="926" t="str">
        <f>iferror(if(H759="GLOW流用","-",if(G759="","","SSE_"&amp;TEXT(vlookup(E759,'プルダウンメニュー (SE用)'!$E$2:$F1028,2,false),"000")&amp;"_"&amp;TEXT(COUNTIF($E$4:E759,E759),"000"))),"")</f>
        <v/>
      </c>
      <c r="C759" s="984"/>
      <c r="D759" s="986"/>
      <c r="E759" s="986"/>
      <c r="F759" s="1018"/>
      <c r="G759" s="1040"/>
      <c r="H759" s="1041"/>
      <c r="I759" s="1042"/>
      <c r="J759" s="1043"/>
      <c r="K759" s="1043"/>
      <c r="L759" s="1044"/>
      <c r="M759" s="1041"/>
      <c r="N759" s="1107"/>
      <c r="O759" s="1107"/>
      <c r="P759" s="1025"/>
      <c r="Q759" s="1025"/>
      <c r="R759" s="1025"/>
      <c r="S759" s="1025"/>
      <c r="T759" s="1039"/>
      <c r="U759" s="1039"/>
    </row>
    <row r="760">
      <c r="A760" s="926" t="str">
        <f t="array" ref="A760">if(G760="","",XLOOKUP(D760,'プルダウンメニュー (SE用)'!$D$2:$D1028,'プルダウンメニュー (SE用)'!$C$2:$C1028))</f>
        <v/>
      </c>
      <c r="B760" s="926" t="str">
        <f>iferror(if(H760="GLOW流用","-",if(G760="","","SSE_"&amp;TEXT(vlookup(E760,'プルダウンメニュー (SE用)'!$E$2:$F1028,2,false),"000")&amp;"_"&amp;TEXT(COUNTIF($E$4:E760,E760),"000"))),"")</f>
        <v/>
      </c>
      <c r="C760" s="984"/>
      <c r="D760" s="986"/>
      <c r="E760" s="986"/>
      <c r="F760" s="1018"/>
      <c r="G760" s="1040"/>
      <c r="H760" s="1041"/>
      <c r="I760" s="1042"/>
      <c r="J760" s="1043"/>
      <c r="K760" s="1043"/>
      <c r="L760" s="1044"/>
      <c r="M760" s="1041"/>
      <c r="N760" s="1107"/>
      <c r="O760" s="1107"/>
      <c r="P760" s="1025"/>
      <c r="Q760" s="1025"/>
      <c r="R760" s="1025"/>
      <c r="S760" s="1025"/>
      <c r="T760" s="1039"/>
      <c r="U760" s="1039"/>
    </row>
    <row r="761">
      <c r="A761" s="926" t="str">
        <f t="array" ref="A761">if(G761="","",XLOOKUP(D761,'プルダウンメニュー (SE用)'!$D$2:$D1028,'プルダウンメニュー (SE用)'!$C$2:$C1028))</f>
        <v/>
      </c>
      <c r="B761" s="926" t="str">
        <f>iferror(if(H761="GLOW流用","-",if(G761="","","SSE_"&amp;TEXT(vlookup(E761,'プルダウンメニュー (SE用)'!$E$2:$F1028,2,false),"000")&amp;"_"&amp;TEXT(COUNTIF($E$4:E761,E761),"000"))),"")</f>
        <v/>
      </c>
      <c r="C761" s="984"/>
      <c r="D761" s="986"/>
      <c r="E761" s="986"/>
      <c r="F761" s="1018"/>
      <c r="G761" s="1040"/>
      <c r="H761" s="1041"/>
      <c r="I761" s="1042"/>
      <c r="J761" s="1043"/>
      <c r="K761" s="1043"/>
      <c r="L761" s="1044"/>
      <c r="M761" s="1041"/>
      <c r="N761" s="1107"/>
      <c r="O761" s="1107"/>
      <c r="P761" s="1025"/>
      <c r="Q761" s="1025"/>
      <c r="R761" s="1025"/>
      <c r="S761" s="1025"/>
      <c r="T761" s="1039"/>
      <c r="U761" s="1039"/>
    </row>
    <row r="762">
      <c r="A762" s="926" t="str">
        <f t="array" ref="A762">if(G762="","",XLOOKUP(D762,'プルダウンメニュー (SE用)'!$D$2:$D1028,'プルダウンメニュー (SE用)'!$C$2:$C1028))</f>
        <v/>
      </c>
      <c r="B762" s="926" t="str">
        <f>iferror(if(H762="GLOW流用","-",if(G762="","","SSE_"&amp;TEXT(vlookup(E762,'プルダウンメニュー (SE用)'!$E$2:$F1028,2,false),"000")&amp;"_"&amp;TEXT(COUNTIF($E$4:E762,E762),"000"))),"")</f>
        <v/>
      </c>
      <c r="C762" s="984"/>
      <c r="D762" s="986"/>
      <c r="E762" s="986"/>
      <c r="F762" s="1018"/>
      <c r="G762" s="1040"/>
      <c r="H762" s="1041"/>
      <c r="I762" s="1042"/>
      <c r="J762" s="1043"/>
      <c r="K762" s="1043"/>
      <c r="L762" s="1044"/>
      <c r="M762" s="1041"/>
      <c r="N762" s="1107"/>
      <c r="O762" s="1107"/>
      <c r="P762" s="1025"/>
      <c r="Q762" s="1025"/>
      <c r="R762" s="1025"/>
      <c r="S762" s="1025"/>
      <c r="T762" s="1039"/>
      <c r="U762" s="1039"/>
    </row>
    <row r="763">
      <c r="A763" s="926" t="str">
        <f t="array" ref="A763">if(G763="","",XLOOKUP(D763,'プルダウンメニュー (SE用)'!$D$2:$D1028,'プルダウンメニュー (SE用)'!$C$2:$C1028))</f>
        <v/>
      </c>
      <c r="B763" s="926" t="str">
        <f>iferror(if(H763="GLOW流用","-",if(G763="","","SSE_"&amp;TEXT(vlookup(E763,'プルダウンメニュー (SE用)'!$E$2:$F1028,2,false),"000")&amp;"_"&amp;TEXT(COUNTIF($E$4:E763,E763),"000"))),"")</f>
        <v/>
      </c>
      <c r="C763" s="984"/>
      <c r="D763" s="986"/>
      <c r="E763" s="986"/>
      <c r="F763" s="1018"/>
      <c r="G763" s="1040"/>
      <c r="H763" s="1041"/>
      <c r="I763" s="1042"/>
      <c r="J763" s="1043"/>
      <c r="K763" s="1043"/>
      <c r="L763" s="1044"/>
      <c r="M763" s="1041"/>
      <c r="N763" s="1107"/>
      <c r="O763" s="1107"/>
      <c r="P763" s="1025"/>
      <c r="Q763" s="1025"/>
      <c r="R763" s="1025"/>
      <c r="S763" s="1025"/>
      <c r="T763" s="1039"/>
      <c r="U763" s="1039"/>
    </row>
    <row r="764">
      <c r="A764" s="926" t="str">
        <f t="array" ref="A764">if(G764="","",XLOOKUP(D764,'プルダウンメニュー (SE用)'!$D$2:$D1028,'プルダウンメニュー (SE用)'!$C$2:$C1028))</f>
        <v/>
      </c>
      <c r="B764" s="926" t="str">
        <f>iferror(if(H764="GLOW流用","-",if(G764="","","SSE_"&amp;TEXT(vlookup(E764,'プルダウンメニュー (SE用)'!$E$2:$F1028,2,false),"000")&amp;"_"&amp;TEXT(COUNTIF($E$4:E764,E764),"000"))),"")</f>
        <v/>
      </c>
      <c r="C764" s="984"/>
      <c r="D764" s="986"/>
      <c r="E764" s="986"/>
      <c r="F764" s="1018"/>
      <c r="G764" s="1040"/>
      <c r="H764" s="1041"/>
      <c r="I764" s="1042"/>
      <c r="J764" s="1043"/>
      <c r="K764" s="1043"/>
      <c r="L764" s="1044"/>
      <c r="M764" s="1041"/>
      <c r="N764" s="1107"/>
      <c r="O764" s="1107"/>
      <c r="P764" s="1025"/>
      <c r="Q764" s="1025"/>
      <c r="R764" s="1025"/>
      <c r="S764" s="1025"/>
      <c r="T764" s="1039"/>
      <c r="U764" s="1039"/>
    </row>
    <row r="765">
      <c r="A765" s="926" t="str">
        <f t="array" ref="A765">if(G765="","",XLOOKUP(D765,'プルダウンメニュー (SE用)'!$D$2:$D1028,'プルダウンメニュー (SE用)'!$C$2:$C1028))</f>
        <v/>
      </c>
      <c r="B765" s="926" t="str">
        <f>iferror(if(H765="GLOW流用","-",if(G765="","","SSE_"&amp;TEXT(vlookup(E765,'プルダウンメニュー (SE用)'!$E$2:$F1028,2,false),"000")&amp;"_"&amp;TEXT(COUNTIF($E$4:E765,E765),"000"))),"")</f>
        <v/>
      </c>
      <c r="C765" s="984"/>
      <c r="D765" s="986"/>
      <c r="E765" s="986"/>
      <c r="F765" s="1018"/>
      <c r="G765" s="1040"/>
      <c r="H765" s="1041"/>
      <c r="I765" s="1042"/>
      <c r="J765" s="1043"/>
      <c r="K765" s="1043"/>
      <c r="L765" s="1044"/>
      <c r="M765" s="1041"/>
      <c r="N765" s="1107"/>
      <c r="O765" s="1107"/>
      <c r="P765" s="1025"/>
      <c r="Q765" s="1025"/>
      <c r="R765" s="1025"/>
      <c r="S765" s="1025"/>
      <c r="T765" s="1039"/>
      <c r="U765" s="1039"/>
    </row>
    <row r="766">
      <c r="A766" s="926" t="str">
        <f t="array" ref="A766">if(G766="","",XLOOKUP(D766,'プルダウンメニュー (SE用)'!$D$2:$D1028,'プルダウンメニュー (SE用)'!$C$2:$C1028))</f>
        <v/>
      </c>
      <c r="B766" s="926" t="str">
        <f>iferror(if(H766="GLOW流用","-",if(G766="","","SSE_"&amp;TEXT(vlookup(E766,'プルダウンメニュー (SE用)'!$E$2:$F1028,2,false),"000")&amp;"_"&amp;TEXT(COUNTIF($E$4:E766,E766),"000"))),"")</f>
        <v/>
      </c>
      <c r="C766" s="1016"/>
      <c r="D766" s="1018"/>
      <c r="E766" s="1018"/>
      <c r="F766" s="1018"/>
      <c r="G766" s="1040"/>
      <c r="H766" s="1041"/>
      <c r="I766" s="1042"/>
      <c r="J766" s="1043"/>
      <c r="K766" s="1043"/>
      <c r="L766" s="1044"/>
      <c r="M766" s="1041"/>
      <c r="N766" s="1107"/>
      <c r="O766" s="1107"/>
      <c r="P766" s="1025"/>
      <c r="Q766" s="1025"/>
      <c r="R766" s="1025"/>
      <c r="S766" s="1025"/>
      <c r="T766" s="1039"/>
      <c r="U766" s="1039"/>
    </row>
    <row r="767">
      <c r="A767" s="926" t="str">
        <f t="array" ref="A767">if(G767="","",XLOOKUP(D767,'プルダウンメニュー (SE用)'!$D$2:$D1028,'プルダウンメニュー (SE用)'!$C$2:$C1028))</f>
        <v/>
      </c>
      <c r="B767" s="926" t="str">
        <f>iferror(if(H767="GLOW流用","-",if(G767="","","SSE_"&amp;TEXT(vlookup(E767,'プルダウンメニュー (SE用)'!$E$2:$F1028,2,false),"000")&amp;"_"&amp;TEXT(COUNTIF($E$4:E767,E767),"000"))),"")</f>
        <v/>
      </c>
      <c r="C767" s="1016"/>
      <c r="D767" s="1018"/>
      <c r="E767" s="1018"/>
      <c r="F767" s="1018"/>
      <c r="G767" s="1040"/>
      <c r="H767" s="1041"/>
      <c r="I767" s="1042"/>
      <c r="J767" s="1043"/>
      <c r="K767" s="1043"/>
      <c r="L767" s="1044"/>
      <c r="M767" s="1041"/>
      <c r="N767" s="1107"/>
      <c r="O767" s="1107"/>
      <c r="P767" s="1025"/>
      <c r="Q767" s="1025"/>
      <c r="R767" s="1025"/>
      <c r="S767" s="1025"/>
      <c r="T767" s="1039"/>
      <c r="U767" s="1039"/>
    </row>
    <row r="768">
      <c r="A768" s="926" t="str">
        <f t="array" ref="A768">if(G768="","",XLOOKUP(D768,'プルダウンメニュー (SE用)'!$D$2:$D1028,'プルダウンメニュー (SE用)'!$C$2:$C1028))</f>
        <v/>
      </c>
      <c r="B768" s="926" t="str">
        <f>iferror(if(H768="GLOW流用","-",if(G768="","","SSE_"&amp;TEXT(vlookup(E768,'プルダウンメニュー (SE用)'!$E$2:$F1028,2,false),"000")&amp;"_"&amp;TEXT(COUNTIF($E$4:E768,E768),"000"))),"")</f>
        <v/>
      </c>
      <c r="C768" s="1016"/>
      <c r="D768" s="1017"/>
      <c r="E768" s="1018"/>
      <c r="F768" s="1018"/>
      <c r="G768" s="1040"/>
      <c r="H768" s="1041"/>
      <c r="I768" s="1042"/>
      <c r="J768" s="1043"/>
      <c r="K768" s="1043"/>
      <c r="L768" s="1044"/>
      <c r="M768" s="1041"/>
      <c r="N768" s="1107"/>
      <c r="O768" s="1107"/>
      <c r="P768" s="1025"/>
      <c r="Q768" s="1025"/>
      <c r="R768" s="1025"/>
      <c r="S768" s="1025"/>
      <c r="T768" s="869"/>
      <c r="U768" s="1039"/>
    </row>
    <row r="769">
      <c r="A769" s="926" t="str">
        <f t="array" ref="A769">if(G769="","",XLOOKUP(D769,'プルダウンメニュー (SE用)'!$D$2:$D1028,'プルダウンメニュー (SE用)'!$C$2:$C1028))</f>
        <v/>
      </c>
      <c r="B769" s="926" t="str">
        <f>iferror(if(H769="GLOW流用","-",if(G769="","","SSE_"&amp;TEXT(vlookup(E769,'プルダウンメニュー (SE用)'!$E$2:$F1028,2,false),"000")&amp;"_"&amp;TEXT(COUNTIF($E$4:E769,E769),"000"))),"")</f>
        <v/>
      </c>
      <c r="C769" s="1016"/>
      <c r="D769" s="1017"/>
      <c r="E769" s="1018"/>
      <c r="F769" s="1018"/>
      <c r="G769" s="1040"/>
      <c r="H769" s="1041"/>
      <c r="I769" s="1042"/>
      <c r="J769" s="1043"/>
      <c r="K769" s="1043"/>
      <c r="L769" s="1044"/>
      <c r="M769" s="1041"/>
      <c r="N769" s="1107"/>
      <c r="O769" s="1107"/>
      <c r="P769" s="1025"/>
      <c r="Q769" s="1025"/>
      <c r="R769" s="1025"/>
      <c r="S769" s="1025"/>
      <c r="T769" s="869"/>
      <c r="U769" s="869"/>
    </row>
    <row r="770">
      <c r="A770" s="926" t="str">
        <f t="array" ref="A770">if(G770="","",XLOOKUP(D770,'プルダウンメニュー (SE用)'!$D$2:$D1028,'プルダウンメニュー (SE用)'!$C$2:$C1028))</f>
        <v/>
      </c>
      <c r="B770" s="926" t="str">
        <f>iferror(if(H770="GLOW流用","-",if(G770="","","SSE_"&amp;TEXT(vlookup(E770,'プルダウンメニュー (SE用)'!$E$2:$F1028,2,false),"000")&amp;"_"&amp;TEXT(COUNTIF($E$4:E770,E770),"000"))),"")</f>
        <v/>
      </c>
      <c r="C770" s="1016"/>
      <c r="D770" s="1017"/>
      <c r="E770" s="1018"/>
      <c r="F770" s="1018"/>
      <c r="G770" s="1040"/>
      <c r="H770" s="1041"/>
      <c r="I770" s="1042"/>
      <c r="J770" s="1043"/>
      <c r="K770" s="1043"/>
      <c r="L770" s="1044"/>
      <c r="M770" s="1041"/>
      <c r="N770" s="1107"/>
      <c r="O770" s="1107"/>
      <c r="P770" s="1025"/>
      <c r="Q770" s="1025"/>
      <c r="R770" s="1025"/>
      <c r="S770" s="1025"/>
      <c r="T770" s="869"/>
      <c r="U770" s="869"/>
    </row>
    <row r="771">
      <c r="A771" s="926" t="str">
        <f t="array" ref="A771">if(G771="","",XLOOKUP(D771,'プルダウンメニュー (SE用)'!$D$2:$D1028,'プルダウンメニュー (SE用)'!$C$2:$C1028))</f>
        <v/>
      </c>
      <c r="B771" s="926" t="str">
        <f>iferror(if(H771="GLOW流用","-",if(G771="","","SSE_"&amp;TEXT(vlookup(E771,'プルダウンメニュー (SE用)'!$E$2:$F1028,2,false),"000")&amp;"_"&amp;TEXT(COUNTIF($E$4:E771,E771),"000"))),"")</f>
        <v/>
      </c>
      <c r="C771" s="860"/>
      <c r="D771" s="861"/>
      <c r="E771" s="861"/>
      <c r="F771" s="861"/>
      <c r="G771" s="861"/>
      <c r="H771" s="862"/>
      <c r="I771" s="901"/>
      <c r="J771" s="902"/>
      <c r="K771" s="902"/>
      <c r="L771" s="903"/>
      <c r="M771" s="862"/>
      <c r="N771" s="1107"/>
      <c r="O771" s="1107"/>
      <c r="P771" s="1025"/>
      <c r="Q771" s="1025"/>
      <c r="R771" s="1025"/>
      <c r="S771" s="1025"/>
      <c r="T771" s="869"/>
      <c r="U771" s="869"/>
    </row>
    <row r="772">
      <c r="A772" s="926" t="str">
        <f t="array" ref="A772">if(G772="","",XLOOKUP(D772,'プルダウンメニュー (SE用)'!$D$2:$D1028,'プルダウンメニュー (SE用)'!$C$2:$C1028))</f>
        <v/>
      </c>
      <c r="B772" s="926" t="str">
        <f>iferror(if(H772="GLOW流用","-",if(G772="","","SSE_"&amp;TEXT(vlookup(E772,'プルダウンメニュー (SE用)'!$E$2:$F1028,2,false),"000")&amp;"_"&amp;TEXT(COUNTIF($E$4:E772,E772),"000"))),"")</f>
        <v/>
      </c>
      <c r="C772" s="860"/>
      <c r="D772" s="861"/>
      <c r="E772" s="861"/>
      <c r="F772" s="861"/>
      <c r="G772" s="861"/>
      <c r="H772" s="862"/>
      <c r="I772" s="901"/>
      <c r="J772" s="902"/>
      <c r="K772" s="902"/>
      <c r="L772" s="903"/>
      <c r="M772" s="862"/>
      <c r="N772" s="1107"/>
      <c r="O772" s="1107"/>
      <c r="P772" s="1025"/>
      <c r="Q772" s="1025"/>
      <c r="R772" s="1025"/>
      <c r="S772" s="1025"/>
      <c r="T772" s="869"/>
      <c r="U772" s="869"/>
    </row>
    <row r="773">
      <c r="A773" s="926" t="str">
        <f t="array" ref="A773">if(G773="","",XLOOKUP(D773,'プルダウンメニュー (SE用)'!$D$2:$D1028,'プルダウンメニュー (SE用)'!$C$2:$C1028))</f>
        <v/>
      </c>
      <c r="B773" s="926" t="str">
        <f>iferror(if(H773="GLOW流用","-",if(G773="","","SSE_"&amp;TEXT(vlookup(E773,'プルダウンメニュー (SE用)'!$E$2:$F1028,2,false),"000")&amp;"_"&amp;TEXT(COUNTIF($E$4:E773,E773),"000"))),"")</f>
        <v/>
      </c>
      <c r="C773" s="860"/>
      <c r="D773" s="861"/>
      <c r="E773" s="861"/>
      <c r="F773" s="861"/>
      <c r="G773" s="861"/>
      <c r="H773" s="862"/>
      <c r="I773" s="901"/>
      <c r="J773" s="902"/>
      <c r="K773" s="902"/>
      <c r="L773" s="903"/>
      <c r="M773" s="862"/>
      <c r="N773" s="1107"/>
      <c r="O773" s="1107"/>
      <c r="P773" s="1025"/>
      <c r="Q773" s="1025"/>
      <c r="R773" s="1025"/>
      <c r="S773" s="1025"/>
      <c r="T773" s="869"/>
      <c r="U773" s="869"/>
    </row>
    <row r="774">
      <c r="A774" s="926" t="str">
        <f t="array" ref="A774">if(G774="","",XLOOKUP(D774,'プルダウンメニュー (SE用)'!$D$2:$D1028,'プルダウンメニュー (SE用)'!$C$2:$C1028))</f>
        <v/>
      </c>
      <c r="B774" s="926" t="str">
        <f>iferror(if(H774="GLOW流用","-",if(G774="","","SSE_"&amp;TEXT(vlookup(E774,'プルダウンメニュー (SE用)'!$E$2:$F1028,2,false),"000")&amp;"_"&amp;TEXT(COUNTIF($E$4:E774,E774),"000"))),"")</f>
        <v/>
      </c>
      <c r="C774" s="860"/>
      <c r="D774" s="861"/>
      <c r="E774" s="861"/>
      <c r="F774" s="861"/>
      <c r="G774" s="861"/>
      <c r="H774" s="862"/>
      <c r="I774" s="901"/>
      <c r="J774" s="902"/>
      <c r="K774" s="902"/>
      <c r="L774" s="903"/>
      <c r="M774" s="862"/>
      <c r="N774" s="1107"/>
      <c r="O774" s="1107"/>
      <c r="P774" s="1025"/>
      <c r="Q774" s="1025"/>
      <c r="R774" s="1025"/>
      <c r="S774" s="1025"/>
      <c r="T774" s="869"/>
      <c r="U774" s="869"/>
    </row>
    <row r="775">
      <c r="A775" s="926" t="str">
        <f t="array" ref="A775">if(G775="","",XLOOKUP(D775,'プルダウンメニュー (SE用)'!$D$2:$D1028,'プルダウンメニュー (SE用)'!$C$2:$C1028))</f>
        <v/>
      </c>
      <c r="B775" s="926" t="str">
        <f>iferror(if(H775="GLOW流用","-",if(G775="","","SSE_"&amp;TEXT(vlookup(E775,'プルダウンメニュー (SE用)'!$E$2:$F1028,2,false),"000")&amp;"_"&amp;TEXT(COUNTIF($E$4:E775,E775),"000"))),"")</f>
        <v/>
      </c>
      <c r="C775" s="860"/>
      <c r="D775" s="861"/>
      <c r="E775" s="861"/>
      <c r="F775" s="861"/>
      <c r="G775" s="861"/>
      <c r="H775" s="862"/>
      <c r="I775" s="901"/>
      <c r="J775" s="902"/>
      <c r="K775" s="902"/>
      <c r="L775" s="903"/>
      <c r="M775" s="862"/>
      <c r="N775" s="1107"/>
      <c r="O775" s="1107"/>
      <c r="P775" s="1025"/>
      <c r="Q775" s="1025"/>
      <c r="R775" s="1025"/>
      <c r="S775" s="1025"/>
      <c r="T775" s="869"/>
      <c r="U775" s="869"/>
    </row>
    <row r="776">
      <c r="A776" s="926" t="str">
        <f t="array" ref="A776">if(G776="","",XLOOKUP(D776,'プルダウンメニュー (SE用)'!$D$2:$D1028,'プルダウンメニュー (SE用)'!$C$2:$C1028))</f>
        <v/>
      </c>
      <c r="B776" s="926" t="str">
        <f>iferror(if(H776="GLOW流用","-",if(G776="","","SSE_"&amp;TEXT(vlookup(E776,'プルダウンメニュー (SE用)'!$E$2:$F1028,2,false),"000")&amp;"_"&amp;TEXT(COUNTIF($E$4:E776,E776),"000"))),"")</f>
        <v/>
      </c>
      <c r="C776" s="860"/>
      <c r="D776" s="861"/>
      <c r="E776" s="861"/>
      <c r="F776" s="861"/>
      <c r="G776" s="1050"/>
      <c r="H776" s="1108"/>
      <c r="I776" s="1109"/>
      <c r="J776" s="1110"/>
      <c r="K776" s="1110"/>
      <c r="L776" s="1111"/>
      <c r="M776" s="1108"/>
      <c r="N776" s="1112"/>
      <c r="O776" s="1112"/>
      <c r="P776" s="1025"/>
      <c r="Q776" s="1025"/>
      <c r="R776" s="1025"/>
      <c r="S776" s="1025"/>
      <c r="T776" s="869"/>
      <c r="U776" s="869"/>
    </row>
    <row r="777">
      <c r="A777" s="926" t="str">
        <f t="array" ref="A777">if(G777="","",XLOOKUP(D777,'プルダウンメニュー (SE用)'!$D$2:$D1028,'プルダウンメニュー (SE用)'!$C$2:$C1028))</f>
        <v/>
      </c>
      <c r="B777" s="926" t="str">
        <f>iferror(if(H777="GLOW流用","-",if(G777="","","SSE_"&amp;TEXT(vlookup(E777,'プルダウンメニュー (SE用)'!$E$2:$F1028,2,false),"000")&amp;"_"&amp;TEXT(COUNTIF($E$4:E777,E777),"000"))),"")</f>
        <v/>
      </c>
      <c r="C777" s="860"/>
      <c r="D777" s="861"/>
      <c r="E777" s="861"/>
      <c r="F777" s="861"/>
      <c r="G777" s="861"/>
      <c r="H777" s="862"/>
      <c r="I777" s="901"/>
      <c r="J777" s="902"/>
      <c r="K777" s="902"/>
      <c r="L777" s="903"/>
      <c r="M777" s="862"/>
      <c r="N777" s="1107"/>
      <c r="O777" s="1107"/>
      <c r="P777" s="1025"/>
      <c r="Q777" s="1025"/>
      <c r="R777" s="1025"/>
      <c r="S777" s="1025"/>
      <c r="T777" s="869"/>
      <c r="U777" s="869"/>
    </row>
    <row r="778">
      <c r="A778" s="926" t="str">
        <f t="array" ref="A778">if(G778="","",XLOOKUP(D778,'プルダウンメニュー (SE用)'!$D$2:$D1028,'プルダウンメニュー (SE用)'!$C$2:$C1028))</f>
        <v/>
      </c>
      <c r="B778" s="926" t="str">
        <f>iferror(if(H778="GLOW流用","-",if(G778="","","SSE_"&amp;TEXT(vlookup(E778,'プルダウンメニュー (SE用)'!$E$2:$F1028,2,false),"000")&amp;"_"&amp;TEXT(COUNTIF($E$4:E778,E778),"000"))),"")</f>
        <v/>
      </c>
      <c r="C778" s="860"/>
      <c r="D778" s="861"/>
      <c r="E778" s="861"/>
      <c r="F778" s="861"/>
      <c r="G778" s="861"/>
      <c r="H778" s="862"/>
      <c r="I778" s="901"/>
      <c r="J778" s="902"/>
      <c r="K778" s="902"/>
      <c r="L778" s="903"/>
      <c r="M778" s="862"/>
      <c r="N778" s="1107"/>
      <c r="O778" s="1107"/>
      <c r="P778" s="1025"/>
      <c r="Q778" s="1025"/>
      <c r="R778" s="1025"/>
      <c r="S778" s="1025"/>
      <c r="T778" s="869"/>
      <c r="U778" s="869"/>
    </row>
    <row r="779">
      <c r="A779" s="926" t="str">
        <f t="array" ref="A779">if(G779="","",XLOOKUP(D779,'プルダウンメニュー (SE用)'!$D$2:$D1028,'プルダウンメニュー (SE用)'!$C$2:$C1028))</f>
        <v/>
      </c>
      <c r="B779" s="926" t="str">
        <f>iferror(if(H779="GLOW流用","-",if(G779="","","SSE_"&amp;TEXT(vlookup(E779,'プルダウンメニュー (SE用)'!$E$2:$F1028,2,false),"000")&amp;"_"&amp;TEXT(COUNTIF($E$4:E779,E779),"000"))),"")</f>
        <v/>
      </c>
      <c r="C779" s="860"/>
      <c r="D779" s="861"/>
      <c r="E779" s="861"/>
      <c r="F779" s="861"/>
      <c r="G779" s="861"/>
      <c r="H779" s="862"/>
      <c r="I779" s="901"/>
      <c r="J779" s="902"/>
      <c r="K779" s="902"/>
      <c r="L779" s="903"/>
      <c r="M779" s="862"/>
      <c r="N779" s="1107"/>
      <c r="O779" s="1107"/>
      <c r="P779" s="1025"/>
      <c r="Q779" s="1025"/>
      <c r="R779" s="1025"/>
      <c r="S779" s="1025"/>
      <c r="T779" s="869"/>
      <c r="U779" s="869"/>
    </row>
    <row r="780">
      <c r="A780" s="926" t="str">
        <f t="array" ref="A780">if(G780="","",XLOOKUP(D780,'プルダウンメニュー (SE用)'!$D$2:$D1028,'プルダウンメニュー (SE用)'!$C$2:$C1028))</f>
        <v/>
      </c>
      <c r="B780" s="926" t="str">
        <f>iferror(if(H780="GLOW流用","-",if(G780="","","SSE_"&amp;TEXT(vlookup(E780,'プルダウンメニュー (SE用)'!$E$2:$F1028,2,false),"000")&amp;"_"&amp;TEXT(COUNTIF($E$4:E780,E780),"000"))),"")</f>
        <v/>
      </c>
      <c r="C780" s="860"/>
      <c r="D780" s="861"/>
      <c r="E780" s="861"/>
      <c r="F780" s="861"/>
      <c r="G780" s="861"/>
      <c r="H780" s="862"/>
      <c r="I780" s="901"/>
      <c r="J780" s="902"/>
      <c r="K780" s="902"/>
      <c r="L780" s="903"/>
      <c r="M780" s="862"/>
      <c r="N780" s="1107"/>
      <c r="O780" s="1107"/>
      <c r="P780" s="1025"/>
      <c r="Q780" s="1025"/>
      <c r="R780" s="1025"/>
      <c r="S780" s="1025"/>
      <c r="T780" s="869"/>
      <c r="U780" s="869"/>
    </row>
    <row r="781">
      <c r="A781" s="926" t="str">
        <f t="array" ref="A781">if(G781="","",XLOOKUP(D781,'プルダウンメニュー (SE用)'!$D$2:$D1028,'プルダウンメニュー (SE用)'!$C$2:$C1028))</f>
        <v/>
      </c>
      <c r="B781" s="926" t="str">
        <f>iferror(if(H781="GLOW流用","-",if(G781="","","SSE_"&amp;TEXT(vlookup(E781,'プルダウンメニュー (SE用)'!$E$2:$F1028,2,false),"000")&amp;"_"&amp;TEXT(COUNTIF($E$4:E781,E781),"000"))),"")</f>
        <v/>
      </c>
      <c r="C781" s="860"/>
      <c r="D781" s="861"/>
      <c r="E781" s="861"/>
      <c r="F781" s="861"/>
      <c r="G781" s="861"/>
      <c r="H781" s="862"/>
      <c r="I781" s="901"/>
      <c r="J781" s="902"/>
      <c r="K781" s="902"/>
      <c r="L781" s="903"/>
      <c r="M781" s="862"/>
      <c r="N781" s="1107"/>
      <c r="O781" s="1107"/>
      <c r="P781" s="1025"/>
      <c r="Q781" s="1025"/>
      <c r="R781" s="1025"/>
      <c r="S781" s="1025"/>
      <c r="T781" s="869"/>
      <c r="U781" s="869"/>
    </row>
    <row r="782">
      <c r="A782" s="926" t="str">
        <f t="array" ref="A782">if(G782="","",XLOOKUP(D782,'プルダウンメニュー (SE用)'!$D$2:$D1028,'プルダウンメニュー (SE用)'!$C$2:$C1028))</f>
        <v/>
      </c>
      <c r="B782" s="926" t="str">
        <f>iferror(if(H782="GLOW流用","-",if(G782="","","SSE_"&amp;TEXT(vlookup(E782,'プルダウンメニュー (SE用)'!$E$2:$F1028,2,false),"000")&amp;"_"&amp;TEXT(COUNTIF($E$4:E782,E782),"000"))),"")</f>
        <v/>
      </c>
      <c r="C782" s="860"/>
      <c r="D782" s="861"/>
      <c r="E782" s="861"/>
      <c r="F782" s="861"/>
      <c r="G782" s="861"/>
      <c r="H782" s="862"/>
      <c r="I782" s="901"/>
      <c r="J782" s="902"/>
      <c r="K782" s="902"/>
      <c r="L782" s="903"/>
      <c r="M782" s="862"/>
      <c r="N782" s="1107"/>
      <c r="O782" s="1107"/>
      <c r="P782" s="1025"/>
      <c r="Q782" s="1025"/>
      <c r="R782" s="1025"/>
      <c r="S782" s="1025"/>
      <c r="T782" s="869"/>
      <c r="U782" s="869"/>
    </row>
    <row r="783">
      <c r="A783" s="926" t="str">
        <f t="array" ref="A783">if(G783="","",XLOOKUP(D783,'プルダウンメニュー (SE用)'!$D$2:$D1028,'プルダウンメニュー (SE用)'!$C$2:$C1028))</f>
        <v/>
      </c>
      <c r="B783" s="926" t="str">
        <f>iferror(if(H783="GLOW流用","-",if(G783="","","SSE_"&amp;TEXT(vlookup(E783,'プルダウンメニュー (SE用)'!$E$2:$F1028,2,false),"000")&amp;"_"&amp;TEXT(COUNTIF($E$4:E783,E783),"000"))),"")</f>
        <v/>
      </c>
      <c r="C783" s="860"/>
      <c r="D783" s="861"/>
      <c r="E783" s="861"/>
      <c r="F783" s="861"/>
      <c r="G783" s="861"/>
      <c r="H783" s="862"/>
      <c r="I783" s="901"/>
      <c r="J783" s="902"/>
      <c r="K783" s="902"/>
      <c r="L783" s="903"/>
      <c r="M783" s="862"/>
      <c r="N783" s="1107"/>
      <c r="O783" s="1107"/>
      <c r="P783" s="1025"/>
      <c r="Q783" s="1025"/>
      <c r="R783" s="1025"/>
      <c r="S783" s="1025"/>
      <c r="T783" s="869"/>
      <c r="U783" s="869"/>
    </row>
    <row r="784">
      <c r="A784" s="926" t="str">
        <f t="array" ref="A784">if(G784="","",XLOOKUP(D784,'プルダウンメニュー (SE用)'!$D$2:$D1028,'プルダウンメニュー (SE用)'!$C$2:$C1028))</f>
        <v/>
      </c>
      <c r="B784" s="926" t="str">
        <f>iferror(if(H784="GLOW流用","-",if(G784="","","SSE_"&amp;TEXT(vlookup(E784,'プルダウンメニュー (SE用)'!$E$2:$F1028,2,false),"000")&amp;"_"&amp;TEXT(COUNTIF($E$4:E784,E784),"000"))),"")</f>
        <v/>
      </c>
      <c r="C784" s="860"/>
      <c r="D784" s="861"/>
      <c r="E784" s="861"/>
      <c r="F784" s="861"/>
      <c r="G784" s="861"/>
      <c r="H784" s="862"/>
      <c r="I784" s="901"/>
      <c r="J784" s="902"/>
      <c r="K784" s="902"/>
      <c r="L784" s="903"/>
      <c r="M784" s="862"/>
      <c r="N784" s="1107"/>
      <c r="O784" s="1107"/>
      <c r="P784" s="1025"/>
      <c r="Q784" s="1025"/>
      <c r="R784" s="1025"/>
      <c r="S784" s="1025"/>
      <c r="T784" s="869"/>
      <c r="U784" s="869"/>
    </row>
    <row r="785">
      <c r="A785" s="926" t="str">
        <f t="array" ref="A785">if(G785="","",XLOOKUP(D785,'プルダウンメニュー (SE用)'!$D$2:$D1028,'プルダウンメニュー (SE用)'!$C$2:$C1028))</f>
        <v/>
      </c>
      <c r="B785" s="926" t="str">
        <f>iferror(if(H785="GLOW流用","-",if(G785="","","SSE_"&amp;TEXT(vlookup(E785,'プルダウンメニュー (SE用)'!$E$2:$F1028,2,false),"000")&amp;"_"&amp;TEXT(COUNTIF($E$4:E785,E785),"000"))),"")</f>
        <v/>
      </c>
      <c r="C785" s="860"/>
      <c r="D785" s="861"/>
      <c r="E785" s="861"/>
      <c r="F785" s="861"/>
      <c r="G785" s="861"/>
      <c r="H785" s="862"/>
      <c r="I785" s="901"/>
      <c r="J785" s="902"/>
      <c r="K785" s="902"/>
      <c r="L785" s="903"/>
      <c r="M785" s="862"/>
      <c r="N785" s="1107"/>
      <c r="O785" s="1107"/>
      <c r="P785" s="1025"/>
      <c r="Q785" s="1025"/>
      <c r="R785" s="1025"/>
      <c r="S785" s="1025"/>
      <c r="T785" s="869"/>
      <c r="U785" s="869"/>
    </row>
    <row r="786">
      <c r="A786" s="926" t="str">
        <f t="array" ref="A786">if(G786="","",XLOOKUP(D786,'プルダウンメニュー (SE用)'!$D$2:$D1028,'プルダウンメニュー (SE用)'!$C$2:$C1028))</f>
        <v/>
      </c>
      <c r="B786" s="926" t="str">
        <f>iferror(if(H786="GLOW流用","-",if(G786="","","SSE_"&amp;TEXT(vlookup(E786,'プルダウンメニュー (SE用)'!$E$2:$F1028,2,false),"000")&amp;"_"&amp;TEXT(COUNTIF($E$4:E786,E786),"000"))),"")</f>
        <v/>
      </c>
      <c r="C786" s="860"/>
      <c r="D786" s="861"/>
      <c r="E786" s="861"/>
      <c r="F786" s="861"/>
      <c r="G786" s="861"/>
      <c r="H786" s="862"/>
      <c r="I786" s="901"/>
      <c r="J786" s="902"/>
      <c r="K786" s="902"/>
      <c r="L786" s="903"/>
      <c r="M786" s="862"/>
      <c r="N786" s="1107"/>
      <c r="O786" s="1107"/>
      <c r="P786" s="1025"/>
      <c r="Q786" s="1025"/>
      <c r="R786" s="1025"/>
      <c r="S786" s="1025"/>
      <c r="T786" s="869"/>
      <c r="U786" s="869"/>
    </row>
    <row r="787">
      <c r="A787" s="926" t="str">
        <f t="array" ref="A787">if(G787="","",XLOOKUP(D787,'プルダウンメニュー (SE用)'!$D$2:$D1028,'プルダウンメニュー (SE用)'!$C$2:$C1028))</f>
        <v/>
      </c>
      <c r="B787" s="926" t="str">
        <f>iferror(if(H787="GLOW流用","-",if(G787="","","SSE_"&amp;TEXT(vlookup(E787,'プルダウンメニュー (SE用)'!$E$2:$F1028,2,false),"000")&amp;"_"&amp;TEXT(COUNTIF($E$4:E787,E787),"000"))),"")</f>
        <v/>
      </c>
      <c r="C787" s="860"/>
      <c r="D787" s="861"/>
      <c r="E787" s="861"/>
      <c r="F787" s="861"/>
      <c r="G787" s="861"/>
      <c r="H787" s="862"/>
      <c r="I787" s="901"/>
      <c r="J787" s="902"/>
      <c r="K787" s="902"/>
      <c r="L787" s="903"/>
      <c r="M787" s="862"/>
      <c r="N787" s="1107"/>
      <c r="O787" s="1107"/>
      <c r="P787" s="1025"/>
      <c r="Q787" s="1025"/>
      <c r="R787" s="1025"/>
      <c r="S787" s="1025"/>
      <c r="T787" s="869"/>
      <c r="U787" s="869"/>
    </row>
    <row r="788">
      <c r="A788" s="926" t="str">
        <f t="array" ref="A788">if(G788="","",XLOOKUP(D788,'プルダウンメニュー (SE用)'!$D$2:$D1028,'プルダウンメニュー (SE用)'!$C$2:$C1028))</f>
        <v/>
      </c>
      <c r="B788" s="926" t="str">
        <f>iferror(if(H788="GLOW流用","-",if(G788="","","SSE_"&amp;TEXT(vlookup(E788,'プルダウンメニュー (SE用)'!$E$2:$F1028,2,false),"000")&amp;"_"&amp;TEXT(COUNTIF($E$4:E788,E788),"000"))),"")</f>
        <v/>
      </c>
      <c r="C788" s="860"/>
      <c r="D788" s="861"/>
      <c r="E788" s="861"/>
      <c r="F788" s="861"/>
      <c r="G788" s="861"/>
      <c r="H788" s="862"/>
      <c r="I788" s="901"/>
      <c r="J788" s="902"/>
      <c r="K788" s="902"/>
      <c r="L788" s="903"/>
      <c r="M788" s="862"/>
      <c r="N788" s="1107"/>
      <c r="O788" s="1107"/>
      <c r="P788" s="1025"/>
      <c r="Q788" s="1025"/>
      <c r="R788" s="1025"/>
      <c r="S788" s="1025"/>
      <c r="T788" s="869"/>
      <c r="U788" s="869"/>
    </row>
    <row r="789">
      <c r="A789" s="926" t="str">
        <f t="array" ref="A789">if(G789="","",XLOOKUP(D789,'プルダウンメニュー (SE用)'!$D$2:$D1028,'プルダウンメニュー (SE用)'!$C$2:$C1028))</f>
        <v/>
      </c>
      <c r="B789" s="926" t="str">
        <f>iferror(if(H789="GLOW流用","-",if(G789="","","SSE_"&amp;TEXT(vlookup(E789,'プルダウンメニュー (SE用)'!$E$2:$F1028,2,false),"000")&amp;"_"&amp;TEXT(COUNTIF($E$4:E789,E789),"000"))),"")</f>
        <v/>
      </c>
      <c r="C789" s="860"/>
      <c r="D789" s="861"/>
      <c r="E789" s="861"/>
      <c r="F789" s="861"/>
      <c r="G789" s="861"/>
      <c r="H789" s="862"/>
      <c r="I789" s="901"/>
      <c r="J789" s="902"/>
      <c r="K789" s="902"/>
      <c r="L789" s="903"/>
      <c r="M789" s="862"/>
      <c r="N789" s="1107"/>
      <c r="O789" s="1107"/>
      <c r="P789" s="1025"/>
      <c r="Q789" s="1025"/>
      <c r="R789" s="1025"/>
      <c r="S789" s="1025"/>
      <c r="T789" s="869"/>
      <c r="U789" s="869"/>
    </row>
    <row r="790">
      <c r="A790" s="926" t="str">
        <f t="array" ref="A790">if(G790="","",XLOOKUP(D790,'プルダウンメニュー (SE用)'!$D$2:$D1028,'プルダウンメニュー (SE用)'!$C$2:$C1028))</f>
        <v/>
      </c>
      <c r="B790" s="926" t="str">
        <f>iferror(if(H790="GLOW流用","-",if(G790="","","SSE_"&amp;TEXT(vlookup(E790,'プルダウンメニュー (SE用)'!$E$2:$F1028,2,false),"000")&amp;"_"&amp;TEXT(COUNTIF($E$4:E790,E790),"000"))),"")</f>
        <v/>
      </c>
      <c r="C790" s="860"/>
      <c r="D790" s="861"/>
      <c r="E790" s="861"/>
      <c r="F790" s="861"/>
      <c r="G790" s="861"/>
      <c r="H790" s="862"/>
      <c r="I790" s="901"/>
      <c r="J790" s="902"/>
      <c r="K790" s="902"/>
      <c r="L790" s="903"/>
      <c r="M790" s="862"/>
      <c r="N790" s="1107"/>
      <c r="O790" s="1107"/>
      <c r="P790" s="1025"/>
      <c r="Q790" s="1025"/>
      <c r="R790" s="1025"/>
      <c r="S790" s="1025"/>
      <c r="T790" s="869"/>
      <c r="U790" s="869"/>
    </row>
    <row r="791">
      <c r="A791" s="926" t="str">
        <f t="array" ref="A791">if(G791="","",XLOOKUP(D791,'プルダウンメニュー (SE用)'!$D$2:$D1028,'プルダウンメニュー (SE用)'!$C$2:$C1028))</f>
        <v/>
      </c>
      <c r="B791" s="926" t="str">
        <f>iferror(if(H791="GLOW流用","-",if(G791="","","SSE_"&amp;TEXT(vlookup(E791,'プルダウンメニュー (SE用)'!$E$2:$F1028,2,false),"000")&amp;"_"&amp;TEXT(COUNTIF($E$4:E791,E791),"000"))),"")</f>
        <v/>
      </c>
      <c r="C791" s="860"/>
      <c r="D791" s="861"/>
      <c r="E791" s="861"/>
      <c r="F791" s="861"/>
      <c r="G791" s="861"/>
      <c r="H791" s="862"/>
      <c r="I791" s="901"/>
      <c r="J791" s="902"/>
      <c r="K791" s="902"/>
      <c r="L791" s="903"/>
      <c r="M791" s="862"/>
      <c r="N791" s="1107"/>
      <c r="O791" s="1107"/>
      <c r="P791" s="1025"/>
      <c r="Q791" s="1025"/>
      <c r="R791" s="1025"/>
      <c r="S791" s="1025"/>
      <c r="T791" s="869"/>
      <c r="U791" s="869"/>
    </row>
    <row r="792">
      <c r="A792" s="926" t="str">
        <f t="array" ref="A792">if(G792="","",XLOOKUP(D792,'プルダウンメニュー (SE用)'!$D$2:$D1028,'プルダウンメニュー (SE用)'!$C$2:$C1028))</f>
        <v/>
      </c>
      <c r="B792" s="926" t="str">
        <f>iferror(if(H792="GLOW流用","-",if(G792="","","SSE_"&amp;TEXT(vlookup(E792,'プルダウンメニュー (SE用)'!$E$2:$F1028,2,false),"000")&amp;"_"&amp;TEXT(COUNTIF($E$4:E792,E792),"000"))),"")</f>
        <v/>
      </c>
      <c r="C792" s="860"/>
      <c r="D792" s="861"/>
      <c r="E792" s="861"/>
      <c r="F792" s="861"/>
      <c r="G792" s="861"/>
      <c r="H792" s="862"/>
      <c r="I792" s="901"/>
      <c r="J792" s="902"/>
      <c r="K792" s="902"/>
      <c r="L792" s="903"/>
      <c r="M792" s="862"/>
      <c r="N792" s="1107"/>
      <c r="O792" s="1107"/>
      <c r="P792" s="1025"/>
      <c r="Q792" s="1025"/>
      <c r="R792" s="1025"/>
      <c r="S792" s="1025"/>
      <c r="T792" s="869"/>
      <c r="U792" s="869"/>
    </row>
    <row r="793">
      <c r="A793" s="926" t="str">
        <f t="array" ref="A793">if(G793="","",XLOOKUP(D793,'プルダウンメニュー (SE用)'!$D$2:$D1028,'プルダウンメニュー (SE用)'!$C$2:$C1028))</f>
        <v/>
      </c>
      <c r="B793" s="926" t="str">
        <f>iferror(if(H793="GLOW流用","-",if(G793="","","SSE_"&amp;TEXT(vlookup(E793,'プルダウンメニュー (SE用)'!$E$2:$F1028,2,false),"000")&amp;"_"&amp;TEXT(COUNTIF($E$4:E793,E793),"000"))),"")</f>
        <v/>
      </c>
      <c r="C793" s="860"/>
      <c r="D793" s="861"/>
      <c r="E793" s="861"/>
      <c r="F793" s="861"/>
      <c r="G793" s="861"/>
      <c r="H793" s="862"/>
      <c r="I793" s="901"/>
      <c r="J793" s="902"/>
      <c r="K793" s="902"/>
      <c r="L793" s="903"/>
      <c r="M793" s="862"/>
      <c r="N793" s="1107"/>
      <c r="O793" s="1107"/>
      <c r="P793" s="1025"/>
      <c r="Q793" s="1025"/>
      <c r="R793" s="1025"/>
      <c r="S793" s="1025"/>
      <c r="T793" s="869"/>
      <c r="U793" s="869"/>
    </row>
    <row r="794">
      <c r="A794" s="926" t="str">
        <f t="array" ref="A794">if(G794="","",XLOOKUP(D794,'プルダウンメニュー (SE用)'!$D$2:$D1028,'プルダウンメニュー (SE用)'!$C$2:$C1028))</f>
        <v/>
      </c>
      <c r="B794" s="926" t="str">
        <f>iferror(if(H794="GLOW流用","-",if(G794="","","SSE_"&amp;TEXT(vlookup(E794,'プルダウンメニュー (SE用)'!$E$2:$F1028,2,false),"000")&amp;"_"&amp;TEXT(COUNTIF($E$4:E794,E794),"000"))),"")</f>
        <v/>
      </c>
      <c r="C794" s="860"/>
      <c r="D794" s="861"/>
      <c r="E794" s="861"/>
      <c r="F794" s="861"/>
      <c r="G794" s="861"/>
      <c r="H794" s="862"/>
      <c r="I794" s="901"/>
      <c r="J794" s="902"/>
      <c r="K794" s="902"/>
      <c r="L794" s="903"/>
      <c r="M794" s="862"/>
      <c r="N794" s="1107"/>
      <c r="O794" s="1107"/>
      <c r="P794" s="1025"/>
      <c r="Q794" s="1025"/>
      <c r="R794" s="1025"/>
      <c r="S794" s="1025"/>
      <c r="T794" s="869"/>
      <c r="U794" s="869"/>
    </row>
    <row r="795">
      <c r="A795" s="926" t="str">
        <f t="array" ref="A795">if(G795="","",XLOOKUP(D795,'プルダウンメニュー (SE用)'!$D$2:$D1028,'プルダウンメニュー (SE用)'!$C$2:$C1028))</f>
        <v/>
      </c>
      <c r="B795" s="926" t="str">
        <f>iferror(if(H795="GLOW流用","-",if(G795="","","SSE_"&amp;TEXT(vlookup(E795,'プルダウンメニュー (SE用)'!$E$2:$F1028,2,false),"000")&amp;"_"&amp;TEXT(COUNTIF($E$4:E795,E795),"000"))),"")</f>
        <v/>
      </c>
      <c r="C795" s="860"/>
      <c r="D795" s="861"/>
      <c r="E795" s="861"/>
      <c r="F795" s="861"/>
      <c r="G795" s="861"/>
      <c r="H795" s="862"/>
      <c r="I795" s="901"/>
      <c r="J795" s="902"/>
      <c r="K795" s="902"/>
      <c r="L795" s="903"/>
      <c r="M795" s="862"/>
      <c r="N795" s="1107"/>
      <c r="O795" s="1107"/>
      <c r="P795" s="1025"/>
      <c r="Q795" s="1025"/>
      <c r="R795" s="1025"/>
      <c r="S795" s="1025"/>
      <c r="T795" s="869"/>
      <c r="U795" s="869"/>
    </row>
    <row r="796">
      <c r="A796" s="926" t="str">
        <f t="array" ref="A796">if(G796="","",XLOOKUP(D796,'プルダウンメニュー (SE用)'!$D$2:$D1028,'プルダウンメニュー (SE用)'!$C$2:$C1028))</f>
        <v/>
      </c>
      <c r="B796" s="926" t="str">
        <f>iferror(if(H796="GLOW流用","-",if(G796="","","SSE_"&amp;TEXT(vlookup(E796,'プルダウンメニュー (SE用)'!$E$2:$F1028,2,false),"000")&amp;"_"&amp;TEXT(COUNTIF($E$4:E796,E796),"000"))),"")</f>
        <v/>
      </c>
      <c r="C796" s="860"/>
      <c r="D796" s="861"/>
      <c r="E796" s="861"/>
      <c r="F796" s="861"/>
      <c r="G796" s="861"/>
      <c r="H796" s="862"/>
      <c r="I796" s="901"/>
      <c r="J796" s="902"/>
      <c r="K796" s="902"/>
      <c r="L796" s="903"/>
      <c r="M796" s="862"/>
      <c r="N796" s="1107"/>
      <c r="O796" s="1107"/>
      <c r="P796" s="1025"/>
      <c r="Q796" s="1025"/>
      <c r="R796" s="1025"/>
      <c r="S796" s="1025"/>
      <c r="T796" s="869"/>
      <c r="U796" s="869"/>
    </row>
    <row r="797">
      <c r="A797" s="926" t="str">
        <f t="array" ref="A797">if(G797="","",XLOOKUP(D797,'プルダウンメニュー (SE用)'!$D$2:$D1028,'プルダウンメニュー (SE用)'!$C$2:$C1028))</f>
        <v/>
      </c>
      <c r="B797" s="926" t="str">
        <f>iferror(if(H797="GLOW流用","-",if(G797="","","SSE_"&amp;TEXT(vlookup(E797,'プルダウンメニュー (SE用)'!$E$2:$F1028,2,false),"000")&amp;"_"&amp;TEXT(COUNTIF($E$4:E797,E797),"000"))),"")</f>
        <v/>
      </c>
      <c r="C797" s="860"/>
      <c r="D797" s="861"/>
      <c r="E797" s="861"/>
      <c r="F797" s="861"/>
      <c r="G797" s="861"/>
      <c r="H797" s="862"/>
      <c r="I797" s="901"/>
      <c r="J797" s="902"/>
      <c r="K797" s="902"/>
      <c r="L797" s="903"/>
      <c r="M797" s="862"/>
      <c r="N797" s="1107"/>
      <c r="O797" s="1107"/>
      <c r="P797" s="1025"/>
      <c r="Q797" s="1025"/>
      <c r="R797" s="1025"/>
      <c r="S797" s="1025"/>
      <c r="T797" s="869"/>
      <c r="U797" s="869"/>
    </row>
    <row r="798">
      <c r="A798" s="926" t="str">
        <f t="array" ref="A798">if(G798="","",XLOOKUP(D798,'プルダウンメニュー (SE用)'!$D$2:$D1028,'プルダウンメニュー (SE用)'!$C$2:$C1028))</f>
        <v/>
      </c>
      <c r="B798" s="926" t="str">
        <f>iferror(if(H798="GLOW流用","-",if(G798="","","SSE_"&amp;TEXT(vlookup(E798,'プルダウンメニュー (SE用)'!$E$2:$F1028,2,false),"000")&amp;"_"&amp;TEXT(COUNTIF($E$4:E798,E798),"000"))),"")</f>
        <v/>
      </c>
      <c r="C798" s="860"/>
      <c r="D798" s="861"/>
      <c r="E798" s="861"/>
      <c r="F798" s="861"/>
      <c r="G798" s="861"/>
      <c r="H798" s="862"/>
      <c r="I798" s="901"/>
      <c r="J798" s="902"/>
      <c r="K798" s="902"/>
      <c r="L798" s="903"/>
      <c r="M798" s="862"/>
      <c r="N798" s="1107"/>
      <c r="O798" s="1107"/>
      <c r="P798" s="1025"/>
      <c r="Q798" s="1025"/>
      <c r="R798" s="1025"/>
      <c r="S798" s="1025"/>
      <c r="T798" s="869"/>
      <c r="U798" s="869"/>
    </row>
    <row r="799">
      <c r="A799" s="926" t="str">
        <f t="array" ref="A799">if(G799="","",XLOOKUP(D799,'プルダウンメニュー (SE用)'!$D$2:$D1028,'プルダウンメニュー (SE用)'!$C$2:$C1028))</f>
        <v/>
      </c>
      <c r="B799" s="926" t="str">
        <f>iferror(if(H799="GLOW流用","-",if(G799="","","SSE_"&amp;TEXT(vlookup(E799,'プルダウンメニュー (SE用)'!$E$2:$F1028,2,false),"000")&amp;"_"&amp;TEXT(COUNTIF($E$4:E799,E799),"000"))),"")</f>
        <v/>
      </c>
      <c r="C799" s="860"/>
      <c r="D799" s="861"/>
      <c r="E799" s="861"/>
      <c r="F799" s="861"/>
      <c r="G799" s="861"/>
      <c r="H799" s="862"/>
      <c r="I799" s="901"/>
      <c r="J799" s="902"/>
      <c r="K799" s="902"/>
      <c r="L799" s="903"/>
      <c r="M799" s="862"/>
      <c r="N799" s="1107"/>
      <c r="O799" s="1107"/>
      <c r="P799" s="1025"/>
      <c r="Q799" s="1025"/>
      <c r="R799" s="1025"/>
      <c r="S799" s="1025"/>
      <c r="T799" s="869"/>
      <c r="U799" s="869"/>
    </row>
    <row r="800">
      <c r="A800" s="926" t="str">
        <f t="array" ref="A800">if(G800="","",XLOOKUP(D800,'プルダウンメニュー (SE用)'!$D$2:$D1028,'プルダウンメニュー (SE用)'!$C$2:$C1028))</f>
        <v/>
      </c>
      <c r="B800" s="926" t="str">
        <f>iferror(if(H800="GLOW流用","-",if(G800="","","SSE_"&amp;TEXT(vlookup(E800,'プルダウンメニュー (SE用)'!$E$2:$F1028,2,false),"000")&amp;"_"&amp;TEXT(COUNTIF($E$4:E800,E800),"000"))),"")</f>
        <v/>
      </c>
      <c r="C800" s="860"/>
      <c r="D800" s="861"/>
      <c r="E800" s="861"/>
      <c r="F800" s="861"/>
      <c r="G800" s="861"/>
      <c r="H800" s="862"/>
      <c r="I800" s="901"/>
      <c r="J800" s="902"/>
      <c r="K800" s="902"/>
      <c r="L800" s="903"/>
      <c r="M800" s="862"/>
      <c r="N800" s="1107"/>
      <c r="O800" s="1107"/>
      <c r="P800" s="1025"/>
      <c r="Q800" s="1025"/>
      <c r="R800" s="1025"/>
      <c r="S800" s="1025"/>
      <c r="T800" s="869"/>
      <c r="U800" s="1113"/>
    </row>
    <row r="801">
      <c r="A801" s="926" t="str">
        <f t="array" ref="A801">if(G801="","",XLOOKUP(D801,'プルダウンメニュー (SE用)'!$D$2:$D1028,'プルダウンメニュー (SE用)'!$C$2:$C1028))</f>
        <v/>
      </c>
      <c r="B801" s="926" t="str">
        <f>iferror(if(H801="GLOW流用","-",if(G801="","","SSE_"&amp;TEXT(vlookup(E801,'プルダウンメニュー (SE用)'!$E$2:$F1028,2,false),"000")&amp;"_"&amp;TEXT(COUNTIF($E$4:E801,E801),"000"))),"")</f>
        <v/>
      </c>
      <c r="C801" s="860"/>
      <c r="D801" s="861"/>
      <c r="E801" s="861"/>
      <c r="F801" s="861"/>
      <c r="G801" s="861"/>
      <c r="H801" s="1005"/>
      <c r="I801" s="1006"/>
      <c r="J801" s="1007"/>
      <c r="K801" s="1007"/>
      <c r="L801" s="1008"/>
      <c r="M801" s="1005"/>
      <c r="N801" s="1112"/>
      <c r="O801" s="1112"/>
      <c r="P801" s="1025"/>
      <c r="Q801" s="1025"/>
      <c r="R801" s="1025"/>
      <c r="S801" s="1025"/>
      <c r="T801" s="869"/>
      <c r="U801" s="942"/>
    </row>
    <row r="802">
      <c r="A802" s="926" t="str">
        <f t="array" ref="A802">if(G802="","",XLOOKUP(D802,'プルダウンメニュー (SE用)'!$D$2:$D1028,'プルダウンメニュー (SE用)'!$C$2:$C1028))</f>
        <v/>
      </c>
      <c r="B802" s="926" t="str">
        <f>iferror(if(H802="GLOW流用","-",if(G802="","","SSE_"&amp;TEXT(vlookup(E802,'プルダウンメニュー (SE用)'!$E$2:$F1028,2,false),"000")&amp;"_"&amp;TEXT(COUNTIF($E$4:E802,E802),"000"))),"")</f>
        <v/>
      </c>
      <c r="C802" s="860"/>
      <c r="D802" s="861"/>
      <c r="E802" s="861"/>
      <c r="F802" s="861"/>
      <c r="G802" s="861"/>
      <c r="H802" s="862"/>
      <c r="I802" s="901"/>
      <c r="J802" s="902"/>
      <c r="K802" s="902"/>
      <c r="L802" s="903"/>
      <c r="M802" s="862"/>
      <c r="N802" s="1107"/>
      <c r="O802" s="1107"/>
      <c r="P802" s="1025"/>
      <c r="Q802" s="1025"/>
      <c r="R802" s="1025"/>
      <c r="S802" s="1025"/>
      <c r="T802" s="869"/>
      <c r="U802" s="942"/>
    </row>
    <row r="803">
      <c r="A803" s="926" t="str">
        <f t="array" ref="A803">if(G803="","",XLOOKUP(D803,'プルダウンメニュー (SE用)'!$D$2:$D1028,'プルダウンメニュー (SE用)'!$C$2:$C1028))</f>
        <v/>
      </c>
      <c r="B803" s="926" t="str">
        <f>iferror(if(H803="GLOW流用","-",if(G803="","","SSE_"&amp;TEXT(vlookup(E803,'プルダウンメニュー (SE用)'!$E$2:$F1028,2,false),"000")&amp;"_"&amp;TEXT(COUNTIF($E$4:E803,E803),"000"))),"")</f>
        <v/>
      </c>
      <c r="C803" s="860"/>
      <c r="D803" s="861"/>
      <c r="E803" s="861"/>
      <c r="F803" s="861"/>
      <c r="G803" s="861"/>
      <c r="H803" s="862"/>
      <c r="I803" s="901"/>
      <c r="J803" s="902"/>
      <c r="K803" s="902"/>
      <c r="L803" s="903"/>
      <c r="M803" s="862"/>
      <c r="N803" s="1107"/>
      <c r="O803" s="1107"/>
      <c r="P803" s="1025"/>
      <c r="Q803" s="1025"/>
      <c r="R803" s="1025"/>
      <c r="S803" s="1025"/>
      <c r="T803" s="869"/>
      <c r="U803" s="942"/>
    </row>
    <row r="804">
      <c r="A804" s="926" t="str">
        <f t="array" ref="A804">if(G804="","",XLOOKUP(D804,'プルダウンメニュー (SE用)'!$D$2:$D1028,'プルダウンメニュー (SE用)'!$C$2:$C1028))</f>
        <v/>
      </c>
      <c r="B804" s="926" t="str">
        <f>iferror(if(H804="GLOW流用","-",if(G804="","","SSE_"&amp;TEXT(vlookup(E804,'プルダウンメニュー (SE用)'!$E$2:$F1028,2,false),"000")&amp;"_"&amp;TEXT(COUNTIF($E$4:E804,E804),"000"))),"")</f>
        <v/>
      </c>
      <c r="C804" s="860"/>
      <c r="D804" s="861"/>
      <c r="E804" s="861"/>
      <c r="F804" s="861"/>
      <c r="G804" s="861"/>
      <c r="H804" s="862"/>
      <c r="I804" s="901"/>
      <c r="J804" s="902"/>
      <c r="K804" s="902"/>
      <c r="L804" s="903"/>
      <c r="M804" s="862"/>
      <c r="N804" s="1107"/>
      <c r="O804" s="1107"/>
      <c r="P804" s="1025"/>
      <c r="Q804" s="1025"/>
      <c r="R804" s="1025"/>
      <c r="S804" s="1025"/>
      <c r="T804" s="869"/>
      <c r="U804" s="942"/>
    </row>
    <row r="805">
      <c r="A805" s="926" t="str">
        <f t="array" ref="A805">if(G805="","",XLOOKUP(D805,'プルダウンメニュー (SE用)'!$D$2:$D1028,'プルダウンメニュー (SE用)'!$C$2:$C1028))</f>
        <v/>
      </c>
      <c r="B805" s="926" t="str">
        <f>iferror(if(H805="GLOW流用","-",if(G805="","","SSE_"&amp;TEXT(vlookup(E805,'プルダウンメニュー (SE用)'!$E$2:$F1028,2,false),"000")&amp;"_"&amp;TEXT(COUNTIF($E$4:E805,E805),"000"))),"")</f>
        <v/>
      </c>
      <c r="C805" s="860"/>
      <c r="D805" s="861"/>
      <c r="E805" s="861"/>
      <c r="F805" s="861"/>
      <c r="G805" s="861"/>
      <c r="H805" s="862"/>
      <c r="I805" s="901"/>
      <c r="J805" s="902"/>
      <c r="K805" s="902"/>
      <c r="L805" s="903"/>
      <c r="M805" s="862"/>
      <c r="N805" s="1107"/>
      <c r="O805" s="1107"/>
      <c r="P805" s="1025"/>
      <c r="Q805" s="1025"/>
      <c r="R805" s="1025"/>
      <c r="S805" s="1025"/>
      <c r="T805" s="869"/>
      <c r="U805" s="942"/>
    </row>
    <row r="806">
      <c r="A806" s="926" t="str">
        <f t="array" ref="A806">if(G806="","",XLOOKUP(D806,'プルダウンメニュー (SE用)'!$D$2:$D1028,'プルダウンメニュー (SE用)'!$C$2:$C1028))</f>
        <v/>
      </c>
      <c r="B806" s="926" t="str">
        <f>iferror(if(H806="GLOW流用","-",if(G806="","","SSE_"&amp;TEXT(vlookup(E806,'プルダウンメニュー (SE用)'!$E$2:$F1028,2,false),"000")&amp;"_"&amp;TEXT(COUNTIF($E$4:E806,E806),"000"))),"")</f>
        <v/>
      </c>
      <c r="C806" s="860"/>
      <c r="D806" s="861"/>
      <c r="E806" s="861"/>
      <c r="F806" s="861"/>
      <c r="G806" s="861"/>
      <c r="H806" s="862"/>
      <c r="I806" s="901"/>
      <c r="J806" s="902"/>
      <c r="K806" s="902"/>
      <c r="L806" s="903"/>
      <c r="M806" s="862"/>
      <c r="N806" s="1107"/>
      <c r="O806" s="1107"/>
      <c r="P806" s="1025"/>
      <c r="Q806" s="1025"/>
      <c r="R806" s="1025"/>
      <c r="S806" s="1025"/>
      <c r="T806" s="869"/>
      <c r="U806" s="942"/>
    </row>
    <row r="807">
      <c r="A807" s="926" t="str">
        <f t="array" ref="A807">if(G807="","",XLOOKUP(D807,'プルダウンメニュー (SE用)'!$D$2:$D1028,'プルダウンメニュー (SE用)'!$C$2:$C1028))</f>
        <v/>
      </c>
      <c r="B807" s="926" t="str">
        <f>iferror(if(H807="GLOW流用","-",if(G807="","","SSE_"&amp;TEXT(vlookup(E807,'プルダウンメニュー (SE用)'!$E$2:$F1028,2,false),"000")&amp;"_"&amp;TEXT(COUNTIF($E$4:E807,E807),"000"))),"")</f>
        <v/>
      </c>
      <c r="C807" s="860"/>
      <c r="D807" s="861"/>
      <c r="E807" s="861"/>
      <c r="F807" s="861"/>
      <c r="G807" s="861"/>
      <c r="H807" s="862"/>
      <c r="I807" s="901"/>
      <c r="J807" s="902"/>
      <c r="K807" s="902"/>
      <c r="L807" s="903"/>
      <c r="M807" s="862"/>
      <c r="N807" s="1107"/>
      <c r="O807" s="1107"/>
      <c r="P807" s="1025"/>
      <c r="Q807" s="1025"/>
      <c r="R807" s="1025"/>
      <c r="S807" s="1025"/>
      <c r="T807" s="869"/>
      <c r="U807" s="942"/>
    </row>
    <row r="808">
      <c r="A808" s="926" t="str">
        <f t="array" ref="A808">if(G808="","",XLOOKUP(D808,'プルダウンメニュー (SE用)'!$D$2:$D1028,'プルダウンメニュー (SE用)'!$C$2:$C1028))</f>
        <v/>
      </c>
      <c r="B808" s="926" t="str">
        <f>iferror(if(H808="GLOW流用","-",if(G808="","","SSE_"&amp;TEXT(vlookup(E808,'プルダウンメニュー (SE用)'!$E$2:$F1028,2,false),"000")&amp;"_"&amp;TEXT(COUNTIF($E$4:E808,E808),"000"))),"")</f>
        <v/>
      </c>
      <c r="C808" s="860"/>
      <c r="D808" s="861"/>
      <c r="E808" s="861"/>
      <c r="F808" s="861"/>
      <c r="G808" s="861"/>
      <c r="H808" s="862"/>
      <c r="I808" s="901"/>
      <c r="J808" s="902"/>
      <c r="K808" s="902"/>
      <c r="L808" s="903"/>
      <c r="M808" s="862"/>
      <c r="N808" s="1107"/>
      <c r="O808" s="1107"/>
      <c r="P808" s="1025"/>
      <c r="Q808" s="1025"/>
      <c r="R808" s="1025"/>
      <c r="S808" s="1025"/>
      <c r="T808" s="869"/>
      <c r="U808" s="942"/>
    </row>
    <row r="809">
      <c r="A809" s="926" t="str">
        <f t="array" ref="A809">if(G809="","",XLOOKUP(D809,'プルダウンメニュー (SE用)'!$D$2:$D1028,'プルダウンメニュー (SE用)'!$C$2:$C1028))</f>
        <v/>
      </c>
      <c r="B809" s="926" t="str">
        <f>iferror(if(H809="GLOW流用","-",if(G809="","","SSE_"&amp;TEXT(vlookup(E809,'プルダウンメニュー (SE用)'!$E$2:$F1028,2,false),"000")&amp;"_"&amp;TEXT(COUNTIF($E$4:E809,E809),"000"))),"")</f>
        <v/>
      </c>
      <c r="C809" s="860"/>
      <c r="D809" s="861"/>
      <c r="E809" s="861"/>
      <c r="F809" s="861"/>
      <c r="G809" s="861"/>
      <c r="H809" s="862"/>
      <c r="I809" s="901"/>
      <c r="J809" s="902"/>
      <c r="K809" s="902"/>
      <c r="L809" s="903"/>
      <c r="M809" s="862"/>
      <c r="N809" s="1107"/>
      <c r="O809" s="1107"/>
      <c r="P809" s="1025"/>
      <c r="Q809" s="1025"/>
      <c r="R809" s="1025"/>
      <c r="S809" s="1025"/>
      <c r="T809" s="869"/>
      <c r="U809" s="942"/>
    </row>
    <row r="810">
      <c r="A810" s="926" t="str">
        <f t="array" ref="A810">if(G810="","",XLOOKUP(D810,'プルダウンメニュー (SE用)'!$D$2:$D1028,'プルダウンメニュー (SE用)'!$C$2:$C1028))</f>
        <v/>
      </c>
      <c r="B810" s="926" t="str">
        <f>iferror(if(H810="GLOW流用","-",if(G810="","","SSE_"&amp;TEXT(vlookup(E810,'プルダウンメニュー (SE用)'!$E$2:$F1028,2,false),"000")&amp;"_"&amp;TEXT(COUNTIF($E$4:E810,E810),"000"))),"")</f>
        <v/>
      </c>
      <c r="C810" s="860"/>
      <c r="D810" s="861"/>
      <c r="E810" s="861"/>
      <c r="F810" s="861"/>
      <c r="G810" s="861"/>
      <c r="H810" s="862"/>
      <c r="I810" s="901"/>
      <c r="J810" s="902"/>
      <c r="K810" s="902"/>
      <c r="L810" s="903"/>
      <c r="M810" s="862"/>
      <c r="N810" s="1107"/>
      <c r="O810" s="1107"/>
      <c r="P810" s="1025"/>
      <c r="Q810" s="1025"/>
      <c r="R810" s="1025"/>
      <c r="S810" s="1025"/>
      <c r="T810" s="869"/>
      <c r="U810" s="942"/>
    </row>
    <row r="811">
      <c r="A811" s="926" t="str">
        <f t="array" ref="A811">if(G811="","",XLOOKUP(D811,'プルダウンメニュー (SE用)'!$D$2:$D1028,'プルダウンメニュー (SE用)'!$C$2:$C1028))</f>
        <v/>
      </c>
      <c r="B811" s="926" t="str">
        <f>iferror(if(H811="GLOW流用","-",if(G811="","","SSE_"&amp;TEXT(vlookup(E811,'プルダウンメニュー (SE用)'!$E$2:$F1028,2,false),"000")&amp;"_"&amp;TEXT(COUNTIF($E$4:E811,E811),"000"))),"")</f>
        <v/>
      </c>
      <c r="C811" s="860"/>
      <c r="D811" s="861"/>
      <c r="E811" s="861"/>
      <c r="F811" s="861"/>
      <c r="G811" s="861"/>
      <c r="H811" s="862"/>
      <c r="I811" s="901"/>
      <c r="J811" s="902"/>
      <c r="K811" s="902"/>
      <c r="L811" s="903"/>
      <c r="M811" s="862"/>
      <c r="N811" s="1107"/>
      <c r="O811" s="1107"/>
      <c r="P811" s="1025"/>
      <c r="Q811" s="1025"/>
      <c r="R811" s="1025"/>
      <c r="S811" s="1025"/>
      <c r="T811" s="869"/>
      <c r="U811" s="942"/>
    </row>
    <row r="812">
      <c r="A812" s="926" t="str">
        <f t="array" ref="A812">if(G812="","",XLOOKUP(D812,'プルダウンメニュー (SE用)'!$D$2:$D1028,'プルダウンメニュー (SE用)'!$C$2:$C1028))</f>
        <v/>
      </c>
      <c r="B812" s="926" t="str">
        <f>iferror(if(H812="GLOW流用","-",if(G812="","","SSE_"&amp;TEXT(vlookup(E812,'プルダウンメニュー (SE用)'!$E$2:$F1028,2,false),"000")&amp;"_"&amp;TEXT(COUNTIF($E$4:E812,E812),"000"))),"")</f>
        <v/>
      </c>
      <c r="C812" s="860"/>
      <c r="D812" s="861"/>
      <c r="E812" s="861"/>
      <c r="F812" s="861"/>
      <c r="G812" s="861"/>
      <c r="H812" s="862"/>
      <c r="I812" s="901"/>
      <c r="J812" s="902"/>
      <c r="K812" s="902"/>
      <c r="L812" s="903"/>
      <c r="M812" s="862"/>
      <c r="N812" s="1107"/>
      <c r="O812" s="1107"/>
      <c r="P812" s="1025"/>
      <c r="Q812" s="1025"/>
      <c r="R812" s="1025"/>
      <c r="S812" s="1025"/>
      <c r="T812" s="869"/>
      <c r="U812" s="942"/>
    </row>
    <row r="813">
      <c r="A813" s="926" t="str">
        <f t="array" ref="A813">if(G813="","",XLOOKUP(D813,'プルダウンメニュー (SE用)'!$D$2:$D1028,'プルダウンメニュー (SE用)'!$C$2:$C1028))</f>
        <v/>
      </c>
      <c r="B813" s="926" t="str">
        <f>iferror(if(H813="GLOW流用","-",if(G813="","","SSE_"&amp;TEXT(vlookup(E813,'プルダウンメニュー (SE用)'!$E$2:$F1028,2,false),"000")&amp;"_"&amp;TEXT(COUNTIF($E$4:E813,E813),"000"))),"")</f>
        <v/>
      </c>
      <c r="C813" s="860"/>
      <c r="D813" s="861"/>
      <c r="E813" s="861"/>
      <c r="F813" s="861"/>
      <c r="G813" s="861"/>
      <c r="H813" s="862"/>
      <c r="I813" s="901"/>
      <c r="J813" s="902"/>
      <c r="K813" s="902"/>
      <c r="L813" s="903"/>
      <c r="M813" s="862"/>
      <c r="N813" s="1107"/>
      <c r="O813" s="1107"/>
      <c r="P813" s="1025"/>
      <c r="Q813" s="1025"/>
      <c r="R813" s="1025"/>
      <c r="S813" s="1025"/>
      <c r="T813" s="869"/>
      <c r="U813" s="942"/>
    </row>
    <row r="814">
      <c r="A814" s="926" t="str">
        <f t="array" ref="A814">if(G814="","",XLOOKUP(D814,'プルダウンメニュー (SE用)'!$D$2:$D1028,'プルダウンメニュー (SE用)'!$C$2:$C1028))</f>
        <v/>
      </c>
      <c r="B814" s="926" t="str">
        <f>iferror(if(H814="GLOW流用","-",if(G814="","","SSE_"&amp;TEXT(vlookup(E814,'プルダウンメニュー (SE用)'!$E$2:$F1028,2,false),"000")&amp;"_"&amp;TEXT(COUNTIF($E$4:E814,E814),"000"))),"")</f>
        <v/>
      </c>
      <c r="C814" s="860"/>
      <c r="D814" s="861"/>
      <c r="E814" s="861"/>
      <c r="F814" s="861"/>
      <c r="G814" s="861"/>
      <c r="H814" s="862"/>
      <c r="I814" s="901"/>
      <c r="J814" s="902"/>
      <c r="K814" s="902"/>
      <c r="L814" s="903"/>
      <c r="M814" s="862"/>
      <c r="N814" s="1107"/>
      <c r="O814" s="1107"/>
      <c r="P814" s="1025"/>
      <c r="Q814" s="1025"/>
      <c r="R814" s="1025"/>
      <c r="S814" s="1025"/>
      <c r="T814" s="869"/>
      <c r="U814" s="942"/>
    </row>
    <row r="815">
      <c r="A815" s="926" t="str">
        <f t="array" ref="A815">if(G815="","",XLOOKUP(D815,'プルダウンメニュー (SE用)'!$D$2:$D1028,'プルダウンメニュー (SE用)'!$C$2:$C1028))</f>
        <v/>
      </c>
      <c r="B815" s="926" t="str">
        <f>iferror(if(H815="GLOW流用","-",if(G815="","","SSE_"&amp;TEXT(vlookup(E815,'プルダウンメニュー (SE用)'!$E$2:$F1028,2,false),"000")&amp;"_"&amp;TEXT(COUNTIF($E$4:E815,E815),"000"))),"")</f>
        <v/>
      </c>
      <c r="C815" s="860"/>
      <c r="D815" s="861"/>
      <c r="E815" s="861"/>
      <c r="F815" s="861"/>
      <c r="G815" s="861"/>
      <c r="H815" s="862"/>
      <c r="I815" s="901"/>
      <c r="J815" s="902"/>
      <c r="K815" s="902"/>
      <c r="L815" s="903"/>
      <c r="M815" s="862"/>
      <c r="N815" s="1107"/>
      <c r="O815" s="1107"/>
      <c r="P815" s="1025"/>
      <c r="Q815" s="1025"/>
      <c r="R815" s="1025"/>
      <c r="S815" s="1025"/>
      <c r="T815" s="869"/>
      <c r="U815" s="942"/>
    </row>
    <row r="816">
      <c r="A816" s="926" t="str">
        <f t="array" ref="A816">if(G816="","",XLOOKUP(D816,'プルダウンメニュー (SE用)'!$D$2:$D1028,'プルダウンメニュー (SE用)'!$C$2:$C1028))</f>
        <v/>
      </c>
      <c r="B816" s="926" t="str">
        <f>iferror(if(H816="GLOW流用","-",if(G816="","","SSE_"&amp;TEXT(vlookup(E816,'プルダウンメニュー (SE用)'!$E$2:$F1028,2,false),"000")&amp;"_"&amp;TEXT(COUNTIF($E$4:E816,E816),"000"))),"")</f>
        <v/>
      </c>
      <c r="C816" s="860"/>
      <c r="D816" s="861"/>
      <c r="E816" s="861"/>
      <c r="F816" s="861"/>
      <c r="G816" s="861"/>
      <c r="H816" s="862"/>
      <c r="I816" s="901"/>
      <c r="J816" s="902"/>
      <c r="K816" s="902"/>
      <c r="L816" s="903"/>
      <c r="M816" s="862"/>
      <c r="N816" s="1107"/>
      <c r="O816" s="1107"/>
      <c r="P816" s="1025"/>
      <c r="Q816" s="1025"/>
      <c r="R816" s="1025"/>
      <c r="S816" s="1025"/>
      <c r="T816" s="869"/>
      <c r="U816" s="942"/>
    </row>
    <row r="817">
      <c r="A817" s="926" t="str">
        <f t="array" ref="A817">if(G817="","",XLOOKUP(D817,'プルダウンメニュー (SE用)'!$D$2:$D1028,'プルダウンメニュー (SE用)'!$C$2:$C1028))</f>
        <v/>
      </c>
      <c r="B817" s="926" t="str">
        <f>iferror(if(H817="GLOW流用","-",if(G817="","","SSE_"&amp;TEXT(vlookup(E817,'プルダウンメニュー (SE用)'!$E$2:$F1028,2,false),"000")&amp;"_"&amp;TEXT(COUNTIF($E$4:E817,E817),"000"))),"")</f>
        <v/>
      </c>
      <c r="C817" s="860"/>
      <c r="D817" s="861"/>
      <c r="E817" s="861"/>
      <c r="F817" s="861"/>
      <c r="G817" s="861"/>
      <c r="H817" s="862"/>
      <c r="I817" s="901"/>
      <c r="J817" s="902"/>
      <c r="K817" s="902"/>
      <c r="L817" s="903"/>
      <c r="M817" s="862"/>
      <c r="N817" s="1107"/>
      <c r="O817" s="1107"/>
      <c r="P817" s="1025"/>
      <c r="Q817" s="1025"/>
      <c r="R817" s="1025"/>
      <c r="S817" s="1025"/>
      <c r="T817" s="869"/>
      <c r="U817" s="942"/>
    </row>
    <row r="818">
      <c r="A818" s="926" t="str">
        <f t="array" ref="A818">if(G818="","",XLOOKUP(D818,'プルダウンメニュー (SE用)'!$D$2:$D1028,'プルダウンメニュー (SE用)'!$C$2:$C1028))</f>
        <v/>
      </c>
      <c r="B818" s="926" t="str">
        <f>iferror(if(H818="GLOW流用","-",if(G818="","","SSE_"&amp;TEXT(vlookup(E818,'プルダウンメニュー (SE用)'!$E$2:$F1028,2,false),"000")&amp;"_"&amp;TEXT(COUNTIF($E$4:E818,E818),"000"))),"")</f>
        <v/>
      </c>
      <c r="C818" s="860"/>
      <c r="D818" s="861"/>
      <c r="E818" s="861"/>
      <c r="F818" s="861"/>
      <c r="G818" s="861"/>
      <c r="H818" s="862"/>
      <c r="I818" s="901"/>
      <c r="J818" s="902"/>
      <c r="K818" s="902"/>
      <c r="L818" s="903"/>
      <c r="M818" s="862"/>
      <c r="N818" s="1107"/>
      <c r="O818" s="1107"/>
      <c r="P818" s="1025"/>
      <c r="Q818" s="1025"/>
      <c r="R818" s="1025"/>
      <c r="S818" s="1025"/>
      <c r="T818" s="869"/>
      <c r="U818" s="942"/>
    </row>
    <row r="819">
      <c r="A819" s="926" t="str">
        <f t="array" ref="A819">if(G819="","",XLOOKUP(D819,'プルダウンメニュー (SE用)'!$D$2:$D1028,'プルダウンメニュー (SE用)'!$C$2:$C1028))</f>
        <v/>
      </c>
      <c r="B819" s="926" t="str">
        <f>iferror(if(H819="GLOW流用","-",if(G819="","","SSE_"&amp;TEXT(vlookup(E819,'プルダウンメニュー (SE用)'!$E$2:$F1028,2,false),"000")&amp;"_"&amp;TEXT(COUNTIF($E$4:E819,E819),"000"))),"")</f>
        <v/>
      </c>
      <c r="C819" s="860"/>
      <c r="D819" s="861"/>
      <c r="E819" s="861"/>
      <c r="F819" s="861"/>
      <c r="G819" s="861"/>
      <c r="H819" s="862"/>
      <c r="I819" s="901"/>
      <c r="J819" s="902"/>
      <c r="K819" s="902"/>
      <c r="L819" s="903"/>
      <c r="M819" s="862"/>
      <c r="N819" s="1107"/>
      <c r="O819" s="1107"/>
      <c r="P819" s="1025"/>
      <c r="Q819" s="1025"/>
      <c r="R819" s="1025"/>
      <c r="S819" s="1025"/>
      <c r="T819" s="869"/>
      <c r="U819" s="942"/>
    </row>
    <row r="820">
      <c r="A820" s="926" t="str">
        <f t="array" ref="A820">if(G820="","",XLOOKUP(D820,'プルダウンメニュー (SE用)'!$D$2:$D1028,'プルダウンメニュー (SE用)'!$C$2:$C1028))</f>
        <v/>
      </c>
      <c r="B820" s="926" t="str">
        <f>iferror(if(H820="GLOW流用","-",if(G820="","","SSE_"&amp;TEXT(vlookup(E820,'プルダウンメニュー (SE用)'!$E$2:$F1028,2,false),"000")&amp;"_"&amp;TEXT(COUNTIF($E$4:E820,E820),"000"))),"")</f>
        <v/>
      </c>
      <c r="C820" s="860"/>
      <c r="D820" s="861"/>
      <c r="E820" s="861"/>
      <c r="F820" s="861"/>
      <c r="G820" s="861"/>
      <c r="H820" s="862"/>
      <c r="I820" s="901"/>
      <c r="J820" s="902"/>
      <c r="K820" s="902"/>
      <c r="L820" s="903"/>
      <c r="M820" s="862"/>
      <c r="N820" s="1107"/>
      <c r="O820" s="1107"/>
      <c r="P820" s="1025"/>
      <c r="Q820" s="1025"/>
      <c r="R820" s="1025"/>
      <c r="S820" s="1025"/>
      <c r="T820" s="869"/>
      <c r="U820" s="942"/>
    </row>
    <row r="821">
      <c r="A821" s="926" t="str">
        <f t="array" ref="A821">if(G821="","",XLOOKUP(D821,'プルダウンメニュー (SE用)'!$D$2:$D1028,'プルダウンメニュー (SE用)'!$C$2:$C1028))</f>
        <v/>
      </c>
      <c r="B821" s="926" t="str">
        <f>iferror(if(H821="GLOW流用","-",if(G821="","","SSE_"&amp;TEXT(vlookup(E821,'プルダウンメニュー (SE用)'!$E$2:$F1028,2,false),"000")&amp;"_"&amp;TEXT(COUNTIF($E$4:E821,E821),"000"))),"")</f>
        <v/>
      </c>
      <c r="C821" s="860"/>
      <c r="D821" s="861"/>
      <c r="E821" s="861"/>
      <c r="F821" s="861"/>
      <c r="G821" s="861"/>
      <c r="H821" s="862"/>
      <c r="I821" s="901"/>
      <c r="J821" s="902"/>
      <c r="K821" s="902"/>
      <c r="L821" s="903"/>
      <c r="M821" s="862"/>
      <c r="N821" s="1107"/>
      <c r="O821" s="1107"/>
      <c r="P821" s="1025"/>
      <c r="Q821" s="1025"/>
      <c r="R821" s="1025"/>
      <c r="S821" s="1025"/>
      <c r="T821" s="869"/>
      <c r="U821" s="942"/>
    </row>
    <row r="822">
      <c r="A822" s="926" t="str">
        <f t="array" ref="A822">if(G822="","",XLOOKUP(D822,'プルダウンメニュー (SE用)'!$D$2:$D1028,'プルダウンメニュー (SE用)'!$C$2:$C1028))</f>
        <v/>
      </c>
      <c r="B822" s="926" t="str">
        <f>iferror(if(H822="GLOW流用","-",if(G822="","","SSE_"&amp;TEXT(vlookup(E822,'プルダウンメニュー (SE用)'!$E$2:$F1028,2,false),"000")&amp;"_"&amp;TEXT(COUNTIF($E$4:E822,E822),"000"))),"")</f>
        <v/>
      </c>
      <c r="C822" s="860"/>
      <c r="D822" s="861"/>
      <c r="E822" s="861"/>
      <c r="F822" s="861"/>
      <c r="G822" s="861"/>
      <c r="H822" s="862"/>
      <c r="I822" s="901"/>
      <c r="J822" s="902"/>
      <c r="K822" s="902"/>
      <c r="L822" s="903"/>
      <c r="M822" s="862"/>
      <c r="N822" s="1107"/>
      <c r="O822" s="1107"/>
      <c r="P822" s="1025"/>
      <c r="Q822" s="1025"/>
      <c r="R822" s="1025"/>
      <c r="S822" s="1025"/>
      <c r="T822" s="869"/>
      <c r="U822" s="942"/>
    </row>
    <row r="823">
      <c r="A823" s="926" t="str">
        <f t="array" ref="A823">if(G823="","",XLOOKUP(D823,'プルダウンメニュー (SE用)'!$D$2:$D1028,'プルダウンメニュー (SE用)'!$C$2:$C1028))</f>
        <v/>
      </c>
      <c r="B823" s="926" t="str">
        <f>iferror(if(H823="GLOW流用","-",if(G823="","","SSE_"&amp;TEXT(vlookup(E823,'プルダウンメニュー (SE用)'!$E$2:$F1028,2,false),"000")&amp;"_"&amp;TEXT(COUNTIF($E$4:E823,E823),"000"))),"")</f>
        <v/>
      </c>
      <c r="C823" s="860"/>
      <c r="D823" s="861"/>
      <c r="E823" s="861"/>
      <c r="F823" s="861"/>
      <c r="G823" s="861"/>
      <c r="H823" s="862"/>
      <c r="I823" s="901"/>
      <c r="J823" s="902"/>
      <c r="K823" s="902"/>
      <c r="L823" s="903"/>
      <c r="M823" s="862"/>
      <c r="N823" s="1107"/>
      <c r="O823" s="1107"/>
      <c r="P823" s="1025"/>
      <c r="Q823" s="1025"/>
      <c r="R823" s="1025"/>
      <c r="S823" s="1025"/>
      <c r="T823" s="869"/>
      <c r="U823" s="869"/>
    </row>
    <row r="824">
      <c r="A824" s="926" t="str">
        <f t="array" ref="A824">if(G824="","",XLOOKUP(D824,'プルダウンメニュー (SE用)'!$D$2:$D1028,'プルダウンメニュー (SE用)'!$C$2:$C1028))</f>
        <v/>
      </c>
      <c r="B824" s="926" t="str">
        <f>iferror(if(H824="GLOW流用","-",if(G824="","","SSE_"&amp;TEXT(vlookup(E824,'プルダウンメニュー (SE用)'!$E$2:$F1028,2,false),"000")&amp;"_"&amp;TEXT(COUNTIF($E$4:E824,E824),"000"))),"")</f>
        <v/>
      </c>
      <c r="C824" s="860"/>
      <c r="D824" s="861"/>
      <c r="E824" s="861"/>
      <c r="F824" s="861"/>
      <c r="G824" s="861"/>
      <c r="H824" s="862"/>
      <c r="I824" s="901"/>
      <c r="J824" s="902"/>
      <c r="K824" s="902"/>
      <c r="L824" s="903"/>
      <c r="M824" s="862"/>
      <c r="N824" s="1107"/>
      <c r="O824" s="1107"/>
      <c r="P824" s="1025"/>
      <c r="Q824" s="1025"/>
      <c r="R824" s="1025"/>
      <c r="S824" s="1025"/>
      <c r="T824" s="869"/>
      <c r="U824" s="869"/>
    </row>
    <row r="825">
      <c r="A825" s="926" t="str">
        <f t="array" ref="A825">if(G825="","",XLOOKUP(D825,'プルダウンメニュー (SE用)'!$D$2:$D1028,'プルダウンメニュー (SE用)'!$C$2:$C1028))</f>
        <v/>
      </c>
      <c r="B825" s="926" t="str">
        <f>iferror(if(H825="GLOW流用","-",if(G825="","","SSE_"&amp;TEXT(vlookup(E825,'プルダウンメニュー (SE用)'!$E$2:$F1028,2,false),"000")&amp;"_"&amp;TEXT(COUNTIF($E$4:E825,E825),"000"))),"")</f>
        <v/>
      </c>
      <c r="C825" s="860"/>
      <c r="D825" s="861"/>
      <c r="E825" s="861"/>
      <c r="F825" s="861"/>
      <c r="G825" s="861"/>
      <c r="H825" s="862"/>
      <c r="I825" s="901"/>
      <c r="J825" s="902"/>
      <c r="K825" s="902"/>
      <c r="L825" s="903"/>
      <c r="M825" s="862"/>
      <c r="N825" s="1107"/>
      <c r="O825" s="1107"/>
      <c r="P825" s="1025"/>
      <c r="Q825" s="1025"/>
      <c r="R825" s="1025"/>
      <c r="S825" s="1025"/>
      <c r="T825" s="869"/>
      <c r="U825" s="869"/>
    </row>
    <row r="826">
      <c r="A826" s="926" t="str">
        <f t="array" ref="A826">if(G826="","",XLOOKUP(D826,'プルダウンメニュー (SE用)'!$D$2:$D1028,'プルダウンメニュー (SE用)'!$C$2:$C1028))</f>
        <v/>
      </c>
      <c r="B826" s="926" t="str">
        <f>iferror(if(H826="GLOW流用","-",if(G826="","","SSE_"&amp;TEXT(vlookup(E826,'プルダウンメニュー (SE用)'!$E$2:$F1028,2,false),"000")&amp;"_"&amp;TEXT(COUNTIF($E$4:E826,E826),"000"))),"")</f>
        <v/>
      </c>
      <c r="C826" s="860"/>
      <c r="D826" s="861"/>
      <c r="E826" s="861"/>
      <c r="F826" s="861"/>
      <c r="G826" s="861"/>
      <c r="H826" s="862"/>
      <c r="I826" s="901"/>
      <c r="J826" s="902"/>
      <c r="K826" s="902"/>
      <c r="L826" s="903"/>
      <c r="M826" s="862"/>
      <c r="N826" s="1107"/>
      <c r="O826" s="1107"/>
      <c r="P826" s="1025"/>
      <c r="Q826" s="1025"/>
      <c r="R826" s="1025"/>
      <c r="S826" s="1025"/>
      <c r="T826" s="869"/>
      <c r="U826" s="869"/>
    </row>
    <row r="827">
      <c r="A827" s="926" t="str">
        <f t="array" ref="A827">if(G827="","",XLOOKUP(D827,'プルダウンメニュー (SE用)'!$D$2:$D1028,'プルダウンメニュー (SE用)'!$C$2:$C1028))</f>
        <v/>
      </c>
      <c r="B827" s="926" t="str">
        <f>iferror(if(H827="GLOW流用","-",if(G827="","","SSE_"&amp;TEXT(vlookup(E827,'プルダウンメニュー (SE用)'!$E$2:$F1028,2,false),"000")&amp;"_"&amp;TEXT(COUNTIF($E$4:E827,E827),"000"))),"")</f>
        <v/>
      </c>
      <c r="C827" s="860"/>
      <c r="D827" s="861"/>
      <c r="E827" s="861"/>
      <c r="F827" s="861"/>
      <c r="G827" s="861"/>
      <c r="H827" s="862"/>
      <c r="I827" s="901"/>
      <c r="J827" s="902"/>
      <c r="K827" s="902"/>
      <c r="L827" s="903"/>
      <c r="M827" s="862"/>
      <c r="N827" s="1107"/>
      <c r="O827" s="1107"/>
      <c r="P827" s="1025"/>
      <c r="Q827" s="1025"/>
      <c r="R827" s="1025"/>
      <c r="S827" s="1025"/>
      <c r="T827" s="869"/>
      <c r="U827" s="869"/>
    </row>
    <row r="828">
      <c r="A828" s="926" t="str">
        <f t="array" ref="A828">if(G828="","",XLOOKUP(D828,'プルダウンメニュー (SE用)'!$D$2:$D1028,'プルダウンメニュー (SE用)'!$C$2:$C1028))</f>
        <v/>
      </c>
      <c r="B828" s="926" t="str">
        <f>iferror(if(H828="GLOW流用","-",if(G828="","","SSE_"&amp;TEXT(vlookup(E828,'プルダウンメニュー (SE用)'!$E$2:$F1028,2,false),"000")&amp;"_"&amp;TEXT(COUNTIF($E$4:E828,E828),"000"))),"")</f>
        <v/>
      </c>
      <c r="C828" s="860"/>
      <c r="D828" s="861"/>
      <c r="E828" s="861"/>
      <c r="F828" s="861"/>
      <c r="G828" s="861"/>
      <c r="H828" s="862"/>
      <c r="I828" s="901"/>
      <c r="J828" s="902"/>
      <c r="K828" s="902"/>
      <c r="L828" s="903"/>
      <c r="M828" s="862"/>
      <c r="N828" s="1107"/>
      <c r="O828" s="1107"/>
      <c r="P828" s="1025"/>
      <c r="Q828" s="1025"/>
      <c r="R828" s="1025"/>
      <c r="S828" s="1025"/>
      <c r="T828" s="869"/>
      <c r="U828" s="869"/>
    </row>
    <row r="829">
      <c r="A829" s="926" t="str">
        <f t="array" ref="A829">if(G829="","",XLOOKUP(D829,'プルダウンメニュー (SE用)'!$D$2:$D1028,'プルダウンメニュー (SE用)'!$C$2:$C1028))</f>
        <v/>
      </c>
      <c r="B829" s="926" t="str">
        <f>iferror(if(H829="GLOW流用","-",if(G829="","","SSE_"&amp;TEXT(vlookup(E829,'プルダウンメニュー (SE用)'!$E$2:$F1028,2,false),"000")&amp;"_"&amp;TEXT(COUNTIF($E$4:E829,E829),"000"))),"")</f>
        <v/>
      </c>
      <c r="C829" s="860"/>
      <c r="D829" s="861"/>
      <c r="E829" s="861"/>
      <c r="F829" s="861"/>
      <c r="G829" s="861"/>
      <c r="H829" s="862"/>
      <c r="I829" s="901"/>
      <c r="J829" s="902"/>
      <c r="K829" s="902"/>
      <c r="L829" s="903"/>
      <c r="M829" s="862"/>
      <c r="N829" s="1107"/>
      <c r="O829" s="1107"/>
      <c r="P829" s="1025"/>
      <c r="Q829" s="1025"/>
      <c r="R829" s="1025"/>
      <c r="S829" s="1025"/>
      <c r="T829" s="869"/>
      <c r="U829" s="869"/>
    </row>
    <row r="830">
      <c r="A830" s="926" t="str">
        <f t="array" ref="A830">if(G830="","",XLOOKUP(D830,'プルダウンメニュー (SE用)'!$D$2:$D1028,'プルダウンメニュー (SE用)'!$C$2:$C1028))</f>
        <v/>
      </c>
      <c r="B830" s="926" t="str">
        <f>iferror(if(H830="GLOW流用","-",if(G830="","","SSE_"&amp;TEXT(vlookup(E830,'プルダウンメニュー (SE用)'!$E$2:$F1028,2,false),"000")&amp;"_"&amp;TEXT(COUNTIF($E$4:E830,E830),"000"))),"")</f>
        <v/>
      </c>
      <c r="C830" s="860"/>
      <c r="D830" s="861"/>
      <c r="E830" s="861"/>
      <c r="F830" s="861"/>
      <c r="G830" s="861"/>
      <c r="H830" s="862"/>
      <c r="I830" s="901"/>
      <c r="J830" s="902"/>
      <c r="K830" s="902"/>
      <c r="L830" s="903"/>
      <c r="M830" s="862"/>
      <c r="N830" s="1107"/>
      <c r="O830" s="1107"/>
      <c r="P830" s="1025"/>
      <c r="Q830" s="1025"/>
      <c r="R830" s="1025"/>
      <c r="S830" s="1025"/>
      <c r="T830" s="869"/>
      <c r="U830" s="869"/>
    </row>
    <row r="831">
      <c r="A831" s="926" t="str">
        <f t="array" ref="A831">if(G831="","",XLOOKUP(D831,'プルダウンメニュー (SE用)'!$D$2:$D1028,'プルダウンメニュー (SE用)'!$C$2:$C1028))</f>
        <v/>
      </c>
      <c r="B831" s="926" t="str">
        <f>iferror(if(H831="GLOW流用","-",if(G831="","","SSE_"&amp;TEXT(vlookup(E831,'プルダウンメニュー (SE用)'!$E$2:$F1028,2,false),"000")&amp;"_"&amp;TEXT(COUNTIF($E$4:E831,E831),"000"))),"")</f>
        <v/>
      </c>
      <c r="C831" s="860"/>
      <c r="D831" s="861"/>
      <c r="E831" s="861"/>
      <c r="F831" s="861"/>
      <c r="G831" s="861"/>
      <c r="H831" s="1114"/>
      <c r="I831" s="901"/>
      <c r="J831" s="902"/>
      <c r="K831" s="902"/>
      <c r="L831" s="903"/>
      <c r="M831" s="1114"/>
      <c r="N831" s="1107"/>
      <c r="O831" s="1107"/>
      <c r="P831" s="1025"/>
      <c r="Q831" s="1025"/>
      <c r="R831" s="1025"/>
      <c r="S831" s="1025"/>
      <c r="T831" s="869"/>
      <c r="U831" s="869"/>
    </row>
    <row r="832">
      <c r="A832" s="926" t="str">
        <f t="array" ref="A832">if(G832="","",XLOOKUP(D832,'プルダウンメニュー (SE用)'!$D$2:$D1028,'プルダウンメニュー (SE用)'!$C$2:$C1028))</f>
        <v/>
      </c>
      <c r="B832" s="926" t="str">
        <f>iferror(if(H832="GLOW流用","-",if(G832="","","SSE_"&amp;TEXT(vlookup(E832,'プルダウンメニュー (SE用)'!$E$2:$F1028,2,false),"000")&amp;"_"&amp;TEXT(COUNTIF($E$4:E832,E832),"000"))),"")</f>
        <v/>
      </c>
      <c r="C832" s="860"/>
      <c r="D832" s="861"/>
      <c r="E832" s="861"/>
      <c r="F832" s="861"/>
      <c r="G832" s="861"/>
      <c r="H832" s="862"/>
      <c r="I832" s="901"/>
      <c r="J832" s="902"/>
      <c r="K832" s="902"/>
      <c r="L832" s="903"/>
      <c r="M832" s="862"/>
      <c r="N832" s="1107"/>
      <c r="O832" s="1107"/>
      <c r="P832" s="1025"/>
      <c r="Q832" s="1025"/>
      <c r="R832" s="1025"/>
      <c r="S832" s="1025"/>
      <c r="T832" s="869"/>
      <c r="U832" s="869"/>
    </row>
    <row r="833">
      <c r="A833" s="926" t="str">
        <f t="array" ref="A833">if(G833="","",XLOOKUP(D833,'プルダウンメニュー (SE用)'!$D$2:$D1028,'プルダウンメニュー (SE用)'!$C$2:$C1028))</f>
        <v/>
      </c>
      <c r="B833" s="926" t="str">
        <f>iferror(if(H833="GLOW流用","-",if(G833="","","SSE_"&amp;TEXT(vlookup(E833,'プルダウンメニュー (SE用)'!$E$2:$F1028,2,false),"000")&amp;"_"&amp;TEXT(COUNTIF($E$4:E833,E833),"000"))),"")</f>
        <v/>
      </c>
      <c r="C833" s="860"/>
      <c r="D833" s="861"/>
      <c r="E833" s="861"/>
      <c r="F833" s="861"/>
      <c r="G833" s="861"/>
      <c r="H833" s="862"/>
      <c r="I833" s="901"/>
      <c r="J833" s="902"/>
      <c r="K833" s="902"/>
      <c r="L833" s="903"/>
      <c r="M833" s="862"/>
      <c r="N833" s="1107"/>
      <c r="O833" s="1107"/>
      <c r="P833" s="1025"/>
      <c r="Q833" s="1025"/>
      <c r="R833" s="1025"/>
      <c r="S833" s="1025"/>
      <c r="T833" s="869"/>
      <c r="U833" s="869"/>
    </row>
    <row r="834">
      <c r="A834" s="926" t="str">
        <f t="array" ref="A834">if(G834="","",XLOOKUP(D834,'プルダウンメニュー (SE用)'!$D$2:$D1028,'プルダウンメニュー (SE用)'!$C$2:$C1028))</f>
        <v/>
      </c>
      <c r="B834" s="926" t="str">
        <f>iferror(if(H834="GLOW流用","-",if(G834="","","SSE_"&amp;TEXT(vlookup(E834,'プルダウンメニュー (SE用)'!$E$2:$F1028,2,false),"000")&amp;"_"&amp;TEXT(COUNTIF($E$4:E834,E834),"000"))),"")</f>
        <v/>
      </c>
      <c r="C834" s="860"/>
      <c r="D834" s="861"/>
      <c r="E834" s="861"/>
      <c r="F834" s="861"/>
      <c r="G834" s="861"/>
      <c r="H834" s="862"/>
      <c r="I834" s="901"/>
      <c r="J834" s="902"/>
      <c r="K834" s="902"/>
      <c r="L834" s="903"/>
      <c r="M834" s="862"/>
      <c r="N834" s="1107"/>
      <c r="O834" s="1107"/>
      <c r="P834" s="1025"/>
      <c r="Q834" s="1025"/>
      <c r="R834" s="1025"/>
      <c r="S834" s="1025"/>
      <c r="T834" s="869"/>
      <c r="U834" s="869"/>
    </row>
    <row r="835">
      <c r="A835" s="926" t="str">
        <f t="array" ref="A835">if(G835="","",XLOOKUP(D835,'プルダウンメニュー (SE用)'!$D$2:$D1028,'プルダウンメニュー (SE用)'!$C$2:$C1028))</f>
        <v/>
      </c>
      <c r="B835" s="926" t="str">
        <f>iferror(if(H835="GLOW流用","-",if(G835="","","SSE_"&amp;TEXT(vlookup(E835,'プルダウンメニュー (SE用)'!$E$2:$F1028,2,false),"000")&amp;"_"&amp;TEXT(COUNTIF($E$4:E835,E835),"000"))),"")</f>
        <v/>
      </c>
      <c r="C835" s="860"/>
      <c r="D835" s="861"/>
      <c r="E835" s="861"/>
      <c r="F835" s="861"/>
      <c r="G835" s="861"/>
      <c r="H835" s="862"/>
      <c r="I835" s="901"/>
      <c r="J835" s="902"/>
      <c r="K835" s="902"/>
      <c r="L835" s="903"/>
      <c r="M835" s="862"/>
      <c r="N835" s="1107"/>
      <c r="O835" s="1107"/>
      <c r="P835" s="1025"/>
      <c r="Q835" s="1025"/>
      <c r="R835" s="1025"/>
      <c r="S835" s="1025"/>
      <c r="T835" s="869"/>
      <c r="U835" s="869"/>
    </row>
    <row r="836">
      <c r="A836" s="926" t="str">
        <f t="array" ref="A836">if(G836="","",XLOOKUP(D836,'プルダウンメニュー (SE用)'!$D$2:$D1028,'プルダウンメニュー (SE用)'!$C$2:$C1028))</f>
        <v/>
      </c>
      <c r="B836" s="926" t="str">
        <f>iferror(if(H836="GLOW流用","-",if(G836="","","SSE_"&amp;TEXT(vlookup(E836,'プルダウンメニュー (SE用)'!$E$2:$F1028,2,false),"000")&amp;"_"&amp;TEXT(COUNTIF($E$4:E836,E836),"000"))),"")</f>
        <v/>
      </c>
      <c r="C836" s="860"/>
      <c r="D836" s="861"/>
      <c r="E836" s="861"/>
      <c r="F836" s="861"/>
      <c r="G836" s="861"/>
      <c r="H836" s="862"/>
      <c r="I836" s="901"/>
      <c r="J836" s="902"/>
      <c r="K836" s="902"/>
      <c r="L836" s="903"/>
      <c r="M836" s="862"/>
      <c r="N836" s="1107"/>
      <c r="O836" s="1107"/>
      <c r="P836" s="1025"/>
      <c r="Q836" s="1025"/>
      <c r="R836" s="1025"/>
      <c r="S836" s="1025"/>
      <c r="T836" s="869"/>
      <c r="U836" s="869"/>
    </row>
    <row r="837">
      <c r="A837" s="926" t="str">
        <f t="array" ref="A837">if(G837="","",XLOOKUP(D837,'プルダウンメニュー (SE用)'!$D$2:$D1028,'プルダウンメニュー (SE用)'!$C$2:$C1028))</f>
        <v/>
      </c>
      <c r="B837" s="926" t="str">
        <f>iferror(if(H837="GLOW流用","-",if(G837="","","SSE_"&amp;TEXT(vlookup(E837,'プルダウンメニュー (SE用)'!$E$2:$F1028,2,false),"000")&amp;"_"&amp;TEXT(COUNTIF($E$4:E837,E837),"000"))),"")</f>
        <v/>
      </c>
      <c r="C837" s="860"/>
      <c r="D837" s="861"/>
      <c r="E837" s="861"/>
      <c r="F837" s="861"/>
      <c r="G837" s="861"/>
      <c r="H837" s="862"/>
      <c r="I837" s="901"/>
      <c r="J837" s="902"/>
      <c r="K837" s="902"/>
      <c r="L837" s="903"/>
      <c r="M837" s="862"/>
      <c r="N837" s="1107"/>
      <c r="O837" s="1107"/>
      <c r="P837" s="1025"/>
      <c r="Q837" s="1025"/>
      <c r="R837" s="1025"/>
      <c r="S837" s="1025"/>
      <c r="T837" s="869"/>
      <c r="U837" s="869"/>
    </row>
    <row r="838">
      <c r="A838" s="926" t="str">
        <f t="array" ref="A838">if(G838="","",XLOOKUP(D838,'プルダウンメニュー (SE用)'!$D$2:$D1028,'プルダウンメニュー (SE用)'!$C$2:$C1028))</f>
        <v/>
      </c>
      <c r="B838" s="926" t="str">
        <f>iferror(if(H838="GLOW流用","-",if(G838="","","SSE_"&amp;TEXT(vlookup(E838,'プルダウンメニュー (SE用)'!$E$2:$F1028,2,false),"000")&amp;"_"&amp;TEXT(COUNTIF($E$4:E838,E838),"000"))),"")</f>
        <v/>
      </c>
      <c r="C838" s="860"/>
      <c r="D838" s="861"/>
      <c r="E838" s="861"/>
      <c r="F838" s="861"/>
      <c r="G838" s="861"/>
      <c r="H838" s="862"/>
      <c r="I838" s="901"/>
      <c r="J838" s="902"/>
      <c r="K838" s="902"/>
      <c r="L838" s="903"/>
      <c r="M838" s="862"/>
      <c r="N838" s="1107"/>
      <c r="O838" s="1107"/>
      <c r="P838" s="1025"/>
      <c r="Q838" s="1025"/>
      <c r="R838" s="1025"/>
      <c r="S838" s="1025"/>
      <c r="T838" s="869"/>
      <c r="U838" s="869"/>
    </row>
    <row r="839">
      <c r="A839" s="926" t="str">
        <f t="array" ref="A839">if(G839="","",XLOOKUP(D839,'プルダウンメニュー (SE用)'!$D$2:$D1028,'プルダウンメニュー (SE用)'!$C$2:$C1028))</f>
        <v/>
      </c>
      <c r="B839" s="926" t="str">
        <f>iferror(if(H839="GLOW流用","-",if(G839="","","SSE_"&amp;TEXT(vlookup(E839,'プルダウンメニュー (SE用)'!$E$2:$F1028,2,false),"000")&amp;"_"&amp;TEXT(COUNTIF($E$4:E839,E839),"000"))),"")</f>
        <v/>
      </c>
      <c r="C839" s="860"/>
      <c r="D839" s="861"/>
      <c r="E839" s="861"/>
      <c r="F839" s="861"/>
      <c r="G839" s="861"/>
      <c r="H839" s="862"/>
      <c r="I839" s="901"/>
      <c r="J839" s="902"/>
      <c r="K839" s="902"/>
      <c r="L839" s="903"/>
      <c r="M839" s="862"/>
      <c r="N839" s="1107"/>
      <c r="O839" s="1107"/>
      <c r="P839" s="1025"/>
      <c r="Q839" s="1025"/>
      <c r="R839" s="1025"/>
      <c r="S839" s="1025"/>
      <c r="T839" s="869"/>
      <c r="U839" s="869"/>
    </row>
    <row r="840">
      <c r="A840" s="926" t="str">
        <f t="array" ref="A840">if(G840="","",XLOOKUP(D840,'プルダウンメニュー (SE用)'!$D$2:$D1028,'プルダウンメニュー (SE用)'!$C$2:$C1028))</f>
        <v/>
      </c>
      <c r="B840" s="926" t="str">
        <f>iferror(if(H840="GLOW流用","-",if(G840="","","SSE_"&amp;TEXT(vlookup(E840,'プルダウンメニュー (SE用)'!$E$2:$F1028,2,false),"000")&amp;"_"&amp;TEXT(COUNTIF($E$4:E840,E840),"000"))),"")</f>
        <v/>
      </c>
      <c r="C840" s="860"/>
      <c r="D840" s="861"/>
      <c r="E840" s="861"/>
      <c r="F840" s="861"/>
      <c r="G840" s="861"/>
      <c r="H840" s="862"/>
      <c r="I840" s="901"/>
      <c r="J840" s="902"/>
      <c r="K840" s="902"/>
      <c r="L840" s="903"/>
      <c r="M840" s="862"/>
      <c r="N840" s="1107"/>
      <c r="O840" s="1107"/>
      <c r="P840" s="1025"/>
      <c r="Q840" s="1025"/>
      <c r="R840" s="1025"/>
      <c r="S840" s="1025"/>
      <c r="T840" s="869"/>
      <c r="U840" s="869"/>
    </row>
    <row r="841">
      <c r="A841" s="926" t="str">
        <f t="array" ref="A841">if(G841="","",XLOOKUP(D841,'プルダウンメニュー (SE用)'!$D$2:$D1028,'プルダウンメニュー (SE用)'!$C$2:$C1028))</f>
        <v/>
      </c>
      <c r="B841" s="926" t="str">
        <f>iferror(if(H841="GLOW流用","-",if(G841="","","SSE_"&amp;TEXT(vlookup(E841,'プルダウンメニュー (SE用)'!$E$2:$F1028,2,false),"000")&amp;"_"&amp;TEXT(COUNTIF($E$4:E841,E841),"000"))),"")</f>
        <v/>
      </c>
      <c r="C841" s="860"/>
      <c r="D841" s="861"/>
      <c r="E841" s="861"/>
      <c r="F841" s="861"/>
      <c r="G841" s="861"/>
      <c r="H841" s="862"/>
      <c r="I841" s="901"/>
      <c r="J841" s="902"/>
      <c r="K841" s="902"/>
      <c r="L841" s="903"/>
      <c r="M841" s="862"/>
      <c r="N841" s="1107"/>
      <c r="O841" s="1107"/>
      <c r="P841" s="1025"/>
      <c r="Q841" s="1025"/>
      <c r="R841" s="1025"/>
      <c r="S841" s="1025"/>
      <c r="T841" s="869"/>
      <c r="U841" s="869"/>
    </row>
    <row r="842">
      <c r="A842" s="926" t="str">
        <f t="array" ref="A842">if(G842="","",XLOOKUP(D842,'プルダウンメニュー (SE用)'!$D$2:$D1028,'プルダウンメニュー (SE用)'!$C$2:$C1028))</f>
        <v/>
      </c>
      <c r="B842" s="926" t="str">
        <f>iferror(if(H842="GLOW流用","-",if(G842="","","SSE_"&amp;TEXT(vlookup(E842,'プルダウンメニュー (SE用)'!$E$2:$F1028,2,false),"000")&amp;"_"&amp;TEXT(COUNTIF($E$4:E842,E842),"000"))),"")</f>
        <v/>
      </c>
      <c r="C842" s="860"/>
      <c r="D842" s="861"/>
      <c r="E842" s="861"/>
      <c r="F842" s="861"/>
      <c r="G842" s="861"/>
      <c r="H842" s="862"/>
      <c r="I842" s="901"/>
      <c r="J842" s="902"/>
      <c r="K842" s="902"/>
      <c r="L842" s="903"/>
      <c r="M842" s="862"/>
      <c r="N842" s="1107"/>
      <c r="O842" s="1107"/>
      <c r="P842" s="1025"/>
      <c r="Q842" s="1025"/>
      <c r="R842" s="1025"/>
      <c r="S842" s="1025"/>
      <c r="T842" s="869"/>
      <c r="U842" s="869"/>
    </row>
    <row r="843">
      <c r="A843" s="926" t="str">
        <f t="array" ref="A843">if(G843="","",XLOOKUP(D843,'プルダウンメニュー (SE用)'!$D$2:$D1028,'プルダウンメニュー (SE用)'!$C$2:$C1028))</f>
        <v/>
      </c>
      <c r="B843" s="926" t="str">
        <f>iferror(if(H843="GLOW流用","-",if(G843="","","SSE_"&amp;TEXT(vlookup(E843,'プルダウンメニュー (SE用)'!$E$2:$F1028,2,false),"000")&amp;"_"&amp;TEXT(COUNTIF($E$4:E843,E843),"000"))),"")</f>
        <v/>
      </c>
      <c r="C843" s="860"/>
      <c r="D843" s="861"/>
      <c r="E843" s="861"/>
      <c r="F843" s="861"/>
      <c r="G843" s="861"/>
      <c r="H843" s="862"/>
      <c r="I843" s="901"/>
      <c r="J843" s="902"/>
      <c r="K843" s="902"/>
      <c r="L843" s="903"/>
      <c r="M843" s="862"/>
      <c r="N843" s="1107"/>
      <c r="O843" s="1107"/>
      <c r="P843" s="1025"/>
      <c r="Q843" s="1025"/>
      <c r="R843" s="1025"/>
      <c r="S843" s="1025"/>
      <c r="T843" s="869"/>
      <c r="U843" s="869"/>
    </row>
    <row r="844">
      <c r="A844" s="926" t="str">
        <f t="array" ref="A844">if(G844="","",XLOOKUP(D844,'プルダウンメニュー (SE用)'!$D$2:$D1028,'プルダウンメニュー (SE用)'!$C$2:$C1028))</f>
        <v/>
      </c>
      <c r="B844" s="926" t="str">
        <f>iferror(if(H844="GLOW流用","-",if(G844="","","SSE_"&amp;TEXT(vlookup(E844,'プルダウンメニュー (SE用)'!$E$2:$F1028,2,false),"000")&amp;"_"&amp;TEXT(COUNTIF($E$4:E844,E844),"000"))),"")</f>
        <v/>
      </c>
      <c r="C844" s="860"/>
      <c r="D844" s="861"/>
      <c r="E844" s="861"/>
      <c r="F844" s="861"/>
      <c r="G844" s="861"/>
      <c r="H844" s="862"/>
      <c r="I844" s="901"/>
      <c r="J844" s="902"/>
      <c r="K844" s="902"/>
      <c r="L844" s="903"/>
      <c r="M844" s="862"/>
      <c r="N844" s="1107"/>
      <c r="O844" s="1107"/>
      <c r="P844" s="1025"/>
      <c r="Q844" s="1025"/>
      <c r="R844" s="1025"/>
      <c r="S844" s="1025"/>
      <c r="T844" s="869"/>
      <c r="U844" s="869"/>
    </row>
    <row r="845">
      <c r="A845" s="926" t="str">
        <f t="array" ref="A845">if(G845="","",XLOOKUP(D845,'プルダウンメニュー (SE用)'!$D$2:$D1028,'プルダウンメニュー (SE用)'!$C$2:$C1028))</f>
        <v/>
      </c>
      <c r="B845" s="926" t="str">
        <f>iferror(if(H845="GLOW流用","-",if(G845="","","SSE_"&amp;TEXT(vlookup(E845,'プルダウンメニュー (SE用)'!$E$2:$F1028,2,false),"000")&amp;"_"&amp;TEXT(COUNTIF($E$4:E845,E845),"000"))),"")</f>
        <v/>
      </c>
      <c r="C845" s="860"/>
      <c r="D845" s="861"/>
      <c r="E845" s="861"/>
      <c r="F845" s="861"/>
      <c r="G845" s="861"/>
      <c r="H845" s="862"/>
      <c r="I845" s="901"/>
      <c r="J845" s="902"/>
      <c r="K845" s="902"/>
      <c r="L845" s="903"/>
      <c r="M845" s="862"/>
      <c r="N845" s="1107"/>
      <c r="O845" s="1107"/>
      <c r="P845" s="1025"/>
      <c r="Q845" s="1025"/>
      <c r="R845" s="1025"/>
      <c r="S845" s="1025"/>
      <c r="T845" s="869"/>
      <c r="U845" s="869"/>
    </row>
    <row r="846">
      <c r="A846" s="926" t="str">
        <f t="array" ref="A846">if(G846="","",XLOOKUP(D846,'プルダウンメニュー (SE用)'!$D$2:$D1028,'プルダウンメニュー (SE用)'!$C$2:$C1028))</f>
        <v/>
      </c>
      <c r="B846" s="926" t="str">
        <f>iferror(if(H846="GLOW流用","-",if(G846="","","SSE_"&amp;TEXT(vlookup(E846,'プルダウンメニュー (SE用)'!$E$2:$F1028,2,false),"000")&amp;"_"&amp;TEXT(COUNTIF($E$4:E846,E846),"000"))),"")</f>
        <v/>
      </c>
      <c r="C846" s="860"/>
      <c r="D846" s="861"/>
      <c r="E846" s="861"/>
      <c r="F846" s="861"/>
      <c r="G846" s="861"/>
      <c r="H846" s="862"/>
      <c r="I846" s="901"/>
      <c r="J846" s="902"/>
      <c r="K846" s="902"/>
      <c r="L846" s="903"/>
      <c r="M846" s="862"/>
      <c r="N846" s="1107"/>
      <c r="O846" s="1107"/>
      <c r="P846" s="1025"/>
      <c r="Q846" s="1025"/>
      <c r="R846" s="1025"/>
      <c r="S846" s="1025"/>
      <c r="T846" s="869"/>
      <c r="U846" s="869"/>
    </row>
    <row r="847">
      <c r="A847" s="926" t="str">
        <f t="array" ref="A847">if(G847="","",XLOOKUP(D847,'プルダウンメニュー (SE用)'!$D$2:$D1028,'プルダウンメニュー (SE用)'!$C$2:$C1028))</f>
        <v/>
      </c>
      <c r="B847" s="926" t="str">
        <f>iferror(if(H847="GLOW流用","-",if(G847="","","SSE_"&amp;TEXT(vlookup(E847,'プルダウンメニュー (SE用)'!$E$2:$F1028,2,false),"000")&amp;"_"&amp;TEXT(COUNTIF($E$4:E847,E847),"000"))),"")</f>
        <v/>
      </c>
      <c r="C847" s="860"/>
      <c r="D847" s="861"/>
      <c r="E847" s="861"/>
      <c r="F847" s="861"/>
      <c r="G847" s="861"/>
      <c r="H847" s="862"/>
      <c r="I847" s="901"/>
      <c r="J847" s="902"/>
      <c r="K847" s="902"/>
      <c r="L847" s="903"/>
      <c r="M847" s="862"/>
      <c r="N847" s="1107"/>
      <c r="O847" s="1107"/>
      <c r="P847" s="1025"/>
      <c r="Q847" s="1025"/>
      <c r="R847" s="1025"/>
      <c r="S847" s="1025"/>
      <c r="T847" s="869"/>
      <c r="U847" s="869"/>
    </row>
    <row r="848">
      <c r="A848" s="926" t="str">
        <f t="array" ref="A848">if(G848="","",XLOOKUP(D848,'プルダウンメニュー (SE用)'!$D$2:$D1028,'プルダウンメニュー (SE用)'!$C$2:$C1028))</f>
        <v/>
      </c>
      <c r="B848" s="926" t="str">
        <f>iferror(if(H848="GLOW流用","-",if(G848="","","SSE_"&amp;TEXT(vlookup(E848,'プルダウンメニュー (SE用)'!$E$2:$F1028,2,false),"000")&amp;"_"&amp;TEXT(COUNTIF($E$4:E848,E848),"000"))),"")</f>
        <v/>
      </c>
      <c r="C848" s="860"/>
      <c r="D848" s="861"/>
      <c r="E848" s="861"/>
      <c r="F848" s="861"/>
      <c r="G848" s="861"/>
      <c r="H848" s="862"/>
      <c r="I848" s="901"/>
      <c r="J848" s="902"/>
      <c r="K848" s="902"/>
      <c r="L848" s="903"/>
      <c r="M848" s="862"/>
      <c r="N848" s="1107"/>
      <c r="O848" s="1107"/>
      <c r="P848" s="1025"/>
      <c r="Q848" s="1025"/>
      <c r="R848" s="1025"/>
      <c r="S848" s="1025"/>
      <c r="T848" s="869"/>
      <c r="U848" s="869"/>
    </row>
    <row r="849">
      <c r="A849" s="926" t="str">
        <f t="array" ref="A849">if(G849="","",XLOOKUP(D849,'プルダウンメニュー (SE用)'!$D$2:$D1028,'プルダウンメニュー (SE用)'!$C$2:$C1028))</f>
        <v/>
      </c>
      <c r="B849" s="926" t="str">
        <f>iferror(if(H849="GLOW流用","-",if(G849="","","SSE_"&amp;TEXT(vlookup(E849,'プルダウンメニュー (SE用)'!$E$2:$F1028,2,false),"000")&amp;"_"&amp;TEXT(COUNTIF($E$4:E849,E849),"000"))),"")</f>
        <v/>
      </c>
      <c r="C849" s="860"/>
      <c r="D849" s="861"/>
      <c r="E849" s="861"/>
      <c r="F849" s="861"/>
      <c r="G849" s="861"/>
      <c r="H849" s="862"/>
      <c r="I849" s="901"/>
      <c r="J849" s="902"/>
      <c r="K849" s="902"/>
      <c r="L849" s="903"/>
      <c r="M849" s="862"/>
      <c r="N849" s="1107"/>
      <c r="O849" s="1107"/>
      <c r="P849" s="1025"/>
      <c r="Q849" s="1025"/>
      <c r="R849" s="1025"/>
      <c r="S849" s="1025"/>
      <c r="T849" s="869"/>
      <c r="U849" s="869"/>
    </row>
    <row r="850">
      <c r="A850" s="926" t="str">
        <f t="array" ref="A850">if(G850="","",XLOOKUP(D850,'プルダウンメニュー (SE用)'!$D$2:$D1028,'プルダウンメニュー (SE用)'!$C$2:$C1028))</f>
        <v/>
      </c>
      <c r="B850" s="926" t="str">
        <f>iferror(if(H850="GLOW流用","-",if(G850="","","SSE_"&amp;TEXT(vlookup(E850,'プルダウンメニュー (SE用)'!$E$2:$F1028,2,false),"000")&amp;"_"&amp;TEXT(COUNTIF($E$4:E850,E850),"000"))),"")</f>
        <v/>
      </c>
      <c r="C850" s="860"/>
      <c r="D850" s="861"/>
      <c r="E850" s="861"/>
      <c r="F850" s="861"/>
      <c r="G850" s="861"/>
      <c r="H850" s="862"/>
      <c r="I850" s="901"/>
      <c r="J850" s="902"/>
      <c r="K850" s="902"/>
      <c r="L850" s="903"/>
      <c r="M850" s="862"/>
      <c r="N850" s="1107"/>
      <c r="O850" s="1107"/>
      <c r="P850" s="1025"/>
      <c r="Q850" s="1025"/>
      <c r="R850" s="1025"/>
      <c r="S850" s="1025"/>
      <c r="T850" s="869"/>
      <c r="U850" s="869"/>
    </row>
    <row r="851">
      <c r="A851" s="926" t="str">
        <f t="array" ref="A851">if(G851="","",XLOOKUP(D851,'プルダウンメニュー (SE用)'!$D$2:$D1028,'プルダウンメニュー (SE用)'!$C$2:$C1028))</f>
        <v/>
      </c>
      <c r="B851" s="926" t="str">
        <f>iferror(if(H851="GLOW流用","-",if(G851="","","SSE_"&amp;TEXT(vlookup(E851,'プルダウンメニュー (SE用)'!$E$2:$F1028,2,false),"000")&amp;"_"&amp;TEXT(COUNTIF($E$4:E851,E851),"000"))),"")</f>
        <v/>
      </c>
      <c r="C851" s="860"/>
      <c r="D851" s="861"/>
      <c r="E851" s="861"/>
      <c r="F851" s="861"/>
      <c r="G851" s="861"/>
      <c r="H851" s="862"/>
      <c r="I851" s="901"/>
      <c r="J851" s="902"/>
      <c r="K851" s="902"/>
      <c r="L851" s="903"/>
      <c r="M851" s="862"/>
      <c r="N851" s="1107"/>
      <c r="O851" s="1107"/>
      <c r="P851" s="1025"/>
      <c r="Q851" s="1025"/>
      <c r="R851" s="1025"/>
      <c r="S851" s="1025"/>
      <c r="T851" s="869"/>
      <c r="U851" s="869"/>
    </row>
    <row r="852">
      <c r="A852" s="926" t="str">
        <f t="array" ref="A852">if(G852="","",XLOOKUP(D852,'プルダウンメニュー (SE用)'!$D$2:$D1028,'プルダウンメニュー (SE用)'!$C$2:$C1028))</f>
        <v/>
      </c>
      <c r="B852" s="926" t="str">
        <f>iferror(if(H852="GLOW流用","-",if(G852="","","SSE_"&amp;TEXT(vlookup(E852,'プルダウンメニュー (SE用)'!$E$2:$F1028,2,false),"000")&amp;"_"&amp;TEXT(COUNTIF($E$4:E852,E852),"000"))),"")</f>
        <v/>
      </c>
      <c r="C852" s="860"/>
      <c r="D852" s="861"/>
      <c r="E852" s="861"/>
      <c r="F852" s="861"/>
      <c r="G852" s="861"/>
      <c r="H852" s="862"/>
      <c r="I852" s="901"/>
      <c r="J852" s="902"/>
      <c r="K852" s="902"/>
      <c r="L852" s="903"/>
      <c r="M852" s="862"/>
      <c r="N852" s="1107"/>
      <c r="O852" s="1107"/>
      <c r="P852" s="1025"/>
      <c r="Q852" s="1025"/>
      <c r="R852" s="1025"/>
      <c r="S852" s="1025"/>
      <c r="T852" s="869"/>
      <c r="U852" s="869"/>
    </row>
    <row r="853">
      <c r="A853" s="926" t="str">
        <f t="array" ref="A853">if(G853="","",XLOOKUP(D853,'プルダウンメニュー (SE用)'!$D$2:$D1028,'プルダウンメニュー (SE用)'!$C$2:$C1028))</f>
        <v/>
      </c>
      <c r="B853" s="926" t="str">
        <f>iferror(if(H853="GLOW流用","-",if(G853="","","SSE_"&amp;TEXT(vlookup(E853,'プルダウンメニュー (SE用)'!$E$2:$F1028,2,false),"000")&amp;"_"&amp;TEXT(COUNTIF($E$4:E853,E853),"000"))),"")</f>
        <v/>
      </c>
      <c r="C853" s="860"/>
      <c r="D853" s="861"/>
      <c r="E853" s="861"/>
      <c r="F853" s="861"/>
      <c r="G853" s="1115"/>
      <c r="H853" s="862"/>
      <c r="I853" s="901"/>
      <c r="J853" s="902"/>
      <c r="K853" s="902"/>
      <c r="L853" s="903"/>
      <c r="M853" s="862"/>
      <c r="N853" s="1107"/>
      <c r="O853" s="1107"/>
      <c r="P853" s="1025"/>
      <c r="Q853" s="1025"/>
      <c r="R853" s="1025"/>
      <c r="S853" s="1025"/>
      <c r="T853" s="869"/>
      <c r="U853" s="869"/>
    </row>
    <row r="854">
      <c r="A854" s="926" t="str">
        <f t="array" ref="A854">if(G854="","",XLOOKUP(D854,'プルダウンメニュー (SE用)'!$D$2:$D1028,'プルダウンメニュー (SE用)'!$C$2:$C1028))</f>
        <v/>
      </c>
      <c r="B854" s="926" t="str">
        <f>iferror(if(H854="GLOW流用","-",if(G854="","","SSE_"&amp;TEXT(vlookup(E854,'プルダウンメニュー (SE用)'!$E$2:$F1028,2,false),"000")&amp;"_"&amp;TEXT(COUNTIF($E$4:E854,E854),"000"))),"")</f>
        <v/>
      </c>
      <c r="C854" s="860"/>
      <c r="D854" s="861"/>
      <c r="E854" s="861"/>
      <c r="F854" s="861"/>
      <c r="G854" s="1115"/>
      <c r="H854" s="862"/>
      <c r="I854" s="901"/>
      <c r="J854" s="902"/>
      <c r="K854" s="902"/>
      <c r="L854" s="903"/>
      <c r="M854" s="862"/>
      <c r="N854" s="1107"/>
      <c r="O854" s="1107"/>
      <c r="P854" s="1025"/>
      <c r="Q854" s="1025"/>
      <c r="R854" s="1025"/>
      <c r="S854" s="1025"/>
      <c r="T854" s="869"/>
      <c r="U854" s="869"/>
    </row>
    <row r="855">
      <c r="A855" s="926" t="str">
        <f t="array" ref="A855">if(G855="","",XLOOKUP(D855,'プルダウンメニュー (SE用)'!$D$2:$D1028,'プルダウンメニュー (SE用)'!$C$2:$C1028))</f>
        <v/>
      </c>
      <c r="B855" s="926" t="str">
        <f>iferror(if(H855="GLOW流用","-",if(G855="","","SSE_"&amp;TEXT(vlookup(E855,'プルダウンメニュー (SE用)'!$E$2:$F1028,2,false),"000")&amp;"_"&amp;TEXT(COUNTIF($E$4:E855,E855),"000"))),"")</f>
        <v/>
      </c>
      <c r="C855" s="860"/>
      <c r="D855" s="861"/>
      <c r="E855" s="861"/>
      <c r="F855" s="861"/>
      <c r="G855" s="1115"/>
      <c r="H855" s="862"/>
      <c r="I855" s="901"/>
      <c r="J855" s="902"/>
      <c r="K855" s="902"/>
      <c r="L855" s="903"/>
      <c r="M855" s="862"/>
      <c r="N855" s="1107"/>
      <c r="O855" s="1107"/>
      <c r="P855" s="1025"/>
      <c r="Q855" s="1025"/>
      <c r="R855" s="1025"/>
      <c r="S855" s="1025"/>
      <c r="T855" s="869"/>
      <c r="U855" s="869"/>
    </row>
    <row r="856">
      <c r="A856" s="926" t="str">
        <f t="array" ref="A856">if(G856="","",XLOOKUP(D856,'プルダウンメニュー (SE用)'!$D$2:$D1028,'プルダウンメニュー (SE用)'!$C$2:$C1028))</f>
        <v/>
      </c>
      <c r="B856" s="926" t="str">
        <f>iferror(if(H856="GLOW流用","-",if(G856="","","SSE_"&amp;TEXT(vlookup(E856,'プルダウンメニュー (SE用)'!$E$2:$F1028,2,false),"000")&amp;"_"&amp;TEXT(COUNTIF($E$4:E856,E856),"000"))),"")</f>
        <v/>
      </c>
      <c r="C856" s="860"/>
      <c r="D856" s="861"/>
      <c r="E856" s="861"/>
      <c r="F856" s="861"/>
      <c r="G856" s="1115"/>
      <c r="H856" s="862"/>
      <c r="I856" s="901"/>
      <c r="J856" s="902"/>
      <c r="K856" s="902"/>
      <c r="L856" s="903"/>
      <c r="M856" s="862"/>
      <c r="N856" s="1107"/>
      <c r="O856" s="1107"/>
      <c r="P856" s="1025"/>
      <c r="Q856" s="1025"/>
      <c r="R856" s="1025"/>
      <c r="S856" s="1025"/>
      <c r="T856" s="869"/>
      <c r="U856" s="869"/>
    </row>
    <row r="857">
      <c r="A857" s="926" t="str">
        <f t="array" ref="A857">if(G857="","",XLOOKUP(D857,'プルダウンメニュー (SE用)'!$D$2:$D1028,'プルダウンメニュー (SE用)'!$C$2:$C1028))</f>
        <v/>
      </c>
      <c r="B857" s="926" t="str">
        <f>iferror(if(H857="GLOW流用","-",if(G857="","","SSE_"&amp;TEXT(vlookup(E857,'プルダウンメニュー (SE用)'!$E$2:$F1028,2,false),"000")&amp;"_"&amp;TEXT(COUNTIF($E$4:E857,E857),"000"))),"")</f>
        <v/>
      </c>
      <c r="C857" s="860"/>
      <c r="D857" s="861"/>
      <c r="E857" s="861"/>
      <c r="F857" s="861"/>
      <c r="G857" s="1116"/>
      <c r="H857" s="862"/>
      <c r="I857" s="901"/>
      <c r="J857" s="902"/>
      <c r="K857" s="902"/>
      <c r="L857" s="903"/>
      <c r="M857" s="862"/>
      <c r="N857" s="1107"/>
      <c r="O857" s="1107"/>
      <c r="P857" s="1025"/>
      <c r="Q857" s="1025"/>
      <c r="R857" s="1025"/>
      <c r="S857" s="1025"/>
      <c r="T857" s="869"/>
      <c r="U857" s="869"/>
    </row>
    <row r="858">
      <c r="A858" s="926" t="str">
        <f t="array" ref="A858">if(G858="","",XLOOKUP(D858,'プルダウンメニュー (SE用)'!$D$2:$D1028,'プルダウンメニュー (SE用)'!$C$2:$C1028))</f>
        <v/>
      </c>
      <c r="B858" s="926" t="str">
        <f>iferror(if(H858="GLOW流用","-",if(G858="","","SSE_"&amp;TEXT(vlookup(E858,'プルダウンメニュー (SE用)'!$E$2:$F1028,2,false),"000")&amp;"_"&amp;TEXT(COUNTIF($E$4:E858,E858),"000"))),"")</f>
        <v/>
      </c>
      <c r="C858" s="860"/>
      <c r="D858" s="861"/>
      <c r="E858" s="861"/>
      <c r="F858" s="861"/>
      <c r="G858" s="1116"/>
      <c r="H858" s="862"/>
      <c r="I858" s="901"/>
      <c r="J858" s="902"/>
      <c r="K858" s="902"/>
      <c r="L858" s="903"/>
      <c r="M858" s="862"/>
      <c r="N858" s="1107"/>
      <c r="O858" s="1107"/>
      <c r="P858" s="1025"/>
      <c r="Q858" s="1025"/>
      <c r="R858" s="1025"/>
      <c r="S858" s="1025"/>
      <c r="T858" s="869"/>
      <c r="U858" s="869"/>
    </row>
    <row r="859">
      <c r="A859" s="926" t="str">
        <f t="array" ref="A859">if(G859="","",XLOOKUP(D859,'プルダウンメニュー (SE用)'!$D$2:$D1028,'プルダウンメニュー (SE用)'!$C$2:$C1028))</f>
        <v/>
      </c>
      <c r="B859" s="926" t="str">
        <f>iferror(if(H859="GLOW流用","-",if(G859="","","SSE_"&amp;TEXT(vlookup(E859,'プルダウンメニュー (SE用)'!$E$2:$F1028,2,false),"000")&amp;"_"&amp;TEXT(COUNTIF($E$4:E859,E859),"000"))),"")</f>
        <v/>
      </c>
      <c r="C859" s="860"/>
      <c r="D859" s="861"/>
      <c r="E859" s="861"/>
      <c r="F859" s="927"/>
      <c r="G859" s="1117"/>
      <c r="H859" s="899"/>
      <c r="I859" s="896"/>
      <c r="J859" s="928"/>
      <c r="K859" s="928"/>
      <c r="L859" s="898"/>
      <c r="M859" s="862"/>
      <c r="N859" s="1107"/>
      <c r="O859" s="1107"/>
      <c r="P859" s="1025"/>
      <c r="Q859" s="1025"/>
      <c r="R859" s="1025"/>
      <c r="S859" s="1025"/>
      <c r="T859" s="869"/>
      <c r="U859" s="869"/>
    </row>
    <row r="860">
      <c r="A860" s="926" t="str">
        <f t="array" ref="A860">if(G860="","",XLOOKUP(D860,'プルダウンメニュー (SE用)'!$D$2:$D1028,'プルダウンメニュー (SE用)'!$C$2:$C1028))</f>
        <v/>
      </c>
      <c r="B860" s="926" t="str">
        <f>iferror(if(H860="GLOW流用","-",if(G860="","","SSE_"&amp;TEXT(vlookup(E860,'プルダウンメニュー (SE用)'!$E$2:$F1028,2,false),"000")&amp;"_"&amp;TEXT(COUNTIF($E$4:E860,E860),"000"))),"")</f>
        <v/>
      </c>
      <c r="C860" s="860"/>
      <c r="D860" s="861"/>
      <c r="E860" s="861"/>
      <c r="F860" s="927"/>
      <c r="G860" s="1117"/>
      <c r="H860" s="899"/>
      <c r="I860" s="896"/>
      <c r="J860" s="928"/>
      <c r="K860" s="928"/>
      <c r="L860" s="898"/>
      <c r="M860" s="862"/>
      <c r="N860" s="1107"/>
      <c r="O860" s="1107"/>
      <c r="P860" s="1025"/>
      <c r="Q860" s="1025"/>
      <c r="R860" s="1025"/>
      <c r="S860" s="1025"/>
      <c r="T860" s="869"/>
      <c r="U860" s="869"/>
    </row>
    <row r="861">
      <c r="A861" s="926" t="str">
        <f t="array" ref="A861">if(G861="","",XLOOKUP(D861,'プルダウンメニュー (SE用)'!$D$2:$D1028,'プルダウンメニュー (SE用)'!$C$2:$C1028))</f>
        <v/>
      </c>
      <c r="B861" s="926" t="str">
        <f>iferror(if(H861="GLOW流用","-",if(G861="","","SSE_"&amp;TEXT(vlookup(E861,'プルダウンメニュー (SE用)'!$E$2:$F1028,2,false),"000")&amp;"_"&amp;TEXT(COUNTIF($E$4:E861,E861),"000"))),"")</f>
        <v/>
      </c>
      <c r="C861" s="860"/>
      <c r="D861" s="861"/>
      <c r="E861" s="861"/>
      <c r="F861" s="861"/>
      <c r="G861" s="861"/>
      <c r="H861" s="862"/>
      <c r="I861" s="901"/>
      <c r="J861" s="902"/>
      <c r="K861" s="902"/>
      <c r="L861" s="903"/>
      <c r="M861" s="862"/>
      <c r="N861" s="1107"/>
      <c r="O861" s="1107"/>
      <c r="P861" s="1025"/>
      <c r="Q861" s="1025"/>
      <c r="R861" s="1025"/>
      <c r="S861" s="1025"/>
      <c r="T861" s="869"/>
      <c r="U861" s="869"/>
    </row>
    <row r="862">
      <c r="A862" s="926" t="str">
        <f t="array" ref="A862">if(G862="","",XLOOKUP(D862,'プルダウンメニュー (SE用)'!$D$2:$D1028,'プルダウンメニュー (SE用)'!$C$2:$C1028))</f>
        <v/>
      </c>
      <c r="B862" s="926" t="str">
        <f>iferror(if(H862="GLOW流用","-",if(G862="","","SSE_"&amp;TEXT(vlookup(E862,'プルダウンメニュー (SE用)'!$E$2:$F1028,2,false),"000")&amp;"_"&amp;TEXT(COUNTIF($E$4:E862,E862),"000"))),"")</f>
        <v/>
      </c>
      <c r="C862" s="860"/>
      <c r="D862" s="861"/>
      <c r="E862" s="861"/>
      <c r="F862" s="861"/>
      <c r="G862" s="1116"/>
      <c r="H862" s="862"/>
      <c r="I862" s="901"/>
      <c r="J862" s="902"/>
      <c r="K862" s="902"/>
      <c r="L862" s="903"/>
      <c r="M862" s="862"/>
      <c r="N862" s="1107"/>
      <c r="O862" s="1107"/>
      <c r="P862" s="1025"/>
      <c r="Q862" s="1025"/>
      <c r="R862" s="1025"/>
      <c r="S862" s="1025"/>
      <c r="T862" s="869"/>
      <c r="U862" s="869"/>
    </row>
    <row r="863">
      <c r="A863" s="926" t="str">
        <f t="array" ref="A863">if(G863="","",XLOOKUP(D863,'プルダウンメニュー (SE用)'!$D$2:$D1028,'プルダウンメニュー (SE用)'!$C$2:$C1028))</f>
        <v/>
      </c>
      <c r="B863" s="926" t="str">
        <f>iferror(if(H863="GLOW流用","-",if(G863="","","SSE_"&amp;TEXT(vlookup(E863,'プルダウンメニュー (SE用)'!$E$2:$F1028,2,false),"000")&amp;"_"&amp;TEXT(COUNTIF($E$4:E863,E863),"000"))),"")</f>
        <v/>
      </c>
      <c r="C863" s="860"/>
      <c r="D863" s="861"/>
      <c r="E863" s="861"/>
      <c r="F863" s="861"/>
      <c r="G863" s="861"/>
      <c r="H863" s="862"/>
      <c r="I863" s="901"/>
      <c r="J863" s="902"/>
      <c r="K863" s="902"/>
      <c r="L863" s="903"/>
      <c r="M863" s="862"/>
      <c r="N863" s="1107"/>
      <c r="O863" s="1107"/>
      <c r="P863" s="1025"/>
      <c r="Q863" s="1025"/>
      <c r="R863" s="1025"/>
      <c r="S863" s="1025"/>
      <c r="T863" s="869"/>
      <c r="U863" s="869"/>
    </row>
    <row r="864">
      <c r="A864" s="926" t="str">
        <f t="array" ref="A864">if(G864="","",XLOOKUP(D864,'プルダウンメニュー (SE用)'!$D$2:$D1028,'プルダウンメニュー (SE用)'!$C$2:$C1028))</f>
        <v/>
      </c>
      <c r="B864" s="926" t="str">
        <f>iferror(if(H864="GLOW流用","-",if(G864="","","SSE_"&amp;TEXT(vlookup(E864,'プルダウンメニュー (SE用)'!$E$2:$F1028,2,false),"000")&amp;"_"&amp;TEXT(COUNTIF($E$4:E864,E864),"000"))),"")</f>
        <v/>
      </c>
      <c r="C864" s="860"/>
      <c r="D864" s="861"/>
      <c r="E864" s="861"/>
      <c r="F864" s="861"/>
      <c r="G864" s="861"/>
      <c r="H864" s="862"/>
      <c r="I864" s="901"/>
      <c r="J864" s="902"/>
      <c r="K864" s="902"/>
      <c r="L864" s="903"/>
      <c r="M864" s="862"/>
      <c r="N864" s="1107"/>
      <c r="O864" s="1107"/>
      <c r="P864" s="1025"/>
      <c r="Q864" s="1025"/>
      <c r="R864" s="1025"/>
      <c r="S864" s="1025"/>
      <c r="T864" s="869"/>
      <c r="U864" s="869"/>
    </row>
    <row r="865">
      <c r="A865" s="926" t="str">
        <f t="array" ref="A865">if(G865="","",XLOOKUP(D865,'プルダウンメニュー (SE用)'!$D$2:$D1028,'プルダウンメニュー (SE用)'!$C$2:$C1028))</f>
        <v/>
      </c>
      <c r="B865" s="926" t="str">
        <f>iferror(if(H865="GLOW流用","-",if(G865="","","SSE_"&amp;TEXT(vlookup(E865,'プルダウンメニュー (SE用)'!$E$2:$F1028,2,false),"000")&amp;"_"&amp;TEXT(COUNTIF($E$4:E865,E865),"000"))),"")</f>
        <v/>
      </c>
      <c r="C865" s="860"/>
      <c r="D865" s="861"/>
      <c r="E865" s="861"/>
      <c r="F865" s="861"/>
      <c r="G865" s="861"/>
      <c r="H865" s="862"/>
      <c r="I865" s="901"/>
      <c r="J865" s="902"/>
      <c r="K865" s="902"/>
      <c r="L865" s="903"/>
      <c r="M865" s="862"/>
      <c r="N865" s="1107"/>
      <c r="O865" s="1107"/>
      <c r="P865" s="1025"/>
      <c r="Q865" s="1025"/>
      <c r="R865" s="1025"/>
      <c r="S865" s="1025"/>
      <c r="T865" s="869"/>
      <c r="U865" s="869"/>
    </row>
    <row r="866">
      <c r="A866" s="926" t="str">
        <f t="array" ref="A866">if(G866="","",XLOOKUP(D866,'プルダウンメニュー (SE用)'!$D$2:$D1028,'プルダウンメニュー (SE用)'!$C$2:$C1028))</f>
        <v/>
      </c>
      <c r="B866" s="926" t="str">
        <f>iferror(if(H866="GLOW流用","-",if(G866="","","SSE_"&amp;TEXT(vlookup(E866,'プルダウンメニュー (SE用)'!$E$2:$F1028,2,false),"000")&amp;"_"&amp;TEXT(COUNTIF($E$4:E866,E866),"000"))),"")</f>
        <v/>
      </c>
      <c r="C866" s="860"/>
      <c r="D866" s="861"/>
      <c r="E866" s="861"/>
      <c r="F866" s="861"/>
      <c r="G866" s="861"/>
      <c r="H866" s="862"/>
      <c r="I866" s="901"/>
      <c r="J866" s="902"/>
      <c r="K866" s="902"/>
      <c r="L866" s="903"/>
      <c r="M866" s="862"/>
      <c r="N866" s="1107"/>
      <c r="O866" s="1107"/>
      <c r="P866" s="1025"/>
      <c r="Q866" s="1025"/>
      <c r="R866" s="1025"/>
      <c r="S866" s="1025"/>
      <c r="T866" s="869"/>
      <c r="U866" s="869"/>
    </row>
    <row r="867">
      <c r="A867" s="926" t="str">
        <f t="array" ref="A867">if(G867="","",XLOOKUP(D867,'プルダウンメニュー (SE用)'!$D$2:$D1028,'プルダウンメニュー (SE用)'!$C$2:$C1028))</f>
        <v/>
      </c>
      <c r="B867" s="926" t="str">
        <f>iferror(if(H867="GLOW流用","-",if(G867="","","SSE_"&amp;TEXT(vlookup(E867,'プルダウンメニュー (SE用)'!$E$2:$F1028,2,false),"000")&amp;"_"&amp;TEXT(COUNTIF($E$4:E867,E867),"000"))),"")</f>
        <v/>
      </c>
      <c r="C867" s="860"/>
      <c r="D867" s="861"/>
      <c r="E867" s="861"/>
      <c r="F867" s="861"/>
      <c r="G867" s="861"/>
      <c r="H867" s="862"/>
      <c r="I867" s="901"/>
      <c r="J867" s="902"/>
      <c r="K867" s="902"/>
      <c r="L867" s="903"/>
      <c r="M867" s="862"/>
      <c r="N867" s="1107"/>
      <c r="O867" s="1107"/>
      <c r="P867" s="1025"/>
      <c r="Q867" s="1025"/>
      <c r="R867" s="1025"/>
      <c r="S867" s="1025"/>
      <c r="T867" s="869"/>
      <c r="U867" s="869"/>
    </row>
    <row r="868">
      <c r="A868" s="926" t="str">
        <f t="array" ref="A868">if(G868="","",XLOOKUP(D868,'プルダウンメニュー (SE用)'!$D$2:$D1028,'プルダウンメニュー (SE用)'!$C$2:$C1028))</f>
        <v/>
      </c>
      <c r="B868" s="926" t="str">
        <f>iferror(if(H868="GLOW流用","-",if(G868="","","SSE_"&amp;TEXT(vlookup(E868,'プルダウンメニュー (SE用)'!$E$2:$F1028,2,false),"000")&amp;"_"&amp;TEXT(COUNTIF($E$4:E868,E868),"000"))),"")</f>
        <v/>
      </c>
      <c r="C868" s="860"/>
      <c r="D868" s="861"/>
      <c r="E868" s="861"/>
      <c r="F868" s="861"/>
      <c r="G868" s="861"/>
      <c r="H868" s="862"/>
      <c r="I868" s="901"/>
      <c r="J868" s="902"/>
      <c r="K868" s="902"/>
      <c r="L868" s="903"/>
      <c r="M868" s="862"/>
      <c r="N868" s="1107"/>
      <c r="O868" s="1107"/>
      <c r="P868" s="1025"/>
      <c r="Q868" s="1025"/>
      <c r="R868" s="1025"/>
      <c r="S868" s="1025"/>
      <c r="T868" s="869"/>
      <c r="U868" s="869"/>
    </row>
    <row r="869">
      <c r="A869" s="926" t="str">
        <f t="array" ref="A869">if(G869="","",XLOOKUP(D869,'プルダウンメニュー (SE用)'!$D$2:$D1028,'プルダウンメニュー (SE用)'!$C$2:$C1028))</f>
        <v/>
      </c>
      <c r="B869" s="926" t="str">
        <f>iferror(if(H869="GLOW流用","-",if(G869="","","SSE_"&amp;TEXT(vlookup(E869,'プルダウンメニュー (SE用)'!$E$2:$F1028,2,false),"000")&amp;"_"&amp;TEXT(COUNTIF($E$4:E869,E869),"000"))),"")</f>
        <v/>
      </c>
      <c r="C869" s="860"/>
      <c r="D869" s="861"/>
      <c r="E869" s="861"/>
      <c r="F869" s="861"/>
      <c r="G869" s="861"/>
      <c r="H869" s="862"/>
      <c r="I869" s="901"/>
      <c r="J869" s="902"/>
      <c r="K869" s="902"/>
      <c r="L869" s="903"/>
      <c r="M869" s="862"/>
      <c r="N869" s="1107"/>
      <c r="O869" s="1107"/>
      <c r="P869" s="1025"/>
      <c r="Q869" s="1025"/>
      <c r="R869" s="1025"/>
      <c r="S869" s="1025"/>
      <c r="T869" s="869"/>
      <c r="U869" s="869"/>
    </row>
    <row r="870">
      <c r="A870" s="926" t="str">
        <f t="array" ref="A870">if(G870="","",XLOOKUP(D870,'プルダウンメニュー (SE用)'!$D$2:$D1028,'プルダウンメニュー (SE用)'!$C$2:$C1028))</f>
        <v/>
      </c>
      <c r="B870" s="926" t="str">
        <f>iferror(if(H870="GLOW流用","-",if(G870="","","SSE_"&amp;TEXT(vlookup(E870,'プルダウンメニュー (SE用)'!$E$2:$F1028,2,false),"000")&amp;"_"&amp;TEXT(COUNTIF($E$4:E870,E870),"000"))),"")</f>
        <v/>
      </c>
      <c r="C870" s="860"/>
      <c r="D870" s="861"/>
      <c r="E870" s="861"/>
      <c r="F870" s="861"/>
      <c r="G870" s="861"/>
      <c r="H870" s="862"/>
      <c r="I870" s="901"/>
      <c r="J870" s="902"/>
      <c r="K870" s="902"/>
      <c r="L870" s="903"/>
      <c r="M870" s="862"/>
      <c r="N870" s="1107"/>
      <c r="O870" s="1107"/>
      <c r="P870" s="1025"/>
      <c r="Q870" s="1025"/>
      <c r="R870" s="1025"/>
      <c r="S870" s="1025"/>
      <c r="T870" s="869"/>
      <c r="U870" s="869"/>
    </row>
    <row r="871">
      <c r="A871" s="926" t="str">
        <f t="array" ref="A871">if(G871="","",XLOOKUP(D871,'プルダウンメニュー (SE用)'!$D$2:$D1028,'プルダウンメニュー (SE用)'!$C$2:$C1028))</f>
        <v/>
      </c>
      <c r="B871" s="926" t="str">
        <f>iferror(if(H871="GLOW流用","-",if(G871="","","SSE_"&amp;TEXT(vlookup(E871,'プルダウンメニュー (SE用)'!$E$2:$F1028,2,false),"000")&amp;"_"&amp;TEXT(COUNTIF($E$4:E871,E871),"000"))),"")</f>
        <v/>
      </c>
      <c r="C871" s="860"/>
      <c r="D871" s="861"/>
      <c r="E871" s="861"/>
      <c r="F871" s="861"/>
      <c r="G871" s="861"/>
      <c r="H871" s="862"/>
      <c r="I871" s="901"/>
      <c r="J871" s="902"/>
      <c r="K871" s="902"/>
      <c r="L871" s="903"/>
      <c r="M871" s="862"/>
      <c r="N871" s="1107"/>
      <c r="O871" s="1107"/>
      <c r="P871" s="1025"/>
      <c r="Q871" s="1025"/>
      <c r="R871" s="1025"/>
      <c r="S871" s="1025"/>
      <c r="T871" s="869"/>
      <c r="U871" s="869"/>
    </row>
    <row r="872">
      <c r="A872" s="926" t="str">
        <f t="array" ref="A872">if(G872="","",XLOOKUP(D872,'プルダウンメニュー (SE用)'!$D$2:$D1028,'プルダウンメニュー (SE用)'!$C$2:$C1028))</f>
        <v/>
      </c>
      <c r="B872" s="926" t="str">
        <f>iferror(if(H872="GLOW流用","-",if(G872="","","SSE_"&amp;TEXT(vlookup(E872,'プルダウンメニュー (SE用)'!$E$2:$F1028,2,false),"000")&amp;"_"&amp;TEXT(COUNTIF($E$4:E872,E872),"000"))),"")</f>
        <v/>
      </c>
      <c r="C872" s="860"/>
      <c r="D872" s="861"/>
      <c r="E872" s="861"/>
      <c r="F872" s="861"/>
      <c r="G872" s="861"/>
      <c r="H872" s="862"/>
      <c r="I872" s="901"/>
      <c r="J872" s="902"/>
      <c r="K872" s="902"/>
      <c r="L872" s="903"/>
      <c r="M872" s="862"/>
      <c r="N872" s="1107"/>
      <c r="O872" s="1107"/>
      <c r="P872" s="1025"/>
      <c r="Q872" s="1025"/>
      <c r="R872" s="1025"/>
      <c r="S872" s="1025"/>
      <c r="T872" s="869"/>
      <c r="U872" s="869"/>
    </row>
    <row r="873">
      <c r="A873" s="926" t="str">
        <f t="array" ref="A873">if(G873="","",XLOOKUP(D873,'プルダウンメニュー (SE用)'!$D$2:$D1028,'プルダウンメニュー (SE用)'!$C$2:$C1028))</f>
        <v/>
      </c>
      <c r="B873" s="926" t="str">
        <f>iferror(if(H873="GLOW流用","-",if(G873="","","SSE_"&amp;TEXT(vlookup(E873,'プルダウンメニュー (SE用)'!$E$2:$F1028,2,false),"000")&amp;"_"&amp;TEXT(COUNTIF($E$4:E873,E873),"000"))),"")</f>
        <v/>
      </c>
      <c r="C873" s="860"/>
      <c r="D873" s="861"/>
      <c r="E873" s="861"/>
      <c r="F873" s="861"/>
      <c r="G873" s="861"/>
      <c r="H873" s="862"/>
      <c r="I873" s="901"/>
      <c r="J873" s="902"/>
      <c r="K873" s="902"/>
      <c r="L873" s="903"/>
      <c r="M873" s="862"/>
      <c r="N873" s="1107"/>
      <c r="O873" s="1107"/>
      <c r="P873" s="1025"/>
      <c r="Q873" s="1025"/>
      <c r="R873" s="1025"/>
      <c r="S873" s="1025"/>
      <c r="T873" s="869"/>
      <c r="U873" s="869"/>
    </row>
    <row r="874">
      <c r="A874" s="926" t="str">
        <f t="array" ref="A874">if(G874="","",XLOOKUP(D874,'プルダウンメニュー (SE用)'!$D$2:$D1028,'プルダウンメニュー (SE用)'!$C$2:$C1028))</f>
        <v/>
      </c>
      <c r="B874" s="926" t="str">
        <f>iferror(if(H874="GLOW流用","-",if(G874="","","SSE_"&amp;TEXT(vlookup(E874,'プルダウンメニュー (SE用)'!$E$2:$F1028,2,false),"000")&amp;"_"&amp;TEXT(COUNTIF($E$4:E874,E874),"000"))),"")</f>
        <v/>
      </c>
      <c r="C874" s="860"/>
      <c r="D874" s="861"/>
      <c r="E874" s="861"/>
      <c r="F874" s="861"/>
      <c r="G874" s="861"/>
      <c r="H874" s="1114"/>
      <c r="I874" s="901"/>
      <c r="J874" s="902"/>
      <c r="K874" s="902"/>
      <c r="L874" s="903"/>
      <c r="M874" s="1114"/>
      <c r="N874" s="1107"/>
      <c r="O874" s="1107"/>
      <c r="P874" s="1025"/>
      <c r="Q874" s="1025"/>
      <c r="R874" s="1025"/>
      <c r="S874" s="1025"/>
      <c r="T874" s="869"/>
      <c r="U874" s="869"/>
    </row>
    <row r="875">
      <c r="A875" s="926" t="str">
        <f t="array" ref="A875">if(G875="","",XLOOKUP(D875,'プルダウンメニュー (SE用)'!$D$2:$D1028,'プルダウンメニュー (SE用)'!$C$2:$C1028))</f>
        <v/>
      </c>
      <c r="B875" s="926" t="str">
        <f>iferror(if(H875="GLOW流用","-",if(G875="","","SSE_"&amp;TEXT(vlookup(E875,'プルダウンメニュー (SE用)'!$E$2:$F1028,2,false),"000")&amp;"_"&amp;TEXT(COUNTIF($E$4:E875,E875),"000"))),"")</f>
        <v/>
      </c>
      <c r="C875" s="860"/>
      <c r="D875" s="861"/>
      <c r="E875" s="861"/>
      <c r="F875" s="861"/>
      <c r="G875" s="861"/>
      <c r="H875" s="1114"/>
      <c r="I875" s="901"/>
      <c r="J875" s="902"/>
      <c r="K875" s="902"/>
      <c r="L875" s="903"/>
      <c r="M875" s="1114"/>
      <c r="N875" s="1107"/>
      <c r="O875" s="1107"/>
      <c r="P875" s="1025"/>
      <c r="Q875" s="1025"/>
      <c r="R875" s="1025"/>
      <c r="S875" s="1025"/>
      <c r="T875" s="869"/>
      <c r="U875" s="869"/>
    </row>
    <row r="876">
      <c r="A876" s="926" t="str">
        <f t="array" ref="A876">if(G876="","",XLOOKUP(D876,'プルダウンメニュー (SE用)'!$D$2:$D1028,'プルダウンメニュー (SE用)'!$C$2:$C1028))</f>
        <v/>
      </c>
      <c r="B876" s="926" t="str">
        <f>iferror(if(H876="GLOW流用","-",if(G876="","","SSE_"&amp;TEXT(vlookup(E876,'プルダウンメニュー (SE用)'!$E$2:$F1028,2,false),"000")&amp;"_"&amp;TEXT(COUNTIF($E$4:E876,E876),"000"))),"")</f>
        <v/>
      </c>
      <c r="C876" s="860"/>
      <c r="D876" s="861"/>
      <c r="E876" s="861"/>
      <c r="F876" s="861"/>
      <c r="G876" s="861"/>
      <c r="H876" s="862"/>
      <c r="I876" s="901"/>
      <c r="J876" s="902"/>
      <c r="K876" s="902"/>
      <c r="L876" s="903"/>
      <c r="M876" s="862"/>
      <c r="N876" s="1107"/>
      <c r="O876" s="1107"/>
      <c r="P876" s="1025"/>
      <c r="Q876" s="1025"/>
      <c r="R876" s="1025"/>
      <c r="S876" s="1025"/>
      <c r="T876" s="869"/>
      <c r="U876" s="869"/>
    </row>
    <row r="877">
      <c r="A877" s="926" t="str">
        <f t="array" ref="A877">if(G877="","",XLOOKUP(D877,'プルダウンメニュー (SE用)'!$D$2:$D1028,'プルダウンメニュー (SE用)'!$C$2:$C1028))</f>
        <v/>
      </c>
      <c r="B877" s="926" t="str">
        <f>iferror(if(H877="GLOW流用","-",if(G877="","","SSE_"&amp;TEXT(vlookup(E877,'プルダウンメニュー (SE用)'!$E$2:$F1028,2,false),"000")&amp;"_"&amp;TEXT(COUNTIF($E$4:E877,E877),"000"))),"")</f>
        <v/>
      </c>
      <c r="C877" s="860"/>
      <c r="D877" s="861"/>
      <c r="E877" s="861"/>
      <c r="F877" s="861"/>
      <c r="G877" s="861"/>
      <c r="H877" s="862"/>
      <c r="I877" s="901"/>
      <c r="J877" s="902"/>
      <c r="K877" s="902"/>
      <c r="L877" s="903"/>
      <c r="M877" s="862"/>
      <c r="N877" s="1107"/>
      <c r="O877" s="1107"/>
      <c r="P877" s="1025"/>
      <c r="Q877" s="1025"/>
      <c r="R877" s="1025"/>
      <c r="S877" s="1025"/>
      <c r="T877" s="869"/>
      <c r="U877" s="869"/>
    </row>
    <row r="878">
      <c r="A878" s="926" t="str">
        <f t="array" ref="A878">if(G878="","",XLOOKUP(D878,'プルダウンメニュー (SE用)'!$D$2:$D1028,'プルダウンメニュー (SE用)'!$C$2:$C1028))</f>
        <v/>
      </c>
      <c r="B878" s="926" t="str">
        <f>iferror(if(H878="GLOW流用","-",if(G878="","","SSE_"&amp;TEXT(vlookup(E878,'プルダウンメニュー (SE用)'!$E$2:$F1028,2,false),"000")&amp;"_"&amp;TEXT(COUNTIF($E$4:E878,E878),"000"))),"")</f>
        <v/>
      </c>
      <c r="C878" s="860"/>
      <c r="D878" s="861"/>
      <c r="E878" s="861"/>
      <c r="F878" s="861"/>
      <c r="G878" s="861"/>
      <c r="H878" s="862"/>
      <c r="I878" s="901"/>
      <c r="J878" s="902"/>
      <c r="K878" s="902"/>
      <c r="L878" s="903"/>
      <c r="M878" s="862"/>
      <c r="N878" s="1107"/>
      <c r="O878" s="1107"/>
      <c r="P878" s="1025"/>
      <c r="Q878" s="1025"/>
      <c r="R878" s="1025"/>
      <c r="S878" s="1025"/>
      <c r="T878" s="869"/>
      <c r="U878" s="869"/>
    </row>
    <row r="879">
      <c r="A879" s="926" t="str">
        <f t="array" ref="A879">if(G879="","",XLOOKUP(D879,'プルダウンメニュー (SE用)'!$D$2:$D1028,'プルダウンメニュー (SE用)'!$C$2:$C1028))</f>
        <v/>
      </c>
      <c r="B879" s="926" t="str">
        <f>iferror(if(H879="GLOW流用","-",if(G879="","","SSE_"&amp;TEXT(vlookup(E879,'プルダウンメニュー (SE用)'!$E$2:$F1028,2,false),"000")&amp;"_"&amp;TEXT(COUNTIF($E$4:E879,E879),"000"))),"")</f>
        <v/>
      </c>
      <c r="C879" s="860"/>
      <c r="D879" s="861"/>
      <c r="E879" s="861"/>
      <c r="F879" s="861"/>
      <c r="G879" s="861"/>
      <c r="H879" s="862"/>
      <c r="I879" s="901"/>
      <c r="J879" s="902"/>
      <c r="K879" s="902"/>
      <c r="L879" s="903"/>
      <c r="M879" s="862"/>
      <c r="N879" s="1107"/>
      <c r="O879" s="1107"/>
      <c r="P879" s="1025"/>
      <c r="Q879" s="1025"/>
      <c r="R879" s="1025"/>
      <c r="S879" s="1025"/>
      <c r="T879" s="869"/>
      <c r="U879" s="869"/>
    </row>
    <row r="880">
      <c r="A880" s="926" t="str">
        <f t="array" ref="A880">if(G880="","",XLOOKUP(D880,'プルダウンメニュー (SE用)'!$D$2:$D1028,'プルダウンメニュー (SE用)'!$C$2:$C1028))</f>
        <v/>
      </c>
      <c r="B880" s="926" t="str">
        <f>iferror(if(H880="GLOW流用","-",if(G880="","","SSE_"&amp;TEXT(vlookup(E880,'プルダウンメニュー (SE用)'!$E$2:$F1028,2,false),"000")&amp;"_"&amp;TEXT(COUNTIF($E$4:E880,E880),"000"))),"")</f>
        <v/>
      </c>
      <c r="C880" s="860"/>
      <c r="D880" s="861"/>
      <c r="E880" s="861"/>
      <c r="F880" s="861"/>
      <c r="G880" s="861"/>
      <c r="H880" s="862"/>
      <c r="I880" s="901"/>
      <c r="J880" s="902"/>
      <c r="K880" s="902"/>
      <c r="L880" s="903"/>
      <c r="M880" s="862"/>
      <c r="N880" s="1107"/>
      <c r="O880" s="1107"/>
      <c r="P880" s="1025"/>
      <c r="Q880" s="1025"/>
      <c r="R880" s="1025"/>
      <c r="S880" s="1025"/>
      <c r="T880" s="869"/>
      <c r="U880" s="869"/>
    </row>
    <row r="881">
      <c r="A881" s="926" t="str">
        <f t="array" ref="A881">if(G881="","",XLOOKUP(D881,'プルダウンメニュー (SE用)'!$D$2:$D1028,'プルダウンメニュー (SE用)'!$C$2:$C1028))</f>
        <v/>
      </c>
      <c r="B881" s="926" t="str">
        <f>iferror(if(H881="GLOW流用","-",if(G881="","","SSE_"&amp;TEXT(vlookup(E881,'プルダウンメニュー (SE用)'!$E$2:$F1028,2,false),"000")&amp;"_"&amp;TEXT(COUNTIF($E$4:E881,E881),"000"))),"")</f>
        <v/>
      </c>
      <c r="C881" s="860"/>
      <c r="D881" s="861"/>
      <c r="E881" s="861"/>
      <c r="F881" s="861"/>
      <c r="G881" s="861"/>
      <c r="H881" s="862"/>
      <c r="I881" s="901"/>
      <c r="J881" s="902"/>
      <c r="K881" s="902"/>
      <c r="L881" s="903"/>
      <c r="M881" s="862"/>
      <c r="N881" s="1107"/>
      <c r="O881" s="1107"/>
      <c r="P881" s="1025"/>
      <c r="Q881" s="1025"/>
      <c r="R881" s="1025"/>
      <c r="S881" s="1025"/>
      <c r="T881" s="869"/>
      <c r="U881" s="869"/>
    </row>
    <row r="882">
      <c r="A882" s="926" t="str">
        <f t="array" ref="A882">if(G882="","",XLOOKUP(D882,'プルダウンメニュー (SE用)'!$D$2:$D1028,'プルダウンメニュー (SE用)'!$C$2:$C1028))</f>
        <v/>
      </c>
      <c r="B882" s="926" t="str">
        <f>iferror(if(H882="GLOW流用","-",if(G882="","","SSE_"&amp;TEXT(vlookup(E882,'プルダウンメニュー (SE用)'!$E$2:$F1028,2,false),"000")&amp;"_"&amp;TEXT(COUNTIF($E$4:E882,E882),"000"))),"")</f>
        <v/>
      </c>
      <c r="C882" s="860"/>
      <c r="D882" s="861"/>
      <c r="E882" s="861"/>
      <c r="F882" s="861"/>
      <c r="G882" s="861"/>
      <c r="H882" s="862"/>
      <c r="I882" s="901"/>
      <c r="J882" s="902"/>
      <c r="K882" s="902"/>
      <c r="L882" s="903"/>
      <c r="M882" s="862"/>
      <c r="N882" s="1107"/>
      <c r="O882" s="1107"/>
      <c r="P882" s="1025"/>
      <c r="Q882" s="1025"/>
      <c r="R882" s="1025"/>
      <c r="S882" s="1025"/>
      <c r="T882" s="869"/>
      <c r="U882" s="869"/>
    </row>
    <row r="883">
      <c r="A883" s="926" t="str">
        <f t="array" ref="A883">if(G883="","",XLOOKUP(D883,'プルダウンメニュー (SE用)'!$D$2:$D1028,'プルダウンメニュー (SE用)'!$C$2:$C1028))</f>
        <v/>
      </c>
      <c r="B883" s="926" t="str">
        <f>iferror(if(H883="GLOW流用","-",if(G883="","","SSE_"&amp;TEXT(vlookup(E883,'プルダウンメニュー (SE用)'!$E$2:$F1028,2,false),"000")&amp;"_"&amp;TEXT(COUNTIF($E$4:E883,E883),"000"))),"")</f>
        <v/>
      </c>
      <c r="C883" s="860"/>
      <c r="D883" s="861"/>
      <c r="E883" s="861"/>
      <c r="F883" s="861"/>
      <c r="G883" s="861"/>
      <c r="H883" s="862"/>
      <c r="I883" s="901"/>
      <c r="J883" s="902"/>
      <c r="K883" s="902"/>
      <c r="L883" s="903"/>
      <c r="M883" s="862"/>
      <c r="N883" s="1107"/>
      <c r="O883" s="1107"/>
      <c r="P883" s="1025"/>
      <c r="Q883" s="1025"/>
      <c r="R883" s="1025"/>
      <c r="S883" s="1025"/>
      <c r="T883" s="869"/>
      <c r="U883" s="869"/>
    </row>
    <row r="884">
      <c r="A884" s="926" t="str">
        <f t="array" ref="A884">if(G884="","",XLOOKUP(D884,'プルダウンメニュー (SE用)'!$D$2:$D1028,'プルダウンメニュー (SE用)'!$C$2:$C1028))</f>
        <v/>
      </c>
      <c r="B884" s="926" t="str">
        <f>iferror(if(H884="GLOW流用","-",if(G884="","","SSE_"&amp;TEXT(vlookup(E884,'プルダウンメニュー (SE用)'!$E$2:$F1028,2,false),"000")&amp;"_"&amp;TEXT(COUNTIF($E$4:E884,E884),"000"))),"")</f>
        <v/>
      </c>
      <c r="C884" s="860"/>
      <c r="D884" s="861"/>
      <c r="E884" s="861"/>
      <c r="F884" s="861"/>
      <c r="G884" s="861"/>
      <c r="H884" s="862"/>
      <c r="I884" s="901"/>
      <c r="J884" s="902"/>
      <c r="K884" s="902"/>
      <c r="L884" s="903"/>
      <c r="M884" s="862"/>
      <c r="N884" s="1107"/>
      <c r="O884" s="1107"/>
      <c r="P884" s="1025"/>
      <c r="Q884" s="1025"/>
      <c r="R884" s="1025"/>
      <c r="S884" s="1025"/>
      <c r="T884" s="869"/>
      <c r="U884" s="869"/>
    </row>
    <row r="885">
      <c r="A885" s="926" t="str">
        <f t="array" ref="A885">if(G885="","",XLOOKUP(D885,'プルダウンメニュー (SE用)'!$D$2:$D1028,'プルダウンメニュー (SE用)'!$C$2:$C1028))</f>
        <v/>
      </c>
      <c r="B885" s="926" t="str">
        <f>iferror(if(H885="GLOW流用","-",if(G885="","","SSE_"&amp;TEXT(vlookup(E885,'プルダウンメニュー (SE用)'!$E$2:$F1028,2,false),"000")&amp;"_"&amp;TEXT(COUNTIF($E$4:E885,E885),"000"))),"")</f>
        <v/>
      </c>
      <c r="C885" s="860"/>
      <c r="D885" s="861"/>
      <c r="E885" s="861"/>
      <c r="F885" s="861"/>
      <c r="G885" s="861"/>
      <c r="H885" s="862"/>
      <c r="I885" s="901"/>
      <c r="J885" s="902"/>
      <c r="K885" s="902"/>
      <c r="L885" s="903"/>
      <c r="M885" s="862"/>
      <c r="N885" s="1107"/>
      <c r="O885" s="1107"/>
      <c r="P885" s="1025"/>
      <c r="Q885" s="1025"/>
      <c r="R885" s="1025"/>
      <c r="S885" s="1025"/>
      <c r="T885" s="869"/>
      <c r="U885" s="869"/>
    </row>
    <row r="886">
      <c r="A886" s="926" t="str">
        <f t="array" ref="A886">if(G886="","",XLOOKUP(D886,'プルダウンメニュー (SE用)'!$D$2:$D1028,'プルダウンメニュー (SE用)'!$C$2:$C1028))</f>
        <v/>
      </c>
      <c r="B886" s="926" t="str">
        <f>iferror(if(H886="GLOW流用","-",if(G886="","","SSE_"&amp;TEXT(vlookup(E886,'プルダウンメニュー (SE用)'!$E$2:$F1028,2,false),"000")&amp;"_"&amp;TEXT(COUNTIF($E$4:E886,E886),"000"))),"")</f>
        <v/>
      </c>
      <c r="C886" s="860"/>
      <c r="D886" s="861"/>
      <c r="E886" s="861"/>
      <c r="F886" s="861"/>
      <c r="G886" s="861"/>
      <c r="H886" s="862"/>
      <c r="I886" s="901"/>
      <c r="J886" s="902"/>
      <c r="K886" s="902"/>
      <c r="L886" s="903"/>
      <c r="M886" s="862"/>
      <c r="N886" s="1107"/>
      <c r="O886" s="1107"/>
      <c r="P886" s="1025"/>
      <c r="Q886" s="1025"/>
      <c r="R886" s="1025"/>
      <c r="S886" s="1025"/>
      <c r="T886" s="869"/>
      <c r="U886" s="869"/>
    </row>
    <row r="887">
      <c r="A887" s="926" t="str">
        <f t="array" ref="A887">if(G887="","",XLOOKUP(D887,'プルダウンメニュー (SE用)'!$D$2:$D1028,'プルダウンメニュー (SE用)'!$C$2:$C1028))</f>
        <v/>
      </c>
      <c r="B887" s="926" t="str">
        <f>iferror(if(H887="GLOW流用","-",if(G887="","","SSE_"&amp;TEXT(vlookup(E887,'プルダウンメニュー (SE用)'!$E$2:$F1028,2,false),"000")&amp;"_"&amp;TEXT(COUNTIF($E$4:E887,E887),"000"))),"")</f>
        <v/>
      </c>
      <c r="C887" s="860"/>
      <c r="D887" s="861"/>
      <c r="E887" s="861"/>
      <c r="F887" s="861"/>
      <c r="G887" s="861"/>
      <c r="H887" s="862"/>
      <c r="I887" s="901"/>
      <c r="J887" s="902"/>
      <c r="K887" s="902"/>
      <c r="L887" s="903"/>
      <c r="M887" s="862"/>
      <c r="N887" s="1107"/>
      <c r="O887" s="1107"/>
      <c r="P887" s="1025"/>
      <c r="Q887" s="1025"/>
      <c r="R887" s="1025"/>
      <c r="S887" s="1025"/>
      <c r="T887" s="869"/>
      <c r="U887" s="869"/>
    </row>
    <row r="888">
      <c r="A888" s="926" t="str">
        <f t="array" ref="A888">if(G888="","",XLOOKUP(D888,'プルダウンメニュー (SE用)'!$D$2:$D1028,'プルダウンメニュー (SE用)'!$C$2:$C1028))</f>
        <v/>
      </c>
      <c r="B888" s="926" t="str">
        <f>iferror(if(H888="GLOW流用","-",if(G888="","","SSE_"&amp;TEXT(vlookup(E888,'プルダウンメニュー (SE用)'!$E$2:$F1028,2,false),"000")&amp;"_"&amp;TEXT(COUNTIF($E$4:E888,E888),"000"))),"")</f>
        <v/>
      </c>
      <c r="C888" s="860"/>
      <c r="D888" s="861"/>
      <c r="E888" s="861"/>
      <c r="F888" s="861"/>
      <c r="G888" s="861"/>
      <c r="H888" s="862"/>
      <c r="I888" s="901"/>
      <c r="J888" s="902"/>
      <c r="K888" s="902"/>
      <c r="L888" s="903"/>
      <c r="M888" s="862"/>
      <c r="N888" s="1107"/>
      <c r="O888" s="1107"/>
      <c r="P888" s="1025"/>
      <c r="Q888" s="1025"/>
      <c r="R888" s="1025"/>
      <c r="S888" s="1025"/>
      <c r="T888" s="869"/>
      <c r="U888" s="869"/>
    </row>
    <row r="889">
      <c r="A889" s="926" t="str">
        <f t="array" ref="A889">if(G889="","",XLOOKUP(D889,'プルダウンメニュー (SE用)'!$D$2:$D1028,'プルダウンメニュー (SE用)'!$C$2:$C1028))</f>
        <v/>
      </c>
      <c r="B889" s="926" t="str">
        <f>iferror(if(H889="GLOW流用","-",if(G889="","","SSE_"&amp;TEXT(vlookup(E889,'プルダウンメニュー (SE用)'!$E$2:$F1028,2,false),"000")&amp;"_"&amp;TEXT(COUNTIF($E$4:E889,E889),"000"))),"")</f>
        <v/>
      </c>
      <c r="C889" s="860"/>
      <c r="D889" s="861"/>
      <c r="E889" s="861"/>
      <c r="F889" s="861"/>
      <c r="G889" s="861"/>
      <c r="H889" s="862"/>
      <c r="I889" s="901"/>
      <c r="J889" s="902"/>
      <c r="K889" s="902"/>
      <c r="L889" s="903"/>
      <c r="M889" s="862"/>
      <c r="N889" s="1107"/>
      <c r="O889" s="1107"/>
      <c r="P889" s="1025"/>
      <c r="Q889" s="1025"/>
      <c r="R889" s="1025"/>
      <c r="S889" s="1025"/>
      <c r="T889" s="869"/>
      <c r="U889" s="869"/>
    </row>
    <row r="890">
      <c r="A890" s="926" t="str">
        <f t="array" ref="A890">if(G890="","",XLOOKUP(D890,'プルダウンメニュー (SE用)'!$D$2:$D1028,'プルダウンメニュー (SE用)'!$C$2:$C1028))</f>
        <v/>
      </c>
      <c r="B890" s="926" t="str">
        <f>iferror(if(H890="GLOW流用","-",if(G890="","","SSE_"&amp;TEXT(vlookup(E890,'プルダウンメニュー (SE用)'!$E$2:$F1028,2,false),"000")&amp;"_"&amp;TEXT(COUNTIF($E$4:E890,E890),"000"))),"")</f>
        <v/>
      </c>
      <c r="C890" s="860"/>
      <c r="D890" s="861"/>
      <c r="E890" s="861"/>
      <c r="F890" s="861"/>
      <c r="G890" s="861"/>
      <c r="H890" s="862"/>
      <c r="I890" s="901"/>
      <c r="J890" s="902"/>
      <c r="K890" s="902"/>
      <c r="L890" s="903"/>
      <c r="M890" s="862"/>
      <c r="N890" s="1107"/>
      <c r="O890" s="1107"/>
      <c r="P890" s="1025"/>
      <c r="Q890" s="1025"/>
      <c r="R890" s="1025"/>
      <c r="S890" s="1025"/>
      <c r="T890" s="869"/>
      <c r="U890" s="869"/>
    </row>
    <row r="891">
      <c r="A891" s="926" t="str">
        <f t="array" ref="A891">if(G891="","",XLOOKUP(D891,'プルダウンメニュー (SE用)'!$D$2:$D1028,'プルダウンメニュー (SE用)'!$C$2:$C1028))</f>
        <v/>
      </c>
      <c r="B891" s="926" t="str">
        <f>iferror(if(H891="GLOW流用","-",if(G891="","","SSE_"&amp;TEXT(vlookup(E891,'プルダウンメニュー (SE用)'!$E$2:$F1028,2,false),"000")&amp;"_"&amp;TEXT(COUNTIF($E$4:E891,E891),"000"))),"")</f>
        <v/>
      </c>
      <c r="C891" s="860"/>
      <c r="D891" s="861"/>
      <c r="E891" s="861"/>
      <c r="F891" s="861"/>
      <c r="G891" s="861"/>
      <c r="H891" s="862"/>
      <c r="I891" s="901"/>
      <c r="J891" s="902"/>
      <c r="K891" s="902"/>
      <c r="L891" s="903"/>
      <c r="M891" s="862"/>
      <c r="N891" s="1107"/>
      <c r="O891" s="1107"/>
      <c r="P891" s="1025"/>
      <c r="Q891" s="1025"/>
      <c r="R891" s="1025"/>
      <c r="S891" s="1025"/>
      <c r="T891" s="869"/>
      <c r="U891" s="869"/>
    </row>
    <row r="892">
      <c r="A892" s="926" t="str">
        <f t="array" ref="A892">if(G892="","",XLOOKUP(D892,'プルダウンメニュー (SE用)'!$D$2:$D1028,'プルダウンメニュー (SE用)'!$C$2:$C1028))</f>
        <v/>
      </c>
      <c r="B892" s="926" t="str">
        <f>iferror(if(H892="GLOW流用","-",if(G892="","","SSE_"&amp;TEXT(vlookup(E892,'プルダウンメニュー (SE用)'!$E$2:$F1028,2,false),"000")&amp;"_"&amp;TEXT(COUNTIF($E$4:E892,E892),"000"))),"")</f>
        <v/>
      </c>
      <c r="C892" s="860"/>
      <c r="D892" s="861"/>
      <c r="E892" s="861"/>
      <c r="F892" s="861"/>
      <c r="G892" s="861"/>
      <c r="H892" s="862"/>
      <c r="I892" s="901"/>
      <c r="J892" s="902"/>
      <c r="K892" s="902"/>
      <c r="L892" s="903"/>
      <c r="M892" s="862"/>
      <c r="N892" s="1107"/>
      <c r="O892" s="1107"/>
      <c r="P892" s="1025"/>
      <c r="Q892" s="1025"/>
      <c r="R892" s="1025"/>
      <c r="S892" s="1025"/>
      <c r="T892" s="869"/>
      <c r="U892" s="869"/>
    </row>
    <row r="893">
      <c r="A893" s="926" t="str">
        <f t="array" ref="A893">if(G893="","",XLOOKUP(D893,'プルダウンメニュー (SE用)'!$D$2:$D1028,'プルダウンメニュー (SE用)'!$C$2:$C1028))</f>
        <v/>
      </c>
      <c r="B893" s="926" t="str">
        <f>iferror(if(H893="GLOW流用","-",if(G893="","","SSE_"&amp;TEXT(vlookup(E893,'プルダウンメニュー (SE用)'!$E$2:$F1028,2,false),"000")&amp;"_"&amp;TEXT(COUNTIF($E$4:E893,E893),"000"))),"")</f>
        <v/>
      </c>
      <c r="C893" s="860"/>
      <c r="D893" s="861"/>
      <c r="E893" s="861"/>
      <c r="F893" s="861"/>
      <c r="G893" s="861"/>
      <c r="H893" s="862"/>
      <c r="I893" s="901"/>
      <c r="J893" s="902"/>
      <c r="K893" s="902"/>
      <c r="L893" s="903"/>
      <c r="M893" s="862"/>
      <c r="N893" s="1107"/>
      <c r="O893" s="1107"/>
      <c r="P893" s="1025"/>
      <c r="Q893" s="1025"/>
      <c r="R893" s="1025"/>
      <c r="S893" s="1025"/>
      <c r="T893" s="869"/>
      <c r="U893" s="869"/>
    </row>
    <row r="894">
      <c r="A894" s="926" t="str">
        <f t="array" ref="A894">if(G894="","",XLOOKUP(D894,'プルダウンメニュー (SE用)'!$D$2:$D1028,'プルダウンメニュー (SE用)'!$C$2:$C1028))</f>
        <v/>
      </c>
      <c r="B894" s="926" t="str">
        <f>iferror(if(H894="GLOW流用","-",if(G894="","","SSE_"&amp;TEXT(vlookup(E894,'プルダウンメニュー (SE用)'!$E$2:$F1028,2,false),"000")&amp;"_"&amp;TEXT(COUNTIF($E$4:E894,E894),"000"))),"")</f>
        <v/>
      </c>
      <c r="C894" s="860"/>
      <c r="D894" s="861"/>
      <c r="E894" s="861"/>
      <c r="F894" s="861"/>
      <c r="G894" s="861"/>
      <c r="H894" s="991"/>
      <c r="I894" s="992"/>
      <c r="J894" s="993"/>
      <c r="K894" s="993"/>
      <c r="L894" s="994"/>
      <c r="M894" s="991"/>
      <c r="N894" s="1107"/>
      <c r="O894" s="1107"/>
      <c r="P894" s="1025"/>
      <c r="Q894" s="1025"/>
      <c r="R894" s="1025"/>
      <c r="S894" s="1025"/>
      <c r="T894" s="869"/>
      <c r="U894" s="869"/>
    </row>
    <row r="895">
      <c r="A895" s="926" t="str">
        <f t="array" ref="A895">if(G895="","",XLOOKUP(D895,'プルダウンメニュー (SE用)'!$D$2:$D1028,'プルダウンメニュー (SE用)'!$C$2:$C1028))</f>
        <v/>
      </c>
      <c r="B895" s="926" t="str">
        <f>iferror(if(H895="GLOW流用","-",if(G895="","","SSE_"&amp;TEXT(vlookup(E895,'プルダウンメニュー (SE用)'!$E$2:$F1028,2,false),"000")&amp;"_"&amp;TEXT(COUNTIF($E$4:E895,E895),"000"))),"")</f>
        <v/>
      </c>
      <c r="C895" s="860"/>
      <c r="D895" s="861"/>
      <c r="E895" s="861"/>
      <c r="F895" s="861"/>
      <c r="G895" s="861"/>
      <c r="H895" s="991"/>
      <c r="I895" s="992"/>
      <c r="J895" s="993"/>
      <c r="K895" s="993"/>
      <c r="L895" s="994"/>
      <c r="M895" s="991"/>
      <c r="N895" s="1107"/>
      <c r="O895" s="1107"/>
      <c r="P895" s="1025"/>
      <c r="Q895" s="1025"/>
      <c r="R895" s="1025"/>
      <c r="S895" s="1025"/>
      <c r="T895" s="869"/>
      <c r="U895" s="869"/>
    </row>
    <row r="896">
      <c r="A896" s="926" t="str">
        <f t="array" ref="A896">if(G896="","",XLOOKUP(D896,'プルダウンメニュー (SE用)'!$D$2:$D1028,'プルダウンメニュー (SE用)'!$C$2:$C1028))</f>
        <v/>
      </c>
      <c r="B896" s="926" t="str">
        <f>iferror(if(H896="GLOW流用","-",if(G896="","","SSE_"&amp;TEXT(vlookup(E896,'プルダウンメニュー (SE用)'!$E$2:$F1028,2,false),"000")&amp;"_"&amp;TEXT(COUNTIF($E$4:E896,E896),"000"))),"")</f>
        <v/>
      </c>
      <c r="C896" s="860"/>
      <c r="D896" s="861"/>
      <c r="E896" s="861"/>
      <c r="F896" s="861"/>
      <c r="G896" s="861"/>
      <c r="H896" s="862"/>
      <c r="I896" s="901"/>
      <c r="J896" s="902"/>
      <c r="K896" s="902"/>
      <c r="L896" s="903"/>
      <c r="M896" s="862"/>
      <c r="N896" s="1107"/>
      <c r="O896" s="1107"/>
      <c r="P896" s="1025"/>
      <c r="Q896" s="1025"/>
      <c r="R896" s="1025"/>
      <c r="S896" s="1025"/>
      <c r="T896" s="869"/>
      <c r="U896" s="869"/>
    </row>
    <row r="897">
      <c r="A897" s="926" t="str">
        <f t="array" ref="A897">if(G897="","",XLOOKUP(D897,'プルダウンメニュー (SE用)'!$D$2:$D1028,'プルダウンメニュー (SE用)'!$C$2:$C1028))</f>
        <v/>
      </c>
      <c r="B897" s="926" t="str">
        <f>iferror(if(H897="GLOW流用","-",if(G897="","","SSE_"&amp;TEXT(vlookup(E897,'プルダウンメニュー (SE用)'!$E$2:$F1028,2,false),"000")&amp;"_"&amp;TEXT(COUNTIF($E$4:E897,E897),"000"))),"")</f>
        <v/>
      </c>
      <c r="C897" s="860"/>
      <c r="D897" s="861"/>
      <c r="E897" s="861"/>
      <c r="F897" s="861"/>
      <c r="G897" s="861"/>
      <c r="H897" s="862"/>
      <c r="I897" s="901"/>
      <c r="J897" s="902"/>
      <c r="K897" s="902"/>
      <c r="L897" s="903"/>
      <c r="M897" s="862"/>
      <c r="N897" s="1107"/>
      <c r="O897" s="1107"/>
      <c r="P897" s="1025"/>
      <c r="Q897" s="1025"/>
      <c r="R897" s="1025"/>
      <c r="S897" s="1025"/>
      <c r="T897" s="869"/>
      <c r="U897" s="869"/>
    </row>
    <row r="898">
      <c r="A898" s="926" t="str">
        <f t="array" ref="A898">if(G898="","",XLOOKUP(D898,'プルダウンメニュー (SE用)'!$D$2:$D1028,'プルダウンメニュー (SE用)'!$C$2:$C1028))</f>
        <v/>
      </c>
      <c r="B898" s="926" t="str">
        <f>iferror(if(H898="GLOW流用","-",if(G898="","","SSE_"&amp;TEXT(vlookup(E898,'プルダウンメニュー (SE用)'!$E$2:$F1028,2,false),"000")&amp;"_"&amp;TEXT(COUNTIF($E$4:E898,E898),"000"))),"")</f>
        <v/>
      </c>
      <c r="C898" s="860"/>
      <c r="D898" s="861"/>
      <c r="E898" s="861"/>
      <c r="F898" s="861"/>
      <c r="G898" s="861"/>
      <c r="H898" s="862"/>
      <c r="I898" s="901"/>
      <c r="J898" s="902"/>
      <c r="K898" s="902"/>
      <c r="L898" s="903"/>
      <c r="M898" s="862"/>
      <c r="N898" s="1107"/>
      <c r="O898" s="1107"/>
      <c r="P898" s="1025"/>
      <c r="Q898" s="1025"/>
      <c r="R898" s="1025"/>
      <c r="S898" s="1025"/>
      <c r="T898" s="869"/>
      <c r="U898" s="869"/>
    </row>
    <row r="899">
      <c r="A899" s="926" t="str">
        <f t="array" ref="A899">if(G899="","",XLOOKUP(D899,'プルダウンメニュー (SE用)'!$D$2:$D1028,'プルダウンメニュー (SE用)'!$C$2:$C1028))</f>
        <v/>
      </c>
      <c r="B899" s="926" t="str">
        <f>iferror(if(H899="GLOW流用","-",if(G899="","","SSE_"&amp;TEXT(vlookup(E899,'プルダウンメニュー (SE用)'!$E$2:$F1028,2,false),"000")&amp;"_"&amp;TEXT(COUNTIF($E$4:E899,E899),"000"))),"")</f>
        <v/>
      </c>
      <c r="C899" s="984"/>
      <c r="D899" s="985"/>
      <c r="E899" s="985"/>
      <c r="F899" s="985"/>
      <c r="G899" s="1000"/>
      <c r="H899" s="1118"/>
      <c r="I899" s="1119"/>
      <c r="J899" s="1120"/>
      <c r="K899" s="1120"/>
      <c r="L899" s="1121"/>
      <c r="M899" s="1118"/>
      <c r="N899" s="1107"/>
      <c r="O899" s="1107"/>
      <c r="P899" s="1025"/>
      <c r="Q899" s="1025"/>
      <c r="R899" s="1025"/>
      <c r="S899" s="1025"/>
      <c r="T899" s="869"/>
      <c r="U899" s="1003"/>
    </row>
    <row r="900">
      <c r="A900" s="926" t="str">
        <f t="array" ref="A900">if(G900="","",XLOOKUP(D900,'プルダウンメニュー (SE用)'!$D$2:$D1028,'プルダウンメニュー (SE用)'!$C$2:$C1028))</f>
        <v/>
      </c>
      <c r="B900" s="926" t="str">
        <f>iferror(if(H900="GLOW流用","-",if(G900="","","SSE_"&amp;TEXT(vlookup(E900,'プルダウンメニュー (SE用)'!$E$2:$F1028,2,false),"000")&amp;"_"&amp;TEXT(COUNTIF($E$4:E900,E900),"000"))),"")</f>
        <v/>
      </c>
      <c r="C900" s="984"/>
      <c r="D900" s="985"/>
      <c r="E900" s="985"/>
      <c r="F900" s="985"/>
      <c r="G900" s="1000"/>
      <c r="H900" s="1118"/>
      <c r="I900" s="1119"/>
      <c r="J900" s="1120"/>
      <c r="K900" s="1120"/>
      <c r="L900" s="1121"/>
      <c r="M900" s="1118"/>
      <c r="N900" s="1107"/>
      <c r="O900" s="1107"/>
      <c r="P900" s="1025"/>
      <c r="Q900" s="1025"/>
      <c r="R900" s="1025"/>
      <c r="S900" s="1025"/>
      <c r="T900" s="869"/>
      <c r="U900" s="1003"/>
    </row>
    <row r="901">
      <c r="A901" s="926" t="str">
        <f t="array" ref="A901">if(G901="","",XLOOKUP(D901,'プルダウンメニュー (SE用)'!$D$2:$D1028,'プルダウンメニュー (SE用)'!$C$2:$C1028))</f>
        <v/>
      </c>
      <c r="B901" s="926" t="str">
        <f>iferror(if(H901="GLOW流用","-",if(G901="","","SSE_"&amp;TEXT(vlookup(E901,'プルダウンメニュー (SE用)'!$E$2:$F1028,2,false),"000")&amp;"_"&amp;TEXT(COUNTIF($E$4:E901,E901),"000"))),"")</f>
        <v/>
      </c>
      <c r="C901" s="984"/>
      <c r="D901" s="985"/>
      <c r="E901" s="985"/>
      <c r="F901" s="985"/>
      <c r="G901" s="1000"/>
      <c r="H901" s="1118"/>
      <c r="I901" s="1119"/>
      <c r="J901" s="1120"/>
      <c r="K901" s="1120"/>
      <c r="L901" s="1121"/>
      <c r="M901" s="1118"/>
      <c r="N901" s="1107"/>
      <c r="O901" s="1107"/>
      <c r="P901" s="1025"/>
      <c r="Q901" s="1025"/>
      <c r="R901" s="1025"/>
      <c r="S901" s="1025"/>
      <c r="T901" s="869"/>
      <c r="U901" s="1003"/>
    </row>
    <row r="902">
      <c r="A902" s="926" t="str">
        <f t="array" ref="A902">if(G902="","",XLOOKUP(D902,'プルダウンメニュー (SE用)'!$D$2:$D1028,'プルダウンメニュー (SE用)'!$C$2:$C1028))</f>
        <v/>
      </c>
      <c r="B902" s="926" t="str">
        <f>iferror(if(H902="GLOW流用","-",if(G902="","","SSE_"&amp;TEXT(vlookup(E902,'プルダウンメニュー (SE用)'!$E$2:$F1028,2,false),"000")&amp;"_"&amp;TEXT(COUNTIF($E$4:E902,E902),"000"))),"")</f>
        <v/>
      </c>
      <c r="C902" s="984"/>
      <c r="D902" s="985"/>
      <c r="E902" s="985"/>
      <c r="F902" s="985"/>
      <c r="G902" s="1000"/>
      <c r="H902" s="1118"/>
      <c r="I902" s="1119"/>
      <c r="J902" s="1120"/>
      <c r="K902" s="1120"/>
      <c r="L902" s="1121"/>
      <c r="M902" s="1118"/>
      <c r="N902" s="1107"/>
      <c r="O902" s="1107"/>
      <c r="P902" s="1025"/>
      <c r="Q902" s="1025"/>
      <c r="R902" s="1025"/>
      <c r="S902" s="1025"/>
      <c r="T902" s="869"/>
      <c r="U902" s="1003"/>
    </row>
    <row r="903">
      <c r="A903" s="926" t="str">
        <f t="array" ref="A903">if(G903="","",XLOOKUP(D903,'プルダウンメニュー (SE用)'!$D$2:$D1028,'プルダウンメニュー (SE用)'!$C$2:$C1028))</f>
        <v/>
      </c>
      <c r="B903" s="926" t="str">
        <f>iferror(if(H903="GLOW流用","-",if(G903="","","SSE_"&amp;TEXT(vlookup(E903,'プルダウンメニュー (SE用)'!$E$2:$F1028,2,false),"000")&amp;"_"&amp;TEXT(COUNTIF($E$4:E903,E903),"000"))),"")</f>
        <v/>
      </c>
      <c r="C903" s="984"/>
      <c r="D903" s="985"/>
      <c r="E903" s="985"/>
      <c r="F903" s="985"/>
      <c r="G903" s="1000"/>
      <c r="H903" s="1118"/>
      <c r="I903" s="1119"/>
      <c r="J903" s="1120"/>
      <c r="K903" s="1120"/>
      <c r="L903" s="1121"/>
      <c r="M903" s="1118"/>
      <c r="N903" s="1107"/>
      <c r="O903" s="1107"/>
      <c r="P903" s="1025"/>
      <c r="Q903" s="1025"/>
      <c r="R903" s="1025"/>
      <c r="S903" s="1025"/>
      <c r="T903" s="869"/>
      <c r="U903" s="1003"/>
    </row>
    <row r="904">
      <c r="A904" s="926" t="str">
        <f t="array" ref="A904">if(G904="","",XLOOKUP(D904,'プルダウンメニュー (SE用)'!$D$2:$D1028,'プルダウンメニュー (SE用)'!$C$2:$C1028))</f>
        <v/>
      </c>
      <c r="B904" s="926" t="str">
        <f>iferror(if(H904="GLOW流用","-",if(G904="","","SSE_"&amp;TEXT(vlookup(E904,'プルダウンメニュー (SE用)'!$E$2:$F1028,2,false),"000")&amp;"_"&amp;TEXT(COUNTIF($E$4:E904,E904),"000"))),"")</f>
        <v/>
      </c>
      <c r="C904" s="984"/>
      <c r="D904" s="985"/>
      <c r="E904" s="985"/>
      <c r="F904" s="985"/>
      <c r="G904" s="1000"/>
      <c r="H904" s="1118"/>
      <c r="I904" s="1119"/>
      <c r="J904" s="1120"/>
      <c r="K904" s="1120"/>
      <c r="L904" s="1121"/>
      <c r="M904" s="1118"/>
      <c r="N904" s="1107"/>
      <c r="O904" s="1107"/>
      <c r="P904" s="1025"/>
      <c r="Q904" s="1025"/>
      <c r="R904" s="1025"/>
      <c r="S904" s="1025"/>
      <c r="T904" s="869"/>
      <c r="U904" s="1003"/>
    </row>
    <row r="905">
      <c r="A905" s="926" t="str">
        <f t="array" ref="A905">if(G905="","",XLOOKUP(D905,'プルダウンメニュー (SE用)'!$D$2:$D1028,'プルダウンメニュー (SE用)'!$C$2:$C1028))</f>
        <v/>
      </c>
      <c r="B905" s="926" t="str">
        <f>iferror(if(H905="GLOW流用","-",if(G905="","","SSE_"&amp;TEXT(vlookup(E905,'プルダウンメニュー (SE用)'!$E$2:$F1028,2,false),"000")&amp;"_"&amp;TEXT(COUNTIF($E$4:E905,E905),"000"))),"")</f>
        <v/>
      </c>
      <c r="C905" s="984"/>
      <c r="D905" s="985"/>
      <c r="E905" s="985"/>
      <c r="F905" s="985"/>
      <c r="G905" s="861"/>
      <c r="H905" s="991"/>
      <c r="I905" s="992"/>
      <c r="J905" s="993"/>
      <c r="K905" s="993"/>
      <c r="L905" s="994"/>
      <c r="M905" s="991"/>
      <c r="N905" s="1107"/>
      <c r="O905" s="1107"/>
      <c r="P905" s="1025"/>
      <c r="Q905" s="1025"/>
      <c r="R905" s="1025"/>
      <c r="S905" s="1025"/>
      <c r="T905" s="869"/>
      <c r="U905" s="1122"/>
    </row>
    <row r="906">
      <c r="A906" s="926" t="str">
        <f t="array" ref="A906">if(G906="","",XLOOKUP(D906,'プルダウンメニュー (SE用)'!$D$2:$D1028,'プルダウンメニュー (SE用)'!$C$2:$C1028))</f>
        <v/>
      </c>
      <c r="B906" s="926" t="str">
        <f>iferror(if(H906="GLOW流用","-",if(G906="","","SSE_"&amp;TEXT(vlookup(E906,'プルダウンメニュー (SE用)'!$E$2:$F1028,2,false),"000")&amp;"_"&amp;TEXT(COUNTIF($E$4:E906,E906),"000"))),"")</f>
        <v/>
      </c>
      <c r="C906" s="984"/>
      <c r="D906" s="985"/>
      <c r="E906" s="985"/>
      <c r="F906" s="985"/>
      <c r="G906" s="861"/>
      <c r="H906" s="991"/>
      <c r="I906" s="992"/>
      <c r="J906" s="993"/>
      <c r="K906" s="993"/>
      <c r="L906" s="994"/>
      <c r="M906" s="991"/>
      <c r="N906" s="1107"/>
      <c r="O906" s="1107"/>
      <c r="P906" s="1025"/>
      <c r="Q906" s="1025"/>
      <c r="R906" s="1025"/>
      <c r="S906" s="1025"/>
      <c r="T906" s="869"/>
      <c r="U906" s="1122"/>
    </row>
    <row r="907">
      <c r="A907" s="926" t="str">
        <f t="array" ref="A907">if(G907="","",XLOOKUP(D907,'プルダウンメニュー (SE用)'!$D$2:$D1028,'プルダウンメニュー (SE用)'!$C$2:$C1028))</f>
        <v/>
      </c>
      <c r="B907" s="926" t="str">
        <f>iferror(if(H907="GLOW流用","-",if(G907="","","SSE_"&amp;TEXT(vlookup(E907,'プルダウンメニュー (SE用)'!$E$2:$F1028,2,false),"000")&amp;"_"&amp;TEXT(COUNTIF($E$4:E907,E907),"000"))),"")</f>
        <v/>
      </c>
      <c r="C907" s="984"/>
      <c r="D907" s="985"/>
      <c r="E907" s="985"/>
      <c r="F907" s="985"/>
      <c r="G907" s="861"/>
      <c r="H907" s="991"/>
      <c r="I907" s="992"/>
      <c r="J907" s="993"/>
      <c r="K907" s="993"/>
      <c r="L907" s="994"/>
      <c r="M907" s="991"/>
      <c r="N907" s="1107"/>
      <c r="O907" s="1107"/>
      <c r="P907" s="1025"/>
      <c r="Q907" s="1025"/>
      <c r="R907" s="1025"/>
      <c r="S907" s="1025"/>
      <c r="T907" s="869"/>
      <c r="U907" s="1122"/>
    </row>
    <row r="908">
      <c r="A908" s="926" t="str">
        <f t="array" ref="A908">if(G908="","",XLOOKUP(D908,'プルダウンメニュー (SE用)'!$D$2:$D1028,'プルダウンメニュー (SE用)'!$C$2:$C1028))</f>
        <v/>
      </c>
      <c r="B908" s="926" t="str">
        <f>iferror(if(H908="GLOW流用","-",if(G908="","","SSE_"&amp;TEXT(vlookup(E908,'プルダウンメニュー (SE用)'!$E$2:$F1028,2,false),"000")&amp;"_"&amp;TEXT(COUNTIF($E$4:E908,E908),"000"))),"")</f>
        <v/>
      </c>
      <c r="C908" s="984"/>
      <c r="D908" s="985"/>
      <c r="E908" s="985"/>
      <c r="F908" s="985"/>
      <c r="G908" s="861"/>
      <c r="H908" s="991"/>
      <c r="I908" s="992"/>
      <c r="J908" s="993"/>
      <c r="K908" s="993"/>
      <c r="L908" s="994"/>
      <c r="M908" s="991"/>
      <c r="N908" s="1107"/>
      <c r="O908" s="1107"/>
      <c r="P908" s="1025"/>
      <c r="Q908" s="1025"/>
      <c r="R908" s="1025"/>
      <c r="S908" s="1025"/>
      <c r="T908" s="869"/>
      <c r="U908" s="1122"/>
    </row>
    <row r="909">
      <c r="A909" s="926" t="str">
        <f t="array" ref="A909">if(G909="","",XLOOKUP(D909,'プルダウンメニュー (SE用)'!$D$2:$D1028,'プルダウンメニュー (SE用)'!$C$2:$C1028))</f>
        <v/>
      </c>
      <c r="B909" s="926" t="str">
        <f>iferror(if(H909="GLOW流用","-",if(G909="","","SSE_"&amp;TEXT(vlookup(E909,'プルダウンメニュー (SE用)'!$E$2:$F1028,2,false),"000")&amp;"_"&amp;TEXT(COUNTIF($E$4:E909,E909),"000"))),"")</f>
        <v/>
      </c>
      <c r="C909" s="984"/>
      <c r="D909" s="985"/>
      <c r="E909" s="985"/>
      <c r="F909" s="985"/>
      <c r="G909" s="861"/>
      <c r="H909" s="862"/>
      <c r="I909" s="901"/>
      <c r="J909" s="902"/>
      <c r="K909" s="902"/>
      <c r="L909" s="903"/>
      <c r="M909" s="862"/>
      <c r="N909" s="1107"/>
      <c r="O909" s="1107"/>
      <c r="P909" s="1025"/>
      <c r="Q909" s="1025"/>
      <c r="R909" s="1025"/>
      <c r="S909" s="1025"/>
      <c r="T909" s="869"/>
      <c r="U909" s="1122"/>
    </row>
    <row r="910">
      <c r="A910" s="926" t="str">
        <f t="array" ref="A910">if(G910="","",XLOOKUP(D910,'プルダウンメニュー (SE用)'!$D$2:$D1028,'プルダウンメニュー (SE用)'!$C$2:$C1028))</f>
        <v/>
      </c>
      <c r="B910" s="926" t="str">
        <f>iferror(if(H910="GLOW流用","-",if(G910="","","SSE_"&amp;TEXT(vlookup(E910,'プルダウンメニュー (SE用)'!$E$2:$F1028,2,false),"000")&amp;"_"&amp;TEXT(COUNTIF($E$4:E910,E910),"000"))),"")</f>
        <v/>
      </c>
      <c r="C910" s="984"/>
      <c r="D910" s="985"/>
      <c r="E910" s="985"/>
      <c r="F910" s="985"/>
      <c r="G910" s="861"/>
      <c r="H910" s="862"/>
      <c r="I910" s="901"/>
      <c r="J910" s="902"/>
      <c r="K910" s="902"/>
      <c r="L910" s="903"/>
      <c r="M910" s="862"/>
      <c r="N910" s="1107"/>
      <c r="O910" s="1107"/>
      <c r="P910" s="1025"/>
      <c r="Q910" s="1025"/>
      <c r="R910" s="1025"/>
      <c r="S910" s="1025"/>
      <c r="T910" s="869"/>
      <c r="U910" s="1122"/>
    </row>
    <row r="911">
      <c r="A911" s="926" t="str">
        <f t="array" ref="A911">if(G911="","",XLOOKUP(D911,'プルダウンメニュー (SE用)'!$D$2:$D1028,'プルダウンメニュー (SE用)'!$C$2:$C1028))</f>
        <v/>
      </c>
      <c r="B911" s="926" t="str">
        <f>iferror(if(H911="GLOW流用","-",if(G911="","","SSE_"&amp;TEXT(vlookup(E911,'プルダウンメニュー (SE用)'!$E$2:$F1028,2,false),"000")&amp;"_"&amp;TEXT(COUNTIF($E$4:E911,E911),"000"))),"")</f>
        <v/>
      </c>
      <c r="C911" s="984"/>
      <c r="D911" s="985"/>
      <c r="E911" s="985"/>
      <c r="F911" s="985"/>
      <c r="G911" s="861"/>
      <c r="H911" s="862"/>
      <c r="I911" s="901"/>
      <c r="J911" s="902"/>
      <c r="K911" s="902"/>
      <c r="L911" s="903"/>
      <c r="M911" s="862"/>
      <c r="N911" s="1107"/>
      <c r="O911" s="1107"/>
      <c r="P911" s="1025"/>
      <c r="Q911" s="1025"/>
      <c r="R911" s="1025"/>
      <c r="S911" s="1025"/>
      <c r="T911" s="869"/>
      <c r="U911" s="1122"/>
    </row>
    <row r="912">
      <c r="A912" s="926" t="str">
        <f t="array" ref="A912">if(G912="","",XLOOKUP(D912,'プルダウンメニュー (SE用)'!$D$2:$D1028,'プルダウンメニュー (SE用)'!$C$2:$C1028))</f>
        <v/>
      </c>
      <c r="B912" s="926" t="str">
        <f>iferror(if(H912="GLOW流用","-",if(G912="","","SSE_"&amp;TEXT(vlookup(E912,'プルダウンメニュー (SE用)'!$E$2:$F1028,2,false),"000")&amp;"_"&amp;TEXT(COUNTIF($E$4:E912,E912),"000"))),"")</f>
        <v/>
      </c>
      <c r="C912" s="984"/>
      <c r="D912" s="985"/>
      <c r="E912" s="985"/>
      <c r="F912" s="985"/>
      <c r="G912" s="861"/>
      <c r="H912" s="862"/>
      <c r="I912" s="901"/>
      <c r="J912" s="902"/>
      <c r="K912" s="902"/>
      <c r="L912" s="903"/>
      <c r="M912" s="862"/>
      <c r="N912" s="1107"/>
      <c r="O912" s="1107"/>
      <c r="P912" s="1025"/>
      <c r="Q912" s="1025"/>
      <c r="R912" s="1025"/>
      <c r="S912" s="1025"/>
      <c r="T912" s="869"/>
      <c r="U912" s="1122"/>
    </row>
    <row r="913">
      <c r="A913" s="926" t="str">
        <f t="array" ref="A913">if(G913="","",XLOOKUP(D913,'プルダウンメニュー (SE用)'!$D$2:$D1028,'プルダウンメニュー (SE用)'!$C$2:$C1028))</f>
        <v/>
      </c>
      <c r="B913" s="926" t="str">
        <f>iferror(if(H913="GLOW流用","-",if(G913="","","SSE_"&amp;TEXT(vlookup(E913,'プルダウンメニュー (SE用)'!$E$2:$F1028,2,false),"000")&amp;"_"&amp;TEXT(COUNTIF($E$4:E913,E913),"000"))),"")</f>
        <v/>
      </c>
      <c r="C913" s="984"/>
      <c r="D913" s="985"/>
      <c r="E913" s="985"/>
      <c r="F913" s="1017"/>
      <c r="G913" s="1117"/>
      <c r="H913" s="899"/>
      <c r="I913" s="896"/>
      <c r="J913" s="928"/>
      <c r="K913" s="928"/>
      <c r="L913" s="898"/>
      <c r="M913" s="862"/>
      <c r="N913" s="1107"/>
      <c r="O913" s="1107"/>
      <c r="P913" s="1025"/>
      <c r="Q913" s="1025"/>
      <c r="R913" s="1025"/>
      <c r="S913" s="1025"/>
      <c r="T913" s="869"/>
      <c r="U913" s="869"/>
    </row>
    <row r="914">
      <c r="A914" s="926" t="str">
        <f t="array" ref="A914">if(G914="","",XLOOKUP(D914,'プルダウンメニュー (SE用)'!$D$2:$D1028,'プルダウンメニュー (SE用)'!$C$2:$C1028))</f>
        <v/>
      </c>
      <c r="B914" s="926" t="str">
        <f>iferror(if(H914="GLOW流用","-",if(G914="","","SSE_"&amp;TEXT(vlookup(E914,'プルダウンメニュー (SE用)'!$E$2:$F1028,2,false),"000")&amp;"_"&amp;TEXT(COUNTIF($E$4:E914,E914),"000"))),"")</f>
        <v/>
      </c>
      <c r="C914" s="984"/>
      <c r="D914" s="985"/>
      <c r="E914" s="985"/>
      <c r="F914" s="1017"/>
      <c r="G914" s="1117"/>
      <c r="H914" s="899"/>
      <c r="I914" s="896"/>
      <c r="J914" s="928"/>
      <c r="K914" s="928"/>
      <c r="L914" s="898"/>
      <c r="M914" s="862"/>
      <c r="N914" s="1107"/>
      <c r="O914" s="1107"/>
      <c r="P914" s="1025"/>
      <c r="Q914" s="1025"/>
      <c r="R914" s="1025"/>
      <c r="S914" s="1025"/>
      <c r="T914" s="869"/>
      <c r="U914" s="942"/>
    </row>
    <row r="915">
      <c r="A915" s="926" t="str">
        <f t="array" ref="A915">if(G915="","",XLOOKUP(D915,'プルダウンメニュー (SE用)'!$D$2:$D1028,'プルダウンメニュー (SE用)'!$C$2:$C1028))</f>
        <v/>
      </c>
      <c r="B915" s="926" t="str">
        <f>iferror(if(H915="GLOW流用","-",if(G915="","","SSE_"&amp;TEXT(vlookup(E915,'プルダウンメニュー (SE用)'!$E$2:$F1028,2,false),"000")&amp;"_"&amp;TEXT(COUNTIF($E$4:E915,E915),"000"))),"")</f>
        <v/>
      </c>
      <c r="C915" s="984"/>
      <c r="D915" s="985"/>
      <c r="E915" s="985"/>
      <c r="F915" s="1017"/>
      <c r="G915" s="927"/>
      <c r="H915" s="899"/>
      <c r="I915" s="896"/>
      <c r="J915" s="928"/>
      <c r="K915" s="928"/>
      <c r="L915" s="898"/>
      <c r="M915" s="862"/>
      <c r="N915" s="1107"/>
      <c r="O915" s="1107"/>
      <c r="P915" s="1025"/>
      <c r="Q915" s="1025"/>
      <c r="R915" s="1025"/>
      <c r="S915" s="1025"/>
      <c r="T915" s="869"/>
      <c r="U915" s="942"/>
    </row>
    <row r="916">
      <c r="A916" s="926" t="str">
        <f t="array" ref="A916">if(G916="","",XLOOKUP(D916,'プルダウンメニュー (SE用)'!$D$2:$D1028,'プルダウンメニュー (SE用)'!$C$2:$C1028))</f>
        <v/>
      </c>
      <c r="B916" s="926" t="str">
        <f>iferror(if(H916="GLOW流用","-",if(G916="","","SSE_"&amp;TEXT(vlookup(E916,'プルダウンメニュー (SE用)'!$E$2:$F1028,2,false),"000")&amp;"_"&amp;TEXT(COUNTIF($E$4:E916,E916),"000"))),"")</f>
        <v/>
      </c>
      <c r="C916" s="984"/>
      <c r="D916" s="985"/>
      <c r="E916" s="985"/>
      <c r="F916" s="1017"/>
      <c r="G916" s="927"/>
      <c r="H916" s="899"/>
      <c r="I916" s="896"/>
      <c r="J916" s="928"/>
      <c r="K916" s="928"/>
      <c r="L916" s="898"/>
      <c r="M916" s="862"/>
      <c r="N916" s="1107"/>
      <c r="O916" s="1107"/>
      <c r="P916" s="1025"/>
      <c r="Q916" s="1025"/>
      <c r="R916" s="1025"/>
      <c r="S916" s="1025"/>
      <c r="T916" s="869"/>
      <c r="U916" s="942"/>
    </row>
    <row r="917">
      <c r="A917" s="926" t="str">
        <f t="array" ref="A917">if(G917="","",XLOOKUP(D917,'プルダウンメニュー (SE用)'!$D$2:$D1028,'プルダウンメニュー (SE用)'!$C$2:$C1028))</f>
        <v/>
      </c>
      <c r="B917" s="926" t="str">
        <f>iferror(if(H917="GLOW流用","-",if(G917="","","SSE_"&amp;TEXT(vlookup(E917,'プルダウンメニュー (SE用)'!$E$2:$F1028,2,false),"000")&amp;"_"&amp;TEXT(COUNTIF($E$4:E917,E917),"000"))),"")</f>
        <v/>
      </c>
      <c r="C917" s="984"/>
      <c r="D917" s="985"/>
      <c r="E917" s="985"/>
      <c r="F917" s="1017"/>
      <c r="G917" s="927"/>
      <c r="H917" s="899"/>
      <c r="I917" s="896"/>
      <c r="J917" s="928"/>
      <c r="K917" s="928"/>
      <c r="L917" s="898"/>
      <c r="M917" s="862"/>
      <c r="N917" s="1107"/>
      <c r="O917" s="1107"/>
      <c r="P917" s="1025"/>
      <c r="Q917" s="1025"/>
      <c r="R917" s="1025"/>
      <c r="S917" s="1025"/>
      <c r="T917" s="869"/>
      <c r="U917" s="942"/>
    </row>
    <row r="918">
      <c r="A918" s="926" t="str">
        <f t="array" ref="A918">if(G918="","",XLOOKUP(D918,'プルダウンメニュー (SE用)'!$D$2:$D1028,'プルダウンメニュー (SE用)'!$C$2:$C1028))</f>
        <v/>
      </c>
      <c r="B918" s="926" t="str">
        <f>iferror(if(H918="GLOW流用","-",if(G918="","","SSE_"&amp;TEXT(vlookup(E918,'プルダウンメニュー (SE用)'!$E$2:$F1028,2,false),"000")&amp;"_"&amp;TEXT(COUNTIF($E$4:E918,E918),"000"))),"")</f>
        <v/>
      </c>
      <c r="C918" s="984"/>
      <c r="D918" s="985"/>
      <c r="E918" s="985"/>
      <c r="F918" s="1017"/>
      <c r="G918" s="927"/>
      <c r="H918" s="899"/>
      <c r="I918" s="896"/>
      <c r="J918" s="928"/>
      <c r="K918" s="928"/>
      <c r="L918" s="898"/>
      <c r="M918" s="862"/>
      <c r="N918" s="1107"/>
      <c r="O918" s="1107"/>
      <c r="P918" s="1025"/>
      <c r="Q918" s="1025"/>
      <c r="R918" s="1025"/>
      <c r="S918" s="1025"/>
      <c r="T918" s="869"/>
      <c r="U918" s="942"/>
    </row>
    <row r="919">
      <c r="A919" s="926" t="str">
        <f t="array" ref="A919">if(G919="","",XLOOKUP(D919,'プルダウンメニュー (SE用)'!$D$2:$D1028,'プルダウンメニュー (SE用)'!$C$2:$C1028))</f>
        <v/>
      </c>
      <c r="B919" s="926" t="str">
        <f>iferror(if(H919="GLOW流用","-",if(G919="","","SSE_"&amp;TEXT(vlookup(E919,'プルダウンメニュー (SE用)'!$E$2:$F1028,2,false),"000")&amp;"_"&amp;TEXT(COUNTIF($E$4:E919,E919),"000"))),"")</f>
        <v/>
      </c>
      <c r="C919" s="860"/>
      <c r="D919" s="1123"/>
      <c r="E919" s="1123"/>
      <c r="F919" s="1123"/>
      <c r="G919" s="861"/>
      <c r="H919" s="862"/>
      <c r="I919" s="901"/>
      <c r="J919" s="902"/>
      <c r="K919" s="902"/>
      <c r="L919" s="903"/>
      <c r="M919" s="862"/>
      <c r="N919" s="1107"/>
      <c r="O919" s="1107"/>
      <c r="P919" s="1025"/>
      <c r="Q919" s="1025"/>
      <c r="R919" s="1025"/>
      <c r="S919" s="1025"/>
      <c r="T919" s="869"/>
      <c r="U919" s="942"/>
    </row>
    <row r="920">
      <c r="A920" s="926" t="str">
        <f t="array" ref="A920">if(G920="","",XLOOKUP(D920,'プルダウンメニュー (SE用)'!$D$2:$D1028,'プルダウンメニュー (SE用)'!$C$2:$C1028))</f>
        <v/>
      </c>
      <c r="B920" s="926" t="str">
        <f>iferror(if(H920="GLOW流用","-",if(G920="","","SSE_"&amp;TEXT(vlookup(E920,'プルダウンメニュー (SE用)'!$E$2:$F1028,2,false),"000")&amp;"_"&amp;TEXT(COUNTIF($E$4:E920,E920),"000"))),"")</f>
        <v/>
      </c>
      <c r="C920" s="860"/>
      <c r="D920" s="1123"/>
      <c r="E920" s="1123"/>
      <c r="F920" s="1123"/>
      <c r="G920" s="861"/>
      <c r="H920" s="862"/>
      <c r="I920" s="901"/>
      <c r="J920" s="902"/>
      <c r="K920" s="902"/>
      <c r="L920" s="903"/>
      <c r="M920" s="862"/>
      <c r="N920" s="1107"/>
      <c r="O920" s="1107"/>
      <c r="P920" s="1025"/>
      <c r="Q920" s="1025"/>
      <c r="R920" s="1025"/>
      <c r="S920" s="1025"/>
      <c r="T920" s="869"/>
      <c r="U920" s="942"/>
    </row>
    <row r="921">
      <c r="A921" s="926" t="str">
        <f t="array" ref="A921">if(G921="","",XLOOKUP(D921,'プルダウンメニュー (SE用)'!$D$2:$D1028,'プルダウンメニュー (SE用)'!$C$2:$C1028))</f>
        <v/>
      </c>
      <c r="B921" s="926" t="str">
        <f>iferror(if(H921="GLOW流用","-",if(G921="","","SSE_"&amp;TEXT(vlookup(E921,'プルダウンメニュー (SE用)'!$E$2:$F1028,2,false),"000")&amp;"_"&amp;TEXT(COUNTIF($E$4:E921,E921),"000"))),"")</f>
        <v/>
      </c>
      <c r="C921" s="860"/>
      <c r="D921" s="1123"/>
      <c r="E921" s="1123"/>
      <c r="F921" s="1123"/>
      <c r="G921" s="861"/>
      <c r="H921" s="862"/>
      <c r="I921" s="901"/>
      <c r="J921" s="902"/>
      <c r="K921" s="902"/>
      <c r="L921" s="903"/>
      <c r="M921" s="862"/>
      <c r="N921" s="1107"/>
      <c r="O921" s="1107"/>
      <c r="P921" s="1025"/>
      <c r="Q921" s="1025"/>
      <c r="R921" s="1025"/>
      <c r="S921" s="1025"/>
      <c r="T921" s="869"/>
      <c r="U921" s="942"/>
    </row>
    <row r="922">
      <c r="A922" s="926" t="str">
        <f t="array" ref="A922">if(G922="","",XLOOKUP(D922,'プルダウンメニュー (SE用)'!$D$2:$D1028,'プルダウンメニュー (SE用)'!$C$2:$C1028))</f>
        <v/>
      </c>
      <c r="B922" s="926" t="str">
        <f>iferror(if(H922="GLOW流用","-",if(G922="","","SSE_"&amp;TEXT(vlookup(E922,'プルダウンメニュー (SE用)'!$E$2:$F1028,2,false),"000")&amp;"_"&amp;TEXT(COUNTIF($E$4:E922,E922),"000"))),"")</f>
        <v/>
      </c>
      <c r="C922" s="860"/>
      <c r="D922" s="1123"/>
      <c r="E922" s="1123"/>
      <c r="F922" s="1123"/>
      <c r="G922" s="861"/>
      <c r="H922" s="862"/>
      <c r="I922" s="901"/>
      <c r="J922" s="902"/>
      <c r="K922" s="902"/>
      <c r="L922" s="903"/>
      <c r="M922" s="862"/>
      <c r="N922" s="1107"/>
      <c r="O922" s="1107"/>
      <c r="P922" s="1025"/>
      <c r="Q922" s="1025"/>
      <c r="R922" s="1025"/>
      <c r="S922" s="1025"/>
      <c r="T922" s="869"/>
      <c r="U922" s="942"/>
    </row>
    <row r="923">
      <c r="A923" s="926" t="str">
        <f t="array" ref="A923">if(G923="","",XLOOKUP(D923,'プルダウンメニュー (SE用)'!$D$2:$D1028,'プルダウンメニュー (SE用)'!$C$2:$C1028))</f>
        <v/>
      </c>
      <c r="B923" s="926" t="str">
        <f>iferror(if(H923="GLOW流用","-",if(G923="","","SSE_"&amp;TEXT(vlookup(E923,'プルダウンメニュー (SE用)'!$E$2:$F1028,2,false),"000")&amp;"_"&amp;TEXT(COUNTIF($E$4:E923,E923),"000"))),"")</f>
        <v/>
      </c>
      <c r="C923" s="860"/>
      <c r="D923" s="1123"/>
      <c r="E923" s="1123"/>
      <c r="F923" s="1123"/>
      <c r="G923" s="861"/>
      <c r="H923" s="862"/>
      <c r="I923" s="901"/>
      <c r="J923" s="902"/>
      <c r="K923" s="902"/>
      <c r="L923" s="903"/>
      <c r="M923" s="862"/>
      <c r="N923" s="1107"/>
      <c r="O923" s="1107"/>
      <c r="P923" s="1025"/>
      <c r="Q923" s="1025"/>
      <c r="R923" s="1025"/>
      <c r="S923" s="1025"/>
      <c r="T923" s="869"/>
      <c r="U923" s="942"/>
    </row>
    <row r="924">
      <c r="A924" s="926" t="str">
        <f t="array" ref="A924">if(G924="","",XLOOKUP(D924,'プルダウンメニュー (SE用)'!$D$2:$D1028,'プルダウンメニュー (SE用)'!$C$2:$C1028))</f>
        <v/>
      </c>
      <c r="B924" s="926" t="str">
        <f>iferror(if(H924="GLOW流用","-",if(G924="","","SSE_"&amp;TEXT(vlookup(E924,'プルダウンメニュー (SE用)'!$E$2:$F1028,2,false),"000")&amp;"_"&amp;TEXT(COUNTIF($E$4:E924,E924),"000"))),"")</f>
        <v/>
      </c>
      <c r="C924" s="860"/>
      <c r="D924" s="1123"/>
      <c r="E924" s="1123"/>
      <c r="F924" s="1123"/>
      <c r="G924" s="861"/>
      <c r="H924" s="862"/>
      <c r="I924" s="901"/>
      <c r="J924" s="902"/>
      <c r="K924" s="902"/>
      <c r="L924" s="903"/>
      <c r="M924" s="862"/>
      <c r="N924" s="1107"/>
      <c r="O924" s="1107"/>
      <c r="P924" s="1025"/>
      <c r="Q924" s="1025"/>
      <c r="R924" s="1025"/>
      <c r="S924" s="1025"/>
      <c r="T924" s="869"/>
      <c r="U924" s="942"/>
    </row>
    <row r="925">
      <c r="A925" s="926" t="str">
        <f t="array" ref="A925">if(G925="","",XLOOKUP(D925,'プルダウンメニュー (SE用)'!$D$2:$D1028,'プルダウンメニュー (SE用)'!$C$2:$C1028))</f>
        <v/>
      </c>
      <c r="B925" s="926" t="str">
        <f>iferror(if(H925="GLOW流用","-",if(G925="","","SSE_"&amp;TEXT(vlookup(E925,'プルダウンメニュー (SE用)'!$E$2:$F1028,2,false),"000")&amp;"_"&amp;TEXT(COUNTIF($E$4:E925,E925),"000"))),"")</f>
        <v/>
      </c>
      <c r="C925" s="860"/>
      <c r="D925" s="1123"/>
      <c r="E925" s="1123"/>
      <c r="F925" s="1123"/>
      <c r="G925" s="861"/>
      <c r="H925" s="862"/>
      <c r="I925" s="901"/>
      <c r="J925" s="902"/>
      <c r="K925" s="902"/>
      <c r="L925" s="903"/>
      <c r="M925" s="862"/>
      <c r="N925" s="1107"/>
      <c r="O925" s="1107"/>
      <c r="P925" s="1025"/>
      <c r="Q925" s="1025"/>
      <c r="R925" s="1025"/>
      <c r="S925" s="1025"/>
      <c r="T925" s="869"/>
      <c r="U925" s="942"/>
    </row>
    <row r="926">
      <c r="A926" s="926" t="str">
        <f t="array" ref="A926">if(G926="","",XLOOKUP(D926,'プルダウンメニュー (SE用)'!$D$2:$D1028,'プルダウンメニュー (SE用)'!$C$2:$C1028))</f>
        <v/>
      </c>
      <c r="B926" s="926" t="str">
        <f>iferror(if(H926="GLOW流用","-",if(G926="","","SSE_"&amp;TEXT(vlookup(E926,'プルダウンメニュー (SE用)'!$E$2:$F1028,2,false),"000")&amp;"_"&amp;TEXT(COUNTIF($E$4:E926,E926),"000"))),"")</f>
        <v/>
      </c>
      <c r="C926" s="860"/>
      <c r="D926" s="1123"/>
      <c r="E926" s="1123"/>
      <c r="F926" s="1123"/>
      <c r="G926" s="861"/>
      <c r="H926" s="862"/>
      <c r="I926" s="901"/>
      <c r="J926" s="902"/>
      <c r="K926" s="902"/>
      <c r="L926" s="903"/>
      <c r="M926" s="862"/>
      <c r="N926" s="1107"/>
      <c r="O926" s="1107"/>
      <c r="P926" s="1025"/>
      <c r="Q926" s="1025"/>
      <c r="R926" s="1025"/>
      <c r="S926" s="1025"/>
      <c r="T926" s="869"/>
      <c r="U926" s="942"/>
    </row>
    <row r="927" ht="15.75" customHeight="1">
      <c r="A927" s="926" t="str">
        <f t="array" ref="A927">if(G927="","",XLOOKUP(D927,'プルダウンメニュー (SE用)'!$D$2:$D1028,'プルダウンメニュー (SE用)'!$C$2:$C1028))</f>
        <v/>
      </c>
      <c r="B927" s="926" t="str">
        <f>iferror(if(H927="GLOW流用","-",if(G927="","","SSE_"&amp;TEXT(vlookup(E927,'プルダウンメニュー (SE用)'!$E$2:$F1028,2,false),"000")&amp;"_"&amp;TEXT(COUNTIF($E$4:E927,E927),"000"))),"")</f>
        <v/>
      </c>
      <c r="C927" s="860"/>
      <c r="D927" s="1123"/>
      <c r="E927" s="1123"/>
      <c r="F927" s="1123"/>
      <c r="G927" s="861"/>
      <c r="H927" s="862"/>
      <c r="I927" s="901"/>
      <c r="J927" s="902"/>
      <c r="K927" s="902"/>
      <c r="L927" s="903"/>
      <c r="M927" s="862"/>
      <c r="N927" s="1107"/>
      <c r="O927" s="1107"/>
      <c r="P927" s="1025"/>
      <c r="Q927" s="1025"/>
      <c r="R927" s="1025"/>
      <c r="S927" s="1025"/>
      <c r="T927" s="869"/>
      <c r="U927" s="942"/>
    </row>
    <row r="928">
      <c r="A928" s="926" t="str">
        <f t="array" ref="A928">if(G928="","",XLOOKUP(D928,'プルダウンメニュー (SE用)'!$D$2:$D1028,'プルダウンメニュー (SE用)'!$C$2:$C1028))</f>
        <v/>
      </c>
      <c r="B928" s="926" t="str">
        <f>iferror(if(H928="GLOW流用","-",if(G928="","","SSE_"&amp;TEXT(vlookup(E928,'プルダウンメニュー (SE用)'!$E$2:$F1028,2,false),"000")&amp;"_"&amp;TEXT(COUNTIF($E$4:E928,E928),"000"))),"")</f>
        <v/>
      </c>
      <c r="C928" s="860"/>
      <c r="D928" s="1123"/>
      <c r="E928" s="1123"/>
      <c r="F928" s="1123"/>
      <c r="G928" s="861"/>
      <c r="H928" s="862"/>
      <c r="I928" s="901"/>
      <c r="J928" s="902"/>
      <c r="K928" s="902"/>
      <c r="L928" s="903"/>
      <c r="M928" s="862"/>
      <c r="N928" s="1107"/>
      <c r="O928" s="1107"/>
      <c r="P928" s="1025"/>
      <c r="Q928" s="1025"/>
      <c r="R928" s="1025"/>
      <c r="S928" s="1025"/>
      <c r="T928" s="869"/>
      <c r="U928" s="942"/>
    </row>
    <row r="929">
      <c r="A929" s="926" t="str">
        <f t="array" ref="A929">if(G929="","",XLOOKUP(D929,'プルダウンメニュー (SE用)'!$D$2:$D1028,'プルダウンメニュー (SE用)'!$C$2:$C1028))</f>
        <v/>
      </c>
      <c r="B929" s="926" t="str">
        <f>iferror(if(H929="GLOW流用","-",if(G929="","","SSE_"&amp;TEXT(vlookup(E929,'プルダウンメニュー (SE用)'!$E$2:$F1028,2,false),"000")&amp;"_"&amp;TEXT(COUNTIF($E$4:E929,E929),"000"))),"")</f>
        <v/>
      </c>
      <c r="C929" s="860"/>
      <c r="D929" s="1123"/>
      <c r="E929" s="1123"/>
      <c r="F929" s="1123"/>
      <c r="G929" s="861"/>
      <c r="H929" s="862"/>
      <c r="I929" s="901"/>
      <c r="J929" s="902"/>
      <c r="K929" s="902"/>
      <c r="L929" s="903"/>
      <c r="M929" s="862"/>
      <c r="N929" s="1107"/>
      <c r="O929" s="1107"/>
      <c r="P929" s="1025"/>
      <c r="Q929" s="1025"/>
      <c r="R929" s="1025"/>
      <c r="S929" s="1025"/>
      <c r="T929" s="869"/>
      <c r="U929" s="942"/>
    </row>
    <row r="930">
      <c r="A930" s="926" t="str">
        <f t="array" ref="A930">if(G930="","",XLOOKUP(D930,'プルダウンメニュー (SE用)'!$D$2:$D1028,'プルダウンメニュー (SE用)'!$C$2:$C1028))</f>
        <v/>
      </c>
      <c r="B930" s="926" t="str">
        <f>iferror(if(H930="GLOW流用","-",if(G930="","","SSE_"&amp;TEXT(vlookup(E930,'プルダウンメニュー (SE用)'!$E$2:$F1028,2,false),"000")&amp;"_"&amp;TEXT(COUNTIF($E$4:E930,E930),"000"))),"")</f>
        <v/>
      </c>
      <c r="C930" s="860"/>
      <c r="D930" s="1123"/>
      <c r="E930" s="1123"/>
      <c r="F930" s="1123"/>
      <c r="G930" s="861"/>
      <c r="H930" s="862"/>
      <c r="I930" s="901"/>
      <c r="J930" s="902"/>
      <c r="K930" s="902"/>
      <c r="L930" s="903"/>
      <c r="M930" s="862"/>
      <c r="N930" s="1107"/>
      <c r="O930" s="1107"/>
      <c r="P930" s="1025"/>
      <c r="Q930" s="1025"/>
      <c r="R930" s="1025"/>
      <c r="S930" s="1025"/>
      <c r="T930" s="869"/>
      <c r="U930" s="942"/>
    </row>
    <row r="931">
      <c r="A931" s="926" t="str">
        <f t="array" ref="A931">if(G931="","",XLOOKUP(D931,'プルダウンメニュー (SE用)'!$D$2:$D1028,'プルダウンメニュー (SE用)'!$C$2:$C1028))</f>
        <v/>
      </c>
      <c r="B931" s="926" t="str">
        <f>iferror(if(H931="GLOW流用","-",if(G931="","","SSE_"&amp;TEXT(vlookup(E931,'プルダウンメニュー (SE用)'!$E$2:$F1028,2,false),"000")&amp;"_"&amp;TEXT(COUNTIF($E$4:E931,E931),"000"))),"")</f>
        <v/>
      </c>
      <c r="C931" s="860"/>
      <c r="D931" s="1123"/>
      <c r="E931" s="1123"/>
      <c r="F931" s="1123"/>
      <c r="G931" s="861"/>
      <c r="H931" s="862"/>
      <c r="I931" s="901"/>
      <c r="J931" s="902"/>
      <c r="K931" s="902"/>
      <c r="L931" s="903"/>
      <c r="M931" s="862"/>
      <c r="N931" s="1107"/>
      <c r="O931" s="1107"/>
      <c r="P931" s="1025"/>
      <c r="Q931" s="1025"/>
      <c r="R931" s="1025"/>
      <c r="S931" s="1025"/>
      <c r="T931" s="869"/>
      <c r="U931" s="942"/>
    </row>
    <row r="932">
      <c r="A932" s="926" t="str">
        <f t="array" ref="A932">if(G932="","",XLOOKUP(D932,'プルダウンメニュー (SE用)'!$D$2:$D1028,'プルダウンメニュー (SE用)'!$C$2:$C1028))</f>
        <v/>
      </c>
      <c r="B932" s="926" t="str">
        <f>iferror(if(H932="GLOW流用","-",if(G932="","","SSE_"&amp;TEXT(vlookup(E932,'プルダウンメニュー (SE用)'!$E$2:$F1028,2,false),"000")&amp;"_"&amp;TEXT(COUNTIF($E$4:E932,E932),"000"))),"")</f>
        <v/>
      </c>
      <c r="C932" s="860"/>
      <c r="D932" s="1123"/>
      <c r="E932" s="1123"/>
      <c r="F932" s="1123"/>
      <c r="G932" s="861"/>
      <c r="H932" s="862"/>
      <c r="I932" s="901"/>
      <c r="J932" s="902"/>
      <c r="K932" s="902"/>
      <c r="L932" s="903"/>
      <c r="M932" s="862"/>
      <c r="N932" s="1107"/>
      <c r="O932" s="1107"/>
      <c r="P932" s="1025"/>
      <c r="Q932" s="1025"/>
      <c r="R932" s="1025"/>
      <c r="S932" s="1025"/>
      <c r="T932" s="869"/>
      <c r="U932" s="942"/>
    </row>
    <row r="933">
      <c r="A933" s="926" t="str">
        <f t="array" ref="A933">if(G933="","",XLOOKUP(D933,'プルダウンメニュー (SE用)'!$D$2:$D1028,'プルダウンメニュー (SE用)'!$C$2:$C1028))</f>
        <v/>
      </c>
      <c r="B933" s="926" t="str">
        <f>iferror(if(H933="GLOW流用","-",if(G933="","","SSE_"&amp;TEXT(vlookup(E933,'プルダウンメニュー (SE用)'!$E$2:$F1028,2,false),"000")&amp;"_"&amp;TEXT(COUNTIF($E$4:E933,E933),"000"))),"")</f>
        <v/>
      </c>
      <c r="C933" s="860"/>
      <c r="D933" s="1123"/>
      <c r="E933" s="1123"/>
      <c r="F933" s="1123"/>
      <c r="G933" s="861"/>
      <c r="H933" s="862"/>
      <c r="I933" s="901"/>
      <c r="J933" s="902"/>
      <c r="K933" s="902"/>
      <c r="L933" s="903"/>
      <c r="M933" s="862"/>
      <c r="N933" s="1107"/>
      <c r="O933" s="1107"/>
      <c r="P933" s="1025"/>
      <c r="Q933" s="1025"/>
      <c r="R933" s="1025"/>
      <c r="S933" s="1025"/>
      <c r="T933" s="869"/>
      <c r="U933" s="942"/>
    </row>
    <row r="934">
      <c r="A934" s="926" t="str">
        <f t="array" ref="A934">if(G934="","",XLOOKUP(D934,'プルダウンメニュー (SE用)'!$D$2:$D1028,'プルダウンメニュー (SE用)'!$C$2:$C1028))</f>
        <v/>
      </c>
      <c r="B934" s="926" t="str">
        <f>iferror(if(H934="GLOW流用","-",if(G934="","","SSE_"&amp;TEXT(vlookup(E934,'プルダウンメニュー (SE用)'!$E$2:$F1028,2,false),"000")&amp;"_"&amp;TEXT(COUNTIF($E$4:E934,E934),"000"))),"")</f>
        <v/>
      </c>
      <c r="C934" s="860"/>
      <c r="D934" s="1123"/>
      <c r="E934" s="1123"/>
      <c r="F934" s="1123"/>
      <c r="G934" s="861"/>
      <c r="H934" s="862"/>
      <c r="I934" s="901"/>
      <c r="J934" s="902"/>
      <c r="K934" s="902"/>
      <c r="L934" s="903"/>
      <c r="M934" s="862"/>
      <c r="N934" s="1107"/>
      <c r="O934" s="1107"/>
      <c r="P934" s="1025"/>
      <c r="Q934" s="1025"/>
      <c r="R934" s="1025"/>
      <c r="S934" s="1025"/>
      <c r="T934" s="869"/>
      <c r="U934" s="942"/>
    </row>
    <row r="935">
      <c r="A935" s="926" t="str">
        <f t="array" ref="A935">if(G935="","",XLOOKUP(D935,'プルダウンメニュー (SE用)'!$D$2:$D1028,'プルダウンメニュー (SE用)'!$C$2:$C1028))</f>
        <v/>
      </c>
      <c r="B935" s="926" t="str">
        <f>iferror(if(H935="GLOW流用","-",if(G935="","","SSE_"&amp;TEXT(vlookup(E935,'プルダウンメニュー (SE用)'!$E$2:$F1028,2,false),"000")&amp;"_"&amp;TEXT(COUNTIF($E$4:E935,E935),"000"))),"")</f>
        <v/>
      </c>
      <c r="C935" s="860"/>
      <c r="D935" s="1123"/>
      <c r="E935" s="1123"/>
      <c r="F935" s="1123"/>
      <c r="G935" s="861"/>
      <c r="H935" s="862"/>
      <c r="I935" s="901"/>
      <c r="J935" s="902"/>
      <c r="K935" s="902"/>
      <c r="L935" s="903"/>
      <c r="M935" s="862"/>
      <c r="N935" s="1107"/>
      <c r="O935" s="1107"/>
      <c r="P935" s="1025"/>
      <c r="Q935" s="1025"/>
      <c r="R935" s="1025"/>
      <c r="S935" s="1025"/>
      <c r="T935" s="869"/>
      <c r="U935" s="942"/>
    </row>
    <row r="936">
      <c r="A936" s="926" t="str">
        <f t="array" ref="A936">if(G936="","",XLOOKUP(D936,'プルダウンメニュー (SE用)'!$D$2:$D1028,'プルダウンメニュー (SE用)'!$C$2:$C1028))</f>
        <v/>
      </c>
      <c r="B936" s="926" t="str">
        <f>iferror(if(H936="GLOW流用","-",if(G936="","","SSE_"&amp;TEXT(vlookup(E936,'プルダウンメニュー (SE用)'!$E$2:$F1028,2,false),"000")&amp;"_"&amp;TEXT(COUNTIF($E$4:E936,E936),"000"))),"")</f>
        <v/>
      </c>
      <c r="C936" s="860"/>
      <c r="D936" s="1123"/>
      <c r="E936" s="1123"/>
      <c r="F936" s="1123"/>
      <c r="G936" s="861"/>
      <c r="H936" s="862"/>
      <c r="I936" s="901"/>
      <c r="J936" s="902"/>
      <c r="K936" s="902"/>
      <c r="L936" s="903"/>
      <c r="M936" s="862"/>
      <c r="N936" s="1107"/>
      <c r="O936" s="1107"/>
      <c r="P936" s="1025"/>
      <c r="Q936" s="1025"/>
      <c r="R936" s="1025"/>
      <c r="S936" s="1025"/>
      <c r="T936" s="869"/>
      <c r="U936" s="942"/>
    </row>
    <row r="937">
      <c r="A937" s="926" t="str">
        <f t="array" ref="A937">if(G937="","",XLOOKUP(D937,'プルダウンメニュー (SE用)'!$D$2:$D1028,'プルダウンメニュー (SE用)'!$C$2:$C1028))</f>
        <v/>
      </c>
      <c r="B937" s="926" t="str">
        <f>iferror(if(H937="GLOW流用","-",if(G937="","","SSE_"&amp;TEXT(vlookup(E937,'プルダウンメニュー (SE用)'!$E$2:$F1028,2,false),"000")&amp;"_"&amp;TEXT(COUNTIF($E$4:E937,E937),"000"))),"")</f>
        <v/>
      </c>
      <c r="C937" s="860"/>
      <c r="D937" s="1123"/>
      <c r="E937" s="1123"/>
      <c r="F937" s="1123"/>
      <c r="G937" s="861"/>
      <c r="H937" s="862"/>
      <c r="I937" s="901"/>
      <c r="J937" s="902"/>
      <c r="K937" s="902"/>
      <c r="L937" s="903"/>
      <c r="M937" s="862"/>
      <c r="N937" s="1107"/>
      <c r="O937" s="1107"/>
      <c r="P937" s="1025"/>
      <c r="Q937" s="1025"/>
      <c r="R937" s="1025"/>
      <c r="S937" s="1025"/>
      <c r="T937" s="869"/>
      <c r="U937" s="942"/>
    </row>
    <row r="938">
      <c r="A938" s="926" t="str">
        <f t="array" ref="A938">if(G938="","",XLOOKUP(D938,'プルダウンメニュー (SE用)'!$D$2:$D1028,'プルダウンメニュー (SE用)'!$C$2:$C1028))</f>
        <v/>
      </c>
      <c r="B938" s="926" t="str">
        <f>iferror(if(H938="GLOW流用","-",if(G938="","","SSE_"&amp;TEXT(vlookup(E938,'プルダウンメニュー (SE用)'!$E$2:$F1028,2,false),"000")&amp;"_"&amp;TEXT(COUNTIF($E$4:E938,E938),"000"))),"")</f>
        <v/>
      </c>
      <c r="C938" s="860"/>
      <c r="D938" s="1123"/>
      <c r="E938" s="1123"/>
      <c r="F938" s="1123"/>
      <c r="G938" s="861"/>
      <c r="H938" s="862"/>
      <c r="I938" s="901"/>
      <c r="J938" s="902"/>
      <c r="K938" s="902"/>
      <c r="L938" s="903"/>
      <c r="M938" s="862"/>
      <c r="N938" s="1107"/>
      <c r="O938" s="1107"/>
      <c r="P938" s="1025"/>
      <c r="Q938" s="1025"/>
      <c r="R938" s="1025"/>
      <c r="S938" s="1025"/>
      <c r="T938" s="869"/>
      <c r="U938" s="942"/>
    </row>
    <row r="939">
      <c r="A939" s="926" t="str">
        <f t="array" ref="A939">if(G939="","",XLOOKUP(D939,'プルダウンメニュー (SE用)'!$D$2:$D1028,'プルダウンメニュー (SE用)'!$C$2:$C1028))</f>
        <v/>
      </c>
      <c r="B939" s="926" t="str">
        <f>iferror(if(H939="GLOW流用","-",if(G939="","","SSE_"&amp;TEXT(vlookup(E939,'プルダウンメニュー (SE用)'!$E$2:$F1028,2,false),"000")&amp;"_"&amp;TEXT(COUNTIF($E$4:E939,E939),"000"))),"")</f>
        <v/>
      </c>
      <c r="C939" s="860"/>
      <c r="D939" s="1123"/>
      <c r="E939" s="1123"/>
      <c r="F939" s="1123"/>
      <c r="G939" s="861"/>
      <c r="H939" s="862"/>
      <c r="I939" s="901"/>
      <c r="J939" s="902"/>
      <c r="K939" s="902"/>
      <c r="L939" s="903"/>
      <c r="M939" s="862"/>
      <c r="N939" s="1107"/>
      <c r="O939" s="1107"/>
      <c r="P939" s="1025"/>
      <c r="Q939" s="1025"/>
      <c r="R939" s="1025"/>
      <c r="S939" s="1025"/>
      <c r="T939" s="869"/>
      <c r="U939" s="942"/>
    </row>
    <row r="940">
      <c r="A940" s="926" t="str">
        <f t="array" ref="A940">if(G940="","",XLOOKUP(D940,'プルダウンメニュー (SE用)'!$D$2:$D1028,'プルダウンメニュー (SE用)'!$C$2:$C1028))</f>
        <v/>
      </c>
      <c r="B940" s="926" t="str">
        <f>iferror(if(H940="GLOW流用","-",if(G940="","","SSE_"&amp;TEXT(vlookup(E940,'プルダウンメニュー (SE用)'!$E$2:$F1028,2,false),"000")&amp;"_"&amp;TEXT(COUNTIF($E$4:E940,E940),"000"))),"")</f>
        <v/>
      </c>
      <c r="C940" s="860"/>
      <c r="D940" s="1124"/>
      <c r="E940" s="1124"/>
      <c r="F940" s="1124"/>
      <c r="G940" s="1125"/>
      <c r="H940" s="862"/>
      <c r="I940" s="901"/>
      <c r="J940" s="902"/>
      <c r="K940" s="902"/>
      <c r="L940" s="903"/>
      <c r="M940" s="862"/>
      <c r="N940" s="1107"/>
      <c r="O940" s="1107"/>
      <c r="P940" s="1025"/>
      <c r="Q940" s="1025"/>
      <c r="R940" s="1025"/>
      <c r="S940" s="1025"/>
      <c r="T940" s="869"/>
      <c r="U940" s="942"/>
    </row>
    <row r="941">
      <c r="A941" s="926" t="str">
        <f t="array" ref="A941">if(G941="","",XLOOKUP(D941,'プルダウンメニュー (SE用)'!$D$2:$D1028,'プルダウンメニュー (SE用)'!$C$2:$C1028))</f>
        <v/>
      </c>
      <c r="B941" s="926" t="str">
        <f>iferror(if(H941="GLOW流用","-",if(G941="","","SSE_"&amp;TEXT(vlookup(E941,'プルダウンメニュー (SE用)'!$E$2:$F1028,2,false),"000")&amp;"_"&amp;TEXT(COUNTIF($E$4:E941,E941),"000"))),"")</f>
        <v/>
      </c>
      <c r="C941" s="860"/>
      <c r="D941" s="1124"/>
      <c r="E941" s="1124"/>
      <c r="F941" s="1124"/>
      <c r="G941" s="1125"/>
      <c r="H941" s="862"/>
      <c r="I941" s="901"/>
      <c r="J941" s="902"/>
      <c r="K941" s="902"/>
      <c r="L941" s="903"/>
      <c r="M941" s="862"/>
      <c r="N941" s="1107"/>
      <c r="O941" s="1107"/>
      <c r="P941" s="1025"/>
      <c r="Q941" s="1025"/>
      <c r="R941" s="1025"/>
      <c r="S941" s="1025"/>
      <c r="T941" s="869"/>
      <c r="U941" s="942"/>
    </row>
    <row r="942">
      <c r="A942" s="926" t="str">
        <f t="array" ref="A942">if(G942="","",XLOOKUP(D942,'プルダウンメニュー (SE用)'!$D$2:$D1028,'プルダウンメニュー (SE用)'!$C$2:$C1028))</f>
        <v/>
      </c>
      <c r="B942" s="926" t="str">
        <f>iferror(if(H942="GLOW流用","-",if(G942="","","SSE_"&amp;TEXT(vlookup(E942,'プルダウンメニュー (SE用)'!$E$2:$F1028,2,false),"000")&amp;"_"&amp;TEXT(COUNTIF($E$4:E942,E942),"000"))),"")</f>
        <v/>
      </c>
      <c r="C942" s="860"/>
      <c r="D942" s="1124"/>
      <c r="E942" s="1124"/>
      <c r="F942" s="1124"/>
      <c r="G942" s="1125"/>
      <c r="H942" s="862"/>
      <c r="I942" s="901"/>
      <c r="J942" s="902"/>
      <c r="K942" s="902"/>
      <c r="L942" s="903"/>
      <c r="M942" s="862"/>
      <c r="N942" s="1107"/>
      <c r="O942" s="1107"/>
      <c r="P942" s="1025"/>
      <c r="Q942" s="1025"/>
      <c r="R942" s="1025"/>
      <c r="S942" s="1025"/>
      <c r="T942" s="869"/>
      <c r="U942" s="942"/>
    </row>
    <row r="943">
      <c r="A943" s="926" t="str">
        <f t="array" ref="A943">if(G943="","",XLOOKUP(D943,'プルダウンメニュー (SE用)'!$D$2:$D1028,'プルダウンメニュー (SE用)'!$C$2:$C1028))</f>
        <v/>
      </c>
      <c r="B943" s="926" t="str">
        <f>iferror(if(H943="GLOW流用","-",if(G943="","","SSE_"&amp;TEXT(vlookup(E943,'プルダウンメニュー (SE用)'!$E$2:$F1028,2,false),"000")&amp;"_"&amp;TEXT(COUNTIF($E$4:E943,E943),"000"))),"")</f>
        <v/>
      </c>
      <c r="C943" s="860"/>
      <c r="D943" s="1124"/>
      <c r="E943" s="1124"/>
      <c r="F943" s="1124"/>
      <c r="G943" s="1125"/>
      <c r="H943" s="862"/>
      <c r="I943" s="901"/>
      <c r="J943" s="902"/>
      <c r="K943" s="902"/>
      <c r="L943" s="903"/>
      <c r="M943" s="862"/>
      <c r="N943" s="1107"/>
      <c r="O943" s="1107"/>
      <c r="P943" s="1025"/>
      <c r="Q943" s="1025"/>
      <c r="R943" s="1025"/>
      <c r="S943" s="1025"/>
      <c r="T943" s="869"/>
      <c r="U943" s="942"/>
    </row>
    <row r="944">
      <c r="A944" s="926" t="str">
        <f t="array" ref="A944">if(G944="","",XLOOKUP(D944,'プルダウンメニュー (SE用)'!$D$2:$D1028,'プルダウンメニュー (SE用)'!$C$2:$C1028))</f>
        <v/>
      </c>
      <c r="B944" s="926" t="str">
        <f>iferror(if(H944="GLOW流用","-",if(G944="","","SSE_"&amp;TEXT(vlookup(E944,'プルダウンメニュー (SE用)'!$E$2:$F1028,2,false),"000")&amp;"_"&amp;TEXT(COUNTIF($E$4:E944,E944),"000"))),"")</f>
        <v/>
      </c>
      <c r="C944" s="860"/>
      <c r="D944" s="1124"/>
      <c r="E944" s="1124"/>
      <c r="F944" s="1124"/>
      <c r="G944" s="1125"/>
      <c r="H944" s="862"/>
      <c r="I944" s="901"/>
      <c r="J944" s="902"/>
      <c r="K944" s="902"/>
      <c r="L944" s="903"/>
      <c r="M944" s="862"/>
      <c r="N944" s="1107"/>
      <c r="O944" s="1107"/>
      <c r="P944" s="1025"/>
      <c r="Q944" s="1025"/>
      <c r="R944" s="1025"/>
      <c r="S944" s="1025"/>
      <c r="T944" s="869"/>
      <c r="U944" s="942"/>
    </row>
    <row r="945">
      <c r="A945" s="926" t="str">
        <f t="array" ref="A945">if(G945="","",XLOOKUP(D945,'プルダウンメニュー (SE用)'!$D$2:$D1028,'プルダウンメニュー (SE用)'!$C$2:$C1028))</f>
        <v/>
      </c>
      <c r="B945" s="926" t="str">
        <f>iferror(if(H945="GLOW流用","-",if(G945="","","SSE_"&amp;TEXT(vlookup(E945,'プルダウンメニュー (SE用)'!$E$2:$F1028,2,false),"000")&amp;"_"&amp;TEXT(COUNTIF($E$4:E945,E945),"000"))),"")</f>
        <v/>
      </c>
      <c r="C945" s="860"/>
      <c r="D945" s="1124"/>
      <c r="E945" s="1124"/>
      <c r="F945" s="1124"/>
      <c r="G945" s="1125"/>
      <c r="H945" s="862"/>
      <c r="I945" s="901"/>
      <c r="J945" s="902"/>
      <c r="K945" s="902"/>
      <c r="L945" s="903"/>
      <c r="M945" s="862"/>
      <c r="N945" s="1107"/>
      <c r="O945" s="1107"/>
      <c r="P945" s="1025"/>
      <c r="Q945" s="1025"/>
      <c r="R945" s="1025"/>
      <c r="S945" s="1025"/>
      <c r="T945" s="869"/>
      <c r="U945" s="942"/>
    </row>
    <row r="946">
      <c r="A946" s="926" t="str">
        <f t="array" ref="A946">if(G946="","",XLOOKUP(D946,'プルダウンメニュー (SE用)'!$D$2:$D1028,'プルダウンメニュー (SE用)'!$C$2:$C1028))</f>
        <v/>
      </c>
      <c r="B946" s="926" t="str">
        <f>iferror(if(H946="GLOW流用","-",if(G946="","","SSE_"&amp;TEXT(vlookup(E946,'プルダウンメニュー (SE用)'!$E$2:$F1028,2,false),"000")&amp;"_"&amp;TEXT(COUNTIF($E$4:E946,E946),"000"))),"")</f>
        <v/>
      </c>
      <c r="C946" s="860"/>
      <c r="D946" s="1124"/>
      <c r="E946" s="1124"/>
      <c r="F946" s="1124"/>
      <c r="G946" s="1125"/>
      <c r="H946" s="862"/>
      <c r="I946" s="901"/>
      <c r="J946" s="902"/>
      <c r="K946" s="902"/>
      <c r="L946" s="903"/>
      <c r="M946" s="862"/>
      <c r="N946" s="1107"/>
      <c r="O946" s="1107"/>
      <c r="P946" s="1025"/>
      <c r="Q946" s="1025"/>
      <c r="R946" s="1025"/>
      <c r="S946" s="1025"/>
      <c r="T946" s="869"/>
      <c r="U946" s="942"/>
    </row>
    <row r="947">
      <c r="A947" s="926" t="str">
        <f t="array" ref="A947">if(G947="","",XLOOKUP(D947,'プルダウンメニュー (SE用)'!$D$2:$D1028,'プルダウンメニュー (SE用)'!$C$2:$C1028))</f>
        <v/>
      </c>
      <c r="B947" s="926" t="str">
        <f>iferror(if(H947="GLOW流用","-",if(G947="","","SSE_"&amp;TEXT(vlookup(E947,'プルダウンメニュー (SE用)'!$E$2:$F1028,2,false),"000")&amp;"_"&amp;TEXT(COUNTIF($E$4:E947,E947),"000"))),"")</f>
        <v/>
      </c>
      <c r="C947" s="860"/>
      <c r="D947" s="1124"/>
      <c r="E947" s="1124"/>
      <c r="F947" s="1124"/>
      <c r="G947" s="1125"/>
      <c r="H947" s="862"/>
      <c r="I947" s="901"/>
      <c r="J947" s="902"/>
      <c r="K947" s="902"/>
      <c r="L947" s="903"/>
      <c r="M947" s="862"/>
      <c r="N947" s="1107"/>
      <c r="O947" s="1107"/>
      <c r="P947" s="1025"/>
      <c r="Q947" s="1025"/>
      <c r="R947" s="1025"/>
      <c r="S947" s="1025"/>
      <c r="T947" s="869"/>
      <c r="U947" s="942"/>
    </row>
    <row r="948">
      <c r="A948" s="926" t="str">
        <f t="array" ref="A948">if(G948="","",XLOOKUP(D948,'プルダウンメニュー (SE用)'!$D$2:$D1028,'プルダウンメニュー (SE用)'!$C$2:$C1028))</f>
        <v/>
      </c>
      <c r="B948" s="926" t="str">
        <f>iferror(if(H948="GLOW流用","-",if(G948="","","SSE_"&amp;TEXT(vlookup(E948,'プルダウンメニュー (SE用)'!$E$2:$F1028,2,false),"000")&amp;"_"&amp;TEXT(COUNTIF($E$4:E948,E948),"000"))),"")</f>
        <v/>
      </c>
      <c r="C948" s="860"/>
      <c r="D948" s="1124"/>
      <c r="E948" s="1124"/>
      <c r="F948" s="1124"/>
      <c r="G948" s="1125"/>
      <c r="H948" s="862"/>
      <c r="I948" s="901"/>
      <c r="J948" s="902"/>
      <c r="K948" s="902"/>
      <c r="L948" s="903"/>
      <c r="M948" s="862"/>
      <c r="N948" s="1107"/>
      <c r="O948" s="1107"/>
      <c r="P948" s="1025"/>
      <c r="Q948" s="1025"/>
      <c r="R948" s="1025"/>
      <c r="S948" s="1025"/>
      <c r="T948" s="869"/>
      <c r="U948" s="942"/>
    </row>
    <row r="949">
      <c r="A949" s="926" t="str">
        <f t="array" ref="A949">if(G949="","",XLOOKUP(D949,'プルダウンメニュー (SE用)'!$D$2:$D1028,'プルダウンメニュー (SE用)'!$C$2:$C1028))</f>
        <v/>
      </c>
      <c r="B949" s="926" t="str">
        <f>iferror(if(H949="GLOW流用","-",if(G949="","","SSE_"&amp;TEXT(vlookup(E949,'プルダウンメニュー (SE用)'!$E$2:$F1028,2,false),"000")&amp;"_"&amp;TEXT(COUNTIF($E$4:E949,E949),"000"))),"")</f>
        <v/>
      </c>
      <c r="C949" s="860"/>
      <c r="D949" s="1124"/>
      <c r="E949" s="1124"/>
      <c r="F949" s="1124"/>
      <c r="G949" s="1125"/>
      <c r="H949" s="862"/>
      <c r="I949" s="901"/>
      <c r="J949" s="902"/>
      <c r="K949" s="902"/>
      <c r="L949" s="903"/>
      <c r="M949" s="862"/>
      <c r="N949" s="1107"/>
      <c r="O949" s="1107"/>
      <c r="P949" s="1025"/>
      <c r="Q949" s="1025"/>
      <c r="R949" s="1025"/>
      <c r="S949" s="1025"/>
      <c r="T949" s="869"/>
      <c r="U949" s="942"/>
    </row>
    <row r="950">
      <c r="A950" s="926" t="str">
        <f t="array" ref="A950">if(G950="","",XLOOKUP(D950,'プルダウンメニュー (SE用)'!$D$2:$D1028,'プルダウンメニュー (SE用)'!$C$2:$C1028))</f>
        <v/>
      </c>
      <c r="B950" s="926" t="str">
        <f>iferror(if(H950="GLOW流用","-",if(G950="","","SSE_"&amp;TEXT(vlookup(E950,'プルダウンメニュー (SE用)'!$E$2:$F1028,2,false),"000")&amp;"_"&amp;TEXT(COUNTIF($E$4:E950,E950),"000"))),"")</f>
        <v/>
      </c>
      <c r="C950" s="860"/>
      <c r="D950" s="1124"/>
      <c r="E950" s="1124"/>
      <c r="F950" s="1124"/>
      <c r="G950" s="1125"/>
      <c r="H950" s="862"/>
      <c r="I950" s="901"/>
      <c r="J950" s="902"/>
      <c r="K950" s="902"/>
      <c r="L950" s="903"/>
      <c r="M950" s="862"/>
      <c r="N950" s="1107"/>
      <c r="O950" s="1107"/>
      <c r="P950" s="1025"/>
      <c r="Q950" s="1025"/>
      <c r="R950" s="1025"/>
      <c r="S950" s="1025"/>
      <c r="T950" s="869"/>
      <c r="U950" s="942"/>
    </row>
    <row r="951">
      <c r="A951" s="926" t="str">
        <f t="array" ref="A951">if(G951="","",XLOOKUP(D951,'プルダウンメニュー (SE用)'!$D$2:$D1028,'プルダウンメニュー (SE用)'!$C$2:$C1028))</f>
        <v/>
      </c>
      <c r="B951" s="926" t="str">
        <f>iferror(if(H951="GLOW流用","-",if(G951="","","SSE_"&amp;TEXT(vlookup(E951,'プルダウンメニュー (SE用)'!$E$2:$F1028,2,false),"000")&amp;"_"&amp;TEXT(COUNTIF($E$4:E951,E951),"000"))),"")</f>
        <v/>
      </c>
      <c r="C951" s="860"/>
      <c r="D951" s="1124"/>
      <c r="E951" s="1124"/>
      <c r="F951" s="1124"/>
      <c r="G951" s="1125"/>
      <c r="H951" s="862"/>
      <c r="I951" s="901"/>
      <c r="J951" s="902"/>
      <c r="K951" s="902"/>
      <c r="L951" s="903"/>
      <c r="M951" s="862"/>
      <c r="N951" s="1107"/>
      <c r="O951" s="1107"/>
      <c r="P951" s="1025"/>
      <c r="Q951" s="1025"/>
      <c r="R951" s="1025"/>
      <c r="S951" s="1025"/>
      <c r="T951" s="869"/>
      <c r="U951" s="942"/>
    </row>
    <row r="952">
      <c r="A952" s="926" t="str">
        <f t="array" ref="A952">if(G952="","",XLOOKUP(D952,'プルダウンメニュー (SE用)'!$D$2:$D1028,'プルダウンメニュー (SE用)'!$C$2:$C1028))</f>
        <v/>
      </c>
      <c r="B952" s="926" t="str">
        <f>iferror(if(H952="GLOW流用","-",if(G952="","","SSE_"&amp;TEXT(vlookup(E952,'プルダウンメニュー (SE用)'!$E$2:$F1028,2,false),"000")&amp;"_"&amp;TEXT(COUNTIF($E$4:E952,E952),"000"))),"")</f>
        <v/>
      </c>
      <c r="C952" s="860"/>
      <c r="D952" s="1123"/>
      <c r="E952" s="1123"/>
      <c r="F952" s="1123"/>
      <c r="G952" s="861"/>
      <c r="H952" s="862"/>
      <c r="I952" s="901"/>
      <c r="J952" s="902"/>
      <c r="K952" s="902"/>
      <c r="L952" s="903"/>
      <c r="M952" s="862"/>
      <c r="N952" s="1107"/>
      <c r="O952" s="1107"/>
      <c r="P952" s="1025"/>
      <c r="Q952" s="1025"/>
      <c r="R952" s="1025"/>
      <c r="S952" s="1025"/>
      <c r="T952" s="869"/>
      <c r="U952" s="942"/>
    </row>
    <row r="953">
      <c r="A953" s="926" t="str">
        <f t="array" ref="A953">if(G953="","",XLOOKUP(D953,'プルダウンメニュー (SE用)'!$D$2:$D1028,'プルダウンメニュー (SE用)'!$C$2:$C1028))</f>
        <v/>
      </c>
      <c r="B953" s="926" t="str">
        <f>iferror(if(H953="GLOW流用","-",if(G953="","","SSE_"&amp;TEXT(vlookup(E953,'プルダウンメニュー (SE用)'!$E$2:$F1028,2,false),"000")&amp;"_"&amp;TEXT(COUNTIF($E$4:E953,E953),"000"))),"")</f>
        <v/>
      </c>
      <c r="C953" s="860"/>
      <c r="D953" s="1123"/>
      <c r="E953" s="1123"/>
      <c r="F953" s="1123"/>
      <c r="G953" s="861"/>
      <c r="H953" s="862"/>
      <c r="I953" s="901"/>
      <c r="J953" s="902"/>
      <c r="K953" s="902"/>
      <c r="L953" s="903"/>
      <c r="M953" s="862"/>
      <c r="N953" s="1107"/>
      <c r="O953" s="1107"/>
      <c r="P953" s="1025"/>
      <c r="Q953" s="1025"/>
      <c r="R953" s="1025"/>
      <c r="S953" s="1025"/>
      <c r="T953" s="869"/>
      <c r="U953" s="942"/>
    </row>
    <row r="954">
      <c r="A954" s="926" t="str">
        <f t="array" ref="A954">if(G954="","",XLOOKUP(D954,'プルダウンメニュー (SE用)'!$D$2:$D1028,'プルダウンメニュー (SE用)'!$C$2:$C1028))</f>
        <v/>
      </c>
      <c r="B954" s="926" t="str">
        <f>iferror(if(H954="GLOW流用","-",if(G954="","","SSE_"&amp;TEXT(vlookup(E954,'プルダウンメニュー (SE用)'!$E$2:$F1028,2,false),"000")&amp;"_"&amp;TEXT(COUNTIF($E$4:E954,E954),"000"))),"")</f>
        <v/>
      </c>
      <c r="C954" s="860"/>
      <c r="D954" s="1124"/>
      <c r="E954" s="1124"/>
      <c r="F954" s="1124"/>
      <c r="G954" s="1125"/>
      <c r="H954" s="862"/>
      <c r="I954" s="901"/>
      <c r="J954" s="902"/>
      <c r="K954" s="902"/>
      <c r="L954" s="903"/>
      <c r="M954" s="862"/>
      <c r="N954" s="1107"/>
      <c r="O954" s="1107"/>
      <c r="P954" s="1025"/>
      <c r="Q954" s="1025"/>
      <c r="R954" s="1025"/>
      <c r="S954" s="1025"/>
      <c r="T954" s="869"/>
      <c r="U954" s="942"/>
    </row>
    <row r="955">
      <c r="A955" s="926" t="str">
        <f t="array" ref="A955">if(G955="","",XLOOKUP(D955,'プルダウンメニュー (SE用)'!$D$2:$D1028,'プルダウンメニュー (SE用)'!$C$2:$C1028))</f>
        <v/>
      </c>
      <c r="B955" s="926" t="str">
        <f>iferror(if(H955="GLOW流用","-",if(G955="","","SSE_"&amp;TEXT(vlookup(E955,'プルダウンメニュー (SE用)'!$E$2:$F1028,2,false),"000")&amp;"_"&amp;TEXT(COUNTIF($E$4:E955,E955),"000"))),"")</f>
        <v/>
      </c>
      <c r="C955" s="860"/>
      <c r="D955" s="1124"/>
      <c r="E955" s="1124"/>
      <c r="F955" s="1124"/>
      <c r="G955" s="1125"/>
      <c r="H955" s="862"/>
      <c r="I955" s="901"/>
      <c r="J955" s="902"/>
      <c r="K955" s="902"/>
      <c r="L955" s="903"/>
      <c r="M955" s="862"/>
      <c r="N955" s="1107"/>
      <c r="O955" s="1107"/>
      <c r="P955" s="1025"/>
      <c r="Q955" s="1025"/>
      <c r="R955" s="1025"/>
      <c r="S955" s="1025"/>
      <c r="T955" s="869"/>
      <c r="U955" s="942"/>
    </row>
    <row r="956">
      <c r="A956" s="926" t="str">
        <f t="array" ref="A956">if(G956="","",XLOOKUP(D956,'プルダウンメニュー (SE用)'!$D$2:$D1028,'プルダウンメニュー (SE用)'!$C$2:$C1028))</f>
        <v/>
      </c>
      <c r="B956" s="926" t="str">
        <f>iferror(if(H956="GLOW流用","-",if(G956="","","SSE_"&amp;TEXT(vlookup(E956,'プルダウンメニュー (SE用)'!$E$2:$F1028,2,false),"000")&amp;"_"&amp;TEXT(COUNTIF($E$4:E956,E956),"000"))),"")</f>
        <v/>
      </c>
      <c r="C956" s="860"/>
      <c r="D956" s="1123"/>
      <c r="E956" s="1123"/>
      <c r="F956" s="1123"/>
      <c r="G956" s="1125"/>
      <c r="H956" s="862"/>
      <c r="I956" s="901"/>
      <c r="J956" s="902"/>
      <c r="K956" s="902"/>
      <c r="L956" s="903"/>
      <c r="M956" s="862"/>
      <c r="N956" s="1107"/>
      <c r="O956" s="1107"/>
      <c r="P956" s="1025"/>
      <c r="Q956" s="1025"/>
      <c r="R956" s="1025"/>
      <c r="S956" s="1025"/>
      <c r="T956" s="869"/>
      <c r="U956" s="942"/>
    </row>
    <row r="957">
      <c r="A957" s="926" t="str">
        <f t="array" ref="A957">if(G957="","",XLOOKUP(D957,'プルダウンメニュー (SE用)'!$D$2:$D1028,'プルダウンメニュー (SE用)'!$C$2:$C1028))</f>
        <v/>
      </c>
      <c r="B957" s="926" t="str">
        <f>iferror(if(H957="GLOW流用","-",if(G957="","","SSE_"&amp;TEXT(vlookup(E957,'プルダウンメニュー (SE用)'!$E$2:$F1028,2,false),"000")&amp;"_"&amp;TEXT(COUNTIF($E$4:E957,E957),"000"))),"")</f>
        <v/>
      </c>
      <c r="C957" s="860"/>
      <c r="D957" s="1123"/>
      <c r="E957" s="1123"/>
      <c r="F957" s="1123"/>
      <c r="G957" s="861"/>
      <c r="H957" s="862"/>
      <c r="I957" s="901"/>
      <c r="J957" s="902"/>
      <c r="K957" s="902"/>
      <c r="L957" s="903"/>
      <c r="M957" s="862"/>
      <c r="N957" s="1107"/>
      <c r="O957" s="1107"/>
      <c r="P957" s="1025"/>
      <c r="Q957" s="1025"/>
      <c r="R957" s="1025"/>
      <c r="S957" s="1025"/>
      <c r="T957" s="869"/>
      <c r="U957" s="942"/>
    </row>
    <row r="958">
      <c r="A958" s="926" t="str">
        <f t="array" ref="A958">if(G958="","",XLOOKUP(D958,'プルダウンメニュー (SE用)'!$D$2:$D1028,'プルダウンメニュー (SE用)'!$C$2:$C1028))</f>
        <v/>
      </c>
      <c r="B958" s="926" t="str">
        <f>iferror(if(H958="GLOW流用","-",if(G958="","","SSE_"&amp;TEXT(vlookup(E958,'プルダウンメニュー (SE用)'!$E$2:$F1028,2,false),"000")&amp;"_"&amp;TEXT(COUNTIF($E$4:E958,E958),"000"))),"")</f>
        <v/>
      </c>
      <c r="C958" s="860"/>
      <c r="D958" s="1123"/>
      <c r="E958" s="1123"/>
      <c r="F958" s="1123"/>
      <c r="G958" s="861"/>
      <c r="H958" s="862"/>
      <c r="I958" s="901"/>
      <c r="J958" s="902"/>
      <c r="K958" s="902"/>
      <c r="L958" s="903"/>
      <c r="M958" s="862"/>
      <c r="N958" s="1107"/>
      <c r="O958" s="1107"/>
      <c r="P958" s="1025"/>
      <c r="Q958" s="1025"/>
      <c r="R958" s="1025"/>
      <c r="S958" s="1025"/>
      <c r="T958" s="869"/>
      <c r="U958" s="942"/>
    </row>
    <row r="959">
      <c r="A959" s="926" t="str">
        <f t="array" ref="A959">if(G959="","",XLOOKUP(D959,'プルダウンメニュー (SE用)'!$D$2:$D1028,'プルダウンメニュー (SE用)'!$C$2:$C1028))</f>
        <v/>
      </c>
      <c r="B959" s="926" t="str">
        <f>iferror(if(H959="GLOW流用","-",if(G959="","","SSE_"&amp;TEXT(vlookup(E959,'プルダウンメニュー (SE用)'!$E$2:$F1028,2,false),"000")&amp;"_"&amp;TEXT(COUNTIF($E$4:E959,E959),"000"))),"")</f>
        <v/>
      </c>
      <c r="C959" s="860"/>
      <c r="D959" s="1123"/>
      <c r="E959" s="1123"/>
      <c r="F959" s="1123"/>
      <c r="G959" s="861"/>
      <c r="H959" s="862"/>
      <c r="I959" s="901"/>
      <c r="J959" s="902"/>
      <c r="K959" s="902"/>
      <c r="L959" s="903"/>
      <c r="M959" s="862"/>
      <c r="N959" s="1107"/>
      <c r="O959" s="1107"/>
      <c r="P959" s="1025"/>
      <c r="Q959" s="1025"/>
      <c r="R959" s="1025"/>
      <c r="S959" s="1025"/>
      <c r="T959" s="869"/>
      <c r="U959" s="942"/>
    </row>
    <row r="960">
      <c r="A960" s="926" t="str">
        <f t="array" ref="A960">if(G960="","",XLOOKUP(D960,'プルダウンメニュー (SE用)'!$D$2:$D1028,'プルダウンメニュー (SE用)'!$C$2:$C1028))</f>
        <v/>
      </c>
      <c r="B960" s="926" t="str">
        <f>iferror(if(H960="GLOW流用","-",if(G960="","","SSE_"&amp;TEXT(vlookup(E960,'プルダウンメニュー (SE用)'!$E$2:$F1028,2,false),"000")&amp;"_"&amp;TEXT(COUNTIF($E$4:E960,E960),"000"))),"")</f>
        <v/>
      </c>
      <c r="C960" s="860"/>
      <c r="D960" s="861"/>
      <c r="E960" s="861"/>
      <c r="F960" s="861"/>
      <c r="G960" s="1126"/>
      <c r="H960" s="1127"/>
      <c r="I960" s="901"/>
      <c r="J960" s="1128"/>
      <c r="K960" s="1128"/>
      <c r="L960" s="1129"/>
      <c r="M960" s="1127"/>
      <c r="N960" s="1107"/>
      <c r="O960" s="1107"/>
      <c r="P960" s="1025"/>
      <c r="Q960" s="1025"/>
      <c r="R960" s="1025"/>
      <c r="S960" s="1025"/>
      <c r="T960" s="869"/>
      <c r="U960" s="942"/>
    </row>
    <row r="961">
      <c r="A961" s="926" t="str">
        <f t="array" ref="A961">if(G961="","",XLOOKUP(D961,'プルダウンメニュー (SE用)'!$D$2:$D1028,'プルダウンメニュー (SE用)'!$C$2:$C1028))</f>
        <v/>
      </c>
      <c r="B961" s="926" t="str">
        <f>iferror(if(H961="GLOW流用","-",if(G961="","","SSE_"&amp;TEXT(vlookup(E961,'プルダウンメニュー (SE用)'!$E$2:$F1028,2,false),"000")&amp;"_"&amp;TEXT(COUNTIF($E$4:E961,E961),"000"))),"")</f>
        <v/>
      </c>
      <c r="C961" s="860"/>
      <c r="D961" s="1124"/>
      <c r="E961" s="976"/>
      <c r="F961" s="976"/>
      <c r="G961" s="1125"/>
      <c r="H961" s="1114"/>
      <c r="I961" s="901"/>
      <c r="J961" s="902"/>
      <c r="K961" s="902"/>
      <c r="L961" s="903"/>
      <c r="M961" s="1114"/>
      <c r="N961" s="1107"/>
      <c r="O961" s="1107"/>
      <c r="P961" s="1025"/>
      <c r="Q961" s="1025"/>
      <c r="R961" s="1025"/>
      <c r="S961" s="1025"/>
      <c r="T961" s="869"/>
      <c r="U961" s="942"/>
    </row>
    <row r="962">
      <c r="A962" s="926" t="str">
        <f t="array" ref="A962">if(G962="","",XLOOKUP(D962,'プルダウンメニュー (SE用)'!$D$2:$D1028,'プルダウンメニュー (SE用)'!$C$2:$C1028))</f>
        <v/>
      </c>
      <c r="B962" s="926" t="str">
        <f>iferror(if(H962="GLOW流用","-",if(G962="","","SSE_"&amp;TEXT(vlookup(E962,'プルダウンメニュー (SE用)'!$E$2:$F1028,2,false),"000")&amp;"_"&amp;TEXT(COUNTIF($E$4:E962,E962),"000"))),"")</f>
        <v/>
      </c>
      <c r="C962" s="860"/>
      <c r="D962" s="1124"/>
      <c r="E962" s="976"/>
      <c r="F962" s="976"/>
      <c r="G962" s="1125"/>
      <c r="H962" s="1114"/>
      <c r="I962" s="901"/>
      <c r="J962" s="902"/>
      <c r="K962" s="902"/>
      <c r="L962" s="903"/>
      <c r="M962" s="1114"/>
      <c r="N962" s="1107"/>
      <c r="O962" s="1107"/>
      <c r="P962" s="1025"/>
      <c r="Q962" s="1025"/>
      <c r="R962" s="1025"/>
      <c r="S962" s="1025"/>
      <c r="T962" s="869"/>
      <c r="U962" s="942"/>
    </row>
    <row r="963">
      <c r="A963" s="926" t="str">
        <f t="array" ref="A963">if(G963="","",XLOOKUP(D963,'プルダウンメニュー (SE用)'!$D$2:$D1028,'プルダウンメニュー (SE用)'!$C$2:$C1028))</f>
        <v/>
      </c>
      <c r="B963" s="926" t="str">
        <f>iferror(if(H963="GLOW流用","-",if(G963="","","SSE_"&amp;TEXT(vlookup(E963,'プルダウンメニュー (SE用)'!$E$2:$F1028,2,false),"000")&amp;"_"&amp;TEXT(COUNTIF($E$4:E963,E963),"000"))),"")</f>
        <v/>
      </c>
      <c r="C963" s="860"/>
      <c r="D963" s="1124"/>
      <c r="E963" s="976"/>
      <c r="F963" s="976"/>
      <c r="G963" s="1125"/>
      <c r="H963" s="1114"/>
      <c r="I963" s="901"/>
      <c r="J963" s="902"/>
      <c r="K963" s="902"/>
      <c r="L963" s="903"/>
      <c r="M963" s="1114"/>
      <c r="N963" s="1107"/>
      <c r="O963" s="1107"/>
      <c r="P963" s="1025"/>
      <c r="Q963" s="1025"/>
      <c r="R963" s="1025"/>
      <c r="S963" s="1025"/>
      <c r="T963" s="869"/>
      <c r="U963" s="942"/>
    </row>
    <row r="964">
      <c r="A964" s="926" t="str">
        <f t="array" ref="A964">if(G964="","",XLOOKUP(D964,'プルダウンメニュー (SE用)'!$D$2:$D1028,'プルダウンメニュー (SE用)'!$C$2:$C1028))</f>
        <v/>
      </c>
      <c r="B964" s="926" t="str">
        <f>iferror(if(H964="GLOW流用","-",if(G964="","","SSE_"&amp;TEXT(vlookup(E964,'プルダウンメニュー (SE用)'!$E$2:$F1028,2,false),"000")&amp;"_"&amp;TEXT(COUNTIF($E$4:E964,E964),"000"))),"")</f>
        <v/>
      </c>
      <c r="C964" s="860"/>
      <c r="D964" s="1124"/>
      <c r="E964" s="976"/>
      <c r="F964" s="976"/>
      <c r="G964" s="1125"/>
      <c r="H964" s="1114"/>
      <c r="I964" s="901"/>
      <c r="J964" s="902"/>
      <c r="K964" s="902"/>
      <c r="L964" s="903"/>
      <c r="M964" s="1114"/>
      <c r="N964" s="1107"/>
      <c r="O964" s="1107"/>
      <c r="P964" s="1025"/>
      <c r="Q964" s="1025"/>
      <c r="R964" s="1025"/>
      <c r="S964" s="1025"/>
      <c r="T964" s="869"/>
      <c r="U964" s="942"/>
    </row>
    <row r="965">
      <c r="A965" s="926" t="str">
        <f t="array" ref="A965">if(G965="","",XLOOKUP(D965,'プルダウンメニュー (SE用)'!$D$2:$D1028,'プルダウンメニュー (SE用)'!$C$2:$C1028))</f>
        <v/>
      </c>
      <c r="B965" s="926" t="str">
        <f>iferror(if(H965="GLOW流用","-",if(G965="","","SSE_"&amp;TEXT(vlookup(E965,'プルダウンメニュー (SE用)'!$E$2:$F1028,2,false),"000")&amp;"_"&amp;TEXT(COUNTIF($E$4:E965,E965),"000"))),"")</f>
        <v/>
      </c>
      <c r="C965" s="860"/>
      <c r="D965" s="1124"/>
      <c r="E965" s="976"/>
      <c r="F965" s="976"/>
      <c r="G965" s="1125"/>
      <c r="H965" s="1114"/>
      <c r="I965" s="901"/>
      <c r="J965" s="902"/>
      <c r="K965" s="902"/>
      <c r="L965" s="903"/>
      <c r="M965" s="1114"/>
      <c r="N965" s="1107"/>
      <c r="O965" s="1107"/>
      <c r="P965" s="1025"/>
      <c r="Q965" s="1025"/>
      <c r="R965" s="1025"/>
      <c r="S965" s="1025"/>
      <c r="T965" s="869"/>
      <c r="U965" s="942"/>
    </row>
    <row r="966">
      <c r="A966" s="926" t="str">
        <f t="array" ref="A966">if(G966="","",XLOOKUP(D966,'プルダウンメニュー (SE用)'!$D$2:$D1028,'プルダウンメニュー (SE用)'!$C$2:$C1028))</f>
        <v/>
      </c>
      <c r="B966" s="926" t="str">
        <f>iferror(if(H966="GLOW流用","-",if(G966="","","SSE_"&amp;TEXT(vlookup(E966,'プルダウンメニュー (SE用)'!$E$2:$F1028,2,false),"000")&amp;"_"&amp;TEXT(COUNTIF($E$4:E966,E966),"000"))),"")</f>
        <v/>
      </c>
      <c r="C966" s="860"/>
      <c r="D966" s="1124"/>
      <c r="E966" s="976"/>
      <c r="F966" s="976"/>
      <c r="G966" s="1125"/>
      <c r="H966" s="862"/>
      <c r="I966" s="901"/>
      <c r="J966" s="902"/>
      <c r="K966" s="902"/>
      <c r="L966" s="903"/>
      <c r="M966" s="862"/>
      <c r="N966" s="1107"/>
      <c r="O966" s="1107"/>
      <c r="P966" s="1025"/>
      <c r="Q966" s="1025"/>
      <c r="R966" s="1025"/>
      <c r="S966" s="1025"/>
      <c r="T966" s="869"/>
      <c r="U966" s="942"/>
    </row>
    <row r="967">
      <c r="A967" s="926" t="str">
        <f t="array" ref="A967">if(G967="","",XLOOKUP(D967,'プルダウンメニュー (SE用)'!$D$2:$D1028,'プルダウンメニュー (SE用)'!$C$2:$C1028))</f>
        <v/>
      </c>
      <c r="B967" s="926" t="str">
        <f>iferror(if(H967="GLOW流用","-",if(G967="","","SSE_"&amp;TEXT(vlookup(E967,'プルダウンメニュー (SE用)'!$E$2:$F1028,2,false),"000")&amp;"_"&amp;TEXT(COUNTIF($E$4:E967,E967),"000"))),"")</f>
        <v/>
      </c>
      <c r="C967" s="860"/>
      <c r="D967" s="1124"/>
      <c r="E967" s="976"/>
      <c r="F967" s="976"/>
      <c r="G967" s="1125"/>
      <c r="H967" s="1114"/>
      <c r="I967" s="901"/>
      <c r="J967" s="902"/>
      <c r="K967" s="902"/>
      <c r="L967" s="903"/>
      <c r="M967" s="1114"/>
      <c r="N967" s="1107"/>
      <c r="O967" s="1107"/>
      <c r="P967" s="1025"/>
      <c r="Q967" s="1025"/>
      <c r="R967" s="1025"/>
      <c r="S967" s="1025"/>
      <c r="T967" s="869"/>
      <c r="U967" s="942"/>
    </row>
    <row r="968">
      <c r="A968" s="926" t="str">
        <f t="array" ref="A968">if(G968="","",XLOOKUP(D968,'プルダウンメニュー (SE用)'!$D$2:$D1028,'プルダウンメニュー (SE用)'!$C$2:$C1028))</f>
        <v/>
      </c>
      <c r="B968" s="926" t="str">
        <f>iferror(if(H968="GLOW流用","-",if(G968="","","SSE_"&amp;TEXT(vlookup(E968,'プルダウンメニュー (SE用)'!$E$2:$F1028,2,false),"000")&amp;"_"&amp;TEXT(COUNTIF($E$4:E968,E968),"000"))),"")</f>
        <v/>
      </c>
      <c r="C968" s="860"/>
      <c r="D968" s="1124"/>
      <c r="E968" s="976"/>
      <c r="F968" s="976"/>
      <c r="G968" s="1125"/>
      <c r="H968" s="1114"/>
      <c r="I968" s="901"/>
      <c r="J968" s="902"/>
      <c r="K968" s="902"/>
      <c r="L968" s="903"/>
      <c r="M968" s="1114"/>
      <c r="N968" s="1107"/>
      <c r="O968" s="1107"/>
      <c r="P968" s="1025"/>
      <c r="Q968" s="1025"/>
      <c r="R968" s="1025"/>
      <c r="S968" s="1025"/>
      <c r="T968" s="869"/>
      <c r="U968" s="942"/>
    </row>
    <row r="969">
      <c r="A969" s="926" t="str">
        <f t="array" ref="A969">if(G969="","",XLOOKUP(D969,'プルダウンメニュー (SE用)'!$D$2:$D1028,'プルダウンメニュー (SE用)'!$C$2:$C1028))</f>
        <v/>
      </c>
      <c r="B969" s="926" t="str">
        <f>iferror(if(H969="GLOW流用","-",if(G969="","","SSE_"&amp;TEXT(vlookup(E969,'プルダウンメニュー (SE用)'!$E$2:$F1028,2,false),"000")&amp;"_"&amp;TEXT(COUNTIF($E$4:E969,E969),"000"))),"")</f>
        <v/>
      </c>
      <c r="C969" s="860"/>
      <c r="D969" s="1124"/>
      <c r="E969" s="976"/>
      <c r="F969" s="976"/>
      <c r="G969" s="1125"/>
      <c r="H969" s="1114"/>
      <c r="I969" s="901"/>
      <c r="J969" s="902"/>
      <c r="K969" s="902"/>
      <c r="L969" s="903"/>
      <c r="M969" s="1114"/>
      <c r="N969" s="1107"/>
      <c r="O969" s="1107"/>
      <c r="P969" s="1025"/>
      <c r="Q969" s="1025"/>
      <c r="R969" s="1025"/>
      <c r="S969" s="1025"/>
      <c r="T969" s="869"/>
      <c r="U969" s="942"/>
    </row>
    <row r="970">
      <c r="A970" s="926" t="str">
        <f t="array" ref="A970">if(G970="","",XLOOKUP(D970,'プルダウンメニュー (SE用)'!$D$2:$D1028,'プルダウンメニュー (SE用)'!$C$2:$C1028))</f>
        <v/>
      </c>
      <c r="B970" s="926" t="str">
        <f>iferror(if(H970="GLOW流用","-",if(G970="","","SSE_"&amp;TEXT(vlookup(E970,'プルダウンメニュー (SE用)'!$E$2:$F1028,2,false),"000")&amp;"_"&amp;TEXT(COUNTIF($E$4:E970,E970),"000"))),"")</f>
        <v/>
      </c>
      <c r="C970" s="860"/>
      <c r="D970" s="1124"/>
      <c r="E970" s="976"/>
      <c r="F970" s="976"/>
      <c r="G970" s="1125"/>
      <c r="H970" s="1114"/>
      <c r="I970" s="901"/>
      <c r="J970" s="902"/>
      <c r="K970" s="902"/>
      <c r="L970" s="903"/>
      <c r="M970" s="1114"/>
      <c r="N970" s="1107"/>
      <c r="O970" s="1107"/>
      <c r="P970" s="1025"/>
      <c r="Q970" s="1025"/>
      <c r="R970" s="1025"/>
      <c r="S970" s="1025"/>
      <c r="T970" s="869"/>
      <c r="U970" s="942"/>
    </row>
    <row r="971">
      <c r="A971" s="926" t="str">
        <f t="array" ref="A971">if(G971="","",XLOOKUP(D971,'プルダウンメニュー (SE用)'!$D$2:$D1028,'プルダウンメニュー (SE用)'!$C$2:$C1028))</f>
        <v/>
      </c>
      <c r="B971" s="926" t="str">
        <f>iferror(if(H971="GLOW流用","-",if(G971="","","SSE_"&amp;TEXT(vlookup(E971,'プルダウンメニュー (SE用)'!$E$2:$F1028,2,false),"000")&amp;"_"&amp;TEXT(COUNTIF($E$4:E971,E971),"000"))),"")</f>
        <v/>
      </c>
      <c r="C971" s="860"/>
      <c r="D971" s="1124"/>
      <c r="E971" s="976"/>
      <c r="F971" s="976"/>
      <c r="G971" s="861"/>
      <c r="H971" s="1114"/>
      <c r="I971" s="901"/>
      <c r="J971" s="902"/>
      <c r="K971" s="902"/>
      <c r="L971" s="903"/>
      <c r="M971" s="1114"/>
      <c r="N971" s="1107"/>
      <c r="O971" s="1107"/>
      <c r="P971" s="1025"/>
      <c r="Q971" s="1025"/>
      <c r="R971" s="1025"/>
      <c r="S971" s="1025"/>
      <c r="T971" s="869"/>
      <c r="U971" s="942"/>
    </row>
    <row r="972">
      <c r="A972" s="926" t="str">
        <f t="array" ref="A972">if(G972="","",XLOOKUP(D972,'プルダウンメニュー (SE用)'!$D$2:$D1028,'プルダウンメニュー (SE用)'!$C$2:$C1028))</f>
        <v/>
      </c>
      <c r="B972" s="926" t="str">
        <f>iferror(if(H972="GLOW流用","-",if(G972="","","SSE_"&amp;TEXT(vlookup(E972,'プルダウンメニュー (SE用)'!$E$2:$F1028,2,false),"000")&amp;"_"&amp;TEXT(COUNTIF($E$4:E972,E972),"000"))),"")</f>
        <v/>
      </c>
      <c r="C972" s="860"/>
      <c r="D972" s="1124"/>
      <c r="E972" s="976"/>
      <c r="F972" s="976"/>
      <c r="G972" s="861"/>
      <c r="H972" s="1114"/>
      <c r="I972" s="901"/>
      <c r="J972" s="902"/>
      <c r="K972" s="902"/>
      <c r="L972" s="903"/>
      <c r="M972" s="1114"/>
      <c r="N972" s="1107"/>
      <c r="O972" s="1107"/>
      <c r="P972" s="1025"/>
      <c r="Q972" s="1025"/>
      <c r="R972" s="1025"/>
      <c r="S972" s="1025"/>
      <c r="T972" s="869"/>
      <c r="U972" s="942"/>
    </row>
    <row r="973">
      <c r="A973" s="926" t="str">
        <f t="array" ref="A973">if(G973="","",XLOOKUP(D973,'プルダウンメニュー (SE用)'!$D$2:$D1028,'プルダウンメニュー (SE用)'!$C$2:$C1028))</f>
        <v/>
      </c>
      <c r="B973" s="926" t="str">
        <f>iferror(if(H973="GLOW流用","-",if(G973="","","SSE_"&amp;TEXT(vlookup(E973,'プルダウンメニュー (SE用)'!$E$2:$F1028,2,false),"000")&amp;"_"&amp;TEXT(COUNTIF($E$4:E973,E973),"000"))),"")</f>
        <v/>
      </c>
      <c r="C973" s="860"/>
      <c r="D973" s="1124"/>
      <c r="E973" s="976"/>
      <c r="F973" s="976"/>
      <c r="G973" s="861"/>
      <c r="H973" s="1114"/>
      <c r="I973" s="901"/>
      <c r="J973" s="902"/>
      <c r="K973" s="902"/>
      <c r="L973" s="903"/>
      <c r="M973" s="1114"/>
      <c r="N973" s="1107"/>
      <c r="O973" s="1107"/>
      <c r="P973" s="1025"/>
      <c r="Q973" s="1025"/>
      <c r="R973" s="1025"/>
      <c r="S973" s="1025"/>
      <c r="T973" s="869"/>
      <c r="U973" s="942"/>
    </row>
    <row r="974">
      <c r="A974" s="926" t="str">
        <f t="array" ref="A974">if(G974="","",XLOOKUP(D974,'プルダウンメニュー (SE用)'!$D$2:$D1028,'プルダウンメニュー (SE用)'!$C$2:$C1028))</f>
        <v/>
      </c>
      <c r="B974" s="926" t="str">
        <f>iferror(if(H974="GLOW流用","-",if(G974="","","SSE_"&amp;TEXT(vlookup(E974,'プルダウンメニュー (SE用)'!$E$2:$F1028,2,false),"000")&amp;"_"&amp;TEXT(COUNTIF($E$4:E974,E974),"000"))),"")</f>
        <v/>
      </c>
      <c r="C974" s="860"/>
      <c r="D974" s="1124"/>
      <c r="E974" s="976"/>
      <c r="F974" s="976"/>
      <c r="G974" s="1125"/>
      <c r="H974" s="1114"/>
      <c r="I974" s="901"/>
      <c r="J974" s="902"/>
      <c r="K974" s="902"/>
      <c r="L974" s="903"/>
      <c r="M974" s="1114"/>
      <c r="N974" s="1107"/>
      <c r="O974" s="1107"/>
      <c r="P974" s="1025"/>
      <c r="Q974" s="1025"/>
      <c r="R974" s="1025"/>
      <c r="S974" s="1025"/>
      <c r="T974" s="869"/>
      <c r="U974" s="942"/>
    </row>
    <row r="975">
      <c r="A975" s="926" t="str">
        <f t="array" ref="A975">if(G975="","",XLOOKUP(D975,'プルダウンメニュー (SE用)'!$D$2:$D1028,'プルダウンメニュー (SE用)'!$C$2:$C1028))</f>
        <v/>
      </c>
      <c r="B975" s="926" t="str">
        <f>iferror(if(H975="GLOW流用","-",if(G975="","","SSE_"&amp;TEXT(vlookup(E975,'プルダウンメニュー (SE用)'!$E$2:$F1028,2,false),"000")&amp;"_"&amp;TEXT(COUNTIF($E$4:E975,E975),"000"))),"")</f>
        <v/>
      </c>
      <c r="C975" s="860"/>
      <c r="D975" s="1124"/>
      <c r="E975" s="976"/>
      <c r="F975" s="976"/>
      <c r="G975" s="861"/>
      <c r="H975" s="1114"/>
      <c r="I975" s="901"/>
      <c r="J975" s="902"/>
      <c r="K975" s="902"/>
      <c r="L975" s="903"/>
      <c r="M975" s="1114"/>
      <c r="N975" s="1107"/>
      <c r="O975" s="1107"/>
      <c r="P975" s="1025"/>
      <c r="Q975" s="1025"/>
      <c r="R975" s="1025"/>
      <c r="S975" s="1025"/>
      <c r="T975" s="869"/>
      <c r="U975" s="942"/>
    </row>
    <row r="976">
      <c r="A976" s="926" t="str">
        <f t="array" ref="A976">if(G976="","",XLOOKUP(D976,'プルダウンメニュー (SE用)'!$D$2:$D1028,'プルダウンメニュー (SE用)'!$C$2:$C1028))</f>
        <v/>
      </c>
      <c r="B976" s="926" t="str">
        <f>iferror(if(H976="GLOW流用","-",if(G976="","","SSE_"&amp;TEXT(vlookup(E976,'プルダウンメニュー (SE用)'!$E$2:$F1028,2,false),"000")&amp;"_"&amp;TEXT(COUNTIF($E$4:E976,E976),"000"))),"")</f>
        <v/>
      </c>
      <c r="C976" s="860"/>
      <c r="D976" s="1124"/>
      <c r="E976" s="976"/>
      <c r="F976" s="976"/>
      <c r="G976" s="861"/>
      <c r="H976" s="1114"/>
      <c r="I976" s="901"/>
      <c r="J976" s="902"/>
      <c r="K976" s="902"/>
      <c r="L976" s="903"/>
      <c r="M976" s="1114"/>
      <c r="N976" s="1107"/>
      <c r="O976" s="1107"/>
      <c r="P976" s="1025"/>
      <c r="Q976" s="1025"/>
      <c r="R976" s="1025"/>
      <c r="S976" s="1025"/>
      <c r="T976" s="869"/>
      <c r="U976" s="942"/>
    </row>
    <row r="977">
      <c r="A977" s="926" t="str">
        <f t="array" ref="A977">if(G977="","",XLOOKUP(D977,'プルダウンメニュー (SE用)'!$D$2:$D1028,'プルダウンメニュー (SE用)'!$C$2:$C1028))</f>
        <v/>
      </c>
      <c r="B977" s="926" t="str">
        <f>iferror(if(H977="GLOW流用","-",if(G977="","","SSE_"&amp;TEXT(vlookup(E977,'プルダウンメニュー (SE用)'!$E$2:$F1028,2,false),"000")&amp;"_"&amp;TEXT(COUNTIF($E$4:E977,E977),"000"))),"")</f>
        <v/>
      </c>
      <c r="C977" s="860"/>
      <c r="D977" s="1124"/>
      <c r="E977" s="976"/>
      <c r="F977" s="976"/>
      <c r="G977" s="861"/>
      <c r="H977" s="1114"/>
      <c r="I977" s="901"/>
      <c r="J977" s="902"/>
      <c r="K977" s="902"/>
      <c r="L977" s="903"/>
      <c r="M977" s="1114"/>
      <c r="N977" s="1107"/>
      <c r="O977" s="1107"/>
      <c r="P977" s="1025"/>
      <c r="Q977" s="1025"/>
      <c r="R977" s="1025"/>
      <c r="S977" s="1025"/>
      <c r="T977" s="869"/>
      <c r="U977" s="942"/>
    </row>
    <row r="978">
      <c r="A978" s="926" t="str">
        <f t="array" ref="A978">if(G978="","",XLOOKUP(D978,'プルダウンメニュー (SE用)'!$D$2:$D1028,'プルダウンメニュー (SE用)'!$C$2:$C1028))</f>
        <v/>
      </c>
      <c r="B978" s="926" t="str">
        <f>iferror(if(H978="GLOW流用","-",if(G978="","","SSE_"&amp;TEXT(vlookup(E978,'プルダウンメニュー (SE用)'!$E$2:$F1028,2,false),"000")&amp;"_"&amp;TEXT(COUNTIF($E$4:E978,E978),"000"))),"")</f>
        <v/>
      </c>
      <c r="C978" s="860"/>
      <c r="D978" s="1124"/>
      <c r="E978" s="976"/>
      <c r="F978" s="976"/>
      <c r="G978" s="861"/>
      <c r="H978" s="1114"/>
      <c r="I978" s="901"/>
      <c r="J978" s="902"/>
      <c r="K978" s="902"/>
      <c r="L978" s="903"/>
      <c r="M978" s="1114"/>
      <c r="N978" s="1107"/>
      <c r="O978" s="1107"/>
      <c r="P978" s="1025"/>
      <c r="Q978" s="1025"/>
      <c r="R978" s="1025"/>
      <c r="S978" s="1025"/>
      <c r="T978" s="869"/>
      <c r="U978" s="942"/>
    </row>
    <row r="979">
      <c r="A979" s="926" t="str">
        <f t="array" ref="A979">if(G979="","",XLOOKUP(D979,'プルダウンメニュー (SE用)'!$D$2:$D1028,'プルダウンメニュー (SE用)'!$C$2:$C1028))</f>
        <v/>
      </c>
      <c r="B979" s="926" t="str">
        <f>iferror(if(H979="GLOW流用","-",if(G979="","","SSE_"&amp;TEXT(vlookup(E979,'プルダウンメニュー (SE用)'!$E$2:$F1028,2,false),"000")&amp;"_"&amp;TEXT(COUNTIF($E$4:E979,E979),"000"))),"")</f>
        <v/>
      </c>
      <c r="C979" s="860"/>
      <c r="D979" s="1124"/>
      <c r="E979" s="976"/>
      <c r="F979" s="976"/>
      <c r="G979" s="1125"/>
      <c r="H979" s="1114"/>
      <c r="I979" s="901"/>
      <c r="J979" s="902"/>
      <c r="K979" s="902"/>
      <c r="L979" s="903"/>
      <c r="M979" s="1114"/>
      <c r="N979" s="1107"/>
      <c r="O979" s="1107"/>
      <c r="P979" s="1025"/>
      <c r="Q979" s="1025"/>
      <c r="R979" s="1025"/>
      <c r="S979" s="1025"/>
      <c r="T979" s="869"/>
      <c r="U979" s="942"/>
    </row>
    <row r="980">
      <c r="A980" s="926" t="str">
        <f t="array" ref="A980">if(G980="","",XLOOKUP(D980,'プルダウンメニュー (SE用)'!$D$2:$D1028,'プルダウンメニュー (SE用)'!$C$2:$C1028))</f>
        <v/>
      </c>
      <c r="B980" s="926" t="str">
        <f>iferror(if(H980="GLOW流用","-",if(G980="","","SSE_"&amp;TEXT(vlookup(E980,'プルダウンメニュー (SE用)'!$E$2:$F1028,2,false),"000")&amp;"_"&amp;TEXT(COUNTIF($E$4:E980,E980),"000"))),"")</f>
        <v/>
      </c>
      <c r="C980" s="860"/>
      <c r="D980" s="1125"/>
      <c r="E980" s="976"/>
      <c r="F980" s="976"/>
      <c r="G980" s="1125"/>
      <c r="H980" s="1114"/>
      <c r="I980" s="901"/>
      <c r="J980" s="902"/>
      <c r="K980" s="902"/>
      <c r="L980" s="903"/>
      <c r="M980" s="1114"/>
      <c r="N980" s="1107"/>
      <c r="O980" s="1107"/>
      <c r="P980" s="1025"/>
      <c r="Q980" s="1025"/>
      <c r="R980" s="1025"/>
      <c r="S980" s="1025"/>
      <c r="T980" s="869"/>
      <c r="U980" s="942"/>
    </row>
    <row r="981">
      <c r="A981" s="926" t="str">
        <f t="array" ref="A981">if(G981="","",XLOOKUP(D981,'プルダウンメニュー (SE用)'!$D$2:$D1028,'プルダウンメニュー (SE用)'!$C$2:$C1028))</f>
        <v/>
      </c>
      <c r="B981" s="926" t="str">
        <f>iferror(if(H981="GLOW流用","-",if(G981="","","SSE_"&amp;TEXT(vlookup(E981,'プルダウンメニュー (SE用)'!$E$2:$F1028,2,false),"000")&amp;"_"&amp;TEXT(COUNTIF($E$4:E981,E981),"000"))),"")</f>
        <v/>
      </c>
      <c r="C981" s="860"/>
      <c r="D981" s="1125"/>
      <c r="E981" s="976"/>
      <c r="F981" s="976"/>
      <c r="G981" s="1125"/>
      <c r="H981" s="1114"/>
      <c r="I981" s="901"/>
      <c r="J981" s="902"/>
      <c r="K981" s="902"/>
      <c r="L981" s="903"/>
      <c r="M981" s="1114"/>
      <c r="N981" s="1107"/>
      <c r="O981" s="1107"/>
      <c r="P981" s="1025"/>
      <c r="Q981" s="1025"/>
      <c r="R981" s="1025"/>
      <c r="S981" s="1025"/>
      <c r="T981" s="869"/>
      <c r="U981" s="942"/>
    </row>
    <row r="982">
      <c r="A982" s="926" t="str">
        <f t="array" ref="A982">if(G982="","",XLOOKUP(D982,'プルダウンメニュー (SE用)'!$D$2:$D1028,'プルダウンメニュー (SE用)'!$C$2:$C1028))</f>
        <v/>
      </c>
      <c r="B982" s="926" t="str">
        <f>iferror(if(H982="GLOW流用","-",if(G982="","","SSE_"&amp;TEXT(vlookup(E982,'プルダウンメニュー (SE用)'!$E$2:$F1028,2,false),"000")&amp;"_"&amp;TEXT(COUNTIF($E$4:E982,E982),"000"))),"")</f>
        <v/>
      </c>
      <c r="C982" s="860"/>
      <c r="D982" s="1125"/>
      <c r="E982" s="976"/>
      <c r="F982" s="976"/>
      <c r="G982" s="1125"/>
      <c r="H982" s="1114"/>
      <c r="I982" s="901"/>
      <c r="J982" s="902"/>
      <c r="K982" s="902"/>
      <c r="L982" s="903"/>
      <c r="M982" s="1114"/>
      <c r="N982" s="1107"/>
      <c r="O982" s="1107"/>
      <c r="P982" s="1025"/>
      <c r="Q982" s="1025"/>
      <c r="R982" s="1025"/>
      <c r="S982" s="1025"/>
      <c r="T982" s="869"/>
      <c r="U982" s="942"/>
    </row>
    <row r="983">
      <c r="A983" s="926" t="str">
        <f t="array" ref="A983">if(G983="","",XLOOKUP(D983,'プルダウンメニュー (SE用)'!$D$2:$D1028,'プルダウンメニュー (SE用)'!$C$2:$C1028))</f>
        <v/>
      </c>
      <c r="B983" s="926" t="str">
        <f>iferror(if(H983="GLOW流用","-",if(G983="","","SSE_"&amp;TEXT(vlookup(E983,'プルダウンメニュー (SE用)'!$E$2:$F1028,2,false),"000")&amp;"_"&amp;TEXT(COUNTIF($E$4:E983,E983),"000"))),"")</f>
        <v/>
      </c>
      <c r="C983" s="860"/>
      <c r="D983" s="1125"/>
      <c r="E983" s="976"/>
      <c r="F983" s="976"/>
      <c r="G983" s="1125"/>
      <c r="H983" s="1114"/>
      <c r="I983" s="901"/>
      <c r="J983" s="902"/>
      <c r="K983" s="902"/>
      <c r="L983" s="903"/>
      <c r="M983" s="1114"/>
      <c r="N983" s="1107"/>
      <c r="O983" s="1107"/>
      <c r="P983" s="1025"/>
      <c r="Q983" s="1025"/>
      <c r="R983" s="1025"/>
      <c r="S983" s="1025"/>
      <c r="T983" s="869"/>
      <c r="U983" s="942"/>
    </row>
    <row r="984">
      <c r="A984" s="926" t="str">
        <f t="array" ref="A984">if(G984="","",XLOOKUP(D984,'プルダウンメニュー (SE用)'!$D$2:$D1028,'プルダウンメニュー (SE用)'!$C$2:$C1028))</f>
        <v/>
      </c>
      <c r="B984" s="926" t="str">
        <f>iferror(if(H984="GLOW流用","-",if(G984="","","SSE_"&amp;TEXT(vlookup(E984,'プルダウンメニュー (SE用)'!$E$2:$F1028,2,false),"000")&amp;"_"&amp;TEXT(COUNTIF($E$4:E984,E984),"000"))),"")</f>
        <v/>
      </c>
      <c r="C984" s="860"/>
      <c r="D984" s="1125"/>
      <c r="E984" s="976"/>
      <c r="F984" s="976"/>
      <c r="G984" s="1125"/>
      <c r="H984" s="1114"/>
      <c r="I984" s="901"/>
      <c r="J984" s="902"/>
      <c r="K984" s="902"/>
      <c r="L984" s="903"/>
      <c r="M984" s="1114"/>
      <c r="N984" s="1107"/>
      <c r="O984" s="1107"/>
      <c r="P984" s="1025"/>
      <c r="Q984" s="1025"/>
      <c r="R984" s="1025"/>
      <c r="S984" s="1025"/>
      <c r="T984" s="869"/>
      <c r="U984" s="942"/>
    </row>
    <row r="985">
      <c r="A985" s="926" t="str">
        <f t="array" ref="A985">if(G985="","",XLOOKUP(D985,'プルダウンメニュー (SE用)'!$D$2:$D1028,'プルダウンメニュー (SE用)'!$C$2:$C1028))</f>
        <v/>
      </c>
      <c r="B985" s="926" t="str">
        <f>iferror(if(H985="GLOW流用","-",if(G985="","","SSE_"&amp;TEXT(vlookup(E985,'プルダウンメニュー (SE用)'!$E$2:$F1028,2,false),"000")&amp;"_"&amp;TEXT(COUNTIF($E$4:E985,E985),"000"))),"")</f>
        <v/>
      </c>
      <c r="C985" s="860"/>
      <c r="D985" s="1125"/>
      <c r="E985" s="976"/>
      <c r="F985" s="976"/>
      <c r="G985" s="1125"/>
      <c r="H985" s="1114"/>
      <c r="I985" s="901"/>
      <c r="J985" s="902"/>
      <c r="K985" s="902"/>
      <c r="L985" s="903"/>
      <c r="M985" s="1114"/>
      <c r="N985" s="1107"/>
      <c r="O985" s="1107"/>
      <c r="P985" s="1025"/>
      <c r="Q985" s="1025"/>
      <c r="R985" s="1025"/>
      <c r="S985" s="1025"/>
      <c r="T985" s="869"/>
      <c r="U985" s="942"/>
    </row>
    <row r="986">
      <c r="A986" s="926" t="str">
        <f t="array" ref="A986">if(G986="","",XLOOKUP(D986,'プルダウンメニュー (SE用)'!$D$2:$D1028,'プルダウンメニュー (SE用)'!$C$2:$C1028))</f>
        <v/>
      </c>
      <c r="B986" s="926" t="str">
        <f>iferror(if(H986="GLOW流用","-",if(G986="","","SSE_"&amp;TEXT(vlookup(E986,'プルダウンメニュー (SE用)'!$E$2:$F1028,2,false),"000")&amp;"_"&amp;TEXT(COUNTIF($E$4:E986,E986),"000"))),"")</f>
        <v/>
      </c>
      <c r="C986" s="860"/>
      <c r="D986" s="1125"/>
      <c r="E986" s="976"/>
      <c r="F986" s="976"/>
      <c r="G986" s="1125"/>
      <c r="H986" s="1114"/>
      <c r="I986" s="901"/>
      <c r="J986" s="902"/>
      <c r="K986" s="902"/>
      <c r="L986" s="903"/>
      <c r="M986" s="1114"/>
      <c r="N986" s="1107"/>
      <c r="O986" s="1107"/>
      <c r="P986" s="1025"/>
      <c r="Q986" s="1025"/>
      <c r="R986" s="1025"/>
      <c r="S986" s="1025"/>
      <c r="T986" s="869"/>
      <c r="U986" s="942"/>
    </row>
    <row r="987">
      <c r="A987" s="926" t="str">
        <f t="array" ref="A987">if(G987="","",XLOOKUP(D987,'プルダウンメニュー (SE用)'!$D$2:$D1028,'プルダウンメニュー (SE用)'!$C$2:$C1028))</f>
        <v/>
      </c>
      <c r="B987" s="926" t="str">
        <f>iferror(if(H987="GLOW流用","-",if(G987="","","SSE_"&amp;TEXT(vlookup(E987,'プルダウンメニュー (SE用)'!$E$2:$F1028,2,false),"000")&amp;"_"&amp;TEXT(COUNTIF($E$4:E987,E987),"000"))),"")</f>
        <v/>
      </c>
      <c r="C987" s="860"/>
      <c r="D987" s="1125"/>
      <c r="E987" s="976"/>
      <c r="F987" s="976"/>
      <c r="G987" s="1125"/>
      <c r="H987" s="1114"/>
      <c r="I987" s="901"/>
      <c r="J987" s="902"/>
      <c r="K987" s="902"/>
      <c r="L987" s="903"/>
      <c r="M987" s="1114"/>
      <c r="N987" s="1107"/>
      <c r="O987" s="1107"/>
      <c r="P987" s="1025"/>
      <c r="Q987" s="1025"/>
      <c r="R987" s="1025"/>
      <c r="S987" s="1025"/>
      <c r="T987" s="869"/>
      <c r="U987" s="942"/>
    </row>
    <row r="988">
      <c r="A988" s="926" t="str">
        <f t="array" ref="A988">if(G988="","",XLOOKUP(D988,'プルダウンメニュー (SE用)'!$D$2:$D1028,'プルダウンメニュー (SE用)'!$C$2:$C1028))</f>
        <v/>
      </c>
      <c r="B988" s="926" t="str">
        <f>iferror(if(H988="GLOW流用","-",if(G988="","","SSE_"&amp;TEXT(vlookup(E988,'プルダウンメニュー (SE用)'!$E$2:$F1028,2,false),"000")&amp;"_"&amp;TEXT(COUNTIF($E$4:E988,E988),"000"))),"")</f>
        <v/>
      </c>
      <c r="C988" s="860"/>
      <c r="D988" s="1125"/>
      <c r="E988" s="976"/>
      <c r="F988" s="976"/>
      <c r="G988" s="1125"/>
      <c r="H988" s="1114"/>
      <c r="I988" s="901"/>
      <c r="J988" s="902"/>
      <c r="K988" s="902"/>
      <c r="L988" s="903"/>
      <c r="M988" s="1114"/>
      <c r="N988" s="1107"/>
      <c r="O988" s="1107"/>
      <c r="P988" s="1025"/>
      <c r="Q988" s="1025"/>
      <c r="R988" s="1025"/>
      <c r="S988" s="1025"/>
      <c r="T988" s="869"/>
      <c r="U988" s="942"/>
    </row>
    <row r="989">
      <c r="A989" s="926" t="str">
        <f t="array" ref="A989">if(G989="","",XLOOKUP(D989,'プルダウンメニュー (SE用)'!$D$2:$D1028,'プルダウンメニュー (SE用)'!$C$2:$C1028))</f>
        <v/>
      </c>
      <c r="B989" s="926" t="str">
        <f>iferror(if(H989="GLOW流用","-",if(G989="","","SSE_"&amp;TEXT(vlookup(E989,'プルダウンメニュー (SE用)'!$E$2:$F1028,2,false),"000")&amp;"_"&amp;TEXT(COUNTIF($E$4:E989,E989),"000"))),"")</f>
        <v/>
      </c>
      <c r="C989" s="860"/>
      <c r="D989" s="1125"/>
      <c r="E989" s="976"/>
      <c r="F989" s="976"/>
      <c r="G989" s="1125"/>
      <c r="H989" s="1114"/>
      <c r="I989" s="901"/>
      <c r="J989" s="902"/>
      <c r="K989" s="902"/>
      <c r="L989" s="903"/>
      <c r="M989" s="1114"/>
      <c r="N989" s="1107"/>
      <c r="O989" s="1107"/>
      <c r="P989" s="1025"/>
      <c r="Q989" s="1025"/>
      <c r="R989" s="1025"/>
      <c r="S989" s="1025"/>
      <c r="T989" s="869"/>
      <c r="U989" s="942"/>
    </row>
    <row r="990">
      <c r="A990" s="926" t="str">
        <f t="array" ref="A990">if(G990="","",XLOOKUP(D990,'プルダウンメニュー (SE用)'!$D$2:$D1028,'プルダウンメニュー (SE用)'!$C$2:$C1028))</f>
        <v/>
      </c>
      <c r="B990" s="926" t="str">
        <f>iferror(if(H990="GLOW流用","-",if(G990="","","SSE_"&amp;TEXT(vlookup(E990,'プルダウンメニュー (SE用)'!$E$2:$F1028,2,false),"000")&amp;"_"&amp;TEXT(COUNTIF($E$4:E990,E990),"000"))),"")</f>
        <v/>
      </c>
      <c r="C990" s="860"/>
      <c r="D990" s="1125"/>
      <c r="E990" s="976"/>
      <c r="F990" s="976"/>
      <c r="G990" s="1125"/>
      <c r="H990" s="1114"/>
      <c r="I990" s="901"/>
      <c r="J990" s="902"/>
      <c r="K990" s="902"/>
      <c r="L990" s="903"/>
      <c r="M990" s="1114"/>
      <c r="N990" s="1107"/>
      <c r="O990" s="1107"/>
      <c r="P990" s="1025"/>
      <c r="Q990" s="1025"/>
      <c r="R990" s="1025"/>
      <c r="S990" s="1025"/>
      <c r="T990" s="869"/>
      <c r="U990" s="942"/>
    </row>
    <row r="991">
      <c r="A991" s="926" t="str">
        <f t="array" ref="A991">if(G991="","",XLOOKUP(D991,'プルダウンメニュー (SE用)'!$D$2:$D1028,'プルダウンメニュー (SE用)'!$C$2:$C1028))</f>
        <v/>
      </c>
      <c r="B991" s="926" t="str">
        <f>iferror(if(H991="GLOW流用","-",if(G991="","","SSE_"&amp;TEXT(vlookup(E991,'プルダウンメニュー (SE用)'!$E$2:$F1028,2,false),"000")&amp;"_"&amp;TEXT(COUNTIF($E$4:E991,E991),"000"))),"")</f>
        <v/>
      </c>
      <c r="C991" s="860"/>
      <c r="D991" s="1125"/>
      <c r="E991" s="976"/>
      <c r="F991" s="976"/>
      <c r="G991" s="1125"/>
      <c r="H991" s="1114"/>
      <c r="I991" s="901"/>
      <c r="J991" s="902"/>
      <c r="K991" s="902"/>
      <c r="L991" s="903"/>
      <c r="M991" s="1114"/>
      <c r="N991" s="1107"/>
      <c r="O991" s="1107"/>
      <c r="P991" s="1025"/>
      <c r="Q991" s="1025"/>
      <c r="R991" s="1025"/>
      <c r="S991" s="1025"/>
      <c r="T991" s="869"/>
      <c r="U991" s="942"/>
    </row>
    <row r="992">
      <c r="A992" s="926" t="str">
        <f t="array" ref="A992">if(G992="","",XLOOKUP(D992,'プルダウンメニュー (SE用)'!$D$2:$D1028,'プルダウンメニュー (SE用)'!$C$2:$C1028))</f>
        <v/>
      </c>
      <c r="B992" s="926" t="str">
        <f>iferror(if(H992="GLOW流用","-",if(G992="","","SSE_"&amp;TEXT(vlookup(E992,'プルダウンメニュー (SE用)'!$E$2:$F1028,2,false),"000")&amp;"_"&amp;TEXT(COUNTIF($E$4:E992,E992),"000"))),"")</f>
        <v/>
      </c>
      <c r="C992" s="860"/>
      <c r="D992" s="1125"/>
      <c r="E992" s="976"/>
      <c r="F992" s="976"/>
      <c r="G992" s="1125"/>
      <c r="H992" s="1114"/>
      <c r="I992" s="901"/>
      <c r="J992" s="902"/>
      <c r="K992" s="902"/>
      <c r="L992" s="903"/>
      <c r="M992" s="1114"/>
      <c r="N992" s="1107"/>
      <c r="O992" s="1107"/>
      <c r="P992" s="1025"/>
      <c r="Q992" s="1025"/>
      <c r="R992" s="1025"/>
      <c r="S992" s="1025"/>
      <c r="T992" s="869"/>
      <c r="U992" s="942"/>
    </row>
    <row r="993">
      <c r="A993" s="926" t="str">
        <f t="array" ref="A993">if(G993="","",XLOOKUP(D993,'プルダウンメニュー (SE用)'!$D$2:$D1028,'プルダウンメニュー (SE用)'!$C$2:$C1028))</f>
        <v/>
      </c>
      <c r="B993" s="926" t="str">
        <f>iferror(if(H993="GLOW流用","-",if(G993="","","SSE_"&amp;TEXT(vlookup(E993,'プルダウンメニュー (SE用)'!$E$2:$F1028,2,false),"000")&amp;"_"&amp;TEXT(COUNTIF($E$4:E993,E993),"000"))),"")</f>
        <v/>
      </c>
      <c r="C993" s="860"/>
      <c r="D993" s="1125"/>
      <c r="E993" s="976"/>
      <c r="F993" s="976"/>
      <c r="G993" s="1125"/>
      <c r="H993" s="1114"/>
      <c r="I993" s="901"/>
      <c r="J993" s="902"/>
      <c r="K993" s="902"/>
      <c r="L993" s="903"/>
      <c r="M993" s="1114"/>
      <c r="N993" s="1107"/>
      <c r="O993" s="1107"/>
      <c r="P993" s="1025"/>
      <c r="Q993" s="1025"/>
      <c r="R993" s="1025"/>
      <c r="S993" s="1025"/>
      <c r="T993" s="869"/>
      <c r="U993" s="942"/>
    </row>
    <row r="994">
      <c r="A994" s="926" t="str">
        <f t="array" ref="A994">if(G994="","",XLOOKUP(D994,'プルダウンメニュー (SE用)'!$D$2:$D1028,'プルダウンメニュー (SE用)'!$C$2:$C1028))</f>
        <v/>
      </c>
      <c r="B994" s="926" t="str">
        <f>iferror(if(H994="GLOW流用","-",if(G994="","","SSE_"&amp;TEXT(vlookup(E994,'プルダウンメニュー (SE用)'!$E$2:$F1028,2,false),"000")&amp;"_"&amp;TEXT(COUNTIF($E$4:E994,E994),"000"))),"")</f>
        <v/>
      </c>
      <c r="C994" s="860"/>
      <c r="D994" s="1125"/>
      <c r="E994" s="976"/>
      <c r="F994" s="976"/>
      <c r="G994" s="1125"/>
      <c r="H994" s="1114"/>
      <c r="I994" s="901"/>
      <c r="J994" s="902"/>
      <c r="K994" s="902"/>
      <c r="L994" s="903"/>
      <c r="M994" s="1114"/>
      <c r="N994" s="1107"/>
      <c r="O994" s="1107"/>
      <c r="P994" s="1025"/>
      <c r="Q994" s="1025"/>
      <c r="R994" s="1025"/>
      <c r="S994" s="1025"/>
      <c r="T994" s="869"/>
      <c r="U994" s="942"/>
    </row>
    <row r="995">
      <c r="A995" s="926" t="str">
        <f t="array" ref="A995">if(G995="","",XLOOKUP(D995,'プルダウンメニュー (SE用)'!$D$2:$D1028,'プルダウンメニュー (SE用)'!$C$2:$C1028))</f>
        <v/>
      </c>
      <c r="B995" s="926" t="str">
        <f>iferror(if(H995="GLOW流用","-",if(G995="","","SSE_"&amp;TEXT(vlookup(E995,'プルダウンメニュー (SE用)'!$E$2:$F1028,2,false),"000")&amp;"_"&amp;TEXT(COUNTIF($E$4:E995,E995),"000"))),"")</f>
        <v/>
      </c>
      <c r="C995" s="860"/>
      <c r="D995" s="1125"/>
      <c r="E995" s="976"/>
      <c r="F995" s="976"/>
      <c r="G995" s="1125"/>
      <c r="H995" s="1130"/>
      <c r="I995" s="1131"/>
      <c r="J995" s="1132"/>
      <c r="K995" s="1132"/>
      <c r="L995" s="1133"/>
      <c r="M995" s="1130"/>
      <c r="N995" s="1107"/>
      <c r="O995" s="1107"/>
      <c r="P995" s="1025"/>
      <c r="Q995" s="1025"/>
      <c r="R995" s="1025"/>
      <c r="S995" s="1025"/>
      <c r="T995" s="869"/>
      <c r="U995" s="942"/>
    </row>
    <row r="996">
      <c r="A996" s="926" t="str">
        <f t="array" ref="A996">if(G996="","",XLOOKUP(D996,'プルダウンメニュー (SE用)'!$D$2:$D1028,'プルダウンメニュー (SE用)'!$C$2:$C1028))</f>
        <v/>
      </c>
      <c r="B996" s="926" t="str">
        <f>iferror(if(H996="GLOW流用","-",if(G996="","","SSE_"&amp;TEXT(vlookup(E996,'プルダウンメニュー (SE用)'!$E$2:$F1028,2,false),"000")&amp;"_"&amp;TEXT(COUNTIF($E$4:E996,E996),"000"))),"")</f>
        <v/>
      </c>
      <c r="C996" s="860"/>
      <c r="D996" s="1125"/>
      <c r="E996" s="976"/>
      <c r="F996" s="976"/>
      <c r="G996" s="1125"/>
      <c r="H996" s="1134"/>
      <c r="I996" s="1135"/>
      <c r="J996" s="1136"/>
      <c r="K996" s="1136"/>
      <c r="L996" s="1137"/>
      <c r="M996" s="1134"/>
      <c r="N996" s="1107"/>
      <c r="O996" s="1107"/>
      <c r="P996" s="1025"/>
      <c r="Q996" s="1025"/>
      <c r="R996" s="1025"/>
      <c r="S996" s="1025"/>
      <c r="T996" s="869"/>
      <c r="U996" s="942"/>
    </row>
    <row r="997">
      <c r="A997" s="926" t="str">
        <f t="array" ref="A997">if(G997="","",XLOOKUP(D997,'プルダウンメニュー (SE用)'!$D$2:$D1028,'プルダウンメニュー (SE用)'!$C$2:$C1028))</f>
        <v/>
      </c>
      <c r="B997" s="926" t="str">
        <f>iferror(if(H997="GLOW流用","-",if(G997="","","SSE_"&amp;TEXT(vlookup(E997,'プルダウンメニュー (SE用)'!$E$2:$F1028,2,false),"000")&amp;"_"&amp;TEXT(COUNTIF($E$4:E997,E997),"000"))),"")</f>
        <v/>
      </c>
      <c r="C997" s="860"/>
      <c r="D997" s="1125"/>
      <c r="E997" s="976"/>
      <c r="F997" s="976"/>
      <c r="G997" s="1125"/>
      <c r="H997" s="1114"/>
      <c r="I997" s="901"/>
      <c r="J997" s="902"/>
      <c r="K997" s="902"/>
      <c r="L997" s="903"/>
      <c r="M997" s="1114"/>
      <c r="N997" s="1107"/>
      <c r="O997" s="1107"/>
      <c r="P997" s="1025"/>
      <c r="Q997" s="1025"/>
      <c r="R997" s="1025"/>
      <c r="S997" s="1025"/>
      <c r="T997" s="869"/>
      <c r="U997" s="942"/>
    </row>
    <row r="998">
      <c r="A998" s="926" t="str">
        <f t="array" ref="A998">if(G998="","",XLOOKUP(D998,'プルダウンメニュー (SE用)'!$D$2:$D1028,'プルダウンメニュー (SE用)'!$C$2:$C1028))</f>
        <v/>
      </c>
      <c r="B998" s="926" t="str">
        <f>iferror(if(H998="GLOW流用","-",if(G998="","","SSE_"&amp;TEXT(vlookup(E998,'プルダウンメニュー (SE用)'!$E$2:$F1028,2,false),"000")&amp;"_"&amp;TEXT(COUNTIF($E$4:E998,E998),"000"))),"")</f>
        <v/>
      </c>
      <c r="C998" s="860"/>
      <c r="D998" s="1125"/>
      <c r="E998" s="976"/>
      <c r="F998" s="976"/>
      <c r="G998" s="1125"/>
      <c r="H998" s="1114"/>
      <c r="I998" s="901"/>
      <c r="J998" s="902"/>
      <c r="K998" s="902"/>
      <c r="L998" s="903"/>
      <c r="M998" s="1114"/>
      <c r="N998" s="1107"/>
      <c r="O998" s="1107"/>
      <c r="P998" s="1025"/>
      <c r="Q998" s="1025"/>
      <c r="R998" s="1025"/>
      <c r="S998" s="1025"/>
      <c r="T998" s="869"/>
      <c r="U998" s="942"/>
    </row>
    <row r="999">
      <c r="A999" s="926" t="str">
        <f t="array" ref="A999">if(G999="","",XLOOKUP(D999,'プルダウンメニュー (SE用)'!$D$2:$D1028,'プルダウンメニュー (SE用)'!$C$2:$C1028))</f>
        <v/>
      </c>
      <c r="B999" s="926" t="str">
        <f>iferror(if(H999="GLOW流用","-",if(G999="","","SSE_"&amp;TEXT(vlookup(E999,'プルダウンメニュー (SE用)'!$E$2:$F1028,2,false),"000")&amp;"_"&amp;TEXT(COUNTIF($E$4:E999,E999),"000"))),"")</f>
        <v/>
      </c>
      <c r="C999" s="860"/>
      <c r="D999" s="1125"/>
      <c r="E999" s="1125"/>
      <c r="F999" s="1125"/>
      <c r="G999" s="1125"/>
      <c r="H999" s="1114"/>
      <c r="I999" s="901"/>
      <c r="J999" s="902"/>
      <c r="K999" s="902"/>
      <c r="L999" s="903"/>
      <c r="M999" s="1114"/>
      <c r="N999" s="1107"/>
      <c r="O999" s="1107"/>
      <c r="P999" s="1025"/>
      <c r="Q999" s="1025"/>
      <c r="R999" s="1025"/>
      <c r="S999" s="1025"/>
      <c r="T999" s="869"/>
      <c r="U999" s="942"/>
    </row>
    <row r="1000">
      <c r="A1000" s="926" t="str">
        <f t="array" ref="A1000">if(G1000="","",XLOOKUP(D1000,'プルダウンメニュー (SE用)'!$D$2:$D1028,'プルダウンメニュー (SE用)'!$C$2:$C1028))</f>
        <v/>
      </c>
      <c r="B1000" s="926" t="str">
        <f>iferror(if(H1000="GLOW流用","-",if(G1000="","","SSE_"&amp;TEXT(vlookup(E1000,'プルダウンメニュー (SE用)'!$E$2:$F1028,2,false),"000")&amp;"_"&amp;TEXT(COUNTIF($E$4:E1000,E1000),"000"))),"")</f>
        <v/>
      </c>
      <c r="C1000" s="860"/>
      <c r="D1000" s="1125"/>
      <c r="E1000" s="1125"/>
      <c r="F1000" s="1125"/>
      <c r="G1000" s="1125"/>
      <c r="H1000" s="1114"/>
      <c r="I1000" s="901"/>
      <c r="J1000" s="902"/>
      <c r="K1000" s="902"/>
      <c r="L1000" s="903"/>
      <c r="M1000" s="1114"/>
      <c r="N1000" s="1107"/>
      <c r="O1000" s="1107"/>
      <c r="P1000" s="1025"/>
      <c r="Q1000" s="1025"/>
      <c r="R1000" s="1025"/>
      <c r="S1000" s="1025"/>
      <c r="T1000" s="869"/>
      <c r="U1000" s="942"/>
    </row>
    <row r="1001">
      <c r="A1001" s="926" t="str">
        <f t="array" ref="A1001">if(G1001="","",XLOOKUP(D1001,'プルダウンメニュー (SE用)'!$D$2:$D1028,'プルダウンメニュー (SE用)'!$C$2:$C1028))</f>
        <v/>
      </c>
      <c r="B1001" s="926" t="str">
        <f>iferror(if(H1001="GLOW流用","-",if(G1001="","","SSE_"&amp;TEXT(vlookup(E1001,'プルダウンメニュー (SE用)'!$E$2:$F1028,2,false),"000")&amp;"_"&amp;TEXT(COUNTIF($E$4:E1001,E1001),"000"))),"")</f>
        <v/>
      </c>
      <c r="C1001" s="860"/>
      <c r="D1001" s="1125"/>
      <c r="E1001" s="1125"/>
      <c r="F1001" s="1125"/>
      <c r="G1001" s="1125"/>
      <c r="H1001" s="1114"/>
      <c r="I1001" s="901"/>
      <c r="J1001" s="902"/>
      <c r="K1001" s="902"/>
      <c r="L1001" s="903"/>
      <c r="M1001" s="1114"/>
      <c r="N1001" s="1107"/>
      <c r="O1001" s="1107"/>
      <c r="P1001" s="1025"/>
      <c r="Q1001" s="1025"/>
      <c r="R1001" s="1025"/>
      <c r="S1001" s="1025"/>
      <c r="T1001" s="869"/>
      <c r="U1001" s="942"/>
    </row>
    <row r="1002">
      <c r="A1002" s="926" t="str">
        <f t="array" ref="A1002">if(G1002="","",XLOOKUP(D1002,'プルダウンメニュー (SE用)'!$D$2:$D1028,'プルダウンメニュー (SE用)'!$C$2:$C1028))</f>
        <v/>
      </c>
      <c r="B1002" s="926" t="str">
        <f>iferror(if(H1002="GLOW流用","-",if(G1002="","","SSE_"&amp;TEXT(vlookup(E1002,'プルダウンメニュー (SE用)'!$E$2:$F1028,2,false),"000")&amp;"_"&amp;TEXT(COUNTIF($E$4:E1002,E1002),"000"))),"")</f>
        <v/>
      </c>
      <c r="C1002" s="860"/>
      <c r="D1002" s="1125"/>
      <c r="E1002" s="1125"/>
      <c r="F1002" s="1125"/>
      <c r="G1002" s="1125"/>
      <c r="H1002" s="1114"/>
      <c r="I1002" s="901"/>
      <c r="J1002" s="902"/>
      <c r="K1002" s="902"/>
      <c r="L1002" s="903"/>
      <c r="M1002" s="1114"/>
      <c r="N1002" s="1107"/>
      <c r="O1002" s="1107"/>
      <c r="P1002" s="1025"/>
      <c r="Q1002" s="1025"/>
      <c r="R1002" s="1025"/>
      <c r="S1002" s="1025"/>
      <c r="T1002" s="869"/>
      <c r="U1002" s="942"/>
    </row>
    <row r="1003">
      <c r="A1003" s="926" t="str">
        <f t="array" ref="A1003">if(G1003="","",XLOOKUP(D1003,'プルダウンメニュー (SE用)'!$D$2:$D1028,'プルダウンメニュー (SE用)'!$C$2:$C1028))</f>
        <v/>
      </c>
      <c r="B1003" s="926" t="str">
        <f>iferror(if(H1003="GLOW流用","-",if(G1003="","","SSE_"&amp;TEXT(vlookup(E1003,'プルダウンメニュー (SE用)'!$E$2:$F1028,2,false),"000")&amp;"_"&amp;TEXT(COUNTIF($E$4:E1003,E1003),"000"))),"")</f>
        <v/>
      </c>
      <c r="C1003" s="860"/>
      <c r="D1003" s="1125"/>
      <c r="E1003" s="976"/>
      <c r="F1003" s="976"/>
      <c r="G1003" s="1125"/>
      <c r="H1003" s="1114"/>
      <c r="I1003" s="901"/>
      <c r="J1003" s="902"/>
      <c r="K1003" s="902"/>
      <c r="L1003" s="903"/>
      <c r="M1003" s="1114"/>
      <c r="N1003" s="1107"/>
      <c r="O1003" s="1107"/>
      <c r="P1003" s="1025"/>
      <c r="Q1003" s="1025"/>
      <c r="R1003" s="1025"/>
      <c r="S1003" s="1025"/>
      <c r="T1003" s="869"/>
      <c r="U1003" s="942"/>
    </row>
    <row r="1004">
      <c r="A1004" s="926" t="str">
        <f t="array" ref="A1004">if(G1004="","",XLOOKUP(D1004,'プルダウンメニュー (SE用)'!$D$2:$D1028,'プルダウンメニュー (SE用)'!$C$2:$C1028))</f>
        <v/>
      </c>
      <c r="B1004" s="926" t="str">
        <f>iferror(if(H1004="GLOW流用","-",if(G1004="","","SSE_"&amp;TEXT(vlookup(E1004,'プルダウンメニュー (SE用)'!$E$2:$F1028,2,false),"000")&amp;"_"&amp;TEXT(COUNTIF($E$4:E1004,E1004),"000"))),"")</f>
        <v/>
      </c>
      <c r="C1004" s="860"/>
      <c r="D1004" s="1125"/>
      <c r="E1004" s="976"/>
      <c r="F1004" s="976"/>
      <c r="G1004" s="1125"/>
      <c r="H1004" s="1114"/>
      <c r="I1004" s="901"/>
      <c r="J1004" s="902"/>
      <c r="K1004" s="902"/>
      <c r="L1004" s="903"/>
      <c r="M1004" s="1114"/>
      <c r="N1004" s="1107"/>
      <c r="O1004" s="1107"/>
      <c r="P1004" s="1025"/>
      <c r="Q1004" s="1025"/>
      <c r="R1004" s="1025"/>
      <c r="S1004" s="1025"/>
      <c r="T1004" s="869"/>
      <c r="U1004" s="942"/>
    </row>
    <row r="1005">
      <c r="A1005" s="926" t="str">
        <f t="array" ref="A1005">if(G1005="","",XLOOKUP(D1005,'プルダウンメニュー (SE用)'!$D$2:$D1028,'プルダウンメニュー (SE用)'!$C$2:$C1028))</f>
        <v/>
      </c>
      <c r="B1005" s="926" t="str">
        <f>iferror(if(H1005="GLOW流用","-",if(G1005="","","SSE_"&amp;TEXT(vlookup(E1005,'プルダウンメニュー (SE用)'!$E$2:$F1028,2,false),"000")&amp;"_"&amp;TEXT(COUNTIF($E$4:E1005,E1005),"000"))),"")</f>
        <v/>
      </c>
      <c r="C1005" s="860"/>
      <c r="D1005" s="1125"/>
      <c r="E1005" s="976"/>
      <c r="F1005" s="976"/>
      <c r="G1005" s="1125"/>
      <c r="H1005" s="1114"/>
      <c r="I1005" s="901"/>
      <c r="J1005" s="902"/>
      <c r="K1005" s="902"/>
      <c r="L1005" s="903"/>
      <c r="M1005" s="1114"/>
      <c r="N1005" s="1107"/>
      <c r="O1005" s="1107"/>
      <c r="P1005" s="1025"/>
      <c r="Q1005" s="1025"/>
      <c r="R1005" s="1025"/>
      <c r="S1005" s="1025"/>
      <c r="T1005" s="869"/>
      <c r="U1005" s="942"/>
    </row>
    <row r="1006">
      <c r="A1006" s="926" t="str">
        <f t="array" ref="A1006">if(G1006="","",XLOOKUP(D1006,'プルダウンメニュー (SE用)'!$D$2:$D1028,'プルダウンメニュー (SE用)'!$C$2:$C1028))</f>
        <v/>
      </c>
      <c r="B1006" s="926" t="str">
        <f>iferror(if(H1006="GLOW流用","-",if(G1006="","","SSE_"&amp;TEXT(vlookup(E1006,'プルダウンメニュー (SE用)'!$E$2:$F1028,2,false),"000")&amp;"_"&amp;TEXT(COUNTIF($E$4:E1006,E1006),"000"))),"")</f>
        <v/>
      </c>
      <c r="C1006" s="860"/>
      <c r="D1006" s="1125"/>
      <c r="E1006" s="1125"/>
      <c r="F1006" s="1125"/>
      <c r="G1006" s="1125"/>
      <c r="H1006" s="1114"/>
      <c r="I1006" s="901"/>
      <c r="J1006" s="902"/>
      <c r="K1006" s="902"/>
      <c r="L1006" s="903"/>
      <c r="M1006" s="1114"/>
      <c r="N1006" s="1107"/>
      <c r="O1006" s="1107"/>
      <c r="P1006" s="1025"/>
      <c r="Q1006" s="1025"/>
      <c r="R1006" s="1025"/>
      <c r="S1006" s="1025"/>
      <c r="T1006" s="869"/>
      <c r="U1006" s="942"/>
    </row>
    <row r="1007">
      <c r="A1007" s="926" t="str">
        <f t="array" ref="A1007">if(G1007="","",XLOOKUP(D1007,'プルダウンメニュー (SE用)'!$D$2:$D1028,'プルダウンメニュー (SE用)'!$C$2:$C1028))</f>
        <v/>
      </c>
      <c r="B1007" s="926" t="str">
        <f>iferror(if(H1007="GLOW流用","-",if(G1007="","","SSE_"&amp;TEXT(vlookup(E1007,'プルダウンメニュー (SE用)'!$E$2:$F1028,2,false),"000")&amp;"_"&amp;TEXT(COUNTIF($E$4:E1007,E1007),"000"))),"")</f>
        <v/>
      </c>
      <c r="C1007" s="860"/>
      <c r="D1007" s="1125"/>
      <c r="E1007" s="1125"/>
      <c r="F1007" s="1125"/>
      <c r="G1007" s="1125"/>
      <c r="H1007" s="1114"/>
      <c r="I1007" s="901"/>
      <c r="J1007" s="902"/>
      <c r="K1007" s="902"/>
      <c r="L1007" s="903"/>
      <c r="M1007" s="1114"/>
      <c r="N1007" s="1107"/>
      <c r="O1007" s="1107"/>
      <c r="P1007" s="1025"/>
      <c r="Q1007" s="1025"/>
      <c r="R1007" s="1025"/>
      <c r="S1007" s="1025"/>
      <c r="T1007" s="869"/>
      <c r="U1007" s="942"/>
    </row>
    <row r="1008">
      <c r="A1008" s="926" t="str">
        <f t="array" ref="A1008">if(G1008="","",XLOOKUP(D1008,'プルダウンメニュー (SE用)'!$D$2:$D1028,'プルダウンメニュー (SE用)'!$C$2:$C1028))</f>
        <v/>
      </c>
      <c r="B1008" s="926" t="str">
        <f>iferror(if(H1008="GLOW流用","-",if(G1008="","","SSE_"&amp;TEXT(vlookup(E1008,'プルダウンメニュー (SE用)'!$E$2:$F1028,2,false),"000")&amp;"_"&amp;TEXT(COUNTIF($E$4:E1008,E1008),"000"))),"")</f>
        <v/>
      </c>
      <c r="C1008" s="860"/>
      <c r="D1008" s="1125"/>
      <c r="E1008" s="1125"/>
      <c r="F1008" s="1125"/>
      <c r="G1008" s="1125"/>
      <c r="H1008" s="1114"/>
      <c r="I1008" s="901"/>
      <c r="J1008" s="902"/>
      <c r="K1008" s="902"/>
      <c r="L1008" s="903"/>
      <c r="M1008" s="1114"/>
      <c r="N1008" s="1107"/>
      <c r="O1008" s="1107"/>
      <c r="P1008" s="1025"/>
      <c r="Q1008" s="1025"/>
      <c r="R1008" s="1025"/>
      <c r="S1008" s="1025"/>
      <c r="T1008" s="869"/>
      <c r="U1008" s="942"/>
    </row>
    <row r="1009">
      <c r="A1009" s="926" t="str">
        <f t="array" ref="A1009">if(G1009="","",XLOOKUP(D1009,'プルダウンメニュー (SE用)'!$D$2:$D1028,'プルダウンメニュー (SE用)'!$C$2:$C1028))</f>
        <v/>
      </c>
      <c r="B1009" s="926" t="str">
        <f>iferror(if(H1009="GLOW流用","-",if(G1009="","","SSE_"&amp;TEXT(vlookup(E1009,'プルダウンメニュー (SE用)'!$E$2:$F1028,2,false),"000")&amp;"_"&amp;TEXT(COUNTIF($E$4:E1009,E1009),"000"))),"")</f>
        <v/>
      </c>
      <c r="C1009" s="860"/>
      <c r="D1009" s="1125"/>
      <c r="E1009" s="1125"/>
      <c r="F1009" s="1125"/>
      <c r="G1009" s="1125"/>
      <c r="H1009" s="1114"/>
      <c r="I1009" s="901"/>
      <c r="J1009" s="902"/>
      <c r="K1009" s="902"/>
      <c r="L1009" s="903"/>
      <c r="M1009" s="1114"/>
      <c r="N1009" s="1107"/>
      <c r="O1009" s="1107"/>
      <c r="P1009" s="1025"/>
      <c r="Q1009" s="1025"/>
      <c r="R1009" s="1025"/>
      <c r="S1009" s="1025"/>
      <c r="T1009" s="869"/>
      <c r="U1009" s="942"/>
    </row>
    <row r="1010">
      <c r="A1010" s="926" t="str">
        <f t="array" ref="A1010">if(G1010="","",XLOOKUP(D1010,'プルダウンメニュー (SE用)'!$D$2:$D1028,'プルダウンメニュー (SE用)'!$C$2:$C1028))</f>
        <v/>
      </c>
      <c r="B1010" s="926" t="str">
        <f>iferror(if(H1010="GLOW流用","-",if(G1010="","","SSE_"&amp;TEXT(vlookup(E1010,'プルダウンメニュー (SE用)'!$E$2:$F1028,2,false),"000")&amp;"_"&amp;TEXT(COUNTIF($E$4:E1010,E1010),"000"))),"")</f>
        <v/>
      </c>
      <c r="C1010" s="860"/>
      <c r="D1010" s="1125"/>
      <c r="E1010" s="1125"/>
      <c r="F1010" s="1125"/>
      <c r="G1010" s="1125"/>
      <c r="H1010" s="1114"/>
      <c r="I1010" s="901"/>
      <c r="J1010" s="902"/>
      <c r="K1010" s="902"/>
      <c r="L1010" s="903"/>
      <c r="M1010" s="1114"/>
      <c r="N1010" s="1107"/>
      <c r="O1010" s="1107"/>
      <c r="P1010" s="1025"/>
      <c r="Q1010" s="1025"/>
      <c r="R1010" s="1025"/>
      <c r="S1010" s="1025"/>
      <c r="T1010" s="869"/>
      <c r="U1010" s="942"/>
    </row>
    <row r="1011">
      <c r="A1011" s="926" t="str">
        <f t="array" ref="A1011">if(G1011="","",XLOOKUP(D1011,'プルダウンメニュー (SE用)'!$D$2:$D1028,'プルダウンメニュー (SE用)'!$C$2:$C1028))</f>
        <v/>
      </c>
      <c r="B1011" s="926" t="str">
        <f>iferror(if(H1011="GLOW流用","-",if(G1011="","","SSE_"&amp;TEXT(vlookup(E1011,'プルダウンメニュー (SE用)'!$E$2:$F1028,2,false),"000")&amp;"_"&amp;TEXT(COUNTIF($E$4:E1011,E1011),"000"))),"")</f>
        <v/>
      </c>
      <c r="C1011" s="860"/>
      <c r="D1011" s="1125"/>
      <c r="E1011" s="1125"/>
      <c r="F1011" s="1125"/>
      <c r="G1011" s="1125"/>
      <c r="H1011" s="1114"/>
      <c r="I1011" s="901"/>
      <c r="J1011" s="902"/>
      <c r="K1011" s="902"/>
      <c r="L1011" s="903"/>
      <c r="M1011" s="1114"/>
      <c r="N1011" s="1107"/>
      <c r="O1011" s="1107"/>
      <c r="P1011" s="1025"/>
      <c r="Q1011" s="1025"/>
      <c r="R1011" s="1025"/>
      <c r="S1011" s="1025"/>
      <c r="T1011" s="869"/>
      <c r="U1011" s="942"/>
    </row>
    <row r="1012">
      <c r="A1012" s="926" t="str">
        <f t="array" ref="A1012">if(G1012="","",XLOOKUP(D1012,'プルダウンメニュー (SE用)'!$D$2:$D1028,'プルダウンメニュー (SE用)'!$C$2:$C1028))</f>
        <v/>
      </c>
      <c r="B1012" s="926" t="str">
        <f>iferror(if(H1012="GLOW流用","-",if(G1012="","","SSE_"&amp;TEXT(vlookup(E1012,'プルダウンメニュー (SE用)'!$E$2:$F1028,2,false),"000")&amp;"_"&amp;TEXT(COUNTIF($E$4:E1012,E1012),"000"))),"")</f>
        <v/>
      </c>
      <c r="C1012" s="860"/>
      <c r="D1012" s="1125"/>
      <c r="E1012" s="1125"/>
      <c r="F1012" s="1125"/>
      <c r="G1012" s="1125"/>
      <c r="H1012" s="1114"/>
      <c r="I1012" s="901"/>
      <c r="J1012" s="902"/>
      <c r="K1012" s="902"/>
      <c r="L1012" s="903"/>
      <c r="M1012" s="1114"/>
      <c r="N1012" s="1107"/>
      <c r="O1012" s="1107"/>
      <c r="P1012" s="1025"/>
      <c r="Q1012" s="1025"/>
      <c r="R1012" s="1025"/>
      <c r="S1012" s="1025"/>
      <c r="T1012" s="869"/>
      <c r="U1012" s="942"/>
    </row>
    <row r="1013">
      <c r="A1013" s="926" t="str">
        <f t="array" ref="A1013">if(G1013="","",XLOOKUP(D1013,'プルダウンメニュー (SE用)'!$D$2:$D1028,'プルダウンメニュー (SE用)'!$C$2:$C1028))</f>
        <v/>
      </c>
      <c r="B1013" s="926" t="str">
        <f>iferror(if(H1013="GLOW流用","-",if(G1013="","","SSE_"&amp;TEXT(vlookup(E1013,'プルダウンメニュー (SE用)'!$E$2:$F1028,2,false),"000")&amp;"_"&amp;TEXT(COUNTIF($E$4:E1013,E1013),"000"))),"")</f>
        <v/>
      </c>
      <c r="C1013" s="860"/>
      <c r="D1013" s="1125"/>
      <c r="E1013" s="1125"/>
      <c r="F1013" s="1125"/>
      <c r="G1013" s="1125"/>
      <c r="H1013" s="1114"/>
      <c r="I1013" s="901"/>
      <c r="J1013" s="902"/>
      <c r="K1013" s="902"/>
      <c r="L1013" s="903"/>
      <c r="M1013" s="1114"/>
      <c r="N1013" s="1107"/>
      <c r="O1013" s="1107"/>
      <c r="P1013" s="1025"/>
      <c r="Q1013" s="1025"/>
      <c r="R1013" s="1025"/>
      <c r="S1013" s="1025"/>
      <c r="T1013" s="869"/>
      <c r="U1013" s="942"/>
    </row>
    <row r="1014">
      <c r="A1014" s="926" t="str">
        <f t="array" ref="A1014">if(G1014="","",XLOOKUP(D1014,'プルダウンメニュー (SE用)'!$D$2:$D1028,'プルダウンメニュー (SE用)'!$C$2:$C1028))</f>
        <v/>
      </c>
      <c r="B1014" s="926" t="str">
        <f>iferror(if(H1014="GLOW流用","-",if(G1014="","","SSE_"&amp;TEXT(vlookup(E1014,'プルダウンメニュー (SE用)'!$E$2:$F1028,2,false),"000")&amp;"_"&amp;TEXT(COUNTIF($E$4:E1014,E1014),"000"))),"")</f>
        <v/>
      </c>
      <c r="C1014" s="860"/>
      <c r="D1014" s="1125"/>
      <c r="E1014" s="1125"/>
      <c r="F1014" s="1125"/>
      <c r="G1014" s="1125"/>
      <c r="H1014" s="1114"/>
      <c r="I1014" s="901"/>
      <c r="J1014" s="902"/>
      <c r="K1014" s="902"/>
      <c r="L1014" s="903"/>
      <c r="M1014" s="1114"/>
      <c r="N1014" s="1107"/>
      <c r="O1014" s="1107"/>
      <c r="P1014" s="1025"/>
      <c r="Q1014" s="1025"/>
      <c r="R1014" s="1025"/>
      <c r="S1014" s="1025"/>
      <c r="T1014" s="869"/>
      <c r="U1014" s="942"/>
    </row>
    <row r="1015">
      <c r="A1015" s="926" t="str">
        <f t="array" ref="A1015">if(G1015="","",XLOOKUP(D1015,'プルダウンメニュー (SE用)'!$D$2:$D1028,'プルダウンメニュー (SE用)'!$C$2:$C1028))</f>
        <v/>
      </c>
      <c r="B1015" s="926" t="str">
        <f>iferror(if(H1015="GLOW流用","-",if(G1015="","","SSE_"&amp;TEXT(vlookup(E1015,'プルダウンメニュー (SE用)'!$E$2:$F1028,2,false),"000")&amp;"_"&amp;TEXT(COUNTIF($E$4:E1015,E1015),"000"))),"")</f>
        <v/>
      </c>
      <c r="C1015" s="860"/>
      <c r="D1015" s="1125"/>
      <c r="E1015" s="1125"/>
      <c r="F1015" s="1125"/>
      <c r="G1015" s="1125"/>
      <c r="H1015" s="1114"/>
      <c r="I1015" s="901"/>
      <c r="J1015" s="902"/>
      <c r="K1015" s="902"/>
      <c r="L1015" s="903"/>
      <c r="M1015" s="1114"/>
      <c r="N1015" s="1107"/>
      <c r="O1015" s="1107"/>
      <c r="P1015" s="1025"/>
      <c r="Q1015" s="1025"/>
      <c r="R1015" s="1025"/>
      <c r="S1015" s="1025"/>
      <c r="T1015" s="869"/>
      <c r="U1015" s="942"/>
    </row>
    <row r="1016">
      <c r="A1016" s="926" t="str">
        <f t="array" ref="A1016">if(G1016="","",XLOOKUP(D1016,'プルダウンメニュー (SE用)'!$D$2:$D1028,'プルダウンメニュー (SE用)'!$C$2:$C1028))</f>
        <v/>
      </c>
      <c r="B1016" s="926" t="str">
        <f>iferror(if(H1016="GLOW流用","-",if(G1016="","","SSE_"&amp;TEXT(vlookup(E1016,'プルダウンメニュー (SE用)'!$E$2:$F1028,2,false),"000")&amp;"_"&amp;TEXT(COUNTIF($E$4:E1016,E1016),"000"))),"")</f>
        <v/>
      </c>
      <c r="C1016" s="860"/>
      <c r="D1016" s="1125"/>
      <c r="E1016" s="1125"/>
      <c r="F1016" s="1125"/>
      <c r="G1016" s="1125"/>
      <c r="H1016" s="1114"/>
      <c r="I1016" s="901"/>
      <c r="J1016" s="902"/>
      <c r="K1016" s="902"/>
      <c r="L1016" s="903"/>
      <c r="M1016" s="1114"/>
      <c r="N1016" s="1107"/>
      <c r="O1016" s="1107"/>
      <c r="P1016" s="1025"/>
      <c r="Q1016" s="1025"/>
      <c r="R1016" s="1025"/>
      <c r="S1016" s="1025"/>
      <c r="T1016" s="869"/>
      <c r="U1016" s="942"/>
    </row>
    <row r="1017">
      <c r="A1017" s="926" t="str">
        <f t="array" ref="A1017">if(G1017="","",XLOOKUP(D1017,'プルダウンメニュー (SE用)'!$D$2:$D1028,'プルダウンメニュー (SE用)'!$C$2:$C1028))</f>
        <v/>
      </c>
      <c r="B1017" s="926" t="str">
        <f>iferror(if(H1017="GLOW流用","-",if(G1017="","","SSE_"&amp;TEXT(vlookup(E1017,'プルダウンメニュー (SE用)'!$E$2:$F1028,2,false),"000")&amp;"_"&amp;TEXT(COUNTIF($E$4:E1017,E1017),"000"))),"")</f>
        <v/>
      </c>
      <c r="C1017" s="860"/>
      <c r="D1017" s="1125"/>
      <c r="E1017" s="1125"/>
      <c r="F1017" s="1125"/>
      <c r="G1017" s="1125"/>
      <c r="H1017" s="1114"/>
      <c r="I1017" s="901"/>
      <c r="J1017" s="902"/>
      <c r="K1017" s="902"/>
      <c r="L1017" s="903"/>
      <c r="M1017" s="1114"/>
      <c r="N1017" s="904"/>
      <c r="O1017" s="904"/>
      <c r="P1017" s="1138"/>
      <c r="Q1017" s="1138"/>
      <c r="R1017" s="869"/>
      <c r="S1017" s="143"/>
      <c r="T1017" s="869"/>
      <c r="U1017" s="942"/>
    </row>
    <row r="1018">
      <c r="A1018" s="926" t="str">
        <f t="array" ref="A1018">if(G1018="","",XLOOKUP(D1018,'プルダウンメニュー (SE用)'!$D$2:$D1028,'プルダウンメニュー (SE用)'!$C$2:$C1028))</f>
        <v/>
      </c>
      <c r="B1018" s="926" t="str">
        <f>iferror(if(H1018="GLOW流用","-",if(G1018="","","SSE_"&amp;TEXT(vlookup(E1018,'プルダウンメニュー (SE用)'!$E$2:$F1028,2,false),"000")&amp;"_"&amp;TEXT(COUNTIF($E$4:E1018,E1018),"000"))),"")</f>
        <v/>
      </c>
      <c r="C1018" s="860"/>
      <c r="D1018" s="1125"/>
      <c r="E1018" s="1125"/>
      <c r="F1018" s="1125"/>
      <c r="G1018" s="1125"/>
      <c r="H1018" s="1114"/>
      <c r="I1018" s="901"/>
      <c r="J1018" s="902"/>
      <c r="K1018" s="902"/>
      <c r="L1018" s="903"/>
      <c r="M1018" s="1114"/>
      <c r="N1018" s="904"/>
      <c r="O1018" s="904"/>
      <c r="P1018" s="1138"/>
      <c r="Q1018" s="1138"/>
      <c r="R1018" s="869"/>
      <c r="S1018" s="143"/>
      <c r="T1018" s="869"/>
      <c r="U1018" s="942"/>
    </row>
    <row r="1019">
      <c r="A1019" s="926" t="str">
        <f t="array" ref="A1019">if(G1019="","",XLOOKUP(D1019,'プルダウンメニュー (SE用)'!$D$2:$D1028,'プルダウンメニュー (SE用)'!$C$2:$C1028))</f>
        <v/>
      </c>
      <c r="B1019" s="926" t="str">
        <f>iferror(if(H1019="GLOW流用","-",if(G1019="","","SSE_"&amp;TEXT(vlookup(E1019,'プルダウンメニュー (SE用)'!$E$2:$F1028,2,false),"000")&amp;"_"&amp;TEXT(COUNTIF($E$4:E1019,E1019),"000"))),"")</f>
        <v/>
      </c>
      <c r="C1019" s="860"/>
      <c r="D1019" s="1125"/>
      <c r="E1019" s="1125"/>
      <c r="F1019" s="1125"/>
      <c r="G1019" s="1125"/>
      <c r="H1019" s="1114"/>
      <c r="I1019" s="901"/>
      <c r="J1019" s="902"/>
      <c r="K1019" s="902"/>
      <c r="L1019" s="903"/>
      <c r="M1019" s="1114"/>
      <c r="N1019" s="904"/>
      <c r="O1019" s="904"/>
      <c r="P1019" s="1138"/>
      <c r="Q1019" s="1138"/>
      <c r="R1019" s="869"/>
      <c r="S1019" s="143"/>
      <c r="T1019" s="869"/>
      <c r="U1019" s="942"/>
    </row>
    <row r="1020">
      <c r="A1020" s="926" t="str">
        <f t="array" ref="A1020">if(G1020="","",XLOOKUP(D1020,'プルダウンメニュー (SE用)'!$D$2:$D1028,'プルダウンメニュー (SE用)'!$C$2:$C1028))</f>
        <v/>
      </c>
      <c r="B1020" s="926" t="str">
        <f>iferror(if(H1020="GLOW流用","-",if(G1020="","","SSE_"&amp;TEXT(vlookup(E1020,'プルダウンメニュー (SE用)'!$E$2:$F1028,2,false),"000")&amp;"_"&amp;TEXT(COUNTIF($E$4:E1020,E1020),"000"))),"")</f>
        <v/>
      </c>
      <c r="C1020" s="860"/>
      <c r="D1020" s="1125"/>
      <c r="E1020" s="1125"/>
      <c r="F1020" s="1125"/>
      <c r="G1020" s="1125"/>
      <c r="H1020" s="1114"/>
      <c r="I1020" s="901"/>
      <c r="J1020" s="902"/>
      <c r="K1020" s="902"/>
      <c r="L1020" s="903"/>
      <c r="M1020" s="1114"/>
      <c r="N1020" s="904"/>
      <c r="O1020" s="904"/>
      <c r="P1020" s="1138"/>
      <c r="Q1020" s="1138"/>
      <c r="R1020" s="869"/>
      <c r="S1020" s="143"/>
      <c r="T1020" s="869"/>
      <c r="U1020" s="942"/>
    </row>
    <row r="1021">
      <c r="A1021" s="926" t="str">
        <f t="array" ref="A1021">if(G1021="","",XLOOKUP(D1021,'プルダウンメニュー (SE用)'!$D$2:$D1028,'プルダウンメニュー (SE用)'!$C$2:$C1028))</f>
        <v/>
      </c>
      <c r="B1021" s="926" t="str">
        <f>iferror(if(H1021="GLOW流用","-",if(G1021="","","SSE_"&amp;TEXT(vlookup(E1021,'プルダウンメニュー (SE用)'!$E$2:$F1028,2,false),"000")&amp;"_"&amp;TEXT(COUNTIF($E$4:E1021,E1021),"000"))),"")</f>
        <v/>
      </c>
      <c r="C1021" s="860"/>
      <c r="D1021" s="1125"/>
      <c r="E1021" s="1125"/>
      <c r="F1021" s="1125"/>
      <c r="G1021" s="1125"/>
      <c r="H1021" s="1114"/>
      <c r="I1021" s="901"/>
      <c r="J1021" s="902"/>
      <c r="K1021" s="902"/>
      <c r="L1021" s="903"/>
      <c r="M1021" s="1114"/>
      <c r="N1021" s="904"/>
      <c r="O1021" s="904"/>
      <c r="P1021" s="1138"/>
      <c r="Q1021" s="1138"/>
      <c r="R1021" s="869"/>
      <c r="S1021" s="143"/>
      <c r="T1021" s="869"/>
      <c r="U1021" s="942"/>
    </row>
    <row r="1022">
      <c r="A1022" s="1139"/>
      <c r="B1022" s="1139"/>
      <c r="C1022" s="1139"/>
      <c r="D1022" s="1139"/>
      <c r="E1022" s="1139"/>
      <c r="F1022" s="1139"/>
      <c r="G1022" s="1139"/>
      <c r="H1022" s="1139"/>
      <c r="I1022" s="1140"/>
      <c r="J1022" s="1140"/>
      <c r="K1022" s="1140"/>
      <c r="L1022" s="1141"/>
      <c r="M1022" s="1139"/>
      <c r="N1022" s="1139"/>
      <c r="O1022" s="1139"/>
      <c r="P1022" s="1142">
        <f>sum(P4:P66)</f>
        <v>23540</v>
      </c>
      <c r="Q1022" s="1142">
        <f>sumif(L4:L1021,"P承認",Q4:Q1021)</f>
        <v>67660</v>
      </c>
      <c r="R1022" s="1139"/>
      <c r="S1022" s="1143"/>
      <c r="T1022" s="1139"/>
      <c r="U1022" s="1139"/>
    </row>
    <row r="1023">
      <c r="A1023" s="1139"/>
      <c r="B1023" s="1139"/>
      <c r="C1023" s="1139"/>
      <c r="D1023" s="1139"/>
      <c r="E1023" s="1139"/>
      <c r="F1023" s="1139"/>
      <c r="G1023" s="1139"/>
      <c r="H1023" s="1139"/>
      <c r="I1023" s="1140"/>
      <c r="J1023" s="1140"/>
      <c r="K1023" s="1140"/>
      <c r="L1023" s="1141"/>
      <c r="M1023" s="1139"/>
      <c r="N1023" s="1139"/>
      <c r="O1023" s="1139"/>
      <c r="P1023" s="1139">
        <f>counta(P4:P48)</f>
        <v>24</v>
      </c>
      <c r="Q1023" s="1142">
        <f>Q1022*0.1+Q1022</f>
        <v>74426</v>
      </c>
      <c r="R1023" s="1139"/>
      <c r="S1023" s="1144"/>
      <c r="T1023" s="1139"/>
      <c r="U1023" s="1139"/>
    </row>
    <row r="1024">
      <c r="A1024" s="1139"/>
      <c r="B1024" s="1139"/>
      <c r="C1024" s="1139"/>
      <c r="D1024" s="1139"/>
      <c r="E1024" s="1139"/>
      <c r="F1024" s="1139"/>
      <c r="G1024" s="1139"/>
      <c r="H1024" s="1139"/>
      <c r="I1024" s="1140"/>
      <c r="J1024" s="1140"/>
      <c r="K1024" s="1140"/>
      <c r="L1024" s="1141"/>
      <c r="M1024" s="1139"/>
      <c r="N1024" s="1139"/>
      <c r="O1024" s="1139"/>
      <c r="P1024" s="1139"/>
      <c r="Q1024" s="1139"/>
      <c r="R1024" s="1139"/>
      <c r="S1024" s="1144"/>
      <c r="T1024" s="1139"/>
      <c r="U1024" s="1139"/>
    </row>
    <row r="1025">
      <c r="A1025" s="1145"/>
      <c r="B1025" s="1145"/>
      <c r="C1025" s="1145"/>
      <c r="D1025" s="1145"/>
      <c r="E1025" s="1145"/>
      <c r="F1025" s="1145"/>
      <c r="G1025" s="1145"/>
      <c r="H1025" s="1145"/>
      <c r="I1025" s="1146"/>
      <c r="J1025" s="1146"/>
      <c r="K1025" s="1146"/>
      <c r="L1025" s="1147"/>
      <c r="M1025" s="1145"/>
      <c r="N1025" s="1145"/>
      <c r="O1025" s="1145"/>
      <c r="P1025" s="1145">
        <f>660+16940</f>
        <v>17600</v>
      </c>
      <c r="Q1025" s="1145"/>
      <c r="R1025" s="1139"/>
      <c r="S1025" s="1144"/>
      <c r="T1025" s="1139"/>
      <c r="U1025" s="1139"/>
    </row>
    <row r="1026">
      <c r="A1026" s="1139"/>
      <c r="B1026" s="1139"/>
      <c r="C1026" s="1139"/>
      <c r="D1026" s="1139"/>
      <c r="E1026" s="1139"/>
      <c r="F1026" s="1139"/>
      <c r="G1026" s="1139"/>
      <c r="H1026" s="1139"/>
      <c r="I1026" s="1140"/>
      <c r="J1026" s="1140"/>
      <c r="K1026" s="1140"/>
      <c r="L1026" s="1141"/>
      <c r="M1026" s="1139"/>
      <c r="N1026" s="1139"/>
      <c r="O1026" s="1139"/>
      <c r="P1026" s="1139"/>
      <c r="Q1026" s="1139"/>
      <c r="R1026" s="1139"/>
      <c r="S1026" s="1144"/>
      <c r="T1026" s="1139"/>
      <c r="U1026" s="1139"/>
    </row>
    <row r="1027">
      <c r="A1027" s="1139"/>
      <c r="B1027" s="1139"/>
      <c r="C1027" s="1139"/>
      <c r="D1027" s="1139"/>
      <c r="E1027" s="1139"/>
      <c r="F1027" s="1139"/>
      <c r="G1027" s="1139"/>
      <c r="H1027" s="1139"/>
      <c r="I1027" s="1140"/>
      <c r="J1027" s="1140"/>
      <c r="K1027" s="1140"/>
      <c r="L1027" s="1141"/>
      <c r="M1027" s="1139"/>
      <c r="N1027" s="1139"/>
      <c r="O1027" s="1139"/>
      <c r="P1027" s="1139"/>
      <c r="Q1027" s="1139"/>
      <c r="R1027" s="1139"/>
      <c r="S1027" s="1144"/>
      <c r="T1027" s="1139"/>
      <c r="U1027" s="1139"/>
    </row>
    <row r="1028">
      <c r="A1028" s="1139"/>
      <c r="B1028" s="1139"/>
      <c r="C1028" s="1139"/>
      <c r="D1028" s="1139"/>
      <c r="E1028" s="1139"/>
      <c r="F1028" s="1139"/>
      <c r="G1028" s="1139"/>
      <c r="H1028" s="1139"/>
      <c r="I1028" s="1140"/>
      <c r="J1028" s="1140"/>
      <c r="K1028" s="1140"/>
      <c r="L1028" s="1141"/>
      <c r="M1028" s="1139"/>
      <c r="N1028" s="1139"/>
      <c r="O1028" s="1139"/>
      <c r="P1028" s="1139"/>
      <c r="Q1028" s="1139"/>
      <c r="R1028" s="1139"/>
      <c r="S1028" s="1143"/>
      <c r="T1028" s="1139"/>
      <c r="U1028" s="1139"/>
    </row>
  </sheetData>
  <customSheetViews>
    <customSheetView guid="{E87F8DC0-67CD-4BA1-92BE-FC7A09C1EA9D}" filter="1" showAutoFilter="1">
      <autoFilter ref="$A$3:$U$1022"/>
    </customSheetView>
    <customSheetView guid="{06238DD9-E2A6-4514-B55E-646442B1B91A}" filter="1" showAutoFilter="1">
      <autoFilter ref="$A$1:$U$1022">
        <filterColumn colId="8">
          <filters>
            <filter val="⚪︎"/>
            <filter val="△"/>
            <filter val="必殺ワザでの使用"/>
          </filters>
        </filterColumn>
      </autoFilter>
    </customSheetView>
    <customSheetView guid="{BBA638FC-5580-46D7-AB90-42945F1E2513}" filter="1" showAutoFilter="1">
      <autoFilter ref="$A$3:$U$1022">
        <filterColumn colId="15">
          <filters blank="1">
            <filter val="¥660"/>
            <filter val="¥23,540"/>
            <filter val="¥2,420"/>
          </filters>
        </filterColumn>
        <filterColumn colId="17">
          <filters blank="1">
            <filter val="Audiostock"/>
          </filters>
        </filterColumn>
      </autoFilter>
    </customSheetView>
    <customSheetView guid="{E539C5E1-421E-4569-8AB3-01B2648E95CA}" filter="1" showAutoFilter="1">
      <autoFilter ref="$A$3:$U$1022">
        <filterColumn colId="17">
          <filters>
            <filter val="Audiostock"/>
          </filters>
        </filterColumn>
      </autoFilter>
    </customSheetView>
    <customSheetView guid="{3B966196-529F-4D69-A363-6A7F605D35F5}" filter="1" showAutoFilter="1">
      <autoFilter ref="$A$1:$U$1022">
        <filterColumn colId="1">
          <filters>
            <filter val="SSE_072_021"/>
            <filter val="SSE_072_023"/>
            <filter val="SSE_072_022"/>
            <filter val="SSE_072_025"/>
            <filter val="SSE_051_050"/>
            <filter val="SSE_051_042"/>
            <filter val="SSE_051_041"/>
            <filter val="SSE_051_046"/>
            <filter val="SSE_051_045"/>
            <filter val="SSE_051_047"/>
            <filter val="SSE_051_049"/>
            <filter val="SSE_072_018"/>
            <filter val="SSE_072_019"/>
            <filter val="SSE_072_010"/>
            <filter val="SSE_072_012"/>
            <filter val="SSE_072_014"/>
            <filter val="-"/>
            <filter val="SSE_051_040"/>
            <filter val="SSE_051_031"/>
            <filter val="SSE_051_030"/>
            <filter val="SSE_051_033"/>
            <filter val="SSE_051_032"/>
            <filter val="SSE_051_035"/>
            <filter val="SSE_051_034"/>
            <filter val="SSE_051_037"/>
            <filter val="SSE_051_036"/>
            <filter val="SSE_051_039"/>
            <filter val="SSE_051_038"/>
            <filter val="SSE_072_007"/>
            <filter val="SSE_072_006"/>
            <filter val="SSE_072_009"/>
            <filter val="SSE_072_008"/>
            <filter val="SSE_072_001"/>
            <filter val="SSE_072_002"/>
            <filter val="SSE_072_005"/>
            <filter val="SSE_072_004"/>
            <filter val="SSE_051_020"/>
            <filter val="SSE_051_022"/>
            <filter val="SSE_051_021"/>
            <filter val="SSE_051_024"/>
            <filter val="SSE_051_023"/>
            <filter val="SSE_051_026"/>
            <filter val="SSE_051_025"/>
            <filter val="SSE_051_028"/>
            <filter val="SSE_051_027"/>
            <filter val="SSE_051_029"/>
            <filter val="SSE_051_097"/>
            <filter val="SSE_051_096"/>
            <filter val="SSE_051_011"/>
            <filter val="SSE_051_010"/>
            <filter val="SSE_051_098"/>
            <filter val="SSE_051_013"/>
            <filter val="SSE_051_014"/>
            <filter val="SSE_051_017"/>
            <filter val="SSE_051_016"/>
            <filter val="SSE_051_019"/>
            <filter val="SSE_051_018"/>
            <filter val="SSE_053_015"/>
            <filter val="SSE_051_091"/>
            <filter val="SSE_053_012"/>
            <filter val="SSE_051_090"/>
            <filter val="SSE_051_093"/>
            <filter val="SSE_051_092"/>
            <filter val="SSE_051_095"/>
            <filter val="SSE_051_094"/>
            <filter val="SSE_051_086"/>
            <filter val="SSE_043_002"/>
            <filter val="SSE_051_085"/>
            <filter val="SSE_043_003"/>
            <filter val="SSE_051_088"/>
            <filter val="SSE_043_004"/>
            <filter val="SSE_051_087"/>
            <filter val="SSE_043_005"/>
            <filter val="SSE_051_002"/>
            <filter val="SSE_043_006"/>
            <filter val="SSE_051_001"/>
            <filter val="SSE_051_089"/>
            <filter val="SSE_043_007"/>
            <filter val="SSE_051_004"/>
            <filter val="SSE_043_008"/>
            <filter val="SSE_051_003"/>
            <filter val="SSE_043_009"/>
            <filter val="SSE_051_006"/>
            <filter val="SSE_051_005"/>
            <filter val="SSE_051_008"/>
            <filter val="SSE_051_007"/>
            <filter val="SSE_051_009"/>
            <filter val="SSE_043_001"/>
            <filter val="SSE_061_001"/>
            <filter val="SSE_051_080"/>
            <filter val="SSE_051_082"/>
            <filter val="SSE_051_084"/>
            <filter val="SSE_051_083"/>
            <filter val="SSE_000_015"/>
            <filter val="SSE_051_075"/>
            <filter val="SSE_051_074"/>
            <filter val="SSE_000_013"/>
            <filter val="SSE_051_077"/>
            <filter val="SSE_051_076"/>
            <filter val="SSE_051_079"/>
            <filter val="SSE_043_010"/>
            <filter val="SSE_051_070"/>
            <filter val="SSE_051_073"/>
            <filter val="SSE_051_072"/>
            <filter val="SSE_051_063"/>
            <filter val="SSE_051_066"/>
            <filter val="SSE_051_065"/>
            <filter val="SSE_051_068"/>
            <filter val="SSE_051_067"/>
            <filter val="SSE_072_039"/>
            <filter val="SSE_072_036"/>
            <filter val="SSE_051_060"/>
            <filter val="SSE_072_038"/>
            <filter val="SSE_072_037"/>
            <filter val="SSE_051_053"/>
            <filter val="SSE_051_055"/>
            <filter val="SSE_051_054"/>
            <filter val="SSE_051_056"/>
            <filter val="SSE_011_001"/>
            <filter val="SSE_051_058"/>
          </filters>
        </filterColumn>
      </autoFilter>
    </customSheetView>
    <customSheetView guid="{2FA1D751-4350-4209-A239-2E40F1829FEB}" filter="1" showAutoFilter="1">
      <autoFilter ref="$A$3:$U$1022">
        <filterColumn colId="17">
          <filters>
            <filter val="Audiostock"/>
          </filters>
        </filterColumn>
      </autoFilter>
    </customSheetView>
    <customSheetView guid="{B25E0895-8780-4624-8210-8C376A9425F0}" filter="1" showAutoFilter="1">
      <autoFilter ref="$A$1:$U$1028">
        <filterColumn colId="17">
          <filters blank="1">
            <filter val="発注"/>
            <filter val="Audiostock"/>
            <filter val="制作会社"/>
          </filters>
        </filterColumn>
      </autoFilter>
    </customSheetView>
    <customSheetView guid="{43EE5445-C926-4D77-A5ED-69B7B67F7636}" filter="1" showAutoFilter="1">
      <autoFilter ref="$A$3:$U$1022"/>
    </customSheetView>
    <customSheetView guid="{0B8EFB02-340F-44AC-962D-B56CAB32384D}" filter="1" showAutoFilter="1">
      <autoFilter ref="$A$82:$Q$88"/>
    </customSheetView>
    <customSheetView guid="{FEA1AA1D-3434-4597-81E8-13EA0E7AC240}" filter="1" showAutoFilter="1">
      <autoFilter ref="$A$3:$U$1022">
        <filterColumn colId="17">
          <filters>
            <filter val="Audiostock"/>
          </filters>
        </filterColumn>
      </autoFilter>
    </customSheetView>
    <customSheetView guid="{E8A2E8C6-B662-4B98-BAD5-AD8458DD4BD7}" filter="1" showAutoFilter="1">
      <autoFilter ref="$A$1:$U$1022"/>
    </customSheetView>
    <customSheetView guid="{B0EDF50A-98D4-473E-BAAD-E552B8D5AC8B}" filter="1" showAutoFilter="1">
      <autoFilter ref="$A$3:$U$1022"/>
    </customSheetView>
    <customSheetView guid="{11C095E5-912F-4832-888B-8C01FCE6B4AB}" filter="1" showAutoFilter="1">
      <autoFilter ref="$A$1:$U$1022"/>
    </customSheetView>
    <customSheetView guid="{E587C2F2-7FF1-43E4-863D-F52BAA87E613}" filter="1" showAutoFilter="1">
      <autoFilter ref="$A$1:$U$1028">
        <filterColumn colId="17">
          <filters>
            <filter val="Audiostock"/>
          </filters>
        </filterColumn>
      </autoFilter>
    </customSheetView>
    <customSheetView guid="{0A7843F1-E712-4F85-AD02-F03021C472DC}" filter="1" showAutoFilter="1">
      <autoFilter ref="$A$3:$U$1022">
        <filterColumn colId="17">
          <filters>
            <filter val="Audiostock"/>
          </filters>
        </filterColumn>
      </autoFilter>
    </customSheetView>
    <customSheetView guid="{7BCE61DF-4033-4BAF-818F-F594474C8926}" filter="1" showAutoFilter="1">
      <autoFilter ref="$A$3:$U$1022"/>
    </customSheetView>
    <customSheetView guid="{0F798636-F229-49B1-A4E8-1DCC3464C09D}" filter="1" showAutoFilter="1">
      <autoFilter ref="$A$1:$N$210">
        <filterColumn colId="8">
          <filters>
            <filter val="⚪︎"/>
            <filter val="△"/>
          </filters>
        </filterColumn>
      </autoFilter>
    </customSheetView>
  </customSheetViews>
  <mergeCells count="2">
    <mergeCell ref="D2:E2"/>
    <mergeCell ref="R2:S2"/>
  </mergeCells>
  <conditionalFormatting sqref="T4:T1028">
    <cfRule type="cellIs" dxfId="7" priority="1" operator="equal">
      <formula>"納品済み"</formula>
    </cfRule>
  </conditionalFormatting>
  <conditionalFormatting sqref="T4:T1028">
    <cfRule type="cellIs" dxfId="8" priority="2" operator="equal">
      <formula>"未発注"</formula>
    </cfRule>
  </conditionalFormatting>
  <conditionalFormatting sqref="B1:C1028">
    <cfRule type="expression" dxfId="9" priority="3">
      <formula>COUNTIF(#REF!,#REF!)&gt;1</formula>
    </cfRule>
  </conditionalFormatting>
  <conditionalFormatting sqref="A4:A1028">
    <cfRule type="cellIs" dxfId="10" priority="4" operator="notEqual">
      <formula>#REF!</formula>
    </cfRule>
  </conditionalFormatting>
  <conditionalFormatting sqref="T4:T1028">
    <cfRule type="cellIs" dxfId="11" priority="5" operator="equal">
      <formula>"発注取り消し"</formula>
    </cfRule>
  </conditionalFormatting>
  <conditionalFormatting sqref="P4:U1021">
    <cfRule type="expression" dxfId="12" priority="6">
      <formula>OR($H4="DELIGHT流用",$H4="YDS流用",$H4="GLOW流用",$H4="流用（音源違い）")</formula>
    </cfRule>
  </conditionalFormatting>
  <conditionalFormatting sqref="H4:H1021">
    <cfRule type="cellIs" dxfId="13" priority="7" operator="equal">
      <formula>"新規"</formula>
    </cfRule>
  </conditionalFormatting>
  <conditionalFormatting sqref="L4:L1021">
    <cfRule type="cellIs" dxfId="14" priority="8" operator="equal">
      <formula>"承認"</formula>
    </cfRule>
  </conditionalFormatting>
  <conditionalFormatting sqref="L4:L1021">
    <cfRule type="cellIs" dxfId="15" priority="9" operator="equal">
      <formula>"再承認"</formula>
    </cfRule>
  </conditionalFormatting>
  <conditionalFormatting sqref="L4:L1021">
    <cfRule type="cellIs" dxfId="16" priority="10" operator="equal">
      <formula>"未承認"</formula>
    </cfRule>
  </conditionalFormatting>
  <dataValidations>
    <dataValidation type="list" allowBlank="1" showErrorMessage="1" sqref="E4:F1021">
      <formula1>'プルダウンメニュー (SE用)'!$E$2:$E1028</formula1>
    </dataValidation>
    <dataValidation type="list" allowBlank="1" showErrorMessage="1" sqref="L4:L1021">
      <formula1>'プルダウンメニュー (SE用)'!$G$2:$G1028</formula1>
    </dataValidation>
    <dataValidation type="list" allowBlank="1" showErrorMessage="1" sqref="D4:D1021">
      <formula1>'プルダウンメニュー (SE用)'!$D$2:$D1028</formula1>
    </dataValidation>
    <dataValidation type="list" allowBlank="1" showErrorMessage="1" sqref="H4:H1021">
      <formula1>"新規,DELIGHT流用,YDS流用,GLOW流用,流用（音源違い）"</formula1>
    </dataValidation>
    <dataValidation type="list" allowBlank="1" sqref="T4:T1028">
      <formula1>'プルダウンメニュー (SE用)'!$A$2:$A1028</formula1>
    </dataValidation>
    <dataValidation type="list" allowBlank="1" showErrorMessage="1" sqref="I4:I1021">
      <formula1>"⚪︎,×,△"</formula1>
    </dataValidation>
  </dataValidations>
  <hyperlinks>
    <hyperlink r:id="rId2" location="gid=0" ref="G1"/>
    <hyperlink r:id="rId3" ref="J4"/>
    <hyperlink r:id="rId4" ref="J5"/>
    <hyperlink r:id="rId5" ref="J6"/>
    <hyperlink r:id="rId6" ref="J8"/>
    <hyperlink r:id="rId7" ref="J9"/>
    <hyperlink r:id="rId8" ref="J10"/>
    <hyperlink r:id="rId9" ref="J11"/>
    <hyperlink r:id="rId10" ref="J12"/>
    <hyperlink r:id="rId11" ref="J13"/>
    <hyperlink r:id="rId12" ref="J14"/>
    <hyperlink r:id="rId13" ref="J15"/>
    <hyperlink r:id="rId14" ref="J16"/>
    <hyperlink r:id="rId15" ref="J18"/>
    <hyperlink r:id="rId16" ref="J19"/>
    <hyperlink r:id="rId17" ref="J20"/>
    <hyperlink r:id="rId18" ref="J21"/>
    <hyperlink r:id="rId19" ref="J22"/>
    <hyperlink r:id="rId20" ref="J23"/>
    <hyperlink r:id="rId21" ref="J25"/>
    <hyperlink r:id="rId22" ref="J26"/>
    <hyperlink r:id="rId23" ref="J27"/>
    <hyperlink r:id="rId24" ref="J28"/>
    <hyperlink r:id="rId25" ref="J29"/>
    <hyperlink r:id="rId26" ref="J30"/>
    <hyperlink r:id="rId27" ref="J31"/>
    <hyperlink r:id="rId28" ref="J32"/>
    <hyperlink r:id="rId29" ref="J33"/>
    <hyperlink r:id="rId30" ref="J34"/>
    <hyperlink r:id="rId31" ref="J35"/>
    <hyperlink r:id="rId32" ref="J36"/>
    <hyperlink r:id="rId33" ref="J37"/>
    <hyperlink r:id="rId34" ref="J38"/>
    <hyperlink r:id="rId35" ref="J39"/>
    <hyperlink r:id="rId36" ref="J40"/>
    <hyperlink r:id="rId37" ref="J41"/>
    <hyperlink r:id="rId38" ref="J42"/>
    <hyperlink r:id="rId39" ref="J44"/>
    <hyperlink r:id="rId40" ref="J45"/>
    <hyperlink r:id="rId41" ref="J46"/>
    <hyperlink r:id="rId42" ref="J48"/>
    <hyperlink r:id="rId43" ref="J49"/>
    <hyperlink r:id="rId44" ref="J50"/>
    <hyperlink r:id="rId45" ref="J51"/>
    <hyperlink r:id="rId46" ref="J52"/>
    <hyperlink r:id="rId47" ref="J53"/>
    <hyperlink r:id="rId48" ref="J54"/>
    <hyperlink r:id="rId49" ref="J55"/>
    <hyperlink r:id="rId50" ref="J56"/>
    <hyperlink r:id="rId51" ref="J57"/>
    <hyperlink r:id="rId52" ref="J58"/>
    <hyperlink r:id="rId53" ref="J59"/>
    <hyperlink r:id="rId54" ref="J60"/>
    <hyperlink r:id="rId55" ref="J61"/>
    <hyperlink r:id="rId56" ref="J62"/>
    <hyperlink r:id="rId57" ref="J63"/>
    <hyperlink r:id="rId58" ref="J64"/>
    <hyperlink r:id="rId59" ref="J65"/>
    <hyperlink r:id="rId60" ref="J66"/>
    <hyperlink r:id="rId61" ref="J67"/>
    <hyperlink r:id="rId62" ref="J68"/>
    <hyperlink r:id="rId63" ref="J72"/>
    <hyperlink r:id="rId64" ref="J75"/>
    <hyperlink r:id="rId65" ref="J76"/>
    <hyperlink r:id="rId66" ref="J80"/>
    <hyperlink r:id="rId67" ref="J81"/>
    <hyperlink r:id="rId68" ref="J83"/>
    <hyperlink r:id="rId69" ref="J84"/>
    <hyperlink r:id="rId70" ref="J85"/>
    <hyperlink r:id="rId71" ref="J86"/>
    <hyperlink r:id="rId72" ref="J87"/>
    <hyperlink r:id="rId73" ref="J88"/>
    <hyperlink r:id="rId74" ref="J89"/>
    <hyperlink r:id="rId75" ref="J90"/>
    <hyperlink r:id="rId76" ref="J91"/>
    <hyperlink r:id="rId77" ref="J92"/>
    <hyperlink r:id="rId78" ref="J93"/>
    <hyperlink r:id="rId79" ref="J94"/>
    <hyperlink r:id="rId80" ref="J95"/>
    <hyperlink r:id="rId81" ref="J97"/>
    <hyperlink r:id="rId82" ref="J98"/>
    <hyperlink r:id="rId83" ref="J99"/>
    <hyperlink r:id="rId84" ref="J100"/>
    <hyperlink r:id="rId85" ref="J101"/>
    <hyperlink r:id="rId86" ref="J102"/>
    <hyperlink r:id="rId87" ref="J103"/>
    <hyperlink r:id="rId88" ref="J104"/>
    <hyperlink r:id="rId89" ref="J105"/>
    <hyperlink r:id="rId90" ref="J107"/>
    <hyperlink r:id="rId91" ref="J109"/>
    <hyperlink r:id="rId92" ref="J115"/>
    <hyperlink r:id="rId93" ref="J116"/>
    <hyperlink r:id="rId94" ref="J117"/>
    <hyperlink r:id="rId95" ref="J118"/>
    <hyperlink r:id="rId96" ref="J119"/>
    <hyperlink r:id="rId97" ref="J120"/>
    <hyperlink r:id="rId98" ref="J121"/>
    <hyperlink r:id="rId99" ref="J122"/>
    <hyperlink r:id="rId100" ref="J123"/>
    <hyperlink r:id="rId101" ref="J124"/>
    <hyperlink r:id="rId102" ref="J125"/>
    <hyperlink r:id="rId103" ref="J127"/>
    <hyperlink r:id="rId104" ref="J128"/>
    <hyperlink r:id="rId105" ref="J131"/>
    <hyperlink r:id="rId106" ref="J132"/>
    <hyperlink r:id="rId107" ref="J133"/>
    <hyperlink r:id="rId108" ref="J134"/>
    <hyperlink r:id="rId109" ref="J135"/>
    <hyperlink r:id="rId110" ref="J137"/>
    <hyperlink r:id="rId111" ref="J139"/>
    <hyperlink r:id="rId112" ref="J140"/>
    <hyperlink r:id="rId113" ref="J141"/>
    <hyperlink r:id="rId114" ref="J142"/>
    <hyperlink r:id="rId115" ref="J143"/>
    <hyperlink r:id="rId116" ref="J144"/>
    <hyperlink r:id="rId117" ref="J145"/>
    <hyperlink r:id="rId118" ref="J146"/>
    <hyperlink r:id="rId119" ref="J147"/>
    <hyperlink r:id="rId120" ref="J148"/>
    <hyperlink r:id="rId121" ref="J149"/>
    <hyperlink r:id="rId122" ref="J150"/>
    <hyperlink r:id="rId123" ref="J151"/>
    <hyperlink r:id="rId124" ref="J152"/>
    <hyperlink r:id="rId125" ref="J153"/>
    <hyperlink r:id="rId126" ref="J154"/>
    <hyperlink r:id="rId127" ref="J155"/>
    <hyperlink r:id="rId128" ref="J156"/>
    <hyperlink r:id="rId129" ref="J157"/>
    <hyperlink r:id="rId130" ref="J158"/>
    <hyperlink r:id="rId131" ref="J159"/>
    <hyperlink r:id="rId132" ref="J160"/>
    <hyperlink r:id="rId133" ref="J161"/>
    <hyperlink r:id="rId134" ref="J162"/>
    <hyperlink r:id="rId135" ref="J163"/>
    <hyperlink r:id="rId136" ref="J164"/>
    <hyperlink r:id="rId137" ref="J165"/>
    <hyperlink r:id="rId138" ref="J166"/>
    <hyperlink r:id="rId139" ref="J168"/>
    <hyperlink r:id="rId140" ref="J170"/>
    <hyperlink r:id="rId141" ref="J171"/>
    <hyperlink r:id="rId142" ref="J172"/>
    <hyperlink r:id="rId143" ref="J173"/>
    <hyperlink r:id="rId144" ref="J174"/>
    <hyperlink r:id="rId145" ref="J175"/>
    <hyperlink r:id="rId146" ref="J177"/>
    <hyperlink r:id="rId147" ref="J178"/>
    <hyperlink r:id="rId148" ref="J183"/>
    <hyperlink r:id="rId149" ref="J184"/>
    <hyperlink r:id="rId150" ref="J185"/>
    <hyperlink r:id="rId151" ref="J186"/>
    <hyperlink r:id="rId152" ref="J187"/>
    <hyperlink r:id="rId153" ref="J188"/>
    <hyperlink r:id="rId154" ref="J189"/>
    <hyperlink r:id="rId155" ref="J190"/>
    <hyperlink r:id="rId156" ref="J191"/>
    <hyperlink r:id="rId157" ref="J192"/>
    <hyperlink r:id="rId158" ref="J193"/>
    <hyperlink r:id="rId159" ref="J194"/>
    <hyperlink r:id="rId160" ref="J195"/>
    <hyperlink r:id="rId161" ref="J196"/>
    <hyperlink r:id="rId162" ref="J197"/>
    <hyperlink r:id="rId163" ref="J198"/>
    <hyperlink r:id="rId164" ref="J199"/>
    <hyperlink r:id="rId165" ref="J200"/>
    <hyperlink r:id="rId166" ref="J201"/>
    <hyperlink r:id="rId167" ref="J202"/>
    <hyperlink r:id="rId168" ref="J203"/>
    <hyperlink r:id="rId169" ref="J204"/>
    <hyperlink r:id="rId170" ref="J205"/>
    <hyperlink r:id="rId171" ref="J206"/>
    <hyperlink r:id="rId172" ref="J207"/>
    <hyperlink r:id="rId173" ref="J208"/>
    <hyperlink r:id="rId174" ref="J209"/>
  </hyperlinks>
  <printOptions gridLines="1" horizontalCentered="1"/>
  <pageMargins bottom="0.75" footer="0.0" header="0.0" left="0.7" right="0.7" top="0.75"/>
  <pageSetup fitToHeight="0" paperSize="9" cellComments="atEnd" orientation="landscape" pageOrder="overThenDown"/>
  <drawing r:id="rId175"/>
  <legacyDrawing r:id="rId176"/>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0"/>
  </cols>
  <sheetData>
    <row r="1">
      <c r="A1" s="531" t="s">
        <v>4304</v>
      </c>
      <c r="B1" s="531" t="s">
        <v>4305</v>
      </c>
      <c r="C1" s="531" t="s">
        <v>3827</v>
      </c>
      <c r="D1" s="531" t="s">
        <v>2938</v>
      </c>
      <c r="E1" s="531" t="s">
        <v>3794</v>
      </c>
      <c r="F1" s="531" t="s">
        <v>4306</v>
      </c>
      <c r="G1" s="531" t="s">
        <v>3835</v>
      </c>
      <c r="H1" s="1148" t="s">
        <v>4307</v>
      </c>
    </row>
    <row r="2">
      <c r="A2" s="531" t="s">
        <v>4308</v>
      </c>
      <c r="B2" s="531" t="s">
        <v>4308</v>
      </c>
      <c r="C2" s="531" t="s">
        <v>4309</v>
      </c>
      <c r="D2" s="531" t="s">
        <v>2788</v>
      </c>
      <c r="E2" s="531" t="s">
        <v>2788</v>
      </c>
      <c r="F2" s="1149">
        <v>0.0</v>
      </c>
      <c r="G2" s="531" t="s">
        <v>4110</v>
      </c>
    </row>
    <row r="3">
      <c r="A3" s="531" t="s">
        <v>4310</v>
      </c>
      <c r="B3" s="531" t="s">
        <v>4310</v>
      </c>
      <c r="C3" s="531" t="s">
        <v>4311</v>
      </c>
      <c r="D3" s="531" t="s">
        <v>4202</v>
      </c>
      <c r="E3" s="531" t="s">
        <v>4021</v>
      </c>
      <c r="F3" s="1149">
        <v>11.0</v>
      </c>
      <c r="G3" s="531" t="s">
        <v>3934</v>
      </c>
    </row>
    <row r="4">
      <c r="A4" s="531" t="s">
        <v>4312</v>
      </c>
      <c r="B4" s="531" t="s">
        <v>4312</v>
      </c>
      <c r="C4" s="531" t="s">
        <v>4313</v>
      </c>
      <c r="D4" s="531" t="s">
        <v>4314</v>
      </c>
      <c r="E4" s="531" t="s">
        <v>3868</v>
      </c>
      <c r="F4" s="1149">
        <v>12.0</v>
      </c>
      <c r="G4" s="531" t="s">
        <v>3846</v>
      </c>
    </row>
    <row r="5">
      <c r="A5" s="531" t="s">
        <v>4315</v>
      </c>
      <c r="B5" s="531" t="s">
        <v>4316</v>
      </c>
      <c r="C5" s="531" t="s">
        <v>4317</v>
      </c>
      <c r="D5" s="531" t="s">
        <v>3887</v>
      </c>
      <c r="E5" s="531" t="s">
        <v>4044</v>
      </c>
      <c r="F5" s="1149">
        <v>21.0</v>
      </c>
    </row>
    <row r="6">
      <c r="A6" s="531" t="s">
        <v>4316</v>
      </c>
      <c r="B6" s="531" t="s">
        <v>4318</v>
      </c>
      <c r="C6" s="531" t="s">
        <v>4319</v>
      </c>
      <c r="D6" s="531" t="s">
        <v>3887</v>
      </c>
      <c r="E6" s="531" t="s">
        <v>3948</v>
      </c>
      <c r="F6" s="1149">
        <v>31.0</v>
      </c>
    </row>
    <row r="7">
      <c r="A7" s="531" t="s">
        <v>3848</v>
      </c>
      <c r="B7" s="531" t="s">
        <v>64</v>
      </c>
      <c r="E7" s="531" t="s">
        <v>37</v>
      </c>
      <c r="F7" s="1149">
        <v>32.0</v>
      </c>
    </row>
    <row r="8">
      <c r="A8" s="531" t="s">
        <v>4318</v>
      </c>
      <c r="E8" s="531" t="s">
        <v>4320</v>
      </c>
      <c r="F8" s="1149">
        <v>41.0</v>
      </c>
    </row>
    <row r="9">
      <c r="E9" s="531" t="s">
        <v>522</v>
      </c>
      <c r="F9" s="1149">
        <v>42.0</v>
      </c>
    </row>
    <row r="10">
      <c r="E10" s="531" t="s">
        <v>3363</v>
      </c>
      <c r="F10" s="1149">
        <v>43.0</v>
      </c>
    </row>
    <row r="11">
      <c r="E11" s="531" t="s">
        <v>2454</v>
      </c>
      <c r="F11" s="1149">
        <v>44.0</v>
      </c>
    </row>
    <row r="12">
      <c r="E12" s="531" t="s">
        <v>2732</v>
      </c>
      <c r="F12" s="1149">
        <v>45.0</v>
      </c>
    </row>
    <row r="13">
      <c r="E13" s="531" t="s">
        <v>3179</v>
      </c>
      <c r="F13" s="1149">
        <v>50.0</v>
      </c>
    </row>
    <row r="14">
      <c r="E14" s="531" t="s">
        <v>3888</v>
      </c>
      <c r="F14" s="1149">
        <v>51.0</v>
      </c>
    </row>
    <row r="15">
      <c r="E15" s="531" t="s">
        <v>3875</v>
      </c>
      <c r="F15" s="1149">
        <v>53.0</v>
      </c>
    </row>
    <row r="16">
      <c r="E16" s="531" t="s">
        <v>3943</v>
      </c>
      <c r="F16" s="1149">
        <v>61.0</v>
      </c>
    </row>
    <row r="17">
      <c r="E17" s="531" t="s">
        <v>4321</v>
      </c>
      <c r="F17" s="1149">
        <v>71.0</v>
      </c>
    </row>
    <row r="18">
      <c r="E18" s="531" t="s">
        <v>4047</v>
      </c>
      <c r="F18" s="1149">
        <v>72.0</v>
      </c>
    </row>
    <row r="19">
      <c r="E19" s="531" t="s">
        <v>4322</v>
      </c>
      <c r="F19" s="1149">
        <v>73.0</v>
      </c>
    </row>
    <row r="20">
      <c r="E20" s="531" t="s">
        <v>4323</v>
      </c>
      <c r="F20" s="1149">
        <v>74.0</v>
      </c>
    </row>
    <row r="21">
      <c r="E21" s="531" t="s">
        <v>3964</v>
      </c>
      <c r="F21" s="1149">
        <v>81.0</v>
      </c>
    </row>
    <row r="22">
      <c r="E22" s="531" t="s">
        <v>20</v>
      </c>
      <c r="F22" s="1149">
        <v>91.0</v>
      </c>
    </row>
    <row r="23">
      <c r="E23" s="531" t="s">
        <v>4324</v>
      </c>
      <c r="F23" s="1149">
        <v>111.0</v>
      </c>
    </row>
    <row r="24">
      <c r="E24" s="531" t="s">
        <v>4325</v>
      </c>
      <c r="F24" s="1149">
        <v>121.0</v>
      </c>
    </row>
    <row r="25">
      <c r="E25" s="531" t="s">
        <v>4326</v>
      </c>
      <c r="F25" s="1149">
        <v>122.0</v>
      </c>
    </row>
    <row r="26">
      <c r="E26" s="531" t="s">
        <v>4327</v>
      </c>
      <c r="F26" s="1149">
        <v>131.0</v>
      </c>
    </row>
    <row r="27">
      <c r="E27" s="531" t="s">
        <v>4328</v>
      </c>
      <c r="F27" s="1149">
        <v>200.0</v>
      </c>
    </row>
    <row r="28">
      <c r="E28" s="531" t="s">
        <v>4329</v>
      </c>
      <c r="F28" s="1149">
        <v>800.0</v>
      </c>
    </row>
    <row r="29">
      <c r="E29" s="531" t="s">
        <v>2654</v>
      </c>
      <c r="F29" s="1149">
        <v>900.0</v>
      </c>
    </row>
    <row r="30">
      <c r="E30" s="531" t="s">
        <v>4330</v>
      </c>
      <c r="F30" s="1149">
        <v>994.0</v>
      </c>
    </row>
    <row r="31">
      <c r="E31" s="531" t="s">
        <v>4331</v>
      </c>
      <c r="F31" s="1149">
        <v>996.0</v>
      </c>
    </row>
    <row r="32">
      <c r="E32" s="531" t="s">
        <v>4332</v>
      </c>
      <c r="F32" s="1149">
        <v>997.0</v>
      </c>
    </row>
    <row r="33">
      <c r="E33" s="531" t="s">
        <v>4333</v>
      </c>
      <c r="F33" s="1149">
        <v>998.0</v>
      </c>
    </row>
    <row r="34">
      <c r="E34" s="531" t="s">
        <v>4334</v>
      </c>
      <c r="F34" s="1149">
        <v>999.0</v>
      </c>
    </row>
  </sheetData>
  <hyperlinks>
    <hyperlink r:id="rId1" ref="H1"/>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0"/>
    <col customWidth="1" min="3" max="3" width="24.88"/>
    <col customWidth="1" min="4" max="4" width="28.38"/>
    <col customWidth="1" min="5" max="5" width="25.38"/>
    <col customWidth="1" min="6" max="6" width="27.88"/>
    <col customWidth="1" min="7" max="7" width="29.5"/>
    <col customWidth="1" min="8" max="8" width="15.25"/>
    <col customWidth="1" min="9" max="9" width="17.5"/>
    <col customWidth="1" min="13" max="13" width="16.13"/>
    <col customWidth="1" min="14" max="14" width="17.0"/>
  </cols>
  <sheetData>
    <row r="1" ht="15.0" customHeight="1">
      <c r="A1" s="37" t="s">
        <v>290</v>
      </c>
      <c r="B1" s="38" t="s">
        <v>43</v>
      </c>
      <c r="C1" s="39" t="s">
        <v>4335</v>
      </c>
      <c r="D1" s="39" t="s">
        <v>4336</v>
      </c>
      <c r="E1" s="39" t="s">
        <v>4337</v>
      </c>
      <c r="F1" s="39" t="s">
        <v>4338</v>
      </c>
      <c r="G1" s="39" t="s">
        <v>4339</v>
      </c>
      <c r="H1" s="40" t="s">
        <v>292</v>
      </c>
      <c r="I1" s="41" t="s">
        <v>293</v>
      </c>
      <c r="J1" s="300" t="s">
        <v>422</v>
      </c>
      <c r="K1" s="301" t="s">
        <v>956</v>
      </c>
      <c r="L1" s="38" t="s">
        <v>957</v>
      </c>
      <c r="M1" s="42" t="s">
        <v>294</v>
      </c>
      <c r="N1" s="43" t="s">
        <v>295</v>
      </c>
      <c r="O1" s="43" t="s">
        <v>58</v>
      </c>
      <c r="P1" s="38" t="s">
        <v>296</v>
      </c>
    </row>
    <row r="2">
      <c r="A2" s="44" t="s">
        <v>60</v>
      </c>
      <c r="B2" s="45" t="s">
        <v>62</v>
      </c>
      <c r="C2" s="46" t="s">
        <v>4340</v>
      </c>
      <c r="D2" s="51" t="str">
        <f t="shared" ref="D2:D71" si="1">"red_"&amp;$C2</f>
        <v>red_enemy_icon_chara_spy_00001</v>
      </c>
      <c r="E2" s="51" t="str">
        <f t="shared" ref="E2:E71" si="2">"blue_"&amp;$C2</f>
        <v>blue_enemy_icon_chara_spy_00001</v>
      </c>
      <c r="F2" s="51" t="str">
        <f t="shared" ref="F2:F71" si="3">"green_"&amp;$C2</f>
        <v>green_enemy_icon_chara_spy_00001</v>
      </c>
      <c r="G2" s="51" t="str">
        <f t="shared" ref="G2:G71" si="4">"yellow_"&amp;$C2</f>
        <v>yellow_enemy_icon_chara_spy_00001</v>
      </c>
      <c r="H2" s="47" t="s">
        <v>298</v>
      </c>
      <c r="I2" s="48"/>
      <c r="J2" s="45" t="s">
        <v>569</v>
      </c>
      <c r="K2" s="55" t="s">
        <v>1888</v>
      </c>
      <c r="L2" s="59" t="s">
        <v>1072</v>
      </c>
      <c r="M2" s="49">
        <v>45658.0</v>
      </c>
      <c r="N2" s="50">
        <v>390812.49998842593</v>
      </c>
      <c r="O2" s="51"/>
      <c r="P2" s="45"/>
    </row>
    <row r="3">
      <c r="A3" s="44" t="s">
        <v>60</v>
      </c>
      <c r="B3" s="45" t="s">
        <v>62</v>
      </c>
      <c r="C3" s="46" t="s">
        <v>1889</v>
      </c>
      <c r="D3" s="51" t="str">
        <f t="shared" si="1"/>
        <v>red_enemy_icon_chara_spy_00002</v>
      </c>
      <c r="E3" s="51" t="str">
        <f t="shared" si="2"/>
        <v>blue_enemy_icon_chara_spy_00002</v>
      </c>
      <c r="F3" s="51" t="str">
        <f t="shared" si="3"/>
        <v>green_enemy_icon_chara_spy_00002</v>
      </c>
      <c r="G3" s="51" t="str">
        <f t="shared" si="4"/>
        <v>yellow_enemy_icon_chara_spy_00002</v>
      </c>
      <c r="H3" s="47" t="s">
        <v>300</v>
      </c>
      <c r="I3" s="48"/>
      <c r="J3" s="45" t="s">
        <v>993</v>
      </c>
      <c r="K3" s="55" t="s">
        <v>1888</v>
      </c>
      <c r="L3" s="59" t="s">
        <v>1072</v>
      </c>
      <c r="M3" s="49">
        <v>45658.0</v>
      </c>
      <c r="N3" s="50">
        <v>390812.49998842593</v>
      </c>
      <c r="O3" s="51"/>
      <c r="P3" s="45"/>
    </row>
    <row r="4">
      <c r="A4" s="44" t="s">
        <v>60</v>
      </c>
      <c r="B4" s="45" t="s">
        <v>62</v>
      </c>
      <c r="C4" s="46" t="s">
        <v>1891</v>
      </c>
      <c r="D4" s="51" t="str">
        <f t="shared" si="1"/>
        <v>red_enemy_icon_chara_spy_00101</v>
      </c>
      <c r="E4" s="51" t="str">
        <f t="shared" si="2"/>
        <v>blue_enemy_icon_chara_spy_00101</v>
      </c>
      <c r="F4" s="51" t="str">
        <f t="shared" si="3"/>
        <v>green_enemy_icon_chara_spy_00101</v>
      </c>
      <c r="G4" s="51" t="str">
        <f t="shared" si="4"/>
        <v>yellow_enemy_icon_chara_spy_00101</v>
      </c>
      <c r="H4" s="47" t="s">
        <v>302</v>
      </c>
      <c r="I4" s="52"/>
      <c r="J4" s="45" t="s">
        <v>1028</v>
      </c>
      <c r="K4" s="55" t="s">
        <v>1888</v>
      </c>
      <c r="L4" s="59" t="s">
        <v>1005</v>
      </c>
      <c r="M4" s="49">
        <v>45658.0</v>
      </c>
      <c r="N4" s="50">
        <v>390812.49998842593</v>
      </c>
      <c r="O4" s="51"/>
      <c r="P4" s="45"/>
    </row>
    <row r="5">
      <c r="A5" s="44" t="s">
        <v>60</v>
      </c>
      <c r="B5" s="45" t="s">
        <v>62</v>
      </c>
      <c r="C5" s="46" t="s">
        <v>1893</v>
      </c>
      <c r="D5" s="51" t="str">
        <f t="shared" si="1"/>
        <v>red_enemy_icon_chara_spy_00201</v>
      </c>
      <c r="E5" s="51" t="str">
        <f t="shared" si="2"/>
        <v>blue_enemy_icon_chara_spy_00201</v>
      </c>
      <c r="F5" s="51" t="str">
        <f t="shared" si="3"/>
        <v>green_enemy_icon_chara_spy_00201</v>
      </c>
      <c r="G5" s="51" t="str">
        <f t="shared" si="4"/>
        <v>yellow_enemy_icon_chara_spy_00201</v>
      </c>
      <c r="H5" s="47" t="s">
        <v>304</v>
      </c>
      <c r="I5" s="52"/>
      <c r="J5" s="45" t="s">
        <v>1028</v>
      </c>
      <c r="K5" s="55" t="s">
        <v>1888</v>
      </c>
      <c r="L5" s="59" t="s">
        <v>1005</v>
      </c>
      <c r="M5" s="49">
        <v>45658.0</v>
      </c>
      <c r="N5" s="50">
        <v>390812.49998842593</v>
      </c>
      <c r="O5" s="51"/>
      <c r="P5" s="45"/>
    </row>
    <row r="6">
      <c r="A6" s="44" t="s">
        <v>60</v>
      </c>
      <c r="B6" s="45" t="s">
        <v>62</v>
      </c>
      <c r="C6" s="46" t="s">
        <v>1895</v>
      </c>
      <c r="D6" s="51" t="str">
        <f t="shared" si="1"/>
        <v>red_enemy_icon_chara_spy_00301</v>
      </c>
      <c r="E6" s="51" t="str">
        <f t="shared" si="2"/>
        <v>blue_enemy_icon_chara_spy_00301</v>
      </c>
      <c r="F6" s="51" t="str">
        <f t="shared" si="3"/>
        <v>green_enemy_icon_chara_spy_00301</v>
      </c>
      <c r="G6" s="51" t="str">
        <f t="shared" si="4"/>
        <v>yellow_enemy_icon_chara_spy_00301</v>
      </c>
      <c r="H6" s="47" t="s">
        <v>306</v>
      </c>
      <c r="I6" s="52"/>
      <c r="J6" s="45" t="s">
        <v>1057</v>
      </c>
      <c r="K6" s="55" t="s">
        <v>1888</v>
      </c>
      <c r="L6" s="59" t="s">
        <v>1005</v>
      </c>
      <c r="M6" s="49">
        <v>45658.0</v>
      </c>
      <c r="N6" s="50">
        <v>390812.49998842593</v>
      </c>
      <c r="O6" s="51"/>
      <c r="P6" s="45"/>
    </row>
    <row r="7">
      <c r="A7" s="44" t="s">
        <v>60</v>
      </c>
      <c r="B7" s="45" t="s">
        <v>62</v>
      </c>
      <c r="C7" s="46" t="s">
        <v>1897</v>
      </c>
      <c r="D7" s="51" t="str">
        <f t="shared" si="1"/>
        <v>red_enemy_icon_chara_spy_00401</v>
      </c>
      <c r="E7" s="51" t="str">
        <f t="shared" si="2"/>
        <v>blue_enemy_icon_chara_spy_00401</v>
      </c>
      <c r="F7" s="51" t="str">
        <f t="shared" si="3"/>
        <v>green_enemy_icon_chara_spy_00401</v>
      </c>
      <c r="G7" s="51" t="str">
        <f t="shared" si="4"/>
        <v>yellow_enemy_icon_chara_spy_00401</v>
      </c>
      <c r="H7" s="47" t="s">
        <v>308</v>
      </c>
      <c r="I7" s="52"/>
      <c r="J7" s="45" t="s">
        <v>569</v>
      </c>
      <c r="K7" s="55" t="s">
        <v>1888</v>
      </c>
      <c r="L7" s="59" t="s">
        <v>1037</v>
      </c>
      <c r="M7" s="49">
        <v>45658.0</v>
      </c>
      <c r="N7" s="50">
        <v>390812.49998842593</v>
      </c>
      <c r="O7" s="51"/>
      <c r="P7" s="45"/>
    </row>
    <row r="8">
      <c r="A8" s="44" t="s">
        <v>60</v>
      </c>
      <c r="B8" s="53" t="s">
        <v>62</v>
      </c>
      <c r="C8" s="46" t="s">
        <v>1899</v>
      </c>
      <c r="D8" s="51" t="str">
        <f t="shared" si="1"/>
        <v>red_enemy_icon_enemy_spy_00001</v>
      </c>
      <c r="E8" s="51" t="str">
        <f t="shared" si="2"/>
        <v>blue_enemy_icon_enemy_spy_00001</v>
      </c>
      <c r="F8" s="51" t="str">
        <f t="shared" si="3"/>
        <v>green_enemy_icon_enemy_spy_00001</v>
      </c>
      <c r="G8" s="51" t="str">
        <f t="shared" si="4"/>
        <v>yellow_enemy_icon_enemy_spy_00001</v>
      </c>
      <c r="H8" s="47" t="s">
        <v>1901</v>
      </c>
      <c r="I8" s="52"/>
      <c r="J8" s="52"/>
      <c r="K8" s="89" t="s">
        <v>1902</v>
      </c>
      <c r="L8" s="59" t="s">
        <v>1005</v>
      </c>
      <c r="M8" s="49">
        <v>45658.0</v>
      </c>
      <c r="N8" s="50">
        <v>390812.49998842593</v>
      </c>
      <c r="O8" s="54"/>
      <c r="P8" s="45"/>
    </row>
    <row r="9">
      <c r="A9" s="44" t="s">
        <v>60</v>
      </c>
      <c r="B9" s="53" t="s">
        <v>62</v>
      </c>
      <c r="C9" s="46" t="s">
        <v>1903</v>
      </c>
      <c r="D9" s="51" t="str">
        <f t="shared" si="1"/>
        <v>red_enemy_icon_enemy_spy_00002</v>
      </c>
      <c r="E9" s="51" t="str">
        <f t="shared" si="2"/>
        <v>blue_enemy_icon_enemy_spy_00002</v>
      </c>
      <c r="F9" s="51" t="str">
        <f t="shared" si="3"/>
        <v>green_enemy_icon_enemy_spy_00002</v>
      </c>
      <c r="G9" s="51" t="str">
        <f t="shared" si="4"/>
        <v>yellow_enemy_icon_enemy_spy_00002</v>
      </c>
      <c r="H9" s="47" t="s">
        <v>1905</v>
      </c>
      <c r="I9" s="52"/>
      <c r="J9" s="52"/>
      <c r="K9" s="89" t="s">
        <v>1902</v>
      </c>
      <c r="L9" s="59" t="s">
        <v>1037</v>
      </c>
      <c r="M9" s="49">
        <v>45658.0</v>
      </c>
      <c r="N9" s="50">
        <v>390812.49998842593</v>
      </c>
      <c r="O9" s="54"/>
      <c r="P9" s="45"/>
    </row>
    <row r="10">
      <c r="A10" s="44" t="s">
        <v>60</v>
      </c>
      <c r="B10" s="53" t="s">
        <v>62</v>
      </c>
      <c r="C10" s="46" t="s">
        <v>1906</v>
      </c>
      <c r="D10" s="51" t="str">
        <f t="shared" si="1"/>
        <v>red_enemy_icon_enemy_spy_00003</v>
      </c>
      <c r="E10" s="51" t="str">
        <f t="shared" si="2"/>
        <v>blue_enemy_icon_enemy_spy_00003</v>
      </c>
      <c r="F10" s="51" t="str">
        <f t="shared" si="3"/>
        <v>green_enemy_icon_enemy_spy_00003</v>
      </c>
      <c r="G10" s="51" t="str">
        <f t="shared" si="4"/>
        <v>yellow_enemy_icon_enemy_spy_00003</v>
      </c>
      <c r="H10" s="47" t="s">
        <v>1908</v>
      </c>
      <c r="I10" s="52"/>
      <c r="J10" s="52"/>
      <c r="K10" s="89" t="s">
        <v>1902</v>
      </c>
      <c r="L10" s="59" t="s">
        <v>1005</v>
      </c>
      <c r="M10" s="49">
        <v>45658.0</v>
      </c>
      <c r="N10" s="50">
        <v>390812.49998842593</v>
      </c>
      <c r="O10" s="54"/>
      <c r="P10" s="45"/>
    </row>
    <row r="11">
      <c r="A11" s="44" t="s">
        <v>60</v>
      </c>
      <c r="B11" s="53" t="s">
        <v>62</v>
      </c>
      <c r="C11" s="46" t="s">
        <v>1909</v>
      </c>
      <c r="D11" s="51" t="str">
        <f t="shared" si="1"/>
        <v>red_enemy_icon_enemy_spy_00004</v>
      </c>
      <c r="E11" s="51" t="str">
        <f t="shared" si="2"/>
        <v>blue_enemy_icon_enemy_spy_00004</v>
      </c>
      <c r="F11" s="51" t="str">
        <f t="shared" si="3"/>
        <v>green_enemy_icon_enemy_spy_00004</v>
      </c>
      <c r="G11" s="51" t="str">
        <f t="shared" si="4"/>
        <v>yellow_enemy_icon_enemy_spy_00004</v>
      </c>
      <c r="H11" s="47" t="s">
        <v>1911</v>
      </c>
      <c r="I11" s="52"/>
      <c r="J11" s="52"/>
      <c r="K11" s="89" t="s">
        <v>1902</v>
      </c>
      <c r="L11" s="59" t="s">
        <v>1005</v>
      </c>
      <c r="M11" s="49">
        <v>45658.0</v>
      </c>
      <c r="N11" s="50">
        <v>390812.49998842593</v>
      </c>
      <c r="O11" s="54"/>
      <c r="P11" s="45"/>
    </row>
    <row r="12">
      <c r="A12" s="44" t="s">
        <v>60</v>
      </c>
      <c r="B12" s="53" t="s">
        <v>62</v>
      </c>
      <c r="C12" s="46" t="s">
        <v>1912</v>
      </c>
      <c r="D12" s="51" t="str">
        <f t="shared" si="1"/>
        <v>red_enemy_icon_enemy_spy_00005</v>
      </c>
      <c r="E12" s="51" t="str">
        <f t="shared" si="2"/>
        <v>blue_enemy_icon_enemy_spy_00005</v>
      </c>
      <c r="F12" s="51" t="str">
        <f t="shared" si="3"/>
        <v>green_enemy_icon_enemy_spy_00005</v>
      </c>
      <c r="G12" s="51" t="str">
        <f t="shared" si="4"/>
        <v>yellow_enemy_icon_enemy_spy_00005</v>
      </c>
      <c r="H12" s="47" t="s">
        <v>1914</v>
      </c>
      <c r="I12" s="52"/>
      <c r="J12" s="52"/>
      <c r="K12" s="89" t="s">
        <v>1902</v>
      </c>
      <c r="L12" s="59" t="s">
        <v>1005</v>
      </c>
      <c r="M12" s="49">
        <v>45658.0</v>
      </c>
      <c r="N12" s="50">
        <v>390812.49998842593</v>
      </c>
      <c r="O12" s="54"/>
      <c r="P12" s="45"/>
    </row>
    <row r="13">
      <c r="A13" s="44" t="s">
        <v>60</v>
      </c>
      <c r="B13" s="53" t="s">
        <v>62</v>
      </c>
      <c r="C13" s="46" t="s">
        <v>1915</v>
      </c>
      <c r="D13" s="51" t="str">
        <f t="shared" si="1"/>
        <v>red_enemy_icon_enemy_spy_00006</v>
      </c>
      <c r="E13" s="51" t="str">
        <f t="shared" si="2"/>
        <v>blue_enemy_icon_enemy_spy_00006</v>
      </c>
      <c r="F13" s="51" t="str">
        <f t="shared" si="3"/>
        <v>green_enemy_icon_enemy_spy_00006</v>
      </c>
      <c r="G13" s="51" t="str">
        <f t="shared" si="4"/>
        <v>yellow_enemy_icon_enemy_spy_00006</v>
      </c>
      <c r="H13" s="47" t="s">
        <v>1917</v>
      </c>
      <c r="I13" s="52"/>
      <c r="J13" s="52"/>
      <c r="K13" s="89" t="s">
        <v>1902</v>
      </c>
      <c r="L13" s="59" t="s">
        <v>1005</v>
      </c>
      <c r="M13" s="49">
        <v>45658.0</v>
      </c>
      <c r="N13" s="50">
        <v>390812.49998842593</v>
      </c>
      <c r="O13" s="54"/>
      <c r="P13" s="45"/>
    </row>
    <row r="14">
      <c r="A14" s="44" t="s">
        <v>68</v>
      </c>
      <c r="B14" s="53" t="s">
        <v>70</v>
      </c>
      <c r="C14" s="46" t="s">
        <v>1918</v>
      </c>
      <c r="D14" s="51" t="str">
        <f t="shared" si="1"/>
        <v>red_enemy_icon_chara_aka_00001</v>
      </c>
      <c r="E14" s="51" t="str">
        <f t="shared" si="2"/>
        <v>blue_enemy_icon_chara_aka_00001</v>
      </c>
      <c r="F14" s="51" t="str">
        <f t="shared" si="3"/>
        <v>green_enemy_icon_chara_aka_00001</v>
      </c>
      <c r="G14" s="51" t="str">
        <f t="shared" si="4"/>
        <v>yellow_enemy_icon_chara_aka_00001</v>
      </c>
      <c r="H14" s="47" t="s">
        <v>310</v>
      </c>
      <c r="I14" s="52"/>
      <c r="J14" s="52"/>
      <c r="K14" s="54"/>
      <c r="L14" s="54"/>
      <c r="M14" s="49">
        <v>45658.0</v>
      </c>
      <c r="N14" s="50">
        <v>390812.49998842593</v>
      </c>
      <c r="O14" s="54"/>
      <c r="P14" s="45"/>
    </row>
    <row r="15">
      <c r="A15" s="44" t="s">
        <v>68</v>
      </c>
      <c r="B15" s="53" t="s">
        <v>70</v>
      </c>
      <c r="C15" s="46" t="s">
        <v>1920</v>
      </c>
      <c r="D15" s="51" t="str">
        <f t="shared" si="1"/>
        <v>red_enemy_icon_chara_aka_00101</v>
      </c>
      <c r="E15" s="51" t="str">
        <f t="shared" si="2"/>
        <v>blue_enemy_icon_chara_aka_00101</v>
      </c>
      <c r="F15" s="51" t="str">
        <f t="shared" si="3"/>
        <v>green_enemy_icon_chara_aka_00101</v>
      </c>
      <c r="G15" s="51" t="str">
        <f t="shared" si="4"/>
        <v>yellow_enemy_icon_chara_aka_00101</v>
      </c>
      <c r="H15" s="47" t="s">
        <v>312</v>
      </c>
      <c r="I15" s="52"/>
      <c r="J15" s="52"/>
      <c r="K15" s="54"/>
      <c r="L15" s="54"/>
      <c r="M15" s="49">
        <v>45658.0</v>
      </c>
      <c r="N15" s="50">
        <v>390812.49998842593</v>
      </c>
      <c r="O15" s="54"/>
      <c r="P15" s="45"/>
    </row>
    <row r="16">
      <c r="A16" s="44" t="s">
        <v>75</v>
      </c>
      <c r="B16" s="53" t="s">
        <v>77</v>
      </c>
      <c r="C16" s="46" t="s">
        <v>1922</v>
      </c>
      <c r="D16" s="51" t="str">
        <f t="shared" si="1"/>
        <v>red_enemy_icon_chara_rik_00001</v>
      </c>
      <c r="E16" s="51" t="str">
        <f t="shared" si="2"/>
        <v>blue_enemy_icon_chara_rik_00001</v>
      </c>
      <c r="F16" s="51" t="str">
        <f t="shared" si="3"/>
        <v>green_enemy_icon_chara_rik_00001</v>
      </c>
      <c r="G16" s="51" t="str">
        <f t="shared" si="4"/>
        <v>yellow_enemy_icon_chara_rik_00001</v>
      </c>
      <c r="H16" s="47" t="s">
        <v>314</v>
      </c>
      <c r="I16" s="52"/>
      <c r="J16" s="52"/>
      <c r="K16" s="54"/>
      <c r="L16" s="54"/>
      <c r="M16" s="49">
        <v>45658.0</v>
      </c>
      <c r="N16" s="50">
        <v>390812.49998842593</v>
      </c>
      <c r="O16" s="54"/>
      <c r="P16" s="45"/>
    </row>
    <row r="17">
      <c r="A17" s="44" t="s">
        <v>75</v>
      </c>
      <c r="B17" s="53" t="s">
        <v>77</v>
      </c>
      <c r="C17" s="46" t="s">
        <v>1924</v>
      </c>
      <c r="D17" s="51" t="str">
        <f t="shared" si="1"/>
        <v>red_enemy_icon_chara_rik_00101</v>
      </c>
      <c r="E17" s="51" t="str">
        <f t="shared" si="2"/>
        <v>blue_enemy_icon_chara_rik_00101</v>
      </c>
      <c r="F17" s="51" t="str">
        <f t="shared" si="3"/>
        <v>green_enemy_icon_chara_rik_00101</v>
      </c>
      <c r="G17" s="51" t="str">
        <f t="shared" si="4"/>
        <v>yellow_enemy_icon_chara_rik_00101</v>
      </c>
      <c r="H17" s="47" t="s">
        <v>316</v>
      </c>
      <c r="I17" s="52"/>
      <c r="J17" s="52"/>
      <c r="K17" s="54"/>
      <c r="L17" s="54"/>
      <c r="M17" s="49">
        <v>45658.0</v>
      </c>
      <c r="N17" s="50">
        <v>390812.49998842593</v>
      </c>
      <c r="O17" s="54"/>
      <c r="P17" s="45"/>
    </row>
    <row r="18">
      <c r="A18" s="44" t="s">
        <v>75</v>
      </c>
      <c r="B18" s="53" t="s">
        <v>77</v>
      </c>
      <c r="C18" s="46" t="s">
        <v>1926</v>
      </c>
      <c r="D18" s="51" t="str">
        <f t="shared" si="1"/>
        <v>red_enemy_icon_chara_rik_00201</v>
      </c>
      <c r="E18" s="51" t="str">
        <f t="shared" si="2"/>
        <v>blue_enemy_icon_chara_rik_00201</v>
      </c>
      <c r="F18" s="51" t="str">
        <f t="shared" si="3"/>
        <v>green_enemy_icon_chara_rik_00201</v>
      </c>
      <c r="G18" s="51" t="str">
        <f t="shared" si="4"/>
        <v>yellow_enemy_icon_chara_rik_00201</v>
      </c>
      <c r="H18" s="47" t="s">
        <v>318</v>
      </c>
      <c r="I18" s="52"/>
      <c r="J18" s="52"/>
      <c r="K18" s="54"/>
      <c r="L18" s="54"/>
      <c r="M18" s="49">
        <v>45658.0</v>
      </c>
      <c r="N18" s="50">
        <v>390812.49998842593</v>
      </c>
      <c r="O18" s="54"/>
      <c r="P18" s="45"/>
    </row>
    <row r="19">
      <c r="A19" s="44" t="s">
        <v>80</v>
      </c>
      <c r="B19" s="53" t="s">
        <v>82</v>
      </c>
      <c r="C19" s="46" t="s">
        <v>1928</v>
      </c>
      <c r="D19" s="51" t="str">
        <f t="shared" si="1"/>
        <v>red_enemy_icon_chara_dan_00001</v>
      </c>
      <c r="E19" s="51" t="str">
        <f t="shared" si="2"/>
        <v>blue_enemy_icon_chara_dan_00001</v>
      </c>
      <c r="F19" s="51" t="str">
        <f t="shared" si="3"/>
        <v>green_enemy_icon_chara_dan_00001</v>
      </c>
      <c r="G19" s="51" t="str">
        <f t="shared" si="4"/>
        <v>yellow_enemy_icon_chara_dan_00001</v>
      </c>
      <c r="H19" s="47" t="s">
        <v>320</v>
      </c>
      <c r="I19" s="52"/>
      <c r="J19" s="52"/>
      <c r="K19" s="54"/>
      <c r="L19" s="54"/>
      <c r="M19" s="49">
        <v>45658.0</v>
      </c>
      <c r="N19" s="50">
        <v>390812.49998842593</v>
      </c>
      <c r="O19" s="54"/>
      <c r="P19" s="45"/>
    </row>
    <row r="20">
      <c r="A20" s="44" t="s">
        <v>80</v>
      </c>
      <c r="B20" s="53" t="s">
        <v>82</v>
      </c>
      <c r="C20" s="46" t="s">
        <v>1930</v>
      </c>
      <c r="D20" s="51" t="str">
        <f t="shared" si="1"/>
        <v>red_enemy_icon_chara_dan_00002</v>
      </c>
      <c r="E20" s="51" t="str">
        <f t="shared" si="2"/>
        <v>blue_enemy_icon_chara_dan_00002</v>
      </c>
      <c r="F20" s="51" t="str">
        <f t="shared" si="3"/>
        <v>green_enemy_icon_chara_dan_00002</v>
      </c>
      <c r="G20" s="51" t="str">
        <f t="shared" si="4"/>
        <v>yellow_enemy_icon_chara_dan_00002</v>
      </c>
      <c r="H20" s="47" t="s">
        <v>322</v>
      </c>
      <c r="I20" s="52"/>
      <c r="J20" s="52"/>
      <c r="K20" s="54"/>
      <c r="L20" s="54"/>
      <c r="M20" s="49">
        <v>45658.0</v>
      </c>
      <c r="N20" s="50">
        <v>390812.49998842593</v>
      </c>
      <c r="O20" s="54"/>
      <c r="P20" s="45"/>
    </row>
    <row r="21">
      <c r="A21" s="44" t="s">
        <v>80</v>
      </c>
      <c r="B21" s="53" t="s">
        <v>82</v>
      </c>
      <c r="C21" s="46" t="s">
        <v>1932</v>
      </c>
      <c r="D21" s="51" t="str">
        <f t="shared" si="1"/>
        <v>red_enemy_icon_chara_dan_00101</v>
      </c>
      <c r="E21" s="51" t="str">
        <f t="shared" si="2"/>
        <v>blue_enemy_icon_chara_dan_00101</v>
      </c>
      <c r="F21" s="51" t="str">
        <f t="shared" si="3"/>
        <v>green_enemy_icon_chara_dan_00101</v>
      </c>
      <c r="G21" s="51" t="str">
        <f t="shared" si="4"/>
        <v>yellow_enemy_icon_chara_dan_00101</v>
      </c>
      <c r="H21" s="47" t="s">
        <v>324</v>
      </c>
      <c r="I21" s="52"/>
      <c r="J21" s="52"/>
      <c r="K21" s="54"/>
      <c r="L21" s="54"/>
      <c r="M21" s="49">
        <v>45658.0</v>
      </c>
      <c r="N21" s="50">
        <v>390812.49998842593</v>
      </c>
      <c r="O21" s="54"/>
      <c r="P21" s="45"/>
    </row>
    <row r="22">
      <c r="A22" s="44" t="s">
        <v>80</v>
      </c>
      <c r="B22" s="53" t="s">
        <v>82</v>
      </c>
      <c r="C22" s="46" t="s">
        <v>1934</v>
      </c>
      <c r="D22" s="51" t="str">
        <f t="shared" si="1"/>
        <v>red_enemy_icon_chara_dan_00201</v>
      </c>
      <c r="E22" s="51" t="str">
        <f t="shared" si="2"/>
        <v>blue_enemy_icon_chara_dan_00201</v>
      </c>
      <c r="F22" s="51" t="str">
        <f t="shared" si="3"/>
        <v>green_enemy_icon_chara_dan_00201</v>
      </c>
      <c r="G22" s="51" t="str">
        <f t="shared" si="4"/>
        <v>yellow_enemy_icon_chara_dan_00201</v>
      </c>
      <c r="H22" s="47" t="s">
        <v>326</v>
      </c>
      <c r="I22" s="52"/>
      <c r="J22" s="52"/>
      <c r="K22" s="54"/>
      <c r="L22" s="54"/>
      <c r="M22" s="49">
        <v>45658.0</v>
      </c>
      <c r="N22" s="50">
        <v>390812.49998842593</v>
      </c>
      <c r="O22" s="54"/>
      <c r="P22" s="45"/>
    </row>
    <row r="23">
      <c r="A23" s="44" t="s">
        <v>80</v>
      </c>
      <c r="B23" s="53" t="s">
        <v>82</v>
      </c>
      <c r="C23" s="46" t="s">
        <v>1936</v>
      </c>
      <c r="D23" s="51" t="str">
        <f t="shared" si="1"/>
        <v>red_enemy_icon_enemy_dan_00001</v>
      </c>
      <c r="E23" s="51" t="str">
        <f t="shared" si="2"/>
        <v>blue_enemy_icon_enemy_dan_00001</v>
      </c>
      <c r="F23" s="51" t="str">
        <f t="shared" si="3"/>
        <v>green_enemy_icon_enemy_dan_00001</v>
      </c>
      <c r="G23" s="51" t="str">
        <f t="shared" si="4"/>
        <v>yellow_enemy_icon_enemy_dan_00001</v>
      </c>
      <c r="H23" s="47" t="s">
        <v>1938</v>
      </c>
      <c r="I23" s="52"/>
      <c r="J23" s="52"/>
      <c r="K23" s="54"/>
      <c r="L23" s="54"/>
      <c r="M23" s="49">
        <v>45658.0</v>
      </c>
      <c r="N23" s="50">
        <v>390812.49998842593</v>
      </c>
      <c r="O23" s="54"/>
      <c r="P23" s="45"/>
    </row>
    <row r="24">
      <c r="A24" s="44" t="s">
        <v>80</v>
      </c>
      <c r="B24" s="53" t="s">
        <v>82</v>
      </c>
      <c r="C24" s="46" t="s">
        <v>1939</v>
      </c>
      <c r="D24" s="51" t="str">
        <f t="shared" si="1"/>
        <v>red_enemy_icon_enemy_dan_00002</v>
      </c>
      <c r="E24" s="51" t="str">
        <f t="shared" si="2"/>
        <v>blue_enemy_icon_enemy_dan_00002</v>
      </c>
      <c r="F24" s="51" t="str">
        <f t="shared" si="3"/>
        <v>green_enemy_icon_enemy_dan_00002</v>
      </c>
      <c r="G24" s="51" t="str">
        <f t="shared" si="4"/>
        <v>yellow_enemy_icon_enemy_dan_00002</v>
      </c>
      <c r="H24" s="47" t="s">
        <v>1941</v>
      </c>
      <c r="I24" s="52"/>
      <c r="J24" s="52"/>
      <c r="K24" s="54"/>
      <c r="L24" s="54"/>
      <c r="M24" s="49">
        <v>45658.0</v>
      </c>
      <c r="N24" s="50">
        <v>390812.49998842593</v>
      </c>
      <c r="O24" s="54"/>
      <c r="P24" s="45"/>
    </row>
    <row r="25">
      <c r="A25" s="44" t="s">
        <v>87</v>
      </c>
      <c r="B25" s="53" t="s">
        <v>89</v>
      </c>
      <c r="C25" s="46" t="s">
        <v>1942</v>
      </c>
      <c r="D25" s="51" t="str">
        <f t="shared" si="1"/>
        <v>red_enemy_icon_chara_gom_00001</v>
      </c>
      <c r="E25" s="51" t="str">
        <f t="shared" si="2"/>
        <v>blue_enemy_icon_chara_gom_00001</v>
      </c>
      <c r="F25" s="51" t="str">
        <f t="shared" si="3"/>
        <v>green_enemy_icon_chara_gom_00001</v>
      </c>
      <c r="G25" s="51" t="str">
        <f t="shared" si="4"/>
        <v>yellow_enemy_icon_chara_gom_00001</v>
      </c>
      <c r="H25" s="47" t="s">
        <v>328</v>
      </c>
      <c r="I25" s="52"/>
      <c r="J25" s="52"/>
      <c r="K25" s="54"/>
      <c r="L25" s="54"/>
      <c r="M25" s="49">
        <v>45658.0</v>
      </c>
      <c r="N25" s="50">
        <v>390812.49998842593</v>
      </c>
      <c r="O25" s="54"/>
      <c r="P25" s="45"/>
    </row>
    <row r="26">
      <c r="A26" s="44" t="s">
        <v>87</v>
      </c>
      <c r="B26" s="53" t="s">
        <v>89</v>
      </c>
      <c r="C26" s="46" t="s">
        <v>1944</v>
      </c>
      <c r="D26" s="51" t="str">
        <f t="shared" si="1"/>
        <v>red_enemy_icon_chara_gom_00101</v>
      </c>
      <c r="E26" s="51" t="str">
        <f t="shared" si="2"/>
        <v>blue_enemy_icon_chara_gom_00101</v>
      </c>
      <c r="F26" s="51" t="str">
        <f t="shared" si="3"/>
        <v>green_enemy_icon_chara_gom_00101</v>
      </c>
      <c r="G26" s="51" t="str">
        <f t="shared" si="4"/>
        <v>yellow_enemy_icon_chara_gom_00101</v>
      </c>
      <c r="H26" s="47" t="s">
        <v>330</v>
      </c>
      <c r="I26" s="52"/>
      <c r="J26" s="52"/>
      <c r="K26" s="54"/>
      <c r="L26" s="54"/>
      <c r="M26" s="49">
        <v>45658.0</v>
      </c>
      <c r="N26" s="50">
        <v>390812.49998842593</v>
      </c>
      <c r="O26" s="54"/>
      <c r="P26" s="45"/>
    </row>
    <row r="27">
      <c r="A27" s="44" t="s">
        <v>87</v>
      </c>
      <c r="B27" s="53" t="s">
        <v>89</v>
      </c>
      <c r="C27" s="46" t="s">
        <v>1946</v>
      </c>
      <c r="D27" s="51" t="str">
        <f t="shared" si="1"/>
        <v>red_enemy_icon_enemy_gom_00001</v>
      </c>
      <c r="E27" s="51" t="str">
        <f t="shared" si="2"/>
        <v>blue_enemy_icon_enemy_gom_00001</v>
      </c>
      <c r="F27" s="51" t="str">
        <f t="shared" si="3"/>
        <v>green_enemy_icon_enemy_gom_00001</v>
      </c>
      <c r="G27" s="51" t="str">
        <f t="shared" si="4"/>
        <v>yellow_enemy_icon_enemy_gom_00001</v>
      </c>
      <c r="H27" s="47" t="s">
        <v>1948</v>
      </c>
      <c r="I27" s="52"/>
      <c r="J27" s="52"/>
      <c r="K27" s="54"/>
      <c r="L27" s="54"/>
      <c r="M27" s="49">
        <v>45658.0</v>
      </c>
      <c r="N27" s="50">
        <v>390812.49998842593</v>
      </c>
      <c r="O27" s="54"/>
      <c r="P27" s="45"/>
    </row>
    <row r="28">
      <c r="A28" s="44" t="s">
        <v>87</v>
      </c>
      <c r="B28" s="53" t="s">
        <v>89</v>
      </c>
      <c r="C28" s="46" t="s">
        <v>1949</v>
      </c>
      <c r="D28" s="51" t="str">
        <f t="shared" si="1"/>
        <v>red_enemy_icon_enemy_gom_00002</v>
      </c>
      <c r="E28" s="51" t="str">
        <f t="shared" si="2"/>
        <v>blue_enemy_icon_enemy_gom_00002</v>
      </c>
      <c r="F28" s="51" t="str">
        <f t="shared" si="3"/>
        <v>green_enemy_icon_enemy_gom_00002</v>
      </c>
      <c r="G28" s="51" t="str">
        <f t="shared" si="4"/>
        <v>yellow_enemy_icon_enemy_gom_00002</v>
      </c>
      <c r="H28" s="47" t="s">
        <v>1778</v>
      </c>
      <c r="I28" s="52"/>
      <c r="J28" s="52"/>
      <c r="K28" s="54"/>
      <c r="L28" s="54"/>
      <c r="M28" s="49">
        <v>45658.0</v>
      </c>
      <c r="N28" s="50">
        <v>390812.49998842593</v>
      </c>
      <c r="O28" s="54"/>
      <c r="P28" s="45"/>
    </row>
    <row r="29">
      <c r="A29" s="44" t="s">
        <v>92</v>
      </c>
      <c r="B29" s="53" t="s">
        <v>331</v>
      </c>
      <c r="C29" s="46" t="s">
        <v>1951</v>
      </c>
      <c r="D29" s="51" t="str">
        <f t="shared" si="1"/>
        <v>red_enemy_icon_chara_chi_00001</v>
      </c>
      <c r="E29" s="51" t="str">
        <f t="shared" si="2"/>
        <v>blue_enemy_icon_chara_chi_00001</v>
      </c>
      <c r="F29" s="51" t="str">
        <f t="shared" si="3"/>
        <v>green_enemy_icon_chara_chi_00001</v>
      </c>
      <c r="G29" s="51" t="str">
        <f t="shared" si="4"/>
        <v>yellow_enemy_icon_chara_chi_00001</v>
      </c>
      <c r="H29" s="47" t="s">
        <v>333</v>
      </c>
      <c r="I29" s="52"/>
      <c r="J29" s="52"/>
      <c r="K29" s="54"/>
      <c r="L29" s="54"/>
      <c r="M29" s="49">
        <v>45658.0</v>
      </c>
      <c r="N29" s="50">
        <v>390812.49998842593</v>
      </c>
      <c r="O29" s="54"/>
      <c r="P29" s="45"/>
    </row>
    <row r="30">
      <c r="A30" s="44" t="s">
        <v>92</v>
      </c>
      <c r="B30" s="53" t="s">
        <v>331</v>
      </c>
      <c r="C30" s="46" t="s">
        <v>1953</v>
      </c>
      <c r="D30" s="51" t="str">
        <f t="shared" si="1"/>
        <v>red_enemy_icon_chara_chi_00002</v>
      </c>
      <c r="E30" s="51" t="str">
        <f t="shared" si="2"/>
        <v>blue_enemy_icon_chara_chi_00002</v>
      </c>
      <c r="F30" s="51" t="str">
        <f t="shared" si="3"/>
        <v>green_enemy_icon_chara_chi_00002</v>
      </c>
      <c r="G30" s="51" t="str">
        <f t="shared" si="4"/>
        <v>yellow_enemy_icon_chara_chi_00002</v>
      </c>
      <c r="H30" s="47" t="s">
        <v>335</v>
      </c>
      <c r="I30" s="52"/>
      <c r="J30" s="52"/>
      <c r="K30" s="54"/>
      <c r="L30" s="54"/>
      <c r="M30" s="49">
        <v>45658.0</v>
      </c>
      <c r="N30" s="50">
        <v>390812.49998842593</v>
      </c>
      <c r="O30" s="54"/>
      <c r="P30" s="45"/>
    </row>
    <row r="31">
      <c r="A31" s="44" t="s">
        <v>92</v>
      </c>
      <c r="B31" s="53" t="s">
        <v>331</v>
      </c>
      <c r="C31" s="46" t="s">
        <v>1955</v>
      </c>
      <c r="D31" s="51" t="str">
        <f t="shared" si="1"/>
        <v>red_enemy_icon_chara_chi_00101</v>
      </c>
      <c r="E31" s="51" t="str">
        <f t="shared" si="2"/>
        <v>blue_enemy_icon_chara_chi_00101</v>
      </c>
      <c r="F31" s="51" t="str">
        <f t="shared" si="3"/>
        <v>green_enemy_icon_chara_chi_00101</v>
      </c>
      <c r="G31" s="51" t="str">
        <f t="shared" si="4"/>
        <v>yellow_enemy_icon_chara_chi_00101</v>
      </c>
      <c r="H31" s="47" t="s">
        <v>4341</v>
      </c>
      <c r="I31" s="52"/>
      <c r="J31" s="52"/>
      <c r="K31" s="54"/>
      <c r="L31" s="54"/>
      <c r="M31" s="49">
        <v>45658.0</v>
      </c>
      <c r="N31" s="50">
        <v>390812.49998842593</v>
      </c>
      <c r="O31" s="54"/>
      <c r="P31" s="45"/>
    </row>
    <row r="32">
      <c r="A32" s="44" t="s">
        <v>92</v>
      </c>
      <c r="B32" s="53" t="s">
        <v>331</v>
      </c>
      <c r="C32" s="46" t="s">
        <v>1957</v>
      </c>
      <c r="D32" s="51" t="str">
        <f t="shared" si="1"/>
        <v>red_enemy_icon_enemy_chi_00001</v>
      </c>
      <c r="E32" s="51" t="str">
        <f t="shared" si="2"/>
        <v>blue_enemy_icon_enemy_chi_00001</v>
      </c>
      <c r="F32" s="51" t="str">
        <f t="shared" si="3"/>
        <v>green_enemy_icon_enemy_chi_00001</v>
      </c>
      <c r="G32" s="51" t="str">
        <f t="shared" si="4"/>
        <v>yellow_enemy_icon_enemy_chi_00001</v>
      </c>
      <c r="H32" s="47" t="s">
        <v>1779</v>
      </c>
      <c r="I32" s="52"/>
      <c r="J32" s="52"/>
      <c r="K32" s="54"/>
      <c r="L32" s="54"/>
      <c r="M32" s="49">
        <v>45658.0</v>
      </c>
      <c r="N32" s="50">
        <v>390812.49998842593</v>
      </c>
      <c r="O32" s="54"/>
      <c r="P32" s="45"/>
    </row>
    <row r="33">
      <c r="A33" s="44" t="s">
        <v>92</v>
      </c>
      <c r="B33" s="53" t="s">
        <v>331</v>
      </c>
      <c r="C33" s="46" t="s">
        <v>1959</v>
      </c>
      <c r="D33" s="51" t="str">
        <f t="shared" si="1"/>
        <v>red_enemy_icon_enemy_chi_00002</v>
      </c>
      <c r="E33" s="51" t="str">
        <f t="shared" si="2"/>
        <v>blue_enemy_icon_enemy_chi_00002</v>
      </c>
      <c r="F33" s="51" t="str">
        <f t="shared" si="3"/>
        <v>green_enemy_icon_enemy_chi_00002</v>
      </c>
      <c r="G33" s="51" t="str">
        <f t="shared" si="4"/>
        <v>yellow_enemy_icon_enemy_chi_00002</v>
      </c>
      <c r="H33" s="47" t="s">
        <v>1782</v>
      </c>
      <c r="I33" s="52"/>
      <c r="J33" s="52"/>
      <c r="K33" s="54"/>
      <c r="L33" s="54"/>
      <c r="M33" s="49">
        <v>45658.0</v>
      </c>
      <c r="N33" s="50">
        <v>390812.49998842593</v>
      </c>
      <c r="O33" s="54"/>
      <c r="P33" s="45"/>
    </row>
    <row r="34">
      <c r="A34" s="44" t="s">
        <v>109</v>
      </c>
      <c r="B34" s="53" t="s">
        <v>111</v>
      </c>
      <c r="C34" s="46" t="s">
        <v>1961</v>
      </c>
      <c r="D34" s="51" t="str">
        <f t="shared" si="1"/>
        <v>red_enemy_icon_chara_bat_00001</v>
      </c>
      <c r="E34" s="51" t="str">
        <f t="shared" si="2"/>
        <v>blue_enemy_icon_chara_bat_00001</v>
      </c>
      <c r="F34" s="51" t="str">
        <f t="shared" si="3"/>
        <v>green_enemy_icon_chara_bat_00001</v>
      </c>
      <c r="G34" s="51" t="str">
        <f t="shared" si="4"/>
        <v>yellow_enemy_icon_chara_bat_00001</v>
      </c>
      <c r="H34" s="47" t="s">
        <v>339</v>
      </c>
      <c r="I34" s="52"/>
      <c r="J34" s="52"/>
      <c r="K34" s="54"/>
      <c r="L34" s="54"/>
      <c r="M34" s="49">
        <v>45658.0</v>
      </c>
      <c r="N34" s="50">
        <v>390812.49998842593</v>
      </c>
      <c r="O34" s="54"/>
      <c r="P34" s="45"/>
    </row>
    <row r="35">
      <c r="A35" s="44" t="s">
        <v>109</v>
      </c>
      <c r="B35" s="53" t="s">
        <v>111</v>
      </c>
      <c r="C35" s="46" t="s">
        <v>1963</v>
      </c>
      <c r="D35" s="51" t="str">
        <f t="shared" si="1"/>
        <v>red_enemy_icon_chara_bat_00101</v>
      </c>
      <c r="E35" s="51" t="str">
        <f t="shared" si="2"/>
        <v>blue_enemy_icon_chara_bat_00101</v>
      </c>
      <c r="F35" s="51" t="str">
        <f t="shared" si="3"/>
        <v>green_enemy_icon_chara_bat_00101</v>
      </c>
      <c r="G35" s="51" t="str">
        <f t="shared" si="4"/>
        <v>yellow_enemy_icon_chara_bat_00101</v>
      </c>
      <c r="H35" s="47" t="s">
        <v>341</v>
      </c>
      <c r="I35" s="52"/>
      <c r="J35" s="52"/>
      <c r="K35" s="54"/>
      <c r="L35" s="54"/>
      <c r="M35" s="49">
        <v>45658.0</v>
      </c>
      <c r="N35" s="50">
        <v>390812.49998842593</v>
      </c>
      <c r="O35" s="54"/>
      <c r="P35" s="45"/>
    </row>
    <row r="36">
      <c r="A36" s="44" t="s">
        <v>115</v>
      </c>
      <c r="B36" s="53" t="s">
        <v>117</v>
      </c>
      <c r="C36" s="46" t="s">
        <v>1965</v>
      </c>
      <c r="D36" s="51" t="str">
        <f t="shared" si="1"/>
        <v>red_enemy_icon_chara_kai_00001</v>
      </c>
      <c r="E36" s="51" t="str">
        <f t="shared" si="2"/>
        <v>blue_enemy_icon_chara_kai_00001</v>
      </c>
      <c r="F36" s="51" t="str">
        <f t="shared" si="3"/>
        <v>green_enemy_icon_chara_kai_00001</v>
      </c>
      <c r="G36" s="51" t="str">
        <f t="shared" si="4"/>
        <v>yellow_enemy_icon_chara_kai_00001</v>
      </c>
      <c r="H36" s="47" t="s">
        <v>343</v>
      </c>
      <c r="I36" s="52"/>
      <c r="J36" s="52"/>
      <c r="K36" s="54"/>
      <c r="L36" s="54"/>
      <c r="M36" s="49">
        <v>45658.0</v>
      </c>
      <c r="N36" s="50">
        <v>390812.49998842593</v>
      </c>
      <c r="O36" s="54"/>
      <c r="P36" s="45"/>
    </row>
    <row r="37">
      <c r="A37" s="44" t="s">
        <v>115</v>
      </c>
      <c r="B37" s="53" t="s">
        <v>117</v>
      </c>
      <c r="C37" s="46" t="s">
        <v>1967</v>
      </c>
      <c r="D37" s="51" t="str">
        <f t="shared" si="1"/>
        <v>red_enemy_icon_chara_kai_00002</v>
      </c>
      <c r="E37" s="51" t="str">
        <f t="shared" si="2"/>
        <v>blue_enemy_icon_chara_kai_00002</v>
      </c>
      <c r="F37" s="51" t="str">
        <f t="shared" si="3"/>
        <v>green_enemy_icon_chara_kai_00002</v>
      </c>
      <c r="G37" s="51" t="str">
        <f t="shared" si="4"/>
        <v>yellow_enemy_icon_chara_kai_00002</v>
      </c>
      <c r="H37" s="47" t="s">
        <v>345</v>
      </c>
      <c r="I37" s="52"/>
      <c r="J37" s="52"/>
      <c r="K37" s="54"/>
      <c r="L37" s="54"/>
      <c r="M37" s="49">
        <v>45658.0</v>
      </c>
      <c r="N37" s="50">
        <v>390812.49998842593</v>
      </c>
      <c r="O37" s="54"/>
      <c r="P37" s="45"/>
    </row>
    <row r="38">
      <c r="A38" s="44" t="s">
        <v>115</v>
      </c>
      <c r="B38" s="53" t="s">
        <v>117</v>
      </c>
      <c r="C38" s="53" t="s">
        <v>1969</v>
      </c>
      <c r="D38" s="51" t="str">
        <f t="shared" si="1"/>
        <v>red_enemy_icon_chara_kai_00101</v>
      </c>
      <c r="E38" s="51" t="str">
        <f t="shared" si="2"/>
        <v>blue_enemy_icon_chara_kai_00101</v>
      </c>
      <c r="F38" s="51" t="str">
        <f t="shared" si="3"/>
        <v>green_enemy_icon_chara_kai_00101</v>
      </c>
      <c r="G38" s="51" t="str">
        <f t="shared" si="4"/>
        <v>yellow_enemy_icon_chara_kai_00101</v>
      </c>
      <c r="H38" s="47" t="s">
        <v>347</v>
      </c>
      <c r="I38" s="52"/>
      <c r="J38" s="52"/>
      <c r="K38" s="54"/>
      <c r="L38" s="54"/>
      <c r="M38" s="49">
        <v>45658.0</v>
      </c>
      <c r="N38" s="50">
        <v>390812.49998842593</v>
      </c>
      <c r="O38" s="54"/>
      <c r="P38" s="45"/>
    </row>
    <row r="39">
      <c r="A39" s="44" t="s">
        <v>115</v>
      </c>
      <c r="B39" s="53" t="s">
        <v>117</v>
      </c>
      <c r="C39" s="53" t="s">
        <v>1971</v>
      </c>
      <c r="D39" s="51" t="str">
        <f t="shared" si="1"/>
        <v>red_enemy_icon_chara_kai_00201</v>
      </c>
      <c r="E39" s="51" t="str">
        <f t="shared" si="2"/>
        <v>blue_enemy_icon_chara_kai_00201</v>
      </c>
      <c r="F39" s="51" t="str">
        <f t="shared" si="3"/>
        <v>green_enemy_icon_chara_kai_00201</v>
      </c>
      <c r="G39" s="51" t="str">
        <f t="shared" si="4"/>
        <v>yellow_enemy_icon_chara_kai_00201</v>
      </c>
      <c r="H39" s="47" t="s">
        <v>349</v>
      </c>
      <c r="I39" s="52"/>
      <c r="J39" s="52"/>
      <c r="K39" s="54"/>
      <c r="L39" s="54"/>
      <c r="M39" s="49">
        <v>45658.0</v>
      </c>
      <c r="N39" s="50">
        <v>390812.49998842593</v>
      </c>
      <c r="O39" s="54"/>
      <c r="P39" s="45"/>
    </row>
    <row r="40">
      <c r="A40" s="44" t="s">
        <v>115</v>
      </c>
      <c r="B40" s="53" t="s">
        <v>117</v>
      </c>
      <c r="C40" s="53" t="s">
        <v>1973</v>
      </c>
      <c r="D40" s="51" t="str">
        <f t="shared" si="1"/>
        <v>red_enemy_icon_chara_kai_00301</v>
      </c>
      <c r="E40" s="51" t="str">
        <f t="shared" si="2"/>
        <v>blue_enemy_icon_chara_kai_00301</v>
      </c>
      <c r="F40" s="51" t="str">
        <f t="shared" si="3"/>
        <v>green_enemy_icon_chara_kai_00301</v>
      </c>
      <c r="G40" s="51" t="str">
        <f t="shared" si="4"/>
        <v>yellow_enemy_icon_chara_kai_00301</v>
      </c>
      <c r="H40" s="47" t="s">
        <v>351</v>
      </c>
      <c r="I40" s="52"/>
      <c r="J40" s="52"/>
      <c r="K40" s="54"/>
      <c r="L40" s="54"/>
      <c r="M40" s="49">
        <v>45658.0</v>
      </c>
      <c r="N40" s="50">
        <v>390812.49998842593</v>
      </c>
      <c r="O40" s="54"/>
      <c r="P40" s="45"/>
    </row>
    <row r="41">
      <c r="A41" s="44" t="s">
        <v>115</v>
      </c>
      <c r="B41" s="53" t="s">
        <v>117</v>
      </c>
      <c r="C41" s="46" t="s">
        <v>1975</v>
      </c>
      <c r="D41" s="51" t="str">
        <f t="shared" si="1"/>
        <v>red_enemy_icon_enemy_kai_00001</v>
      </c>
      <c r="E41" s="51" t="str">
        <f t="shared" si="2"/>
        <v>blue_enemy_icon_enemy_kai_00001</v>
      </c>
      <c r="F41" s="51" t="str">
        <f t="shared" si="3"/>
        <v>green_enemy_icon_enemy_kai_00001</v>
      </c>
      <c r="G41" s="51" t="str">
        <f t="shared" si="4"/>
        <v>yellow_enemy_icon_enemy_kai_00001</v>
      </c>
      <c r="H41" s="47" t="s">
        <v>1977</v>
      </c>
      <c r="I41" s="52"/>
      <c r="J41" s="52"/>
      <c r="K41" s="54"/>
      <c r="L41" s="54"/>
      <c r="M41" s="49">
        <v>45658.0</v>
      </c>
      <c r="N41" s="50">
        <v>390812.49998842593</v>
      </c>
      <c r="O41" s="54"/>
      <c r="P41" s="45"/>
    </row>
    <row r="42">
      <c r="A42" s="44" t="s">
        <v>115</v>
      </c>
      <c r="B42" s="53" t="s">
        <v>117</v>
      </c>
      <c r="C42" s="46" t="s">
        <v>1978</v>
      </c>
      <c r="D42" s="51" t="str">
        <f t="shared" si="1"/>
        <v>red_enemy_icon_enemy_kai_00002</v>
      </c>
      <c r="E42" s="51" t="str">
        <f t="shared" si="2"/>
        <v>blue_enemy_icon_enemy_kai_00002</v>
      </c>
      <c r="F42" s="51" t="str">
        <f t="shared" si="3"/>
        <v>green_enemy_icon_enemy_kai_00002</v>
      </c>
      <c r="G42" s="51" t="str">
        <f t="shared" si="4"/>
        <v>yellow_enemy_icon_enemy_kai_00002</v>
      </c>
      <c r="H42" s="47" t="s">
        <v>1980</v>
      </c>
      <c r="I42" s="52"/>
      <c r="J42" s="52"/>
      <c r="K42" s="54"/>
      <c r="L42" s="54"/>
      <c r="M42" s="49">
        <v>45658.0</v>
      </c>
      <c r="N42" s="50">
        <v>390812.49998842593</v>
      </c>
      <c r="O42" s="54"/>
      <c r="P42" s="45"/>
    </row>
    <row r="43">
      <c r="A43" s="44" t="s">
        <v>115</v>
      </c>
      <c r="B43" s="53" t="s">
        <v>117</v>
      </c>
      <c r="C43" s="46" t="s">
        <v>1981</v>
      </c>
      <c r="D43" s="51" t="str">
        <f t="shared" si="1"/>
        <v>red_enemy_icon_enemy_kai_00003</v>
      </c>
      <c r="E43" s="51" t="str">
        <f t="shared" si="2"/>
        <v>blue_enemy_icon_enemy_kai_00003</v>
      </c>
      <c r="F43" s="51" t="str">
        <f t="shared" si="3"/>
        <v>green_enemy_icon_enemy_kai_00003</v>
      </c>
      <c r="G43" s="51" t="str">
        <f t="shared" si="4"/>
        <v>yellow_enemy_icon_enemy_kai_00003</v>
      </c>
      <c r="H43" s="47" t="s">
        <v>353</v>
      </c>
      <c r="I43" s="52"/>
      <c r="J43" s="52"/>
      <c r="K43" s="54"/>
      <c r="L43" s="54"/>
      <c r="M43" s="49">
        <v>45658.0</v>
      </c>
      <c r="N43" s="50">
        <v>390812.49998842593</v>
      </c>
      <c r="O43" s="54"/>
      <c r="P43" s="45"/>
    </row>
    <row r="44">
      <c r="A44" s="44" t="s">
        <v>121</v>
      </c>
      <c r="B44" s="53" t="s">
        <v>123</v>
      </c>
      <c r="C44" s="53" t="s">
        <v>1983</v>
      </c>
      <c r="D44" s="51" t="str">
        <f t="shared" si="1"/>
        <v>red_enemy_icon_chara_yuw_00001</v>
      </c>
      <c r="E44" s="51" t="str">
        <f t="shared" si="2"/>
        <v>blue_enemy_icon_chara_yuw_00001</v>
      </c>
      <c r="F44" s="51" t="str">
        <f t="shared" si="3"/>
        <v>green_enemy_icon_chara_yuw_00001</v>
      </c>
      <c r="G44" s="51" t="str">
        <f t="shared" si="4"/>
        <v>yellow_enemy_icon_chara_yuw_00001</v>
      </c>
      <c r="H44" s="47" t="s">
        <v>1365</v>
      </c>
      <c r="I44" s="52"/>
      <c r="J44" s="52"/>
      <c r="K44" s="54"/>
      <c r="L44" s="54"/>
      <c r="M44" s="49">
        <v>45658.0</v>
      </c>
      <c r="N44" s="50">
        <v>390812.49998842593</v>
      </c>
      <c r="O44" s="54"/>
      <c r="P44" s="45"/>
    </row>
    <row r="45">
      <c r="A45" s="44" t="s">
        <v>121</v>
      </c>
      <c r="B45" s="53" t="s">
        <v>123</v>
      </c>
      <c r="C45" s="53" t="s">
        <v>1985</v>
      </c>
      <c r="D45" s="51" t="str">
        <f t="shared" si="1"/>
        <v>red_enemy_icon_chara_yuw_00101</v>
      </c>
      <c r="E45" s="51" t="str">
        <f t="shared" si="2"/>
        <v>blue_enemy_icon_chara_yuw_00101</v>
      </c>
      <c r="F45" s="51" t="str">
        <f t="shared" si="3"/>
        <v>green_enemy_icon_chara_yuw_00101</v>
      </c>
      <c r="G45" s="51" t="str">
        <f t="shared" si="4"/>
        <v>yellow_enemy_icon_chara_yuw_00101</v>
      </c>
      <c r="H45" s="47" t="s">
        <v>357</v>
      </c>
      <c r="I45" s="52"/>
      <c r="J45" s="52"/>
      <c r="K45" s="54"/>
      <c r="L45" s="54"/>
      <c r="M45" s="49">
        <v>45658.0</v>
      </c>
      <c r="N45" s="50">
        <v>390812.49998842593</v>
      </c>
      <c r="O45" s="54"/>
      <c r="P45" s="45"/>
    </row>
    <row r="46">
      <c r="A46" s="44" t="s">
        <v>121</v>
      </c>
      <c r="B46" s="53" t="s">
        <v>123</v>
      </c>
      <c r="C46" s="53" t="s">
        <v>1987</v>
      </c>
      <c r="D46" s="51" t="str">
        <f t="shared" si="1"/>
        <v>red_enemy_icon_chara_yuw_00201</v>
      </c>
      <c r="E46" s="51" t="str">
        <f t="shared" si="2"/>
        <v>blue_enemy_icon_chara_yuw_00201</v>
      </c>
      <c r="F46" s="51" t="str">
        <f t="shared" si="3"/>
        <v>green_enemy_icon_chara_yuw_00201</v>
      </c>
      <c r="G46" s="51" t="str">
        <f t="shared" si="4"/>
        <v>yellow_enemy_icon_chara_yuw_00201</v>
      </c>
      <c r="H46" s="47" t="s">
        <v>359</v>
      </c>
      <c r="I46" s="52"/>
      <c r="J46" s="52"/>
      <c r="K46" s="54"/>
      <c r="L46" s="54"/>
      <c r="M46" s="49">
        <v>45658.0</v>
      </c>
      <c r="N46" s="50">
        <v>390812.49998842593</v>
      </c>
      <c r="O46" s="54"/>
      <c r="P46" s="45"/>
    </row>
    <row r="47">
      <c r="A47" s="44" t="s">
        <v>127</v>
      </c>
      <c r="B47" s="53" t="s">
        <v>129</v>
      </c>
      <c r="C47" s="53" t="s">
        <v>1989</v>
      </c>
      <c r="D47" s="51" t="str">
        <f t="shared" si="1"/>
        <v>red_enemy_icon_chara_sur_00001</v>
      </c>
      <c r="E47" s="51" t="str">
        <f t="shared" si="2"/>
        <v>blue_enemy_icon_chara_sur_00001</v>
      </c>
      <c r="F47" s="51" t="str">
        <f t="shared" si="3"/>
        <v>green_enemy_icon_chara_sur_00001</v>
      </c>
      <c r="G47" s="51" t="str">
        <f t="shared" si="4"/>
        <v>yellow_enemy_icon_chara_sur_00001</v>
      </c>
      <c r="H47" s="47" t="s">
        <v>361</v>
      </c>
      <c r="I47" s="52"/>
      <c r="J47" s="52"/>
      <c r="K47" s="54"/>
      <c r="L47" s="54"/>
      <c r="M47" s="49">
        <v>45658.0</v>
      </c>
      <c r="N47" s="50">
        <v>390812.49998842593</v>
      </c>
      <c r="O47" s="54"/>
      <c r="P47" s="45"/>
    </row>
    <row r="48">
      <c r="A48" s="44" t="s">
        <v>127</v>
      </c>
      <c r="B48" s="53" t="s">
        <v>129</v>
      </c>
      <c r="C48" s="53" t="s">
        <v>1991</v>
      </c>
      <c r="D48" s="51" t="str">
        <f t="shared" si="1"/>
        <v>red_enemy_icon_chara_sur_00101</v>
      </c>
      <c r="E48" s="51" t="str">
        <f t="shared" si="2"/>
        <v>blue_enemy_icon_chara_sur_00101</v>
      </c>
      <c r="F48" s="51" t="str">
        <f t="shared" si="3"/>
        <v>green_enemy_icon_chara_sur_00101</v>
      </c>
      <c r="G48" s="51" t="str">
        <f t="shared" si="4"/>
        <v>yellow_enemy_icon_chara_sur_00101</v>
      </c>
      <c r="H48" s="47" t="s">
        <v>363</v>
      </c>
      <c r="I48" s="52"/>
      <c r="J48" s="52"/>
      <c r="K48" s="54"/>
      <c r="L48" s="54"/>
      <c r="M48" s="49">
        <v>45658.0</v>
      </c>
      <c r="N48" s="50">
        <v>390812.49998842593</v>
      </c>
      <c r="O48" s="54"/>
      <c r="P48" s="45"/>
    </row>
    <row r="49">
      <c r="A49" s="44" t="s">
        <v>127</v>
      </c>
      <c r="B49" s="53" t="s">
        <v>129</v>
      </c>
      <c r="C49" s="53" t="s">
        <v>1993</v>
      </c>
      <c r="D49" s="51" t="str">
        <f t="shared" si="1"/>
        <v>red_enemy_icon_chara_sur_00201</v>
      </c>
      <c r="E49" s="51" t="str">
        <f t="shared" si="2"/>
        <v>blue_enemy_icon_chara_sur_00201</v>
      </c>
      <c r="F49" s="51" t="str">
        <f t="shared" si="3"/>
        <v>green_enemy_icon_chara_sur_00201</v>
      </c>
      <c r="G49" s="51" t="str">
        <f t="shared" si="4"/>
        <v>yellow_enemy_icon_chara_sur_00201</v>
      </c>
      <c r="H49" s="47" t="s">
        <v>365</v>
      </c>
      <c r="I49" s="52"/>
      <c r="J49" s="52"/>
      <c r="K49" s="54"/>
      <c r="L49" s="54"/>
      <c r="M49" s="49">
        <v>45658.0</v>
      </c>
      <c r="N49" s="50">
        <v>390812.49998842593</v>
      </c>
      <c r="O49" s="54"/>
      <c r="P49" s="45"/>
    </row>
    <row r="50">
      <c r="A50" s="44" t="s">
        <v>127</v>
      </c>
      <c r="B50" s="53" t="s">
        <v>129</v>
      </c>
      <c r="C50" s="53" t="s">
        <v>1995</v>
      </c>
      <c r="D50" s="51" t="str">
        <f t="shared" si="1"/>
        <v>red_enemy_icon_chara_sur_00301</v>
      </c>
      <c r="E50" s="51" t="str">
        <f t="shared" si="2"/>
        <v>blue_enemy_icon_chara_sur_00301</v>
      </c>
      <c r="F50" s="51" t="str">
        <f t="shared" si="3"/>
        <v>green_enemy_icon_chara_sur_00301</v>
      </c>
      <c r="G50" s="51" t="str">
        <f t="shared" si="4"/>
        <v>yellow_enemy_icon_chara_sur_00301</v>
      </c>
      <c r="H50" s="47" t="s">
        <v>367</v>
      </c>
      <c r="I50" s="52"/>
      <c r="J50" s="52"/>
      <c r="K50" s="54"/>
      <c r="L50" s="54"/>
      <c r="M50" s="49">
        <v>45658.0</v>
      </c>
      <c r="N50" s="50">
        <v>390812.49998842593</v>
      </c>
      <c r="O50" s="54"/>
      <c r="P50" s="45"/>
    </row>
    <row r="51">
      <c r="A51" s="44" t="s">
        <v>127</v>
      </c>
      <c r="B51" s="53" t="s">
        <v>129</v>
      </c>
      <c r="C51" s="53" t="s">
        <v>1997</v>
      </c>
      <c r="D51" s="51" t="str">
        <f t="shared" si="1"/>
        <v>red_enemy_icon_chara_sur_00401</v>
      </c>
      <c r="E51" s="51" t="str">
        <f t="shared" si="2"/>
        <v>blue_enemy_icon_chara_sur_00401</v>
      </c>
      <c r="F51" s="51" t="str">
        <f t="shared" si="3"/>
        <v>green_enemy_icon_chara_sur_00401</v>
      </c>
      <c r="G51" s="51" t="str">
        <f t="shared" si="4"/>
        <v>yellow_enemy_icon_chara_sur_00401</v>
      </c>
      <c r="H51" s="47" t="s">
        <v>369</v>
      </c>
      <c r="I51" s="52"/>
      <c r="J51" s="52"/>
      <c r="K51" s="54"/>
      <c r="L51" s="54"/>
      <c r="M51" s="49">
        <v>45658.0</v>
      </c>
      <c r="N51" s="50">
        <v>390812.49998842593</v>
      </c>
      <c r="O51" s="54"/>
      <c r="P51" s="52"/>
    </row>
    <row r="52">
      <c r="A52" s="44" t="s">
        <v>127</v>
      </c>
      <c r="B52" s="53" t="s">
        <v>129</v>
      </c>
      <c r="C52" s="53" t="s">
        <v>1999</v>
      </c>
      <c r="D52" s="51" t="str">
        <f t="shared" si="1"/>
        <v>red_enemy_icon_enemy_sur_00001</v>
      </c>
      <c r="E52" s="51" t="str">
        <f t="shared" si="2"/>
        <v>blue_enemy_icon_enemy_sur_00001</v>
      </c>
      <c r="F52" s="51" t="str">
        <f t="shared" si="3"/>
        <v>green_enemy_icon_enemy_sur_00001</v>
      </c>
      <c r="G52" s="51" t="str">
        <f t="shared" si="4"/>
        <v>yellow_enemy_icon_enemy_sur_00001</v>
      </c>
      <c r="H52" s="47" t="s">
        <v>1407</v>
      </c>
      <c r="I52" s="52"/>
      <c r="J52" s="52"/>
      <c r="K52" s="54"/>
      <c r="L52" s="54"/>
      <c r="M52" s="49">
        <v>45658.0</v>
      </c>
      <c r="N52" s="50">
        <v>390812.49998842593</v>
      </c>
      <c r="O52" s="54"/>
      <c r="P52" s="52"/>
    </row>
    <row r="53">
      <c r="A53" s="44" t="s">
        <v>127</v>
      </c>
      <c r="B53" s="53" t="s">
        <v>129</v>
      </c>
      <c r="C53" s="53" t="s">
        <v>2001</v>
      </c>
      <c r="D53" s="51" t="str">
        <f t="shared" si="1"/>
        <v>red_enemy_icon_enemy_sur_00002</v>
      </c>
      <c r="E53" s="51" t="str">
        <f t="shared" si="2"/>
        <v>blue_enemy_icon_enemy_sur_00002</v>
      </c>
      <c r="F53" s="51" t="str">
        <f t="shared" si="3"/>
        <v>green_enemy_icon_enemy_sur_00002</v>
      </c>
      <c r="G53" s="51" t="str">
        <f t="shared" si="4"/>
        <v>yellow_enemy_icon_enemy_sur_00002</v>
      </c>
      <c r="H53" s="47" t="s">
        <v>1795</v>
      </c>
      <c r="I53" s="52"/>
      <c r="J53" s="52"/>
      <c r="K53" s="54"/>
      <c r="L53" s="54"/>
      <c r="M53" s="49">
        <v>45658.0</v>
      </c>
      <c r="N53" s="50">
        <v>390812.49998842593</v>
      </c>
      <c r="O53" s="54"/>
      <c r="P53" s="52"/>
    </row>
    <row r="54">
      <c r="A54" s="44" t="s">
        <v>132</v>
      </c>
      <c r="B54" s="53" t="s">
        <v>134</v>
      </c>
      <c r="C54" s="53" t="s">
        <v>2003</v>
      </c>
      <c r="D54" s="51" t="str">
        <f t="shared" si="1"/>
        <v>red_enemy_icon_chara_ron_00001</v>
      </c>
      <c r="E54" s="51" t="str">
        <f t="shared" si="2"/>
        <v>blue_enemy_icon_chara_ron_00001</v>
      </c>
      <c r="F54" s="51" t="str">
        <f t="shared" si="3"/>
        <v>green_enemy_icon_chara_ron_00001</v>
      </c>
      <c r="G54" s="51" t="str">
        <f t="shared" si="4"/>
        <v>yellow_enemy_icon_chara_ron_00001</v>
      </c>
      <c r="H54" s="47" t="s">
        <v>371</v>
      </c>
      <c r="I54" s="52"/>
      <c r="J54" s="52"/>
      <c r="K54" s="54"/>
      <c r="L54" s="54"/>
      <c r="M54" s="49">
        <v>45658.0</v>
      </c>
      <c r="N54" s="50">
        <v>390812.49998842593</v>
      </c>
      <c r="O54" s="54"/>
      <c r="P54" s="52"/>
    </row>
    <row r="55">
      <c r="A55" s="44" t="s">
        <v>132</v>
      </c>
      <c r="B55" s="53" t="s">
        <v>134</v>
      </c>
      <c r="C55" s="53" t="s">
        <v>2005</v>
      </c>
      <c r="D55" s="51" t="str">
        <f t="shared" si="1"/>
        <v>red_enemy_icon_chara_ron_00101</v>
      </c>
      <c r="E55" s="51" t="str">
        <f t="shared" si="2"/>
        <v>blue_enemy_icon_chara_ron_00101</v>
      </c>
      <c r="F55" s="51" t="str">
        <f t="shared" si="3"/>
        <v>green_enemy_icon_chara_ron_00101</v>
      </c>
      <c r="G55" s="51" t="str">
        <f t="shared" si="4"/>
        <v>yellow_enemy_icon_chara_ron_00101</v>
      </c>
      <c r="H55" s="47" t="s">
        <v>373</v>
      </c>
      <c r="I55" s="52"/>
      <c r="J55" s="52"/>
      <c r="K55" s="54"/>
      <c r="L55" s="54"/>
      <c r="M55" s="49">
        <v>45658.0</v>
      </c>
      <c r="N55" s="50">
        <v>390812.49998842593</v>
      </c>
      <c r="O55" s="54"/>
      <c r="P55" s="52"/>
    </row>
    <row r="56">
      <c r="A56" s="44" t="s">
        <v>138</v>
      </c>
      <c r="B56" s="53" t="s">
        <v>140</v>
      </c>
      <c r="C56" s="53" t="s">
        <v>2007</v>
      </c>
      <c r="D56" s="51" t="str">
        <f t="shared" si="1"/>
        <v>red_enemy_icon_chara_aha_00001</v>
      </c>
      <c r="E56" s="51" t="str">
        <f t="shared" si="2"/>
        <v>blue_enemy_icon_chara_aha_00001</v>
      </c>
      <c r="F56" s="51" t="str">
        <f t="shared" si="3"/>
        <v>green_enemy_icon_chara_aha_00001</v>
      </c>
      <c r="G56" s="51" t="str">
        <f t="shared" si="4"/>
        <v>yellow_enemy_icon_chara_aha_00001</v>
      </c>
      <c r="H56" s="47" t="s">
        <v>375</v>
      </c>
      <c r="I56" s="52"/>
      <c r="J56" s="52"/>
      <c r="K56" s="54"/>
      <c r="L56" s="54"/>
      <c r="M56" s="49">
        <v>45658.0</v>
      </c>
      <c r="N56" s="50">
        <v>390812.49998842593</v>
      </c>
      <c r="O56" s="54"/>
      <c r="P56" s="52"/>
    </row>
    <row r="57">
      <c r="A57" s="44" t="s">
        <v>138</v>
      </c>
      <c r="B57" s="53" t="s">
        <v>140</v>
      </c>
      <c r="C57" s="53" t="s">
        <v>2009</v>
      </c>
      <c r="D57" s="51" t="str">
        <f t="shared" si="1"/>
        <v>red_enemy_icon_chara_aha_00101</v>
      </c>
      <c r="E57" s="51" t="str">
        <f t="shared" si="2"/>
        <v>blue_enemy_icon_chara_aha_00101</v>
      </c>
      <c r="F57" s="51" t="str">
        <f t="shared" si="3"/>
        <v>green_enemy_icon_chara_aha_00101</v>
      </c>
      <c r="G57" s="51" t="str">
        <f t="shared" si="4"/>
        <v>yellow_enemy_icon_chara_aha_00101</v>
      </c>
      <c r="H57" s="47" t="s">
        <v>377</v>
      </c>
      <c r="I57" s="52"/>
      <c r="J57" s="52"/>
      <c r="K57" s="54"/>
      <c r="L57" s="54"/>
      <c r="M57" s="49">
        <v>45658.0</v>
      </c>
      <c r="N57" s="50">
        <v>390812.49998842593</v>
      </c>
      <c r="O57" s="54"/>
      <c r="P57" s="52"/>
    </row>
    <row r="58">
      <c r="A58" s="44" t="s">
        <v>153</v>
      </c>
      <c r="B58" s="53" t="s">
        <v>155</v>
      </c>
      <c r="C58" s="53" t="s">
        <v>2011</v>
      </c>
      <c r="D58" s="51" t="str">
        <f t="shared" si="1"/>
        <v>red_enemy_icon_chara_tak_00001</v>
      </c>
      <c r="E58" s="51" t="str">
        <f t="shared" si="2"/>
        <v>blue_enemy_icon_chara_tak_00001</v>
      </c>
      <c r="F58" s="51" t="str">
        <f t="shared" si="3"/>
        <v>green_enemy_icon_chara_tak_00001</v>
      </c>
      <c r="G58" s="51" t="str">
        <f t="shared" si="4"/>
        <v>yellow_enemy_icon_chara_tak_00001</v>
      </c>
      <c r="H58" s="47" t="s">
        <v>379</v>
      </c>
      <c r="I58" s="52"/>
      <c r="J58" s="52"/>
      <c r="K58" s="54"/>
      <c r="L58" s="54"/>
      <c r="M58" s="49">
        <v>45658.0</v>
      </c>
      <c r="N58" s="50">
        <v>390812.49998842593</v>
      </c>
      <c r="O58" s="54"/>
      <c r="P58" s="52"/>
    </row>
    <row r="59">
      <c r="A59" s="44" t="s">
        <v>148</v>
      </c>
      <c r="B59" s="53" t="s">
        <v>150</v>
      </c>
      <c r="C59" s="53" t="s">
        <v>2013</v>
      </c>
      <c r="D59" s="51" t="str">
        <f t="shared" si="1"/>
        <v>red_enemy_icon_chara_jig_00001</v>
      </c>
      <c r="E59" s="51" t="str">
        <f t="shared" si="2"/>
        <v>blue_enemy_icon_chara_jig_00001</v>
      </c>
      <c r="F59" s="51" t="str">
        <f t="shared" si="3"/>
        <v>green_enemy_icon_chara_jig_00001</v>
      </c>
      <c r="G59" s="51" t="str">
        <f t="shared" si="4"/>
        <v>yellow_enemy_icon_chara_jig_00001</v>
      </c>
      <c r="H59" s="47" t="s">
        <v>381</v>
      </c>
      <c r="I59" s="52"/>
      <c r="J59" s="52"/>
      <c r="K59" s="54"/>
      <c r="L59" s="54"/>
      <c r="M59" s="49">
        <v>45658.0</v>
      </c>
      <c r="N59" s="50">
        <v>390812.49998842593</v>
      </c>
      <c r="O59" s="54"/>
      <c r="P59" s="52"/>
    </row>
    <row r="60">
      <c r="A60" s="44" t="s">
        <v>148</v>
      </c>
      <c r="B60" s="53" t="s">
        <v>150</v>
      </c>
      <c r="C60" s="53" t="s">
        <v>2015</v>
      </c>
      <c r="D60" s="51" t="str">
        <f t="shared" si="1"/>
        <v>red_enemy_icon_chara_jig_00101</v>
      </c>
      <c r="E60" s="51" t="str">
        <f t="shared" si="2"/>
        <v>blue_enemy_icon_chara_jig_00101</v>
      </c>
      <c r="F60" s="51" t="str">
        <f t="shared" si="3"/>
        <v>green_enemy_icon_chara_jig_00101</v>
      </c>
      <c r="G60" s="51" t="str">
        <f t="shared" si="4"/>
        <v>yellow_enemy_icon_chara_jig_00101</v>
      </c>
      <c r="H60" s="47" t="s">
        <v>383</v>
      </c>
      <c r="I60" s="52"/>
      <c r="J60" s="52"/>
      <c r="K60" s="54"/>
      <c r="L60" s="54"/>
      <c r="M60" s="49">
        <v>45658.0</v>
      </c>
      <c r="N60" s="50">
        <v>390812.49998842593</v>
      </c>
      <c r="O60" s="54"/>
      <c r="P60" s="52"/>
    </row>
    <row r="61">
      <c r="A61" s="44" t="s">
        <v>148</v>
      </c>
      <c r="B61" s="53" t="s">
        <v>150</v>
      </c>
      <c r="C61" s="53" t="s">
        <v>2017</v>
      </c>
      <c r="D61" s="51" t="str">
        <f t="shared" si="1"/>
        <v>red_enemy_icon_enemy_jig_00001</v>
      </c>
      <c r="E61" s="51" t="str">
        <f t="shared" si="2"/>
        <v>blue_enemy_icon_enemy_jig_00001</v>
      </c>
      <c r="F61" s="51" t="str">
        <f t="shared" si="3"/>
        <v>green_enemy_icon_enemy_jig_00001</v>
      </c>
      <c r="G61" s="51" t="str">
        <f t="shared" si="4"/>
        <v>yellow_enemy_icon_enemy_jig_00001</v>
      </c>
      <c r="H61" s="47" t="s">
        <v>1797</v>
      </c>
      <c r="I61" s="52"/>
      <c r="J61" s="52"/>
      <c r="K61" s="54"/>
      <c r="L61" s="54"/>
      <c r="M61" s="49">
        <v>45658.0</v>
      </c>
      <c r="N61" s="50">
        <v>390812.49998842593</v>
      </c>
      <c r="O61" s="54"/>
      <c r="P61" s="52"/>
    </row>
    <row r="62">
      <c r="A62" s="44" t="s">
        <v>148</v>
      </c>
      <c r="B62" s="53" t="s">
        <v>150</v>
      </c>
      <c r="C62" s="53" t="s">
        <v>2019</v>
      </c>
      <c r="D62" s="51" t="str">
        <f t="shared" si="1"/>
        <v>red_enemy_icon_enemy_jig_00002</v>
      </c>
      <c r="E62" s="51" t="str">
        <f t="shared" si="2"/>
        <v>blue_enemy_icon_enemy_jig_00002</v>
      </c>
      <c r="F62" s="51" t="str">
        <f t="shared" si="3"/>
        <v>green_enemy_icon_enemy_jig_00002</v>
      </c>
      <c r="G62" s="51" t="str">
        <f t="shared" si="4"/>
        <v>yellow_enemy_icon_enemy_jig_00002</v>
      </c>
      <c r="H62" s="47" t="s">
        <v>2021</v>
      </c>
      <c r="I62" s="52"/>
      <c r="J62" s="52"/>
      <c r="K62" s="54"/>
      <c r="L62" s="54"/>
      <c r="M62" s="49">
        <v>45658.0</v>
      </c>
      <c r="N62" s="50">
        <v>390812.49998842593</v>
      </c>
      <c r="O62" s="54"/>
      <c r="P62" s="52"/>
    </row>
    <row r="63">
      <c r="A63" s="44" t="s">
        <v>148</v>
      </c>
      <c r="B63" s="53" t="s">
        <v>150</v>
      </c>
      <c r="C63" s="53" t="s">
        <v>2022</v>
      </c>
      <c r="D63" s="51" t="str">
        <f t="shared" si="1"/>
        <v>red_enemy_icon_enemy_jig_00003</v>
      </c>
      <c r="E63" s="51" t="str">
        <f t="shared" si="2"/>
        <v>blue_enemy_icon_enemy_jig_00003</v>
      </c>
      <c r="F63" s="51" t="str">
        <f t="shared" si="3"/>
        <v>green_enemy_icon_enemy_jig_00003</v>
      </c>
      <c r="G63" s="51" t="str">
        <f t="shared" si="4"/>
        <v>yellow_enemy_icon_enemy_jig_00003</v>
      </c>
      <c r="H63" s="47" t="s">
        <v>2024</v>
      </c>
      <c r="I63" s="52"/>
      <c r="J63" s="52"/>
      <c r="K63" s="54"/>
      <c r="L63" s="54"/>
      <c r="M63" s="49">
        <v>45658.0</v>
      </c>
      <c r="N63" s="50">
        <v>390812.49998842593</v>
      </c>
      <c r="O63" s="54"/>
      <c r="P63" s="52"/>
    </row>
    <row r="64">
      <c r="A64" s="44" t="s">
        <v>148</v>
      </c>
      <c r="B64" s="53" t="s">
        <v>150</v>
      </c>
      <c r="C64" s="53" t="s">
        <v>2025</v>
      </c>
      <c r="D64" s="51" t="str">
        <f t="shared" si="1"/>
        <v>red_enemy_icon_enemy_jig_00004</v>
      </c>
      <c r="E64" s="51" t="str">
        <f t="shared" si="2"/>
        <v>blue_enemy_icon_enemy_jig_00004</v>
      </c>
      <c r="F64" s="51" t="str">
        <f t="shared" si="3"/>
        <v>green_enemy_icon_enemy_jig_00004</v>
      </c>
      <c r="G64" s="51" t="str">
        <f t="shared" si="4"/>
        <v>yellow_enemy_icon_enemy_jig_00004</v>
      </c>
      <c r="H64" s="47" t="s">
        <v>2027</v>
      </c>
      <c r="I64" s="52"/>
      <c r="J64" s="52"/>
      <c r="K64" s="54"/>
      <c r="L64" s="54"/>
      <c r="M64" s="49">
        <v>45658.0</v>
      </c>
      <c r="N64" s="50">
        <v>390812.49998842593</v>
      </c>
      <c r="O64" s="54"/>
      <c r="P64" s="52"/>
    </row>
    <row r="65">
      <c r="A65" s="55" t="s">
        <v>98</v>
      </c>
      <c r="B65" s="53" t="s">
        <v>100</v>
      </c>
      <c r="C65" s="53" t="s">
        <v>4342</v>
      </c>
      <c r="D65" s="51" t="str">
        <f t="shared" si="1"/>
        <v>red_enemy_icon_chara_mag_00001</v>
      </c>
      <c r="E65" s="51" t="str">
        <f t="shared" si="2"/>
        <v>blue_enemy_icon_chara_mag_00001</v>
      </c>
      <c r="F65" s="51" t="str">
        <f t="shared" si="3"/>
        <v>green_enemy_icon_chara_mag_00001</v>
      </c>
      <c r="G65" s="51" t="str">
        <f t="shared" si="4"/>
        <v>yellow_enemy_icon_chara_mag_00001</v>
      </c>
      <c r="H65" s="47" t="s">
        <v>385</v>
      </c>
      <c r="I65" s="52"/>
      <c r="J65" s="52"/>
      <c r="K65" s="54"/>
      <c r="L65" s="54"/>
      <c r="M65" s="49">
        <v>45658.0</v>
      </c>
      <c r="N65" s="50">
        <v>390812.49998842593</v>
      </c>
      <c r="O65" s="54"/>
      <c r="P65" s="52"/>
    </row>
    <row r="66">
      <c r="A66" s="55" t="s">
        <v>98</v>
      </c>
      <c r="B66" s="53" t="s">
        <v>100</v>
      </c>
      <c r="C66" s="53" t="s">
        <v>4343</v>
      </c>
      <c r="D66" s="51" t="str">
        <f t="shared" si="1"/>
        <v>red_enemy_icon_chara_mag_00101</v>
      </c>
      <c r="E66" s="51" t="str">
        <f t="shared" si="2"/>
        <v>blue_enemy_icon_chara_mag_00101</v>
      </c>
      <c r="F66" s="51" t="str">
        <f t="shared" si="3"/>
        <v>green_enemy_icon_chara_mag_00101</v>
      </c>
      <c r="G66" s="51" t="str">
        <f t="shared" si="4"/>
        <v>yellow_enemy_icon_chara_mag_00101</v>
      </c>
      <c r="H66" s="47" t="s">
        <v>387</v>
      </c>
      <c r="I66" s="52"/>
      <c r="J66" s="52"/>
      <c r="K66" s="54"/>
      <c r="L66" s="54"/>
      <c r="M66" s="49">
        <v>45658.0</v>
      </c>
      <c r="N66" s="50">
        <v>390812.49998842593</v>
      </c>
      <c r="O66" s="54"/>
      <c r="P66" s="52"/>
    </row>
    <row r="67">
      <c r="A67" s="44" t="s">
        <v>103</v>
      </c>
      <c r="B67" s="53" t="s">
        <v>105</v>
      </c>
      <c r="C67" s="53" t="s">
        <v>2033</v>
      </c>
      <c r="D67" s="51" t="str">
        <f t="shared" si="1"/>
        <v>red_enemy_icon_chara_dos_00001</v>
      </c>
      <c r="E67" s="51" t="str">
        <f t="shared" si="2"/>
        <v>blue_enemy_icon_chara_dos_00001</v>
      </c>
      <c r="F67" s="51" t="str">
        <f t="shared" si="3"/>
        <v>green_enemy_icon_chara_dos_00001</v>
      </c>
      <c r="G67" s="51" t="str">
        <f t="shared" si="4"/>
        <v>yellow_enemy_icon_chara_dos_00001</v>
      </c>
      <c r="H67" s="47" t="s">
        <v>389</v>
      </c>
      <c r="I67" s="52"/>
      <c r="J67" s="52"/>
      <c r="K67" s="54"/>
      <c r="L67" s="54"/>
      <c r="M67" s="49">
        <v>45658.0</v>
      </c>
      <c r="N67" s="50">
        <v>390812.49998842593</v>
      </c>
      <c r="O67" s="54"/>
      <c r="P67" s="52"/>
    </row>
    <row r="68">
      <c r="A68" s="44" t="s">
        <v>103</v>
      </c>
      <c r="B68" s="53" t="s">
        <v>105</v>
      </c>
      <c r="C68" s="53" t="s">
        <v>2035</v>
      </c>
      <c r="D68" s="51" t="str">
        <f t="shared" si="1"/>
        <v>red_enemy_icon_chara_dos_00101</v>
      </c>
      <c r="E68" s="51" t="str">
        <f t="shared" si="2"/>
        <v>blue_enemy_icon_chara_dos_00101</v>
      </c>
      <c r="F68" s="51" t="str">
        <f t="shared" si="3"/>
        <v>green_enemy_icon_chara_dos_00101</v>
      </c>
      <c r="G68" s="51" t="str">
        <f t="shared" si="4"/>
        <v>yellow_enemy_icon_chara_dos_00101</v>
      </c>
      <c r="H68" s="47" t="s">
        <v>391</v>
      </c>
      <c r="I68" s="52"/>
      <c r="J68" s="52"/>
      <c r="K68" s="54"/>
      <c r="L68" s="54"/>
      <c r="M68" s="49">
        <v>45658.0</v>
      </c>
      <c r="N68" s="50">
        <v>390812.49998842593</v>
      </c>
      <c r="O68" s="54"/>
      <c r="P68" s="52"/>
    </row>
    <row r="69">
      <c r="A69" s="44" t="s">
        <v>143</v>
      </c>
      <c r="B69" s="53" t="s">
        <v>145</v>
      </c>
      <c r="C69" s="53" t="s">
        <v>2037</v>
      </c>
      <c r="D69" s="51" t="str">
        <f t="shared" si="1"/>
        <v>red_enemy_icon_chara_sum_00001</v>
      </c>
      <c r="E69" s="51" t="str">
        <f t="shared" si="2"/>
        <v>blue_enemy_icon_chara_sum_00001</v>
      </c>
      <c r="F69" s="51" t="str">
        <f t="shared" si="3"/>
        <v>green_enemy_icon_chara_sum_00001</v>
      </c>
      <c r="G69" s="51" t="str">
        <f t="shared" si="4"/>
        <v>yellow_enemy_icon_chara_sum_00001</v>
      </c>
      <c r="H69" s="47" t="s">
        <v>393</v>
      </c>
      <c r="I69" s="52"/>
      <c r="J69" s="52"/>
      <c r="K69" s="54"/>
      <c r="L69" s="54"/>
      <c r="M69" s="49">
        <v>45658.0</v>
      </c>
      <c r="N69" s="50">
        <v>390812.49998842593</v>
      </c>
      <c r="O69" s="54"/>
      <c r="P69" s="52"/>
    </row>
    <row r="70">
      <c r="A70" s="44" t="s">
        <v>143</v>
      </c>
      <c r="B70" s="53" t="s">
        <v>145</v>
      </c>
      <c r="C70" s="53" t="s">
        <v>2039</v>
      </c>
      <c r="D70" s="51" t="str">
        <f t="shared" si="1"/>
        <v>red_enemy_icon_chara_sum_00101</v>
      </c>
      <c r="E70" s="51" t="str">
        <f t="shared" si="2"/>
        <v>blue_enemy_icon_chara_sum_00101</v>
      </c>
      <c r="F70" s="51" t="str">
        <f t="shared" si="3"/>
        <v>green_enemy_icon_chara_sum_00101</v>
      </c>
      <c r="G70" s="51" t="str">
        <f t="shared" si="4"/>
        <v>yellow_enemy_icon_chara_sum_00101</v>
      </c>
      <c r="H70" s="47" t="s">
        <v>395</v>
      </c>
      <c r="I70" s="52"/>
      <c r="J70" s="52"/>
      <c r="K70" s="54"/>
      <c r="L70" s="54"/>
      <c r="M70" s="49">
        <v>45658.0</v>
      </c>
      <c r="N70" s="50">
        <v>390812.49998842593</v>
      </c>
      <c r="O70" s="54"/>
      <c r="P70" s="52"/>
    </row>
    <row r="71">
      <c r="A71" s="44" t="s">
        <v>143</v>
      </c>
      <c r="B71" s="53" t="s">
        <v>145</v>
      </c>
      <c r="C71" s="53" t="s">
        <v>2041</v>
      </c>
      <c r="D71" s="51" t="str">
        <f t="shared" si="1"/>
        <v>red_enemy_icon_chara_sum_00201</v>
      </c>
      <c r="E71" s="51" t="str">
        <f t="shared" si="2"/>
        <v>blue_enemy_icon_chara_sum_00201</v>
      </c>
      <c r="F71" s="51" t="str">
        <f t="shared" si="3"/>
        <v>green_enemy_icon_chara_sum_00201</v>
      </c>
      <c r="G71" s="51" t="str">
        <f t="shared" si="4"/>
        <v>yellow_enemy_icon_chara_sum_00201</v>
      </c>
      <c r="H71" s="47" t="s">
        <v>397</v>
      </c>
      <c r="I71" s="52"/>
      <c r="J71" s="52"/>
      <c r="K71" s="54"/>
      <c r="L71" s="54"/>
      <c r="M71" s="49">
        <v>45658.0</v>
      </c>
      <c r="N71" s="50">
        <v>390812.49998842593</v>
      </c>
      <c r="O71" s="54"/>
      <c r="P71" s="52"/>
    </row>
    <row r="72">
      <c r="A72" s="56"/>
      <c r="B72" s="56"/>
      <c r="C72" s="56"/>
      <c r="D72" s="56"/>
      <c r="E72" s="56"/>
      <c r="F72" s="56"/>
      <c r="G72" s="56"/>
      <c r="H72" s="56"/>
      <c r="I72" s="56"/>
      <c r="J72" s="56"/>
      <c r="K72" s="56"/>
      <c r="L72" s="56"/>
      <c r="M72" s="56"/>
      <c r="N72" s="56"/>
      <c r="O72" s="56"/>
      <c r="P72" s="56"/>
    </row>
    <row r="73">
      <c r="A73" s="56"/>
      <c r="B73" s="56"/>
      <c r="C73" s="56"/>
      <c r="D73" s="56"/>
      <c r="E73" s="56"/>
      <c r="F73" s="56"/>
      <c r="G73" s="56"/>
      <c r="H73" s="56"/>
      <c r="I73" s="56"/>
      <c r="J73" s="56"/>
      <c r="K73" s="56"/>
      <c r="L73" s="56"/>
      <c r="M73" s="56"/>
      <c r="N73" s="56"/>
      <c r="O73" s="56"/>
      <c r="P73" s="56"/>
    </row>
    <row r="74">
      <c r="A74" s="56"/>
      <c r="B74" s="56"/>
      <c r="C74" s="56"/>
      <c r="D74" s="56"/>
      <c r="E74" s="56"/>
      <c r="F74" s="56"/>
      <c r="G74" s="56"/>
      <c r="H74" s="56"/>
      <c r="I74" s="56"/>
      <c r="J74" s="56"/>
      <c r="K74" s="56"/>
      <c r="L74" s="56"/>
      <c r="M74" s="56"/>
      <c r="N74" s="56"/>
      <c r="O74" s="56"/>
      <c r="P74" s="56"/>
    </row>
    <row r="75">
      <c r="A75" s="56"/>
      <c r="B75" s="56"/>
      <c r="C75" s="56"/>
      <c r="D75" s="56"/>
      <c r="E75" s="56"/>
      <c r="F75" s="56"/>
      <c r="G75" s="56"/>
      <c r="H75" s="56"/>
      <c r="I75" s="56"/>
      <c r="J75" s="56"/>
      <c r="K75" s="56"/>
      <c r="L75" s="56"/>
      <c r="M75" s="56"/>
      <c r="N75" s="56"/>
      <c r="O75" s="56"/>
      <c r="P75" s="56"/>
    </row>
    <row r="76">
      <c r="A76" s="56"/>
      <c r="B76" s="56"/>
      <c r="C76" s="56"/>
      <c r="D76" s="56"/>
      <c r="E76" s="56"/>
      <c r="F76" s="56"/>
      <c r="G76" s="56"/>
      <c r="H76" s="56"/>
      <c r="I76" s="56"/>
      <c r="J76" s="56"/>
      <c r="K76" s="56"/>
      <c r="L76" s="56"/>
      <c r="M76" s="56"/>
      <c r="N76" s="56"/>
      <c r="O76" s="56"/>
      <c r="P76" s="56"/>
    </row>
    <row r="77">
      <c r="A77" s="56"/>
      <c r="B77" s="56"/>
      <c r="C77" s="56"/>
      <c r="D77" s="56"/>
      <c r="E77" s="56"/>
      <c r="F77" s="56"/>
      <c r="G77" s="56"/>
      <c r="H77" s="56"/>
      <c r="I77" s="56"/>
      <c r="J77" s="56"/>
      <c r="K77" s="56"/>
      <c r="L77" s="56"/>
      <c r="M77" s="56"/>
      <c r="N77" s="56"/>
      <c r="O77" s="56"/>
      <c r="P77" s="56"/>
    </row>
    <row r="78">
      <c r="A78" s="56"/>
      <c r="B78" s="56"/>
      <c r="C78" s="56"/>
      <c r="D78" s="56"/>
      <c r="E78" s="56"/>
      <c r="F78" s="56"/>
      <c r="G78" s="56"/>
      <c r="H78" s="56"/>
      <c r="I78" s="56"/>
      <c r="J78" s="56"/>
      <c r="K78" s="56"/>
      <c r="L78" s="56"/>
      <c r="M78" s="56"/>
      <c r="N78" s="56"/>
      <c r="O78" s="56"/>
      <c r="P78" s="56"/>
    </row>
    <row r="79">
      <c r="A79" s="56"/>
      <c r="B79" s="56"/>
      <c r="C79" s="56"/>
      <c r="D79" s="56"/>
      <c r="E79" s="56"/>
      <c r="F79" s="56"/>
      <c r="G79" s="56"/>
      <c r="H79" s="56"/>
      <c r="I79" s="56"/>
      <c r="J79" s="56"/>
      <c r="K79" s="56"/>
      <c r="L79" s="56"/>
      <c r="M79" s="56"/>
      <c r="N79" s="56"/>
      <c r="O79" s="56"/>
      <c r="P79" s="56"/>
    </row>
    <row r="80">
      <c r="A80" s="56"/>
      <c r="B80" s="56"/>
      <c r="C80" s="56"/>
      <c r="D80" s="56"/>
      <c r="E80" s="56"/>
      <c r="F80" s="56"/>
      <c r="G80" s="56"/>
      <c r="H80" s="56"/>
      <c r="I80" s="56"/>
      <c r="J80" s="56"/>
      <c r="K80" s="56"/>
      <c r="L80" s="56"/>
      <c r="M80" s="56"/>
      <c r="N80" s="56"/>
      <c r="O80" s="56"/>
      <c r="P80" s="56"/>
    </row>
    <row r="81">
      <c r="A81" s="56"/>
      <c r="B81" s="56"/>
      <c r="C81" s="56"/>
      <c r="D81" s="56"/>
      <c r="E81" s="56"/>
      <c r="F81" s="56"/>
      <c r="G81" s="56"/>
      <c r="H81" s="56"/>
      <c r="I81" s="56"/>
      <c r="J81" s="56"/>
      <c r="K81" s="56"/>
      <c r="L81" s="56"/>
      <c r="M81" s="56"/>
      <c r="N81" s="56"/>
      <c r="O81" s="56"/>
      <c r="P81" s="56"/>
    </row>
    <row r="82">
      <c r="A82" s="56"/>
      <c r="B82" s="56"/>
      <c r="C82" s="56"/>
      <c r="D82" s="56"/>
      <c r="E82" s="56"/>
      <c r="F82" s="56"/>
      <c r="G82" s="56"/>
      <c r="H82" s="56"/>
      <c r="I82" s="56"/>
      <c r="J82" s="56"/>
      <c r="K82" s="56"/>
      <c r="L82" s="56"/>
      <c r="M82" s="56"/>
      <c r="N82" s="56"/>
      <c r="O82" s="56"/>
      <c r="P82" s="56"/>
    </row>
    <row r="83">
      <c r="A83" s="56"/>
      <c r="B83" s="56"/>
      <c r="C83" s="56"/>
      <c r="D83" s="56"/>
      <c r="E83" s="56"/>
      <c r="F83" s="56"/>
      <c r="G83" s="56"/>
      <c r="H83" s="56"/>
      <c r="I83" s="56"/>
      <c r="J83" s="56"/>
      <c r="K83" s="56"/>
      <c r="L83" s="56"/>
      <c r="M83" s="56"/>
      <c r="N83" s="56"/>
      <c r="O83" s="56"/>
      <c r="P83" s="56"/>
    </row>
    <row r="84">
      <c r="A84" s="56"/>
      <c r="B84" s="56"/>
      <c r="C84" s="56"/>
      <c r="D84" s="56"/>
      <c r="E84" s="56"/>
      <c r="F84" s="56"/>
      <c r="G84" s="56"/>
      <c r="H84" s="56"/>
      <c r="I84" s="56"/>
      <c r="J84" s="56"/>
      <c r="K84" s="56"/>
      <c r="L84" s="56"/>
      <c r="M84" s="56"/>
      <c r="N84" s="56"/>
      <c r="O84" s="56"/>
      <c r="P84" s="56"/>
    </row>
    <row r="85">
      <c r="A85" s="56"/>
      <c r="B85" s="56"/>
      <c r="C85" s="56"/>
      <c r="D85" s="56"/>
      <c r="E85" s="56"/>
      <c r="F85" s="56"/>
      <c r="G85" s="56"/>
      <c r="H85" s="56"/>
      <c r="I85" s="56"/>
      <c r="J85" s="56"/>
      <c r="K85" s="56"/>
      <c r="L85" s="56"/>
      <c r="M85" s="56"/>
      <c r="N85" s="56"/>
      <c r="O85" s="56"/>
      <c r="P85" s="56"/>
    </row>
    <row r="86">
      <c r="A86" s="56"/>
      <c r="B86" s="56"/>
      <c r="C86" s="56"/>
      <c r="D86" s="56"/>
      <c r="E86" s="56"/>
      <c r="F86" s="56"/>
      <c r="G86" s="56"/>
      <c r="H86" s="56"/>
      <c r="I86" s="56"/>
      <c r="J86" s="56"/>
      <c r="K86" s="56"/>
      <c r="L86" s="56"/>
      <c r="M86" s="56"/>
      <c r="N86" s="56"/>
      <c r="O86" s="56"/>
      <c r="P86" s="56"/>
    </row>
    <row r="87">
      <c r="A87" s="56"/>
      <c r="B87" s="56"/>
      <c r="C87" s="56"/>
      <c r="D87" s="56"/>
      <c r="E87" s="56"/>
      <c r="F87" s="56"/>
      <c r="G87" s="56"/>
      <c r="H87" s="56"/>
      <c r="I87" s="56"/>
      <c r="J87" s="56"/>
      <c r="K87" s="56"/>
      <c r="L87" s="56"/>
      <c r="M87" s="56"/>
      <c r="N87" s="56"/>
      <c r="O87" s="56"/>
      <c r="P87" s="56"/>
    </row>
    <row r="88">
      <c r="A88" s="56"/>
      <c r="B88" s="56"/>
      <c r="C88" s="56"/>
      <c r="D88" s="56"/>
      <c r="E88" s="56"/>
      <c r="F88" s="56"/>
      <c r="G88" s="56"/>
      <c r="H88" s="56"/>
      <c r="I88" s="56"/>
      <c r="J88" s="56"/>
      <c r="K88" s="56"/>
      <c r="L88" s="56"/>
      <c r="M88" s="56"/>
      <c r="N88" s="56"/>
      <c r="O88" s="56"/>
      <c r="P88" s="56"/>
    </row>
    <row r="89">
      <c r="A89" s="56"/>
      <c r="B89" s="56"/>
      <c r="C89" s="56"/>
      <c r="D89" s="56"/>
      <c r="E89" s="56"/>
      <c r="F89" s="56"/>
      <c r="G89" s="56"/>
      <c r="H89" s="56"/>
      <c r="I89" s="56"/>
      <c r="J89" s="56"/>
      <c r="K89" s="56"/>
      <c r="L89" s="56"/>
      <c r="M89" s="56"/>
      <c r="N89" s="56"/>
      <c r="O89" s="56"/>
      <c r="P89" s="56"/>
    </row>
    <row r="90">
      <c r="A90" s="56"/>
      <c r="B90" s="56"/>
      <c r="C90" s="56"/>
      <c r="D90" s="56"/>
      <c r="E90" s="56"/>
      <c r="F90" s="56"/>
      <c r="G90" s="56"/>
      <c r="H90" s="56"/>
      <c r="I90" s="56"/>
      <c r="J90" s="56"/>
      <c r="K90" s="56"/>
      <c r="L90" s="56"/>
      <c r="M90" s="56"/>
      <c r="N90" s="56"/>
      <c r="O90" s="56"/>
      <c r="P90" s="56"/>
    </row>
    <row r="91">
      <c r="A91" s="56"/>
      <c r="B91" s="56"/>
      <c r="C91" s="56"/>
      <c r="D91" s="56"/>
      <c r="E91" s="56"/>
      <c r="F91" s="56"/>
      <c r="G91" s="56"/>
      <c r="H91" s="56"/>
      <c r="I91" s="56"/>
      <c r="J91" s="56"/>
      <c r="K91" s="56"/>
      <c r="L91" s="56"/>
      <c r="M91" s="56"/>
      <c r="N91" s="56"/>
      <c r="O91" s="56"/>
      <c r="P91" s="56"/>
    </row>
    <row r="92">
      <c r="A92" s="56"/>
      <c r="B92" s="56"/>
      <c r="C92" s="56"/>
      <c r="D92" s="56"/>
      <c r="E92" s="56"/>
      <c r="F92" s="56"/>
      <c r="G92" s="56"/>
      <c r="H92" s="56"/>
      <c r="I92" s="56"/>
      <c r="J92" s="56"/>
      <c r="K92" s="56"/>
      <c r="L92" s="56"/>
      <c r="M92" s="56"/>
      <c r="N92" s="56"/>
      <c r="O92" s="56"/>
      <c r="P92" s="56"/>
    </row>
    <row r="93">
      <c r="A93" s="56"/>
      <c r="B93" s="56"/>
      <c r="C93" s="56"/>
      <c r="D93" s="56"/>
      <c r="E93" s="56"/>
      <c r="F93" s="56"/>
      <c r="G93" s="56"/>
      <c r="H93" s="56"/>
      <c r="I93" s="56"/>
      <c r="J93" s="56"/>
      <c r="K93" s="56"/>
      <c r="L93" s="56"/>
      <c r="M93" s="56"/>
      <c r="N93" s="56"/>
      <c r="O93" s="56"/>
      <c r="P93" s="56"/>
    </row>
    <row r="94">
      <c r="A94" s="56"/>
      <c r="B94" s="56"/>
      <c r="C94" s="56"/>
      <c r="D94" s="56"/>
      <c r="E94" s="56"/>
      <c r="F94" s="56"/>
      <c r="G94" s="56"/>
      <c r="H94" s="56"/>
      <c r="I94" s="56"/>
      <c r="J94" s="56"/>
      <c r="K94" s="56"/>
      <c r="L94" s="56"/>
      <c r="M94" s="56"/>
      <c r="N94" s="56"/>
      <c r="O94" s="56"/>
      <c r="P94" s="56"/>
    </row>
    <row r="95">
      <c r="A95" s="56"/>
      <c r="B95" s="56"/>
      <c r="C95" s="56"/>
      <c r="D95" s="56"/>
      <c r="E95" s="56"/>
      <c r="F95" s="56"/>
      <c r="G95" s="56"/>
      <c r="H95" s="56"/>
      <c r="I95" s="56"/>
      <c r="J95" s="56"/>
      <c r="K95" s="56"/>
      <c r="L95" s="56"/>
      <c r="M95" s="56"/>
      <c r="N95" s="56"/>
      <c r="O95" s="56"/>
      <c r="P95" s="56"/>
    </row>
    <row r="96">
      <c r="A96" s="56"/>
      <c r="B96" s="56"/>
      <c r="C96" s="56"/>
      <c r="D96" s="56"/>
      <c r="E96" s="56"/>
      <c r="F96" s="56"/>
      <c r="G96" s="56"/>
      <c r="H96" s="56"/>
      <c r="I96" s="56"/>
      <c r="J96" s="56"/>
      <c r="K96" s="56"/>
      <c r="L96" s="56"/>
      <c r="M96" s="56"/>
      <c r="N96" s="56"/>
      <c r="O96" s="56"/>
      <c r="P96" s="56"/>
    </row>
    <row r="97">
      <c r="A97" s="56"/>
      <c r="B97" s="56"/>
      <c r="C97" s="56"/>
      <c r="D97" s="56"/>
      <c r="E97" s="56"/>
      <c r="F97" s="56"/>
      <c r="G97" s="56"/>
      <c r="H97" s="56"/>
      <c r="I97" s="56"/>
      <c r="J97" s="56"/>
      <c r="K97" s="56"/>
      <c r="L97" s="56"/>
      <c r="M97" s="56"/>
      <c r="N97" s="56"/>
      <c r="O97" s="56"/>
      <c r="P97" s="56"/>
    </row>
    <row r="98">
      <c r="A98" s="56"/>
      <c r="B98" s="56"/>
      <c r="C98" s="56"/>
      <c r="D98" s="56"/>
      <c r="E98" s="56"/>
      <c r="F98" s="56"/>
      <c r="G98" s="56"/>
      <c r="H98" s="56"/>
      <c r="I98" s="56"/>
      <c r="J98" s="56"/>
      <c r="K98" s="56"/>
      <c r="L98" s="56"/>
      <c r="M98" s="56"/>
      <c r="N98" s="56"/>
      <c r="O98" s="56"/>
      <c r="P98" s="56"/>
    </row>
    <row r="99">
      <c r="A99" s="56"/>
      <c r="B99" s="56"/>
      <c r="C99" s="56"/>
      <c r="D99" s="56"/>
      <c r="E99" s="56"/>
      <c r="F99" s="56"/>
      <c r="G99" s="56"/>
      <c r="H99" s="56"/>
      <c r="I99" s="56"/>
      <c r="J99" s="56"/>
      <c r="K99" s="56"/>
      <c r="L99" s="56"/>
      <c r="M99" s="56"/>
      <c r="N99" s="56"/>
      <c r="O99" s="56"/>
      <c r="P99" s="56"/>
    </row>
    <row r="100">
      <c r="A100" s="56"/>
      <c r="B100" s="56"/>
      <c r="C100" s="56"/>
      <c r="D100" s="56"/>
      <c r="E100" s="56"/>
      <c r="F100" s="56"/>
      <c r="G100" s="56"/>
      <c r="H100" s="56"/>
      <c r="I100" s="56"/>
      <c r="J100" s="56"/>
      <c r="K100" s="56"/>
      <c r="L100" s="56"/>
      <c r="M100" s="56"/>
      <c r="N100" s="56"/>
      <c r="O100" s="56"/>
      <c r="P100" s="56"/>
    </row>
  </sheetData>
  <dataValidations>
    <dataValidation type="list" allowBlank="1" showErrorMessage="1" sqref="K2:K13">
      <formula1>"プレイアブル＆敵キャラでも登場可,敵キャラonly "</formula1>
    </dataValidation>
    <dataValidation type="list" allowBlank="1" showErrorMessage="1" sqref="J2:J71">
      <formula1>"SSR,SR,R,N"</formula1>
    </dataValidation>
    <dataValidation type="list" allowBlank="1" showErrorMessage="1" sqref="L2:L13">
      <formula1>"アタック,ディフェンス,サポート"</formula1>
    </dataValidation>
  </dataValidation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0"/>
    <col customWidth="1" min="3" max="3" width="28.38"/>
    <col customWidth="1" min="4" max="4" width="25.25"/>
    <col customWidth="1" min="5" max="5" width="27.5"/>
    <col customWidth="1" min="6" max="6" width="27.25"/>
    <col customWidth="1" min="7" max="7" width="26.75"/>
    <col customWidth="1" min="8" max="8" width="15.25"/>
    <col customWidth="1" min="9" max="9" width="17.5"/>
    <col customWidth="1" min="13" max="13" width="16.13"/>
    <col customWidth="1" min="14" max="14" width="17.0"/>
  </cols>
  <sheetData>
    <row r="1" ht="15.0" customHeight="1">
      <c r="A1" s="37" t="s">
        <v>290</v>
      </c>
      <c r="B1" s="38" t="s">
        <v>43</v>
      </c>
      <c r="C1" s="39" t="s">
        <v>4344</v>
      </c>
      <c r="D1" s="39" t="s">
        <v>4345</v>
      </c>
      <c r="E1" s="39" t="s">
        <v>4346</v>
      </c>
      <c r="F1" s="39" t="s">
        <v>4347</v>
      </c>
      <c r="G1" s="39" t="s">
        <v>4348</v>
      </c>
      <c r="H1" s="40" t="s">
        <v>292</v>
      </c>
      <c r="I1" s="41" t="s">
        <v>293</v>
      </c>
      <c r="J1" s="300" t="s">
        <v>422</v>
      </c>
      <c r="K1" s="301" t="s">
        <v>956</v>
      </c>
      <c r="L1" s="38" t="s">
        <v>957</v>
      </c>
      <c r="M1" s="42" t="s">
        <v>294</v>
      </c>
      <c r="N1" s="43" t="s">
        <v>295</v>
      </c>
      <c r="O1" s="43" t="s">
        <v>58</v>
      </c>
      <c r="P1" s="38" t="s">
        <v>296</v>
      </c>
    </row>
    <row r="2">
      <c r="A2" s="44" t="s">
        <v>60</v>
      </c>
      <c r="B2" s="45" t="s">
        <v>62</v>
      </c>
      <c r="C2" s="46" t="s">
        <v>1887</v>
      </c>
      <c r="D2" s="51" t="str">
        <f t="shared" ref="D2:D71" si="1">"red_"&amp;C2</f>
        <v>red_boss_icon_chara_spy_00001</v>
      </c>
      <c r="E2" s="51" t="str">
        <f t="shared" ref="E2:E71" si="2">"blue_"&amp;$C2</f>
        <v>blue_boss_icon_chara_spy_00001</v>
      </c>
      <c r="F2" s="51" t="str">
        <f t="shared" ref="F2:F71" si="3">"green_"&amp;$C2</f>
        <v>green_boss_icon_chara_spy_00001</v>
      </c>
      <c r="G2" s="51" t="str">
        <f t="shared" ref="G2:G71" si="4">"yellow_"&amp;$C2</f>
        <v>yellow_boss_icon_chara_spy_00001</v>
      </c>
      <c r="H2" s="47" t="s">
        <v>298</v>
      </c>
      <c r="I2" s="48"/>
      <c r="J2" s="45" t="s">
        <v>569</v>
      </c>
      <c r="K2" s="55" t="s">
        <v>1888</v>
      </c>
      <c r="L2" s="59" t="s">
        <v>1072</v>
      </c>
      <c r="M2" s="49">
        <v>45658.0</v>
      </c>
      <c r="N2" s="50">
        <v>390812.49998842593</v>
      </c>
      <c r="O2" s="51"/>
      <c r="P2" s="45"/>
    </row>
    <row r="3">
      <c r="A3" s="44" t="s">
        <v>60</v>
      </c>
      <c r="B3" s="45" t="s">
        <v>62</v>
      </c>
      <c r="C3" s="46" t="s">
        <v>1890</v>
      </c>
      <c r="D3" s="51" t="str">
        <f t="shared" si="1"/>
        <v>red_boss_icon_chara_spy_00002</v>
      </c>
      <c r="E3" s="51" t="str">
        <f t="shared" si="2"/>
        <v>blue_boss_icon_chara_spy_00002</v>
      </c>
      <c r="F3" s="51" t="str">
        <f t="shared" si="3"/>
        <v>green_boss_icon_chara_spy_00002</v>
      </c>
      <c r="G3" s="51" t="str">
        <f t="shared" si="4"/>
        <v>yellow_boss_icon_chara_spy_00002</v>
      </c>
      <c r="H3" s="47" t="s">
        <v>300</v>
      </c>
      <c r="I3" s="48"/>
      <c r="J3" s="45" t="s">
        <v>993</v>
      </c>
      <c r="K3" s="55" t="s">
        <v>1888</v>
      </c>
      <c r="L3" s="59" t="s">
        <v>1072</v>
      </c>
      <c r="M3" s="49">
        <v>45658.0</v>
      </c>
      <c r="N3" s="50">
        <v>390812.49998842593</v>
      </c>
      <c r="O3" s="51"/>
      <c r="P3" s="45"/>
    </row>
    <row r="4">
      <c r="A4" s="44" t="s">
        <v>60</v>
      </c>
      <c r="B4" s="45" t="s">
        <v>62</v>
      </c>
      <c r="C4" s="46" t="s">
        <v>1892</v>
      </c>
      <c r="D4" s="51" t="str">
        <f t="shared" si="1"/>
        <v>red_boss_icon_chara_spy_00101</v>
      </c>
      <c r="E4" s="51" t="str">
        <f t="shared" si="2"/>
        <v>blue_boss_icon_chara_spy_00101</v>
      </c>
      <c r="F4" s="51" t="str">
        <f t="shared" si="3"/>
        <v>green_boss_icon_chara_spy_00101</v>
      </c>
      <c r="G4" s="51" t="str">
        <f t="shared" si="4"/>
        <v>yellow_boss_icon_chara_spy_00101</v>
      </c>
      <c r="H4" s="47" t="s">
        <v>302</v>
      </c>
      <c r="I4" s="52"/>
      <c r="J4" s="45" t="s">
        <v>1028</v>
      </c>
      <c r="K4" s="55" t="s">
        <v>1888</v>
      </c>
      <c r="L4" s="59" t="s">
        <v>1005</v>
      </c>
      <c r="M4" s="49">
        <v>45658.0</v>
      </c>
      <c r="N4" s="50">
        <v>390812.49998842593</v>
      </c>
      <c r="O4" s="51"/>
      <c r="P4" s="45"/>
    </row>
    <row r="5">
      <c r="A5" s="44" t="s">
        <v>60</v>
      </c>
      <c r="B5" s="45" t="s">
        <v>62</v>
      </c>
      <c r="C5" s="46" t="s">
        <v>1894</v>
      </c>
      <c r="D5" s="51" t="str">
        <f t="shared" si="1"/>
        <v>red_boss_icon_chara_spy_00201</v>
      </c>
      <c r="E5" s="51" t="str">
        <f t="shared" si="2"/>
        <v>blue_boss_icon_chara_spy_00201</v>
      </c>
      <c r="F5" s="51" t="str">
        <f t="shared" si="3"/>
        <v>green_boss_icon_chara_spy_00201</v>
      </c>
      <c r="G5" s="51" t="str">
        <f t="shared" si="4"/>
        <v>yellow_boss_icon_chara_spy_00201</v>
      </c>
      <c r="H5" s="47" t="s">
        <v>304</v>
      </c>
      <c r="I5" s="52"/>
      <c r="J5" s="45" t="s">
        <v>1028</v>
      </c>
      <c r="K5" s="55" t="s">
        <v>1888</v>
      </c>
      <c r="L5" s="59" t="s">
        <v>1005</v>
      </c>
      <c r="M5" s="49">
        <v>45658.0</v>
      </c>
      <c r="N5" s="50">
        <v>390812.49998842593</v>
      </c>
      <c r="O5" s="51"/>
      <c r="P5" s="45"/>
    </row>
    <row r="6">
      <c r="A6" s="44" t="s">
        <v>60</v>
      </c>
      <c r="B6" s="45" t="s">
        <v>62</v>
      </c>
      <c r="C6" s="46" t="s">
        <v>1896</v>
      </c>
      <c r="D6" s="51" t="str">
        <f t="shared" si="1"/>
        <v>red_boss_icon_chara_spy_00301</v>
      </c>
      <c r="E6" s="51" t="str">
        <f t="shared" si="2"/>
        <v>blue_boss_icon_chara_spy_00301</v>
      </c>
      <c r="F6" s="51" t="str">
        <f t="shared" si="3"/>
        <v>green_boss_icon_chara_spy_00301</v>
      </c>
      <c r="G6" s="51" t="str">
        <f t="shared" si="4"/>
        <v>yellow_boss_icon_chara_spy_00301</v>
      </c>
      <c r="H6" s="47" t="s">
        <v>306</v>
      </c>
      <c r="I6" s="52"/>
      <c r="J6" s="45" t="s">
        <v>1057</v>
      </c>
      <c r="K6" s="55" t="s">
        <v>1888</v>
      </c>
      <c r="L6" s="59" t="s">
        <v>1005</v>
      </c>
      <c r="M6" s="49">
        <v>45658.0</v>
      </c>
      <c r="N6" s="50">
        <v>390812.49998842593</v>
      </c>
      <c r="O6" s="51"/>
      <c r="P6" s="45"/>
    </row>
    <row r="7">
      <c r="A7" s="44" t="s">
        <v>60</v>
      </c>
      <c r="B7" s="45" t="s">
        <v>62</v>
      </c>
      <c r="C7" s="46" t="s">
        <v>1898</v>
      </c>
      <c r="D7" s="51" t="str">
        <f t="shared" si="1"/>
        <v>red_boss_icon_chara_spy_00401</v>
      </c>
      <c r="E7" s="51" t="str">
        <f t="shared" si="2"/>
        <v>blue_boss_icon_chara_spy_00401</v>
      </c>
      <c r="F7" s="51" t="str">
        <f t="shared" si="3"/>
        <v>green_boss_icon_chara_spy_00401</v>
      </c>
      <c r="G7" s="51" t="str">
        <f t="shared" si="4"/>
        <v>yellow_boss_icon_chara_spy_00401</v>
      </c>
      <c r="H7" s="47" t="s">
        <v>308</v>
      </c>
      <c r="I7" s="52"/>
      <c r="J7" s="45" t="s">
        <v>569</v>
      </c>
      <c r="K7" s="55" t="s">
        <v>1888</v>
      </c>
      <c r="L7" s="59" t="s">
        <v>1037</v>
      </c>
      <c r="M7" s="49">
        <v>45658.0</v>
      </c>
      <c r="N7" s="50">
        <v>390812.49998842593</v>
      </c>
      <c r="O7" s="51"/>
      <c r="P7" s="45"/>
    </row>
    <row r="8">
      <c r="A8" s="44" t="s">
        <v>60</v>
      </c>
      <c r="B8" s="53" t="s">
        <v>62</v>
      </c>
      <c r="C8" s="46" t="s">
        <v>1900</v>
      </c>
      <c r="D8" s="51" t="str">
        <f t="shared" si="1"/>
        <v>red_boss_icon_enemy_spy_00001</v>
      </c>
      <c r="E8" s="51" t="str">
        <f t="shared" si="2"/>
        <v>blue_boss_icon_enemy_spy_00001</v>
      </c>
      <c r="F8" s="51" t="str">
        <f t="shared" si="3"/>
        <v>green_boss_icon_enemy_spy_00001</v>
      </c>
      <c r="G8" s="51" t="str">
        <f t="shared" si="4"/>
        <v>yellow_boss_icon_enemy_spy_00001</v>
      </c>
      <c r="H8" s="47" t="s">
        <v>1901</v>
      </c>
      <c r="I8" s="52"/>
      <c r="J8" s="52"/>
      <c r="K8" s="89" t="s">
        <v>1902</v>
      </c>
      <c r="L8" s="59" t="s">
        <v>1005</v>
      </c>
      <c r="M8" s="49">
        <v>45658.0</v>
      </c>
      <c r="N8" s="50">
        <v>390812.49998842593</v>
      </c>
      <c r="O8" s="54"/>
      <c r="P8" s="45"/>
    </row>
    <row r="9">
      <c r="A9" s="44" t="s">
        <v>60</v>
      </c>
      <c r="B9" s="53" t="s">
        <v>62</v>
      </c>
      <c r="C9" s="46" t="s">
        <v>1904</v>
      </c>
      <c r="D9" s="51" t="str">
        <f t="shared" si="1"/>
        <v>red_boss_icon_enemy_spy_00002</v>
      </c>
      <c r="E9" s="51" t="str">
        <f t="shared" si="2"/>
        <v>blue_boss_icon_enemy_spy_00002</v>
      </c>
      <c r="F9" s="51" t="str">
        <f t="shared" si="3"/>
        <v>green_boss_icon_enemy_spy_00002</v>
      </c>
      <c r="G9" s="51" t="str">
        <f t="shared" si="4"/>
        <v>yellow_boss_icon_enemy_spy_00002</v>
      </c>
      <c r="H9" s="47" t="s">
        <v>1905</v>
      </c>
      <c r="I9" s="52"/>
      <c r="J9" s="52"/>
      <c r="K9" s="89" t="s">
        <v>1902</v>
      </c>
      <c r="L9" s="59" t="s">
        <v>1037</v>
      </c>
      <c r="M9" s="49">
        <v>45658.0</v>
      </c>
      <c r="N9" s="50">
        <v>390812.49998842593</v>
      </c>
      <c r="O9" s="54"/>
      <c r="P9" s="45"/>
    </row>
    <row r="10">
      <c r="A10" s="44" t="s">
        <v>60</v>
      </c>
      <c r="B10" s="53" t="s">
        <v>62</v>
      </c>
      <c r="C10" s="46" t="s">
        <v>1907</v>
      </c>
      <c r="D10" s="51" t="str">
        <f t="shared" si="1"/>
        <v>red_boss_icon_enemy_spy_00003</v>
      </c>
      <c r="E10" s="51" t="str">
        <f t="shared" si="2"/>
        <v>blue_boss_icon_enemy_spy_00003</v>
      </c>
      <c r="F10" s="51" t="str">
        <f t="shared" si="3"/>
        <v>green_boss_icon_enemy_spy_00003</v>
      </c>
      <c r="G10" s="51" t="str">
        <f t="shared" si="4"/>
        <v>yellow_boss_icon_enemy_spy_00003</v>
      </c>
      <c r="H10" s="47" t="s">
        <v>1908</v>
      </c>
      <c r="I10" s="52"/>
      <c r="J10" s="52"/>
      <c r="K10" s="89" t="s">
        <v>1902</v>
      </c>
      <c r="L10" s="59" t="s">
        <v>1005</v>
      </c>
      <c r="M10" s="49">
        <v>45658.0</v>
      </c>
      <c r="N10" s="50">
        <v>390812.49998842593</v>
      </c>
      <c r="O10" s="54"/>
      <c r="P10" s="45"/>
    </row>
    <row r="11">
      <c r="A11" s="44" t="s">
        <v>60</v>
      </c>
      <c r="B11" s="53" t="s">
        <v>62</v>
      </c>
      <c r="C11" s="46" t="s">
        <v>1910</v>
      </c>
      <c r="D11" s="51" t="str">
        <f t="shared" si="1"/>
        <v>red_boss_icon_enemy_spy_00004</v>
      </c>
      <c r="E11" s="51" t="str">
        <f t="shared" si="2"/>
        <v>blue_boss_icon_enemy_spy_00004</v>
      </c>
      <c r="F11" s="51" t="str">
        <f t="shared" si="3"/>
        <v>green_boss_icon_enemy_spy_00004</v>
      </c>
      <c r="G11" s="51" t="str">
        <f t="shared" si="4"/>
        <v>yellow_boss_icon_enemy_spy_00004</v>
      </c>
      <c r="H11" s="47" t="s">
        <v>1911</v>
      </c>
      <c r="I11" s="52"/>
      <c r="J11" s="52"/>
      <c r="K11" s="89" t="s">
        <v>1902</v>
      </c>
      <c r="L11" s="59" t="s">
        <v>1005</v>
      </c>
      <c r="M11" s="49">
        <v>45658.0</v>
      </c>
      <c r="N11" s="50">
        <v>390812.49998842593</v>
      </c>
      <c r="O11" s="54"/>
      <c r="P11" s="45"/>
    </row>
    <row r="12">
      <c r="A12" s="44" t="s">
        <v>60</v>
      </c>
      <c r="B12" s="53" t="s">
        <v>62</v>
      </c>
      <c r="C12" s="46" t="s">
        <v>1913</v>
      </c>
      <c r="D12" s="51" t="str">
        <f t="shared" si="1"/>
        <v>red_boss_icon_enemy_spy_00005</v>
      </c>
      <c r="E12" s="51" t="str">
        <f t="shared" si="2"/>
        <v>blue_boss_icon_enemy_spy_00005</v>
      </c>
      <c r="F12" s="51" t="str">
        <f t="shared" si="3"/>
        <v>green_boss_icon_enemy_spy_00005</v>
      </c>
      <c r="G12" s="51" t="str">
        <f t="shared" si="4"/>
        <v>yellow_boss_icon_enemy_spy_00005</v>
      </c>
      <c r="H12" s="47" t="s">
        <v>1914</v>
      </c>
      <c r="I12" s="52"/>
      <c r="J12" s="52"/>
      <c r="K12" s="89" t="s">
        <v>1902</v>
      </c>
      <c r="L12" s="59" t="s">
        <v>1005</v>
      </c>
      <c r="M12" s="49">
        <v>45658.0</v>
      </c>
      <c r="N12" s="50">
        <v>390812.49998842593</v>
      </c>
      <c r="O12" s="54"/>
      <c r="P12" s="45"/>
    </row>
    <row r="13">
      <c r="A13" s="44" t="s">
        <v>60</v>
      </c>
      <c r="B13" s="53" t="s">
        <v>62</v>
      </c>
      <c r="C13" s="46" t="s">
        <v>1916</v>
      </c>
      <c r="D13" s="51" t="str">
        <f t="shared" si="1"/>
        <v>red_boss_icon_enemy_spy_00006</v>
      </c>
      <c r="E13" s="51" t="str">
        <f t="shared" si="2"/>
        <v>blue_boss_icon_enemy_spy_00006</v>
      </c>
      <c r="F13" s="51" t="str">
        <f t="shared" si="3"/>
        <v>green_boss_icon_enemy_spy_00006</v>
      </c>
      <c r="G13" s="51" t="str">
        <f t="shared" si="4"/>
        <v>yellow_boss_icon_enemy_spy_00006</v>
      </c>
      <c r="H13" s="47" t="s">
        <v>1917</v>
      </c>
      <c r="I13" s="52"/>
      <c r="J13" s="52"/>
      <c r="K13" s="89" t="s">
        <v>1902</v>
      </c>
      <c r="L13" s="59" t="s">
        <v>1005</v>
      </c>
      <c r="M13" s="49">
        <v>45658.0</v>
      </c>
      <c r="N13" s="50">
        <v>390812.49998842593</v>
      </c>
      <c r="O13" s="54"/>
      <c r="P13" s="45"/>
    </row>
    <row r="14">
      <c r="A14" s="44" t="s">
        <v>68</v>
      </c>
      <c r="B14" s="53" t="s">
        <v>70</v>
      </c>
      <c r="C14" s="46" t="s">
        <v>1919</v>
      </c>
      <c r="D14" s="51" t="str">
        <f t="shared" si="1"/>
        <v>red_boss_icon_chara_aka_00001</v>
      </c>
      <c r="E14" s="51" t="str">
        <f t="shared" si="2"/>
        <v>blue_boss_icon_chara_aka_00001</v>
      </c>
      <c r="F14" s="51" t="str">
        <f t="shared" si="3"/>
        <v>green_boss_icon_chara_aka_00001</v>
      </c>
      <c r="G14" s="51" t="str">
        <f t="shared" si="4"/>
        <v>yellow_boss_icon_chara_aka_00001</v>
      </c>
      <c r="H14" s="47" t="s">
        <v>310</v>
      </c>
      <c r="I14" s="52"/>
      <c r="J14" s="52"/>
      <c r="K14" s="54"/>
      <c r="L14" s="54"/>
      <c r="M14" s="49">
        <v>45658.0</v>
      </c>
      <c r="N14" s="50">
        <v>390812.49998842593</v>
      </c>
      <c r="O14" s="54"/>
      <c r="P14" s="45"/>
    </row>
    <row r="15">
      <c r="A15" s="44" t="s">
        <v>68</v>
      </c>
      <c r="B15" s="53" t="s">
        <v>70</v>
      </c>
      <c r="C15" s="46" t="s">
        <v>1921</v>
      </c>
      <c r="D15" s="51" t="str">
        <f t="shared" si="1"/>
        <v>red_boss_icon_chara_aka_00101</v>
      </c>
      <c r="E15" s="51" t="str">
        <f t="shared" si="2"/>
        <v>blue_boss_icon_chara_aka_00101</v>
      </c>
      <c r="F15" s="51" t="str">
        <f t="shared" si="3"/>
        <v>green_boss_icon_chara_aka_00101</v>
      </c>
      <c r="G15" s="51" t="str">
        <f t="shared" si="4"/>
        <v>yellow_boss_icon_chara_aka_00101</v>
      </c>
      <c r="H15" s="47" t="s">
        <v>312</v>
      </c>
      <c r="I15" s="52"/>
      <c r="J15" s="52"/>
      <c r="K15" s="54"/>
      <c r="L15" s="54"/>
      <c r="M15" s="49">
        <v>45658.0</v>
      </c>
      <c r="N15" s="50">
        <v>390812.49998842593</v>
      </c>
      <c r="O15" s="54"/>
      <c r="P15" s="45"/>
    </row>
    <row r="16">
      <c r="A16" s="44" t="s">
        <v>75</v>
      </c>
      <c r="B16" s="53" t="s">
        <v>77</v>
      </c>
      <c r="C16" s="46" t="s">
        <v>1923</v>
      </c>
      <c r="D16" s="51" t="str">
        <f t="shared" si="1"/>
        <v>red_boss_icon_chara_rik_00001</v>
      </c>
      <c r="E16" s="51" t="str">
        <f t="shared" si="2"/>
        <v>blue_boss_icon_chara_rik_00001</v>
      </c>
      <c r="F16" s="51" t="str">
        <f t="shared" si="3"/>
        <v>green_boss_icon_chara_rik_00001</v>
      </c>
      <c r="G16" s="51" t="str">
        <f t="shared" si="4"/>
        <v>yellow_boss_icon_chara_rik_00001</v>
      </c>
      <c r="H16" s="47" t="s">
        <v>314</v>
      </c>
      <c r="I16" s="52"/>
      <c r="J16" s="52"/>
      <c r="K16" s="54"/>
      <c r="L16" s="54"/>
      <c r="M16" s="49">
        <v>45658.0</v>
      </c>
      <c r="N16" s="50">
        <v>390812.49998842593</v>
      </c>
      <c r="O16" s="54"/>
      <c r="P16" s="45"/>
    </row>
    <row r="17">
      <c r="A17" s="44" t="s">
        <v>75</v>
      </c>
      <c r="B17" s="53" t="s">
        <v>77</v>
      </c>
      <c r="C17" s="46" t="s">
        <v>1925</v>
      </c>
      <c r="D17" s="51" t="str">
        <f t="shared" si="1"/>
        <v>red_boss_icon_chara_rik_00101</v>
      </c>
      <c r="E17" s="51" t="str">
        <f t="shared" si="2"/>
        <v>blue_boss_icon_chara_rik_00101</v>
      </c>
      <c r="F17" s="51" t="str">
        <f t="shared" si="3"/>
        <v>green_boss_icon_chara_rik_00101</v>
      </c>
      <c r="G17" s="51" t="str">
        <f t="shared" si="4"/>
        <v>yellow_boss_icon_chara_rik_00101</v>
      </c>
      <c r="H17" s="47" t="s">
        <v>316</v>
      </c>
      <c r="I17" s="52"/>
      <c r="J17" s="52"/>
      <c r="K17" s="54"/>
      <c r="L17" s="54"/>
      <c r="M17" s="49">
        <v>45658.0</v>
      </c>
      <c r="N17" s="50">
        <v>390812.49998842593</v>
      </c>
      <c r="O17" s="54"/>
      <c r="P17" s="45"/>
    </row>
    <row r="18">
      <c r="A18" s="44" t="s">
        <v>75</v>
      </c>
      <c r="B18" s="53" t="s">
        <v>77</v>
      </c>
      <c r="C18" s="46" t="s">
        <v>1927</v>
      </c>
      <c r="D18" s="51" t="str">
        <f t="shared" si="1"/>
        <v>red_boss_icon_chara_rik_00201</v>
      </c>
      <c r="E18" s="51" t="str">
        <f t="shared" si="2"/>
        <v>blue_boss_icon_chara_rik_00201</v>
      </c>
      <c r="F18" s="51" t="str">
        <f t="shared" si="3"/>
        <v>green_boss_icon_chara_rik_00201</v>
      </c>
      <c r="G18" s="51" t="str">
        <f t="shared" si="4"/>
        <v>yellow_boss_icon_chara_rik_00201</v>
      </c>
      <c r="H18" s="47" t="s">
        <v>318</v>
      </c>
      <c r="I18" s="52"/>
      <c r="J18" s="52"/>
      <c r="K18" s="54"/>
      <c r="L18" s="54"/>
      <c r="M18" s="49">
        <v>45658.0</v>
      </c>
      <c r="N18" s="50">
        <v>390812.49998842593</v>
      </c>
      <c r="O18" s="54"/>
      <c r="P18" s="45"/>
    </row>
    <row r="19">
      <c r="A19" s="44" t="s">
        <v>80</v>
      </c>
      <c r="B19" s="53" t="s">
        <v>82</v>
      </c>
      <c r="C19" s="46" t="s">
        <v>1929</v>
      </c>
      <c r="D19" s="51" t="str">
        <f t="shared" si="1"/>
        <v>red_boss_icon_chara_dan_00001</v>
      </c>
      <c r="E19" s="51" t="str">
        <f t="shared" si="2"/>
        <v>blue_boss_icon_chara_dan_00001</v>
      </c>
      <c r="F19" s="51" t="str">
        <f t="shared" si="3"/>
        <v>green_boss_icon_chara_dan_00001</v>
      </c>
      <c r="G19" s="51" t="str">
        <f t="shared" si="4"/>
        <v>yellow_boss_icon_chara_dan_00001</v>
      </c>
      <c r="H19" s="47" t="s">
        <v>320</v>
      </c>
      <c r="I19" s="52"/>
      <c r="J19" s="52"/>
      <c r="K19" s="54"/>
      <c r="L19" s="54"/>
      <c r="M19" s="49">
        <v>45658.0</v>
      </c>
      <c r="N19" s="50">
        <v>390812.49998842593</v>
      </c>
      <c r="O19" s="54"/>
      <c r="P19" s="45"/>
    </row>
    <row r="20">
      <c r="A20" s="44" t="s">
        <v>80</v>
      </c>
      <c r="B20" s="53" t="s">
        <v>82</v>
      </c>
      <c r="C20" s="46" t="s">
        <v>1931</v>
      </c>
      <c r="D20" s="51" t="str">
        <f t="shared" si="1"/>
        <v>red_boss_icon_chara_dan_00002</v>
      </c>
      <c r="E20" s="51" t="str">
        <f t="shared" si="2"/>
        <v>blue_boss_icon_chara_dan_00002</v>
      </c>
      <c r="F20" s="51" t="str">
        <f t="shared" si="3"/>
        <v>green_boss_icon_chara_dan_00002</v>
      </c>
      <c r="G20" s="51" t="str">
        <f t="shared" si="4"/>
        <v>yellow_boss_icon_chara_dan_00002</v>
      </c>
      <c r="H20" s="47" t="s">
        <v>322</v>
      </c>
      <c r="I20" s="52"/>
      <c r="J20" s="52"/>
      <c r="K20" s="54"/>
      <c r="L20" s="54"/>
      <c r="M20" s="49">
        <v>45658.0</v>
      </c>
      <c r="N20" s="50">
        <v>390812.49998842593</v>
      </c>
      <c r="O20" s="54"/>
      <c r="P20" s="45"/>
    </row>
    <row r="21">
      <c r="A21" s="44" t="s">
        <v>80</v>
      </c>
      <c r="B21" s="53" t="s">
        <v>82</v>
      </c>
      <c r="C21" s="46" t="s">
        <v>1933</v>
      </c>
      <c r="D21" s="51" t="str">
        <f t="shared" si="1"/>
        <v>red_boss_icon_chara_dan_00101</v>
      </c>
      <c r="E21" s="51" t="str">
        <f t="shared" si="2"/>
        <v>blue_boss_icon_chara_dan_00101</v>
      </c>
      <c r="F21" s="51" t="str">
        <f t="shared" si="3"/>
        <v>green_boss_icon_chara_dan_00101</v>
      </c>
      <c r="G21" s="51" t="str">
        <f t="shared" si="4"/>
        <v>yellow_boss_icon_chara_dan_00101</v>
      </c>
      <c r="H21" s="47" t="s">
        <v>324</v>
      </c>
      <c r="I21" s="52"/>
      <c r="J21" s="52"/>
      <c r="K21" s="54"/>
      <c r="L21" s="54"/>
      <c r="M21" s="49">
        <v>45658.0</v>
      </c>
      <c r="N21" s="50">
        <v>390812.49998842593</v>
      </c>
      <c r="O21" s="54"/>
      <c r="P21" s="45"/>
    </row>
    <row r="22">
      <c r="A22" s="44" t="s">
        <v>80</v>
      </c>
      <c r="B22" s="53" t="s">
        <v>82</v>
      </c>
      <c r="C22" s="46" t="s">
        <v>1935</v>
      </c>
      <c r="D22" s="51" t="str">
        <f t="shared" si="1"/>
        <v>red_boss_icon_chara_dan_00201</v>
      </c>
      <c r="E22" s="51" t="str">
        <f t="shared" si="2"/>
        <v>blue_boss_icon_chara_dan_00201</v>
      </c>
      <c r="F22" s="51" t="str">
        <f t="shared" si="3"/>
        <v>green_boss_icon_chara_dan_00201</v>
      </c>
      <c r="G22" s="51" t="str">
        <f t="shared" si="4"/>
        <v>yellow_boss_icon_chara_dan_00201</v>
      </c>
      <c r="H22" s="47" t="s">
        <v>326</v>
      </c>
      <c r="I22" s="52"/>
      <c r="J22" s="52"/>
      <c r="K22" s="54"/>
      <c r="L22" s="54"/>
      <c r="M22" s="49">
        <v>45658.0</v>
      </c>
      <c r="N22" s="50">
        <v>390812.49998842593</v>
      </c>
      <c r="O22" s="54"/>
      <c r="P22" s="45"/>
    </row>
    <row r="23">
      <c r="A23" s="44" t="s">
        <v>80</v>
      </c>
      <c r="B23" s="53" t="s">
        <v>82</v>
      </c>
      <c r="C23" s="46" t="s">
        <v>1937</v>
      </c>
      <c r="D23" s="51" t="str">
        <f t="shared" si="1"/>
        <v>red_boss_icon_enemy_dan_00001</v>
      </c>
      <c r="E23" s="51" t="str">
        <f t="shared" si="2"/>
        <v>blue_boss_icon_enemy_dan_00001</v>
      </c>
      <c r="F23" s="51" t="str">
        <f t="shared" si="3"/>
        <v>green_boss_icon_enemy_dan_00001</v>
      </c>
      <c r="G23" s="51" t="str">
        <f t="shared" si="4"/>
        <v>yellow_boss_icon_enemy_dan_00001</v>
      </c>
      <c r="H23" s="47" t="s">
        <v>1938</v>
      </c>
      <c r="I23" s="52"/>
      <c r="J23" s="52"/>
      <c r="K23" s="54"/>
      <c r="L23" s="54"/>
      <c r="M23" s="49">
        <v>45658.0</v>
      </c>
      <c r="N23" s="50">
        <v>390812.49998842593</v>
      </c>
      <c r="O23" s="54"/>
      <c r="P23" s="45"/>
    </row>
    <row r="24">
      <c r="A24" s="44" t="s">
        <v>80</v>
      </c>
      <c r="B24" s="53" t="s">
        <v>82</v>
      </c>
      <c r="C24" s="46" t="s">
        <v>1940</v>
      </c>
      <c r="D24" s="51" t="str">
        <f t="shared" si="1"/>
        <v>red_boss_icon_enemy_dan_00002</v>
      </c>
      <c r="E24" s="51" t="str">
        <f t="shared" si="2"/>
        <v>blue_boss_icon_enemy_dan_00002</v>
      </c>
      <c r="F24" s="51" t="str">
        <f t="shared" si="3"/>
        <v>green_boss_icon_enemy_dan_00002</v>
      </c>
      <c r="G24" s="51" t="str">
        <f t="shared" si="4"/>
        <v>yellow_boss_icon_enemy_dan_00002</v>
      </c>
      <c r="H24" s="47" t="s">
        <v>1941</v>
      </c>
      <c r="I24" s="52"/>
      <c r="J24" s="52"/>
      <c r="K24" s="54"/>
      <c r="L24" s="54"/>
      <c r="M24" s="49">
        <v>45658.0</v>
      </c>
      <c r="N24" s="50">
        <v>390812.49998842593</v>
      </c>
      <c r="O24" s="54"/>
      <c r="P24" s="45"/>
    </row>
    <row r="25">
      <c r="A25" s="44" t="s">
        <v>87</v>
      </c>
      <c r="B25" s="53" t="s">
        <v>89</v>
      </c>
      <c r="C25" s="46" t="s">
        <v>1943</v>
      </c>
      <c r="D25" s="51" t="str">
        <f t="shared" si="1"/>
        <v>red_boss_icon_chara_gom_00001</v>
      </c>
      <c r="E25" s="51" t="str">
        <f t="shared" si="2"/>
        <v>blue_boss_icon_chara_gom_00001</v>
      </c>
      <c r="F25" s="51" t="str">
        <f t="shared" si="3"/>
        <v>green_boss_icon_chara_gom_00001</v>
      </c>
      <c r="G25" s="51" t="str">
        <f t="shared" si="4"/>
        <v>yellow_boss_icon_chara_gom_00001</v>
      </c>
      <c r="H25" s="47" t="s">
        <v>328</v>
      </c>
      <c r="I25" s="52"/>
      <c r="J25" s="52"/>
      <c r="K25" s="54"/>
      <c r="L25" s="54"/>
      <c r="M25" s="49">
        <v>45658.0</v>
      </c>
      <c r="N25" s="50">
        <v>390812.49998842593</v>
      </c>
      <c r="O25" s="54"/>
      <c r="P25" s="45"/>
    </row>
    <row r="26">
      <c r="A26" s="44" t="s">
        <v>87</v>
      </c>
      <c r="B26" s="53" t="s">
        <v>89</v>
      </c>
      <c r="C26" s="46" t="s">
        <v>1945</v>
      </c>
      <c r="D26" s="51" t="str">
        <f t="shared" si="1"/>
        <v>red_boss_icon_chara_gom_00101</v>
      </c>
      <c r="E26" s="51" t="str">
        <f t="shared" si="2"/>
        <v>blue_boss_icon_chara_gom_00101</v>
      </c>
      <c r="F26" s="51" t="str">
        <f t="shared" si="3"/>
        <v>green_boss_icon_chara_gom_00101</v>
      </c>
      <c r="G26" s="51" t="str">
        <f t="shared" si="4"/>
        <v>yellow_boss_icon_chara_gom_00101</v>
      </c>
      <c r="H26" s="47" t="s">
        <v>330</v>
      </c>
      <c r="I26" s="52"/>
      <c r="J26" s="52"/>
      <c r="K26" s="54"/>
      <c r="L26" s="54"/>
      <c r="M26" s="49">
        <v>45658.0</v>
      </c>
      <c r="N26" s="50">
        <v>390812.49998842593</v>
      </c>
      <c r="O26" s="54"/>
      <c r="P26" s="45"/>
    </row>
    <row r="27">
      <c r="A27" s="44" t="s">
        <v>87</v>
      </c>
      <c r="B27" s="53" t="s">
        <v>89</v>
      </c>
      <c r="C27" s="46" t="s">
        <v>1947</v>
      </c>
      <c r="D27" s="51" t="str">
        <f t="shared" si="1"/>
        <v>red_boss_icon_enemy_gom_00001</v>
      </c>
      <c r="E27" s="51" t="str">
        <f t="shared" si="2"/>
        <v>blue_boss_icon_enemy_gom_00001</v>
      </c>
      <c r="F27" s="51" t="str">
        <f t="shared" si="3"/>
        <v>green_boss_icon_enemy_gom_00001</v>
      </c>
      <c r="G27" s="51" t="str">
        <f t="shared" si="4"/>
        <v>yellow_boss_icon_enemy_gom_00001</v>
      </c>
      <c r="H27" s="47" t="s">
        <v>1948</v>
      </c>
      <c r="I27" s="52"/>
      <c r="J27" s="52"/>
      <c r="K27" s="54"/>
      <c r="L27" s="54"/>
      <c r="M27" s="49">
        <v>45658.0</v>
      </c>
      <c r="N27" s="50">
        <v>390812.49998842593</v>
      </c>
      <c r="O27" s="54"/>
      <c r="P27" s="45"/>
    </row>
    <row r="28">
      <c r="A28" s="44" t="s">
        <v>87</v>
      </c>
      <c r="B28" s="53" t="s">
        <v>89</v>
      </c>
      <c r="C28" s="46" t="s">
        <v>1950</v>
      </c>
      <c r="D28" s="51" t="str">
        <f t="shared" si="1"/>
        <v>red_boss_icon_enemy_gom_00002</v>
      </c>
      <c r="E28" s="51" t="str">
        <f t="shared" si="2"/>
        <v>blue_boss_icon_enemy_gom_00002</v>
      </c>
      <c r="F28" s="51" t="str">
        <f t="shared" si="3"/>
        <v>green_boss_icon_enemy_gom_00002</v>
      </c>
      <c r="G28" s="51" t="str">
        <f t="shared" si="4"/>
        <v>yellow_boss_icon_enemy_gom_00002</v>
      </c>
      <c r="H28" s="47" t="s">
        <v>1778</v>
      </c>
      <c r="I28" s="52"/>
      <c r="J28" s="52"/>
      <c r="K28" s="54"/>
      <c r="L28" s="54"/>
      <c r="M28" s="49">
        <v>45658.0</v>
      </c>
      <c r="N28" s="50">
        <v>390812.49998842593</v>
      </c>
      <c r="O28" s="54"/>
      <c r="P28" s="45"/>
    </row>
    <row r="29">
      <c r="A29" s="44" t="s">
        <v>92</v>
      </c>
      <c r="B29" s="53" t="s">
        <v>331</v>
      </c>
      <c r="C29" s="46" t="s">
        <v>1952</v>
      </c>
      <c r="D29" s="51" t="str">
        <f t="shared" si="1"/>
        <v>red_boss_icon_chara_chi_00001</v>
      </c>
      <c r="E29" s="51" t="str">
        <f t="shared" si="2"/>
        <v>blue_boss_icon_chara_chi_00001</v>
      </c>
      <c r="F29" s="51" t="str">
        <f t="shared" si="3"/>
        <v>green_boss_icon_chara_chi_00001</v>
      </c>
      <c r="G29" s="51" t="str">
        <f t="shared" si="4"/>
        <v>yellow_boss_icon_chara_chi_00001</v>
      </c>
      <c r="H29" s="47" t="s">
        <v>333</v>
      </c>
      <c r="I29" s="52"/>
      <c r="J29" s="52"/>
      <c r="K29" s="54"/>
      <c r="L29" s="54"/>
      <c r="M29" s="49">
        <v>45658.0</v>
      </c>
      <c r="N29" s="50">
        <v>390812.49998842593</v>
      </c>
      <c r="O29" s="54"/>
      <c r="P29" s="45"/>
    </row>
    <row r="30">
      <c r="A30" s="44" t="s">
        <v>92</v>
      </c>
      <c r="B30" s="53" t="s">
        <v>331</v>
      </c>
      <c r="C30" s="46" t="s">
        <v>1954</v>
      </c>
      <c r="D30" s="51" t="str">
        <f t="shared" si="1"/>
        <v>red_boss_icon_chara_chi_00002</v>
      </c>
      <c r="E30" s="51" t="str">
        <f t="shared" si="2"/>
        <v>blue_boss_icon_chara_chi_00002</v>
      </c>
      <c r="F30" s="51" t="str">
        <f t="shared" si="3"/>
        <v>green_boss_icon_chara_chi_00002</v>
      </c>
      <c r="G30" s="51" t="str">
        <f t="shared" si="4"/>
        <v>yellow_boss_icon_chara_chi_00002</v>
      </c>
      <c r="H30" s="47" t="s">
        <v>335</v>
      </c>
      <c r="I30" s="52"/>
      <c r="J30" s="52"/>
      <c r="K30" s="54"/>
      <c r="L30" s="54"/>
      <c r="M30" s="49">
        <v>45658.0</v>
      </c>
      <c r="N30" s="50">
        <v>390812.49998842593</v>
      </c>
      <c r="O30" s="54"/>
      <c r="P30" s="45"/>
    </row>
    <row r="31">
      <c r="A31" s="44" t="s">
        <v>92</v>
      </c>
      <c r="B31" s="53" t="s">
        <v>331</v>
      </c>
      <c r="C31" s="46" t="s">
        <v>1956</v>
      </c>
      <c r="D31" s="51" t="str">
        <f t="shared" si="1"/>
        <v>red_boss_icon_chara_chi_00101</v>
      </c>
      <c r="E31" s="51" t="str">
        <f t="shared" si="2"/>
        <v>blue_boss_icon_chara_chi_00101</v>
      </c>
      <c r="F31" s="51" t="str">
        <f t="shared" si="3"/>
        <v>green_boss_icon_chara_chi_00101</v>
      </c>
      <c r="G31" s="51" t="str">
        <f t="shared" si="4"/>
        <v>yellow_boss_icon_chara_chi_00101</v>
      </c>
      <c r="H31" s="47" t="s">
        <v>4341</v>
      </c>
      <c r="I31" s="52"/>
      <c r="J31" s="52"/>
      <c r="K31" s="54"/>
      <c r="L31" s="54"/>
      <c r="M31" s="49">
        <v>45658.0</v>
      </c>
      <c r="N31" s="50">
        <v>390812.49998842593</v>
      </c>
      <c r="O31" s="54"/>
      <c r="P31" s="45"/>
    </row>
    <row r="32">
      <c r="A32" s="44" t="s">
        <v>92</v>
      </c>
      <c r="B32" s="53" t="s">
        <v>331</v>
      </c>
      <c r="C32" s="46" t="s">
        <v>1958</v>
      </c>
      <c r="D32" s="51" t="str">
        <f t="shared" si="1"/>
        <v>red_boss_icon_enemy_chi_00001</v>
      </c>
      <c r="E32" s="51" t="str">
        <f t="shared" si="2"/>
        <v>blue_boss_icon_enemy_chi_00001</v>
      </c>
      <c r="F32" s="51" t="str">
        <f t="shared" si="3"/>
        <v>green_boss_icon_enemy_chi_00001</v>
      </c>
      <c r="G32" s="51" t="str">
        <f t="shared" si="4"/>
        <v>yellow_boss_icon_enemy_chi_00001</v>
      </c>
      <c r="H32" s="47" t="s">
        <v>1779</v>
      </c>
      <c r="I32" s="52"/>
      <c r="J32" s="52"/>
      <c r="K32" s="54"/>
      <c r="L32" s="54"/>
      <c r="M32" s="49">
        <v>45658.0</v>
      </c>
      <c r="N32" s="50">
        <v>390812.49998842593</v>
      </c>
      <c r="O32" s="54"/>
      <c r="P32" s="45"/>
    </row>
    <row r="33">
      <c r="A33" s="44" t="s">
        <v>92</v>
      </c>
      <c r="B33" s="53" t="s">
        <v>331</v>
      </c>
      <c r="C33" s="46" t="s">
        <v>1960</v>
      </c>
      <c r="D33" s="51" t="str">
        <f t="shared" si="1"/>
        <v>red_boss_icon_enemy_chi_00002</v>
      </c>
      <c r="E33" s="51" t="str">
        <f t="shared" si="2"/>
        <v>blue_boss_icon_enemy_chi_00002</v>
      </c>
      <c r="F33" s="51" t="str">
        <f t="shared" si="3"/>
        <v>green_boss_icon_enemy_chi_00002</v>
      </c>
      <c r="G33" s="51" t="str">
        <f t="shared" si="4"/>
        <v>yellow_boss_icon_enemy_chi_00002</v>
      </c>
      <c r="H33" s="47" t="s">
        <v>1782</v>
      </c>
      <c r="I33" s="52"/>
      <c r="J33" s="52"/>
      <c r="K33" s="54"/>
      <c r="L33" s="54"/>
      <c r="M33" s="49">
        <v>45658.0</v>
      </c>
      <c r="N33" s="50">
        <v>390812.49998842593</v>
      </c>
      <c r="O33" s="54"/>
      <c r="P33" s="45"/>
    </row>
    <row r="34">
      <c r="A34" s="44" t="s">
        <v>109</v>
      </c>
      <c r="B34" s="53" t="s">
        <v>111</v>
      </c>
      <c r="C34" s="46" t="s">
        <v>1962</v>
      </c>
      <c r="D34" s="51" t="str">
        <f t="shared" si="1"/>
        <v>red_boss_icon_chara_bat_00001</v>
      </c>
      <c r="E34" s="51" t="str">
        <f t="shared" si="2"/>
        <v>blue_boss_icon_chara_bat_00001</v>
      </c>
      <c r="F34" s="51" t="str">
        <f t="shared" si="3"/>
        <v>green_boss_icon_chara_bat_00001</v>
      </c>
      <c r="G34" s="51" t="str">
        <f t="shared" si="4"/>
        <v>yellow_boss_icon_chara_bat_00001</v>
      </c>
      <c r="H34" s="47" t="s">
        <v>339</v>
      </c>
      <c r="I34" s="52"/>
      <c r="J34" s="52"/>
      <c r="K34" s="54"/>
      <c r="L34" s="54"/>
      <c r="M34" s="49">
        <v>45658.0</v>
      </c>
      <c r="N34" s="50">
        <v>390812.49998842593</v>
      </c>
      <c r="O34" s="54"/>
      <c r="P34" s="45"/>
    </row>
    <row r="35">
      <c r="A35" s="44" t="s">
        <v>109</v>
      </c>
      <c r="B35" s="53" t="s">
        <v>111</v>
      </c>
      <c r="C35" s="46" t="s">
        <v>1964</v>
      </c>
      <c r="D35" s="51" t="str">
        <f t="shared" si="1"/>
        <v>red_boss_icon_chara_bat_00101</v>
      </c>
      <c r="E35" s="51" t="str">
        <f t="shared" si="2"/>
        <v>blue_boss_icon_chara_bat_00101</v>
      </c>
      <c r="F35" s="51" t="str">
        <f t="shared" si="3"/>
        <v>green_boss_icon_chara_bat_00101</v>
      </c>
      <c r="G35" s="51" t="str">
        <f t="shared" si="4"/>
        <v>yellow_boss_icon_chara_bat_00101</v>
      </c>
      <c r="H35" s="47" t="s">
        <v>341</v>
      </c>
      <c r="I35" s="52"/>
      <c r="J35" s="52"/>
      <c r="K35" s="54"/>
      <c r="L35" s="54"/>
      <c r="M35" s="49">
        <v>45658.0</v>
      </c>
      <c r="N35" s="50">
        <v>390812.49998842593</v>
      </c>
      <c r="O35" s="54"/>
      <c r="P35" s="45"/>
    </row>
    <row r="36">
      <c r="A36" s="44" t="s">
        <v>115</v>
      </c>
      <c r="B36" s="53" t="s">
        <v>117</v>
      </c>
      <c r="C36" s="46" t="s">
        <v>1966</v>
      </c>
      <c r="D36" s="51" t="str">
        <f t="shared" si="1"/>
        <v>red_boss_icon_chara_kai_00001</v>
      </c>
      <c r="E36" s="51" t="str">
        <f t="shared" si="2"/>
        <v>blue_boss_icon_chara_kai_00001</v>
      </c>
      <c r="F36" s="51" t="str">
        <f t="shared" si="3"/>
        <v>green_boss_icon_chara_kai_00001</v>
      </c>
      <c r="G36" s="51" t="str">
        <f t="shared" si="4"/>
        <v>yellow_boss_icon_chara_kai_00001</v>
      </c>
      <c r="H36" s="47" t="s">
        <v>343</v>
      </c>
      <c r="I36" s="52"/>
      <c r="J36" s="52"/>
      <c r="K36" s="54"/>
      <c r="L36" s="54"/>
      <c r="M36" s="49">
        <v>45658.0</v>
      </c>
      <c r="N36" s="50">
        <v>390812.49998842593</v>
      </c>
      <c r="O36" s="54"/>
      <c r="P36" s="45"/>
    </row>
    <row r="37">
      <c r="A37" s="44" t="s">
        <v>115</v>
      </c>
      <c r="B37" s="53" t="s">
        <v>117</v>
      </c>
      <c r="C37" s="46" t="s">
        <v>1968</v>
      </c>
      <c r="D37" s="51" t="str">
        <f t="shared" si="1"/>
        <v>red_boss_icon_chara_kai_00002</v>
      </c>
      <c r="E37" s="51" t="str">
        <f t="shared" si="2"/>
        <v>blue_boss_icon_chara_kai_00002</v>
      </c>
      <c r="F37" s="51" t="str">
        <f t="shared" si="3"/>
        <v>green_boss_icon_chara_kai_00002</v>
      </c>
      <c r="G37" s="51" t="str">
        <f t="shared" si="4"/>
        <v>yellow_boss_icon_chara_kai_00002</v>
      </c>
      <c r="H37" s="47" t="s">
        <v>345</v>
      </c>
      <c r="I37" s="52"/>
      <c r="J37" s="52"/>
      <c r="K37" s="54"/>
      <c r="L37" s="54"/>
      <c r="M37" s="49">
        <v>45658.0</v>
      </c>
      <c r="N37" s="50">
        <v>390812.49998842593</v>
      </c>
      <c r="O37" s="54"/>
      <c r="P37" s="45"/>
    </row>
    <row r="38">
      <c r="A38" s="44" t="s">
        <v>115</v>
      </c>
      <c r="B38" s="53" t="s">
        <v>117</v>
      </c>
      <c r="C38" s="53" t="s">
        <v>1970</v>
      </c>
      <c r="D38" s="51" t="str">
        <f t="shared" si="1"/>
        <v>red_boss_icon_chara_kai_00101</v>
      </c>
      <c r="E38" s="51" t="str">
        <f t="shared" si="2"/>
        <v>blue_boss_icon_chara_kai_00101</v>
      </c>
      <c r="F38" s="51" t="str">
        <f t="shared" si="3"/>
        <v>green_boss_icon_chara_kai_00101</v>
      </c>
      <c r="G38" s="51" t="str">
        <f t="shared" si="4"/>
        <v>yellow_boss_icon_chara_kai_00101</v>
      </c>
      <c r="H38" s="47" t="s">
        <v>347</v>
      </c>
      <c r="I38" s="52"/>
      <c r="J38" s="52"/>
      <c r="K38" s="54"/>
      <c r="L38" s="54"/>
      <c r="M38" s="49">
        <v>45658.0</v>
      </c>
      <c r="N38" s="50">
        <v>390812.49998842593</v>
      </c>
      <c r="O38" s="54"/>
      <c r="P38" s="45"/>
    </row>
    <row r="39">
      <c r="A39" s="44" t="s">
        <v>115</v>
      </c>
      <c r="B39" s="53" t="s">
        <v>117</v>
      </c>
      <c r="C39" s="53" t="s">
        <v>1972</v>
      </c>
      <c r="D39" s="51" t="str">
        <f t="shared" si="1"/>
        <v>red_boss_icon_chara_kai_00201</v>
      </c>
      <c r="E39" s="51" t="str">
        <f t="shared" si="2"/>
        <v>blue_boss_icon_chara_kai_00201</v>
      </c>
      <c r="F39" s="51" t="str">
        <f t="shared" si="3"/>
        <v>green_boss_icon_chara_kai_00201</v>
      </c>
      <c r="G39" s="51" t="str">
        <f t="shared" si="4"/>
        <v>yellow_boss_icon_chara_kai_00201</v>
      </c>
      <c r="H39" s="47" t="s">
        <v>349</v>
      </c>
      <c r="I39" s="52"/>
      <c r="J39" s="52"/>
      <c r="K39" s="54"/>
      <c r="L39" s="54"/>
      <c r="M39" s="49">
        <v>45658.0</v>
      </c>
      <c r="N39" s="50">
        <v>390812.49998842593</v>
      </c>
      <c r="O39" s="54"/>
      <c r="P39" s="45"/>
    </row>
    <row r="40">
      <c r="A40" s="44" t="s">
        <v>115</v>
      </c>
      <c r="B40" s="53" t="s">
        <v>117</v>
      </c>
      <c r="C40" s="53" t="s">
        <v>1974</v>
      </c>
      <c r="D40" s="51" t="str">
        <f t="shared" si="1"/>
        <v>red_boss_icon_chara_kai_00301</v>
      </c>
      <c r="E40" s="51" t="str">
        <f t="shared" si="2"/>
        <v>blue_boss_icon_chara_kai_00301</v>
      </c>
      <c r="F40" s="51" t="str">
        <f t="shared" si="3"/>
        <v>green_boss_icon_chara_kai_00301</v>
      </c>
      <c r="G40" s="51" t="str">
        <f t="shared" si="4"/>
        <v>yellow_boss_icon_chara_kai_00301</v>
      </c>
      <c r="H40" s="47" t="s">
        <v>351</v>
      </c>
      <c r="I40" s="52"/>
      <c r="J40" s="52"/>
      <c r="K40" s="54"/>
      <c r="L40" s="54"/>
      <c r="M40" s="49">
        <v>45658.0</v>
      </c>
      <c r="N40" s="50">
        <v>390812.49998842593</v>
      </c>
      <c r="O40" s="54"/>
      <c r="P40" s="45"/>
    </row>
    <row r="41">
      <c r="A41" s="44" t="s">
        <v>115</v>
      </c>
      <c r="B41" s="53" t="s">
        <v>117</v>
      </c>
      <c r="C41" s="46" t="s">
        <v>1976</v>
      </c>
      <c r="D41" s="51" t="str">
        <f t="shared" si="1"/>
        <v>red_boss_icon_enemy_kai_00001</v>
      </c>
      <c r="E41" s="51" t="str">
        <f t="shared" si="2"/>
        <v>blue_boss_icon_enemy_kai_00001</v>
      </c>
      <c r="F41" s="51" t="str">
        <f t="shared" si="3"/>
        <v>green_boss_icon_enemy_kai_00001</v>
      </c>
      <c r="G41" s="51" t="str">
        <f t="shared" si="4"/>
        <v>yellow_boss_icon_enemy_kai_00001</v>
      </c>
      <c r="H41" s="47" t="s">
        <v>1977</v>
      </c>
      <c r="I41" s="52"/>
      <c r="J41" s="52"/>
      <c r="K41" s="54"/>
      <c r="L41" s="54"/>
      <c r="M41" s="49">
        <v>45658.0</v>
      </c>
      <c r="N41" s="50">
        <v>390812.49998842593</v>
      </c>
      <c r="O41" s="54"/>
      <c r="P41" s="45"/>
    </row>
    <row r="42">
      <c r="A42" s="44" t="s">
        <v>115</v>
      </c>
      <c r="B42" s="53" t="s">
        <v>117</v>
      </c>
      <c r="C42" s="46" t="s">
        <v>1979</v>
      </c>
      <c r="D42" s="51" t="str">
        <f t="shared" si="1"/>
        <v>red_boss_icon_enemy_kai_00002</v>
      </c>
      <c r="E42" s="51" t="str">
        <f t="shared" si="2"/>
        <v>blue_boss_icon_enemy_kai_00002</v>
      </c>
      <c r="F42" s="51" t="str">
        <f t="shared" si="3"/>
        <v>green_boss_icon_enemy_kai_00002</v>
      </c>
      <c r="G42" s="51" t="str">
        <f t="shared" si="4"/>
        <v>yellow_boss_icon_enemy_kai_00002</v>
      </c>
      <c r="H42" s="47" t="s">
        <v>1980</v>
      </c>
      <c r="I42" s="52"/>
      <c r="J42" s="52"/>
      <c r="K42" s="54"/>
      <c r="L42" s="54"/>
      <c r="M42" s="49">
        <v>45658.0</v>
      </c>
      <c r="N42" s="50">
        <v>390812.49998842593</v>
      </c>
      <c r="O42" s="54"/>
      <c r="P42" s="45"/>
    </row>
    <row r="43">
      <c r="A43" s="44" t="s">
        <v>115</v>
      </c>
      <c r="B43" s="53" t="s">
        <v>117</v>
      </c>
      <c r="C43" s="46" t="s">
        <v>1982</v>
      </c>
      <c r="D43" s="51" t="str">
        <f t="shared" si="1"/>
        <v>red_boss_icon_enemy_kai_00003</v>
      </c>
      <c r="E43" s="51" t="str">
        <f t="shared" si="2"/>
        <v>blue_boss_icon_enemy_kai_00003</v>
      </c>
      <c r="F43" s="51" t="str">
        <f t="shared" si="3"/>
        <v>green_boss_icon_enemy_kai_00003</v>
      </c>
      <c r="G43" s="51" t="str">
        <f t="shared" si="4"/>
        <v>yellow_boss_icon_enemy_kai_00003</v>
      </c>
      <c r="H43" s="47" t="s">
        <v>353</v>
      </c>
      <c r="I43" s="52"/>
      <c r="J43" s="52"/>
      <c r="K43" s="54"/>
      <c r="L43" s="54"/>
      <c r="M43" s="49">
        <v>45658.0</v>
      </c>
      <c r="N43" s="50">
        <v>390812.49998842593</v>
      </c>
      <c r="O43" s="54"/>
      <c r="P43" s="45"/>
    </row>
    <row r="44">
      <c r="A44" s="44" t="s">
        <v>121</v>
      </c>
      <c r="B44" s="53" t="s">
        <v>123</v>
      </c>
      <c r="C44" s="53" t="s">
        <v>1984</v>
      </c>
      <c r="D44" s="51" t="str">
        <f t="shared" si="1"/>
        <v>red_boss_icon_chara_yuw_00001</v>
      </c>
      <c r="E44" s="51" t="str">
        <f t="shared" si="2"/>
        <v>blue_boss_icon_chara_yuw_00001</v>
      </c>
      <c r="F44" s="51" t="str">
        <f t="shared" si="3"/>
        <v>green_boss_icon_chara_yuw_00001</v>
      </c>
      <c r="G44" s="51" t="str">
        <f t="shared" si="4"/>
        <v>yellow_boss_icon_chara_yuw_00001</v>
      </c>
      <c r="H44" s="47" t="s">
        <v>1365</v>
      </c>
      <c r="I44" s="52"/>
      <c r="J44" s="52"/>
      <c r="K44" s="54"/>
      <c r="L44" s="54"/>
      <c r="M44" s="49">
        <v>45658.0</v>
      </c>
      <c r="N44" s="50">
        <v>390812.49998842593</v>
      </c>
      <c r="O44" s="54"/>
      <c r="P44" s="45"/>
    </row>
    <row r="45">
      <c r="A45" s="44" t="s">
        <v>121</v>
      </c>
      <c r="B45" s="53" t="s">
        <v>123</v>
      </c>
      <c r="C45" s="53" t="s">
        <v>1986</v>
      </c>
      <c r="D45" s="51" t="str">
        <f t="shared" si="1"/>
        <v>red_boss_icon_chara_yuw_00101</v>
      </c>
      <c r="E45" s="51" t="str">
        <f t="shared" si="2"/>
        <v>blue_boss_icon_chara_yuw_00101</v>
      </c>
      <c r="F45" s="51" t="str">
        <f t="shared" si="3"/>
        <v>green_boss_icon_chara_yuw_00101</v>
      </c>
      <c r="G45" s="51" t="str">
        <f t="shared" si="4"/>
        <v>yellow_boss_icon_chara_yuw_00101</v>
      </c>
      <c r="H45" s="47" t="s">
        <v>357</v>
      </c>
      <c r="I45" s="52"/>
      <c r="J45" s="52"/>
      <c r="K45" s="54"/>
      <c r="L45" s="54"/>
      <c r="M45" s="49">
        <v>45658.0</v>
      </c>
      <c r="N45" s="50">
        <v>390812.49998842593</v>
      </c>
      <c r="O45" s="54"/>
      <c r="P45" s="45"/>
    </row>
    <row r="46">
      <c r="A46" s="44" t="s">
        <v>121</v>
      </c>
      <c r="B46" s="53" t="s">
        <v>123</v>
      </c>
      <c r="C46" s="53" t="s">
        <v>1988</v>
      </c>
      <c r="D46" s="51" t="str">
        <f t="shared" si="1"/>
        <v>red_boss_icon_chara_yuw_00201</v>
      </c>
      <c r="E46" s="51" t="str">
        <f t="shared" si="2"/>
        <v>blue_boss_icon_chara_yuw_00201</v>
      </c>
      <c r="F46" s="51" t="str">
        <f t="shared" si="3"/>
        <v>green_boss_icon_chara_yuw_00201</v>
      </c>
      <c r="G46" s="51" t="str">
        <f t="shared" si="4"/>
        <v>yellow_boss_icon_chara_yuw_00201</v>
      </c>
      <c r="H46" s="47" t="s">
        <v>359</v>
      </c>
      <c r="I46" s="52"/>
      <c r="J46" s="52"/>
      <c r="K46" s="54"/>
      <c r="L46" s="54"/>
      <c r="M46" s="49">
        <v>45658.0</v>
      </c>
      <c r="N46" s="50">
        <v>390812.49998842593</v>
      </c>
      <c r="O46" s="54"/>
      <c r="P46" s="45"/>
    </row>
    <row r="47">
      <c r="A47" s="44" t="s">
        <v>127</v>
      </c>
      <c r="B47" s="53" t="s">
        <v>129</v>
      </c>
      <c r="C47" s="53" t="s">
        <v>1990</v>
      </c>
      <c r="D47" s="51" t="str">
        <f t="shared" si="1"/>
        <v>red_boss_icon_chara_sur_00001</v>
      </c>
      <c r="E47" s="51" t="str">
        <f t="shared" si="2"/>
        <v>blue_boss_icon_chara_sur_00001</v>
      </c>
      <c r="F47" s="51" t="str">
        <f t="shared" si="3"/>
        <v>green_boss_icon_chara_sur_00001</v>
      </c>
      <c r="G47" s="51" t="str">
        <f t="shared" si="4"/>
        <v>yellow_boss_icon_chara_sur_00001</v>
      </c>
      <c r="H47" s="47" t="s">
        <v>361</v>
      </c>
      <c r="I47" s="52"/>
      <c r="J47" s="52"/>
      <c r="K47" s="54"/>
      <c r="L47" s="54"/>
      <c r="M47" s="49">
        <v>45658.0</v>
      </c>
      <c r="N47" s="50">
        <v>390812.49998842593</v>
      </c>
      <c r="O47" s="54"/>
      <c r="P47" s="45"/>
    </row>
    <row r="48">
      <c r="A48" s="44" t="s">
        <v>127</v>
      </c>
      <c r="B48" s="53" t="s">
        <v>129</v>
      </c>
      <c r="C48" s="53" t="s">
        <v>1992</v>
      </c>
      <c r="D48" s="51" t="str">
        <f t="shared" si="1"/>
        <v>red_boss_icon_chara_sur_00101</v>
      </c>
      <c r="E48" s="51" t="str">
        <f t="shared" si="2"/>
        <v>blue_boss_icon_chara_sur_00101</v>
      </c>
      <c r="F48" s="51" t="str">
        <f t="shared" si="3"/>
        <v>green_boss_icon_chara_sur_00101</v>
      </c>
      <c r="G48" s="51" t="str">
        <f t="shared" si="4"/>
        <v>yellow_boss_icon_chara_sur_00101</v>
      </c>
      <c r="H48" s="47" t="s">
        <v>363</v>
      </c>
      <c r="I48" s="52"/>
      <c r="J48" s="52"/>
      <c r="K48" s="54"/>
      <c r="L48" s="54"/>
      <c r="M48" s="49">
        <v>45658.0</v>
      </c>
      <c r="N48" s="50">
        <v>390812.49998842593</v>
      </c>
      <c r="O48" s="54"/>
      <c r="P48" s="45"/>
    </row>
    <row r="49">
      <c r="A49" s="44" t="s">
        <v>127</v>
      </c>
      <c r="B49" s="53" t="s">
        <v>129</v>
      </c>
      <c r="C49" s="53" t="s">
        <v>1994</v>
      </c>
      <c r="D49" s="51" t="str">
        <f t="shared" si="1"/>
        <v>red_boss_icon_chara_sur_00201</v>
      </c>
      <c r="E49" s="51" t="str">
        <f t="shared" si="2"/>
        <v>blue_boss_icon_chara_sur_00201</v>
      </c>
      <c r="F49" s="51" t="str">
        <f t="shared" si="3"/>
        <v>green_boss_icon_chara_sur_00201</v>
      </c>
      <c r="G49" s="51" t="str">
        <f t="shared" si="4"/>
        <v>yellow_boss_icon_chara_sur_00201</v>
      </c>
      <c r="H49" s="47" t="s">
        <v>365</v>
      </c>
      <c r="I49" s="52"/>
      <c r="J49" s="52"/>
      <c r="K49" s="54"/>
      <c r="L49" s="54"/>
      <c r="M49" s="49">
        <v>45658.0</v>
      </c>
      <c r="N49" s="50">
        <v>390812.49998842593</v>
      </c>
      <c r="O49" s="54"/>
      <c r="P49" s="45"/>
    </row>
    <row r="50">
      <c r="A50" s="44" t="s">
        <v>127</v>
      </c>
      <c r="B50" s="53" t="s">
        <v>129</v>
      </c>
      <c r="C50" s="53" t="s">
        <v>1996</v>
      </c>
      <c r="D50" s="51" t="str">
        <f t="shared" si="1"/>
        <v>red_boss_icon_chara_sur_00301</v>
      </c>
      <c r="E50" s="51" t="str">
        <f t="shared" si="2"/>
        <v>blue_boss_icon_chara_sur_00301</v>
      </c>
      <c r="F50" s="51" t="str">
        <f t="shared" si="3"/>
        <v>green_boss_icon_chara_sur_00301</v>
      </c>
      <c r="G50" s="51" t="str">
        <f t="shared" si="4"/>
        <v>yellow_boss_icon_chara_sur_00301</v>
      </c>
      <c r="H50" s="47" t="s">
        <v>367</v>
      </c>
      <c r="I50" s="52"/>
      <c r="J50" s="52"/>
      <c r="K50" s="54"/>
      <c r="L50" s="54"/>
      <c r="M50" s="49">
        <v>45658.0</v>
      </c>
      <c r="N50" s="50">
        <v>390812.49998842593</v>
      </c>
      <c r="O50" s="54"/>
      <c r="P50" s="45"/>
    </row>
    <row r="51">
      <c r="A51" s="44" t="s">
        <v>127</v>
      </c>
      <c r="B51" s="53" t="s">
        <v>129</v>
      </c>
      <c r="C51" s="53" t="s">
        <v>1998</v>
      </c>
      <c r="D51" s="51" t="str">
        <f t="shared" si="1"/>
        <v>red_boss_icon_chara_sur_00401</v>
      </c>
      <c r="E51" s="51" t="str">
        <f t="shared" si="2"/>
        <v>blue_boss_icon_chara_sur_00401</v>
      </c>
      <c r="F51" s="51" t="str">
        <f t="shared" si="3"/>
        <v>green_boss_icon_chara_sur_00401</v>
      </c>
      <c r="G51" s="51" t="str">
        <f t="shared" si="4"/>
        <v>yellow_boss_icon_chara_sur_00401</v>
      </c>
      <c r="H51" s="47" t="s">
        <v>369</v>
      </c>
      <c r="I51" s="52"/>
      <c r="J51" s="52"/>
      <c r="K51" s="54"/>
      <c r="L51" s="54"/>
      <c r="M51" s="49">
        <v>45658.0</v>
      </c>
      <c r="N51" s="50">
        <v>390812.49998842593</v>
      </c>
      <c r="O51" s="54"/>
      <c r="P51" s="52"/>
    </row>
    <row r="52">
      <c r="A52" s="44" t="s">
        <v>127</v>
      </c>
      <c r="B52" s="53" t="s">
        <v>129</v>
      </c>
      <c r="C52" s="53" t="s">
        <v>2000</v>
      </c>
      <c r="D52" s="51" t="str">
        <f t="shared" si="1"/>
        <v>red_boss_icon_enemy_sur_00001</v>
      </c>
      <c r="E52" s="51" t="str">
        <f t="shared" si="2"/>
        <v>blue_boss_icon_enemy_sur_00001</v>
      </c>
      <c r="F52" s="51" t="str">
        <f t="shared" si="3"/>
        <v>green_boss_icon_enemy_sur_00001</v>
      </c>
      <c r="G52" s="51" t="str">
        <f t="shared" si="4"/>
        <v>yellow_boss_icon_enemy_sur_00001</v>
      </c>
      <c r="H52" s="47" t="s">
        <v>1407</v>
      </c>
      <c r="I52" s="52"/>
      <c r="J52" s="52"/>
      <c r="K52" s="54"/>
      <c r="L52" s="54"/>
      <c r="M52" s="49">
        <v>45658.0</v>
      </c>
      <c r="N52" s="50">
        <v>390812.49998842593</v>
      </c>
      <c r="O52" s="54"/>
      <c r="P52" s="52"/>
    </row>
    <row r="53">
      <c r="A53" s="44" t="s">
        <v>127</v>
      </c>
      <c r="B53" s="53" t="s">
        <v>129</v>
      </c>
      <c r="C53" s="53" t="s">
        <v>2002</v>
      </c>
      <c r="D53" s="51" t="str">
        <f t="shared" si="1"/>
        <v>red_boss_icon_enemy_sur_00002</v>
      </c>
      <c r="E53" s="51" t="str">
        <f t="shared" si="2"/>
        <v>blue_boss_icon_enemy_sur_00002</v>
      </c>
      <c r="F53" s="51" t="str">
        <f t="shared" si="3"/>
        <v>green_boss_icon_enemy_sur_00002</v>
      </c>
      <c r="G53" s="51" t="str">
        <f t="shared" si="4"/>
        <v>yellow_boss_icon_enemy_sur_00002</v>
      </c>
      <c r="H53" s="47" t="s">
        <v>1795</v>
      </c>
      <c r="I53" s="52"/>
      <c r="J53" s="52"/>
      <c r="K53" s="54"/>
      <c r="L53" s="54"/>
      <c r="M53" s="49">
        <v>45658.0</v>
      </c>
      <c r="N53" s="50">
        <v>390812.49998842593</v>
      </c>
      <c r="O53" s="54"/>
      <c r="P53" s="52"/>
    </row>
    <row r="54">
      <c r="A54" s="44" t="s">
        <v>132</v>
      </c>
      <c r="B54" s="53" t="s">
        <v>134</v>
      </c>
      <c r="C54" s="53" t="s">
        <v>2004</v>
      </c>
      <c r="D54" s="51" t="str">
        <f t="shared" si="1"/>
        <v>red_boss_icon_chara_ron_00001</v>
      </c>
      <c r="E54" s="51" t="str">
        <f t="shared" si="2"/>
        <v>blue_boss_icon_chara_ron_00001</v>
      </c>
      <c r="F54" s="51" t="str">
        <f t="shared" si="3"/>
        <v>green_boss_icon_chara_ron_00001</v>
      </c>
      <c r="G54" s="51" t="str">
        <f t="shared" si="4"/>
        <v>yellow_boss_icon_chara_ron_00001</v>
      </c>
      <c r="H54" s="47" t="s">
        <v>371</v>
      </c>
      <c r="I54" s="52"/>
      <c r="J54" s="52"/>
      <c r="K54" s="54"/>
      <c r="L54" s="54"/>
      <c r="M54" s="49">
        <v>45658.0</v>
      </c>
      <c r="N54" s="50">
        <v>390812.49998842593</v>
      </c>
      <c r="O54" s="54"/>
      <c r="P54" s="52"/>
    </row>
    <row r="55">
      <c r="A55" s="44" t="s">
        <v>132</v>
      </c>
      <c r="B55" s="53" t="s">
        <v>134</v>
      </c>
      <c r="C55" s="53" t="s">
        <v>2006</v>
      </c>
      <c r="D55" s="51" t="str">
        <f t="shared" si="1"/>
        <v>red_boss_icon_chara_ron_00101</v>
      </c>
      <c r="E55" s="51" t="str">
        <f t="shared" si="2"/>
        <v>blue_boss_icon_chara_ron_00101</v>
      </c>
      <c r="F55" s="51" t="str">
        <f t="shared" si="3"/>
        <v>green_boss_icon_chara_ron_00101</v>
      </c>
      <c r="G55" s="51" t="str">
        <f t="shared" si="4"/>
        <v>yellow_boss_icon_chara_ron_00101</v>
      </c>
      <c r="H55" s="47" t="s">
        <v>373</v>
      </c>
      <c r="I55" s="52"/>
      <c r="J55" s="52"/>
      <c r="K55" s="54"/>
      <c r="L55" s="54"/>
      <c r="M55" s="49">
        <v>45658.0</v>
      </c>
      <c r="N55" s="50">
        <v>390812.49998842593</v>
      </c>
      <c r="O55" s="54"/>
      <c r="P55" s="52"/>
    </row>
    <row r="56">
      <c r="A56" s="44" t="s">
        <v>138</v>
      </c>
      <c r="B56" s="53" t="s">
        <v>140</v>
      </c>
      <c r="C56" s="53" t="s">
        <v>2008</v>
      </c>
      <c r="D56" s="51" t="str">
        <f t="shared" si="1"/>
        <v>red_boss_icon_chara_aha_00001</v>
      </c>
      <c r="E56" s="51" t="str">
        <f t="shared" si="2"/>
        <v>blue_boss_icon_chara_aha_00001</v>
      </c>
      <c r="F56" s="51" t="str">
        <f t="shared" si="3"/>
        <v>green_boss_icon_chara_aha_00001</v>
      </c>
      <c r="G56" s="51" t="str">
        <f t="shared" si="4"/>
        <v>yellow_boss_icon_chara_aha_00001</v>
      </c>
      <c r="H56" s="47" t="s">
        <v>375</v>
      </c>
      <c r="I56" s="52"/>
      <c r="J56" s="52"/>
      <c r="K56" s="54"/>
      <c r="L56" s="54"/>
      <c r="M56" s="49">
        <v>45658.0</v>
      </c>
      <c r="N56" s="50">
        <v>390812.49998842593</v>
      </c>
      <c r="O56" s="54"/>
      <c r="P56" s="52"/>
    </row>
    <row r="57">
      <c r="A57" s="44" t="s">
        <v>138</v>
      </c>
      <c r="B57" s="53" t="s">
        <v>140</v>
      </c>
      <c r="C57" s="53" t="s">
        <v>2010</v>
      </c>
      <c r="D57" s="51" t="str">
        <f t="shared" si="1"/>
        <v>red_boss_icon_chara_aha_00101</v>
      </c>
      <c r="E57" s="51" t="str">
        <f t="shared" si="2"/>
        <v>blue_boss_icon_chara_aha_00101</v>
      </c>
      <c r="F57" s="51" t="str">
        <f t="shared" si="3"/>
        <v>green_boss_icon_chara_aha_00101</v>
      </c>
      <c r="G57" s="51" t="str">
        <f t="shared" si="4"/>
        <v>yellow_boss_icon_chara_aha_00101</v>
      </c>
      <c r="H57" s="47" t="s">
        <v>377</v>
      </c>
      <c r="I57" s="52"/>
      <c r="J57" s="52"/>
      <c r="K57" s="54"/>
      <c r="L57" s="54"/>
      <c r="M57" s="49">
        <v>45658.0</v>
      </c>
      <c r="N57" s="50">
        <v>390812.49998842593</v>
      </c>
      <c r="O57" s="54"/>
      <c r="P57" s="52"/>
    </row>
    <row r="58">
      <c r="A58" s="44" t="s">
        <v>153</v>
      </c>
      <c r="B58" s="53" t="s">
        <v>155</v>
      </c>
      <c r="C58" s="53" t="s">
        <v>2012</v>
      </c>
      <c r="D58" s="51" t="str">
        <f t="shared" si="1"/>
        <v>red_boss_icon_chara_tak_00001</v>
      </c>
      <c r="E58" s="51" t="str">
        <f t="shared" si="2"/>
        <v>blue_boss_icon_chara_tak_00001</v>
      </c>
      <c r="F58" s="51" t="str">
        <f t="shared" si="3"/>
        <v>green_boss_icon_chara_tak_00001</v>
      </c>
      <c r="G58" s="51" t="str">
        <f t="shared" si="4"/>
        <v>yellow_boss_icon_chara_tak_00001</v>
      </c>
      <c r="H58" s="47" t="s">
        <v>379</v>
      </c>
      <c r="I58" s="52"/>
      <c r="J58" s="52"/>
      <c r="K58" s="54"/>
      <c r="L58" s="54"/>
      <c r="M58" s="49">
        <v>45658.0</v>
      </c>
      <c r="N58" s="50">
        <v>390812.49998842593</v>
      </c>
      <c r="O58" s="54"/>
      <c r="P58" s="52"/>
    </row>
    <row r="59">
      <c r="A59" s="44" t="s">
        <v>148</v>
      </c>
      <c r="B59" s="53" t="s">
        <v>150</v>
      </c>
      <c r="C59" s="53" t="s">
        <v>2014</v>
      </c>
      <c r="D59" s="51" t="str">
        <f t="shared" si="1"/>
        <v>red_boss_icon_chara_jig_00001</v>
      </c>
      <c r="E59" s="51" t="str">
        <f t="shared" si="2"/>
        <v>blue_boss_icon_chara_jig_00001</v>
      </c>
      <c r="F59" s="51" t="str">
        <f t="shared" si="3"/>
        <v>green_boss_icon_chara_jig_00001</v>
      </c>
      <c r="G59" s="51" t="str">
        <f t="shared" si="4"/>
        <v>yellow_boss_icon_chara_jig_00001</v>
      </c>
      <c r="H59" s="47" t="s">
        <v>381</v>
      </c>
      <c r="I59" s="52"/>
      <c r="J59" s="52"/>
      <c r="K59" s="54"/>
      <c r="L59" s="54"/>
      <c r="M59" s="49">
        <v>45658.0</v>
      </c>
      <c r="N59" s="50">
        <v>390812.49998842593</v>
      </c>
      <c r="O59" s="54"/>
      <c r="P59" s="52"/>
    </row>
    <row r="60">
      <c r="A60" s="44" t="s">
        <v>148</v>
      </c>
      <c r="B60" s="53" t="s">
        <v>150</v>
      </c>
      <c r="C60" s="53" t="s">
        <v>2016</v>
      </c>
      <c r="D60" s="51" t="str">
        <f t="shared" si="1"/>
        <v>red_boss_icon_chara_jig_00101</v>
      </c>
      <c r="E60" s="51" t="str">
        <f t="shared" si="2"/>
        <v>blue_boss_icon_chara_jig_00101</v>
      </c>
      <c r="F60" s="51" t="str">
        <f t="shared" si="3"/>
        <v>green_boss_icon_chara_jig_00101</v>
      </c>
      <c r="G60" s="51" t="str">
        <f t="shared" si="4"/>
        <v>yellow_boss_icon_chara_jig_00101</v>
      </c>
      <c r="H60" s="47" t="s">
        <v>383</v>
      </c>
      <c r="I60" s="52"/>
      <c r="J60" s="52"/>
      <c r="K60" s="54"/>
      <c r="L60" s="54"/>
      <c r="M60" s="49">
        <v>45658.0</v>
      </c>
      <c r="N60" s="50">
        <v>390812.49998842593</v>
      </c>
      <c r="O60" s="54"/>
      <c r="P60" s="52"/>
    </row>
    <row r="61">
      <c r="A61" s="44" t="s">
        <v>148</v>
      </c>
      <c r="B61" s="53" t="s">
        <v>150</v>
      </c>
      <c r="C61" s="53" t="s">
        <v>2018</v>
      </c>
      <c r="D61" s="51" t="str">
        <f t="shared" si="1"/>
        <v>red_boss_icon_enemy_jig_00001</v>
      </c>
      <c r="E61" s="51" t="str">
        <f t="shared" si="2"/>
        <v>blue_boss_icon_enemy_jig_00001</v>
      </c>
      <c r="F61" s="51" t="str">
        <f t="shared" si="3"/>
        <v>green_boss_icon_enemy_jig_00001</v>
      </c>
      <c r="G61" s="51" t="str">
        <f t="shared" si="4"/>
        <v>yellow_boss_icon_enemy_jig_00001</v>
      </c>
      <c r="H61" s="47" t="s">
        <v>1797</v>
      </c>
      <c r="I61" s="52"/>
      <c r="J61" s="52"/>
      <c r="K61" s="54"/>
      <c r="L61" s="54"/>
      <c r="M61" s="49">
        <v>45658.0</v>
      </c>
      <c r="N61" s="50">
        <v>390812.49998842593</v>
      </c>
      <c r="O61" s="54"/>
      <c r="P61" s="52"/>
    </row>
    <row r="62">
      <c r="A62" s="44" t="s">
        <v>148</v>
      </c>
      <c r="B62" s="53" t="s">
        <v>150</v>
      </c>
      <c r="C62" s="53" t="s">
        <v>2020</v>
      </c>
      <c r="D62" s="51" t="str">
        <f t="shared" si="1"/>
        <v>red_boss_icon_enemy_jig_00002</v>
      </c>
      <c r="E62" s="51" t="str">
        <f t="shared" si="2"/>
        <v>blue_boss_icon_enemy_jig_00002</v>
      </c>
      <c r="F62" s="51" t="str">
        <f t="shared" si="3"/>
        <v>green_boss_icon_enemy_jig_00002</v>
      </c>
      <c r="G62" s="51" t="str">
        <f t="shared" si="4"/>
        <v>yellow_boss_icon_enemy_jig_00002</v>
      </c>
      <c r="H62" s="47" t="s">
        <v>2021</v>
      </c>
      <c r="I62" s="52"/>
      <c r="J62" s="52"/>
      <c r="K62" s="54"/>
      <c r="L62" s="54"/>
      <c r="M62" s="49">
        <v>45658.0</v>
      </c>
      <c r="N62" s="50">
        <v>390812.49998842593</v>
      </c>
      <c r="O62" s="54"/>
      <c r="P62" s="52"/>
    </row>
    <row r="63">
      <c r="A63" s="44" t="s">
        <v>148</v>
      </c>
      <c r="B63" s="53" t="s">
        <v>150</v>
      </c>
      <c r="C63" s="53" t="s">
        <v>2023</v>
      </c>
      <c r="D63" s="51" t="str">
        <f t="shared" si="1"/>
        <v>red_boss_icon_enemy_jig_00003</v>
      </c>
      <c r="E63" s="51" t="str">
        <f t="shared" si="2"/>
        <v>blue_boss_icon_enemy_jig_00003</v>
      </c>
      <c r="F63" s="51" t="str">
        <f t="shared" si="3"/>
        <v>green_boss_icon_enemy_jig_00003</v>
      </c>
      <c r="G63" s="51" t="str">
        <f t="shared" si="4"/>
        <v>yellow_boss_icon_enemy_jig_00003</v>
      </c>
      <c r="H63" s="47" t="s">
        <v>2024</v>
      </c>
      <c r="I63" s="52"/>
      <c r="J63" s="52"/>
      <c r="K63" s="54"/>
      <c r="L63" s="54"/>
      <c r="M63" s="49">
        <v>45658.0</v>
      </c>
      <c r="N63" s="50">
        <v>390812.49998842593</v>
      </c>
      <c r="O63" s="54"/>
      <c r="P63" s="52"/>
    </row>
    <row r="64">
      <c r="A64" s="44" t="s">
        <v>148</v>
      </c>
      <c r="B64" s="53" t="s">
        <v>150</v>
      </c>
      <c r="C64" s="53" t="s">
        <v>2026</v>
      </c>
      <c r="D64" s="51" t="str">
        <f t="shared" si="1"/>
        <v>red_boss_icon_enemy_jig_00004</v>
      </c>
      <c r="E64" s="51" t="str">
        <f t="shared" si="2"/>
        <v>blue_boss_icon_enemy_jig_00004</v>
      </c>
      <c r="F64" s="51" t="str">
        <f t="shared" si="3"/>
        <v>green_boss_icon_enemy_jig_00004</v>
      </c>
      <c r="G64" s="51" t="str">
        <f t="shared" si="4"/>
        <v>yellow_boss_icon_enemy_jig_00004</v>
      </c>
      <c r="H64" s="47" t="s">
        <v>2027</v>
      </c>
      <c r="I64" s="52"/>
      <c r="J64" s="52"/>
      <c r="K64" s="54"/>
      <c r="L64" s="54"/>
      <c r="M64" s="49">
        <v>45658.0</v>
      </c>
      <c r="N64" s="50">
        <v>390812.49998842593</v>
      </c>
      <c r="O64" s="54"/>
      <c r="P64" s="52"/>
    </row>
    <row r="65">
      <c r="A65" s="55" t="s">
        <v>98</v>
      </c>
      <c r="B65" s="53" t="s">
        <v>100</v>
      </c>
      <c r="C65" s="53" t="s">
        <v>4349</v>
      </c>
      <c r="D65" s="51" t="str">
        <f t="shared" si="1"/>
        <v>red_boss_icon_chara_mag_00001</v>
      </c>
      <c r="E65" s="51" t="str">
        <f t="shared" si="2"/>
        <v>blue_boss_icon_chara_mag_00001</v>
      </c>
      <c r="F65" s="51" t="str">
        <f t="shared" si="3"/>
        <v>green_boss_icon_chara_mag_00001</v>
      </c>
      <c r="G65" s="51" t="str">
        <f t="shared" si="4"/>
        <v>yellow_boss_icon_chara_mag_00001</v>
      </c>
      <c r="H65" s="47" t="s">
        <v>385</v>
      </c>
      <c r="I65" s="52"/>
      <c r="J65" s="52"/>
      <c r="K65" s="54"/>
      <c r="L65" s="54"/>
      <c r="M65" s="49">
        <v>45658.0</v>
      </c>
      <c r="N65" s="50">
        <v>390812.49998842593</v>
      </c>
      <c r="O65" s="54"/>
      <c r="P65" s="52"/>
    </row>
    <row r="66">
      <c r="A66" s="55" t="s">
        <v>98</v>
      </c>
      <c r="B66" s="53" t="s">
        <v>100</v>
      </c>
      <c r="C66" s="53" t="s">
        <v>4350</v>
      </c>
      <c r="D66" s="51" t="str">
        <f t="shared" si="1"/>
        <v>red_boss_icon_chara_mag_00101</v>
      </c>
      <c r="E66" s="51" t="str">
        <f t="shared" si="2"/>
        <v>blue_boss_icon_chara_mag_00101</v>
      </c>
      <c r="F66" s="51" t="str">
        <f t="shared" si="3"/>
        <v>green_boss_icon_chara_mag_00101</v>
      </c>
      <c r="G66" s="51" t="str">
        <f t="shared" si="4"/>
        <v>yellow_boss_icon_chara_mag_00101</v>
      </c>
      <c r="H66" s="47" t="s">
        <v>387</v>
      </c>
      <c r="I66" s="52"/>
      <c r="J66" s="52"/>
      <c r="K66" s="54"/>
      <c r="L66" s="54"/>
      <c r="M66" s="49">
        <v>45658.0</v>
      </c>
      <c r="N66" s="50">
        <v>390812.49998842593</v>
      </c>
      <c r="O66" s="54"/>
      <c r="P66" s="52"/>
    </row>
    <row r="67">
      <c r="A67" s="44" t="s">
        <v>103</v>
      </c>
      <c r="B67" s="53" t="s">
        <v>105</v>
      </c>
      <c r="C67" s="53" t="s">
        <v>2034</v>
      </c>
      <c r="D67" s="51" t="str">
        <f t="shared" si="1"/>
        <v>red_boss_icon_chara_dos_00001</v>
      </c>
      <c r="E67" s="51" t="str">
        <f t="shared" si="2"/>
        <v>blue_boss_icon_chara_dos_00001</v>
      </c>
      <c r="F67" s="51" t="str">
        <f t="shared" si="3"/>
        <v>green_boss_icon_chara_dos_00001</v>
      </c>
      <c r="G67" s="51" t="str">
        <f t="shared" si="4"/>
        <v>yellow_boss_icon_chara_dos_00001</v>
      </c>
      <c r="H67" s="47" t="s">
        <v>389</v>
      </c>
      <c r="I67" s="52"/>
      <c r="J67" s="52"/>
      <c r="K67" s="54"/>
      <c r="L67" s="54"/>
      <c r="M67" s="49">
        <v>45658.0</v>
      </c>
      <c r="N67" s="50">
        <v>390812.49998842593</v>
      </c>
      <c r="O67" s="54"/>
      <c r="P67" s="52"/>
    </row>
    <row r="68">
      <c r="A68" s="44" t="s">
        <v>103</v>
      </c>
      <c r="B68" s="53" t="s">
        <v>105</v>
      </c>
      <c r="C68" s="53" t="s">
        <v>2036</v>
      </c>
      <c r="D68" s="51" t="str">
        <f t="shared" si="1"/>
        <v>red_boss_icon_chara_dos_00101</v>
      </c>
      <c r="E68" s="51" t="str">
        <f t="shared" si="2"/>
        <v>blue_boss_icon_chara_dos_00101</v>
      </c>
      <c r="F68" s="51" t="str">
        <f t="shared" si="3"/>
        <v>green_boss_icon_chara_dos_00101</v>
      </c>
      <c r="G68" s="51" t="str">
        <f t="shared" si="4"/>
        <v>yellow_boss_icon_chara_dos_00101</v>
      </c>
      <c r="H68" s="47" t="s">
        <v>391</v>
      </c>
      <c r="I68" s="52"/>
      <c r="J68" s="52"/>
      <c r="K68" s="54"/>
      <c r="L68" s="54"/>
      <c r="M68" s="49">
        <v>45658.0</v>
      </c>
      <c r="N68" s="50">
        <v>390812.49998842593</v>
      </c>
      <c r="O68" s="54"/>
      <c r="P68" s="52"/>
    </row>
    <row r="69">
      <c r="A69" s="44" t="s">
        <v>143</v>
      </c>
      <c r="B69" s="53" t="s">
        <v>145</v>
      </c>
      <c r="C69" s="53" t="s">
        <v>2038</v>
      </c>
      <c r="D69" s="51" t="str">
        <f t="shared" si="1"/>
        <v>red_boss_icon_chara_sum_00001</v>
      </c>
      <c r="E69" s="51" t="str">
        <f t="shared" si="2"/>
        <v>blue_boss_icon_chara_sum_00001</v>
      </c>
      <c r="F69" s="51" t="str">
        <f t="shared" si="3"/>
        <v>green_boss_icon_chara_sum_00001</v>
      </c>
      <c r="G69" s="51" t="str">
        <f t="shared" si="4"/>
        <v>yellow_boss_icon_chara_sum_00001</v>
      </c>
      <c r="H69" s="47" t="s">
        <v>393</v>
      </c>
      <c r="I69" s="52"/>
      <c r="J69" s="52"/>
      <c r="K69" s="54"/>
      <c r="L69" s="54"/>
      <c r="M69" s="49">
        <v>45658.0</v>
      </c>
      <c r="N69" s="50">
        <v>390812.49998842593</v>
      </c>
      <c r="O69" s="54"/>
      <c r="P69" s="52"/>
    </row>
    <row r="70">
      <c r="A70" s="44" t="s">
        <v>143</v>
      </c>
      <c r="B70" s="53" t="s">
        <v>145</v>
      </c>
      <c r="C70" s="53" t="s">
        <v>2040</v>
      </c>
      <c r="D70" s="51" t="str">
        <f t="shared" si="1"/>
        <v>red_boss_icon_chara_sum_00101</v>
      </c>
      <c r="E70" s="51" t="str">
        <f t="shared" si="2"/>
        <v>blue_boss_icon_chara_sum_00101</v>
      </c>
      <c r="F70" s="51" t="str">
        <f t="shared" si="3"/>
        <v>green_boss_icon_chara_sum_00101</v>
      </c>
      <c r="G70" s="51" t="str">
        <f t="shared" si="4"/>
        <v>yellow_boss_icon_chara_sum_00101</v>
      </c>
      <c r="H70" s="47" t="s">
        <v>395</v>
      </c>
      <c r="I70" s="52"/>
      <c r="J70" s="52"/>
      <c r="K70" s="54"/>
      <c r="L70" s="54"/>
      <c r="M70" s="49">
        <v>45658.0</v>
      </c>
      <c r="N70" s="50">
        <v>390812.49998842593</v>
      </c>
      <c r="O70" s="54"/>
      <c r="P70" s="52"/>
    </row>
    <row r="71">
      <c r="A71" s="44" t="s">
        <v>143</v>
      </c>
      <c r="B71" s="53" t="s">
        <v>145</v>
      </c>
      <c r="C71" s="53" t="s">
        <v>2042</v>
      </c>
      <c r="D71" s="51" t="str">
        <f t="shared" si="1"/>
        <v>red_boss_icon_chara_sum_00201</v>
      </c>
      <c r="E71" s="51" t="str">
        <f t="shared" si="2"/>
        <v>blue_boss_icon_chara_sum_00201</v>
      </c>
      <c r="F71" s="51" t="str">
        <f t="shared" si="3"/>
        <v>green_boss_icon_chara_sum_00201</v>
      </c>
      <c r="G71" s="51" t="str">
        <f t="shared" si="4"/>
        <v>yellow_boss_icon_chara_sum_00201</v>
      </c>
      <c r="H71" s="47" t="s">
        <v>397</v>
      </c>
      <c r="I71" s="52"/>
      <c r="J71" s="52"/>
      <c r="K71" s="54"/>
      <c r="L71" s="54"/>
      <c r="M71" s="49">
        <v>45658.0</v>
      </c>
      <c r="N71" s="50">
        <v>390812.49998842593</v>
      </c>
      <c r="O71" s="54"/>
      <c r="P71" s="52"/>
    </row>
    <row r="72">
      <c r="A72" s="56"/>
      <c r="B72" s="56"/>
      <c r="C72" s="56"/>
      <c r="D72" s="56"/>
      <c r="E72" s="56"/>
      <c r="F72" s="56"/>
      <c r="G72" s="56"/>
      <c r="H72" s="56"/>
      <c r="I72" s="56"/>
      <c r="J72" s="56"/>
      <c r="K72" s="56"/>
      <c r="L72" s="56"/>
      <c r="M72" s="56"/>
      <c r="N72" s="56"/>
      <c r="O72" s="56"/>
      <c r="P72" s="56"/>
    </row>
    <row r="73">
      <c r="A73" s="56"/>
      <c r="B73" s="56"/>
      <c r="C73" s="56"/>
      <c r="D73" s="56"/>
      <c r="E73" s="56"/>
      <c r="F73" s="56"/>
      <c r="G73" s="56"/>
      <c r="H73" s="56"/>
      <c r="I73" s="56"/>
      <c r="J73" s="56"/>
      <c r="K73" s="56"/>
      <c r="L73" s="56"/>
      <c r="M73" s="56"/>
      <c r="N73" s="56"/>
      <c r="O73" s="56"/>
      <c r="P73" s="56"/>
    </row>
    <row r="74">
      <c r="A74" s="56"/>
      <c r="B74" s="56"/>
      <c r="C74" s="56"/>
      <c r="D74" s="56"/>
      <c r="E74" s="56"/>
      <c r="F74" s="56"/>
      <c r="G74" s="56"/>
      <c r="H74" s="56"/>
      <c r="I74" s="56"/>
      <c r="J74" s="56"/>
      <c r="K74" s="56"/>
      <c r="L74" s="56"/>
      <c r="M74" s="56"/>
      <c r="N74" s="56"/>
      <c r="O74" s="56"/>
      <c r="P74" s="56"/>
    </row>
    <row r="75">
      <c r="A75" s="56"/>
      <c r="B75" s="56"/>
      <c r="C75" s="56"/>
      <c r="D75" s="56"/>
      <c r="E75" s="56"/>
      <c r="F75" s="56"/>
      <c r="G75" s="56"/>
      <c r="H75" s="56"/>
      <c r="I75" s="56"/>
      <c r="J75" s="56"/>
      <c r="K75" s="56"/>
      <c r="L75" s="56"/>
      <c r="M75" s="56"/>
      <c r="N75" s="56"/>
      <c r="O75" s="56"/>
      <c r="P75" s="56"/>
    </row>
    <row r="76">
      <c r="A76" s="56"/>
      <c r="B76" s="56"/>
      <c r="C76" s="56"/>
      <c r="D76" s="56"/>
      <c r="E76" s="56"/>
      <c r="F76" s="56"/>
      <c r="G76" s="56"/>
      <c r="H76" s="56"/>
      <c r="I76" s="56"/>
      <c r="J76" s="56"/>
      <c r="K76" s="56"/>
      <c r="L76" s="56"/>
      <c r="M76" s="56"/>
      <c r="N76" s="56"/>
      <c r="O76" s="56"/>
      <c r="P76" s="56"/>
    </row>
    <row r="77">
      <c r="A77" s="56"/>
      <c r="B77" s="56"/>
      <c r="C77" s="56"/>
      <c r="D77" s="56"/>
      <c r="E77" s="56"/>
      <c r="F77" s="56"/>
      <c r="G77" s="56"/>
      <c r="H77" s="56"/>
      <c r="I77" s="56"/>
      <c r="J77" s="56"/>
      <c r="K77" s="56"/>
      <c r="L77" s="56"/>
      <c r="M77" s="56"/>
      <c r="N77" s="56"/>
      <c r="O77" s="56"/>
      <c r="P77" s="56"/>
    </row>
    <row r="78">
      <c r="A78" s="56"/>
      <c r="B78" s="56"/>
      <c r="C78" s="56"/>
      <c r="D78" s="56"/>
      <c r="E78" s="56"/>
      <c r="F78" s="56"/>
      <c r="G78" s="56"/>
      <c r="H78" s="56"/>
      <c r="I78" s="56"/>
      <c r="J78" s="56"/>
      <c r="K78" s="56"/>
      <c r="L78" s="56"/>
      <c r="M78" s="56"/>
      <c r="N78" s="56"/>
      <c r="O78" s="56"/>
      <c r="P78" s="56"/>
    </row>
    <row r="79">
      <c r="A79" s="56"/>
      <c r="B79" s="56"/>
      <c r="C79" s="56"/>
      <c r="D79" s="56"/>
      <c r="E79" s="56"/>
      <c r="F79" s="56"/>
      <c r="G79" s="56"/>
      <c r="H79" s="56"/>
      <c r="I79" s="56"/>
      <c r="J79" s="56"/>
      <c r="K79" s="56"/>
      <c r="L79" s="56"/>
      <c r="M79" s="56"/>
      <c r="N79" s="56"/>
      <c r="O79" s="56"/>
      <c r="P79" s="56"/>
    </row>
    <row r="80">
      <c r="A80" s="56"/>
      <c r="B80" s="56"/>
      <c r="C80" s="56"/>
      <c r="D80" s="56"/>
      <c r="E80" s="56"/>
      <c r="F80" s="56"/>
      <c r="G80" s="56"/>
      <c r="H80" s="56"/>
      <c r="I80" s="56"/>
      <c r="J80" s="56"/>
      <c r="K80" s="56"/>
      <c r="L80" s="56"/>
      <c r="M80" s="56"/>
      <c r="N80" s="56"/>
      <c r="O80" s="56"/>
      <c r="P80" s="56"/>
    </row>
    <row r="81">
      <c r="A81" s="56"/>
      <c r="B81" s="56"/>
      <c r="C81" s="56"/>
      <c r="D81" s="56"/>
      <c r="E81" s="56"/>
      <c r="F81" s="56"/>
      <c r="G81" s="56"/>
      <c r="H81" s="56"/>
      <c r="I81" s="56"/>
      <c r="J81" s="56"/>
      <c r="K81" s="56"/>
      <c r="L81" s="56"/>
      <c r="M81" s="56"/>
      <c r="N81" s="56"/>
      <c r="O81" s="56"/>
      <c r="P81" s="56"/>
    </row>
    <row r="82">
      <c r="A82" s="56"/>
      <c r="B82" s="56"/>
      <c r="C82" s="56"/>
      <c r="D82" s="56"/>
      <c r="E82" s="56"/>
      <c r="F82" s="56"/>
      <c r="G82" s="56"/>
      <c r="H82" s="56"/>
      <c r="I82" s="56"/>
      <c r="J82" s="56"/>
      <c r="K82" s="56"/>
      <c r="L82" s="56"/>
      <c r="M82" s="56"/>
      <c r="N82" s="56"/>
      <c r="O82" s="56"/>
      <c r="P82" s="56"/>
    </row>
    <row r="83">
      <c r="A83" s="56"/>
      <c r="B83" s="56"/>
      <c r="C83" s="56"/>
      <c r="D83" s="56"/>
      <c r="E83" s="56"/>
      <c r="F83" s="56"/>
      <c r="G83" s="56"/>
      <c r="H83" s="56"/>
      <c r="I83" s="56"/>
      <c r="J83" s="56"/>
      <c r="K83" s="56"/>
      <c r="L83" s="56"/>
      <c r="M83" s="56"/>
      <c r="N83" s="56"/>
      <c r="O83" s="56"/>
      <c r="P83" s="56"/>
    </row>
    <row r="84">
      <c r="A84" s="56"/>
      <c r="B84" s="56"/>
      <c r="C84" s="56"/>
      <c r="D84" s="56"/>
      <c r="E84" s="56"/>
      <c r="F84" s="56"/>
      <c r="G84" s="56"/>
      <c r="H84" s="56"/>
      <c r="I84" s="56"/>
      <c r="J84" s="56"/>
      <c r="K84" s="56"/>
      <c r="L84" s="56"/>
      <c r="M84" s="56"/>
      <c r="N84" s="56"/>
      <c r="O84" s="56"/>
      <c r="P84" s="56"/>
    </row>
    <row r="85">
      <c r="A85" s="56"/>
      <c r="B85" s="56"/>
      <c r="C85" s="56"/>
      <c r="D85" s="56"/>
      <c r="E85" s="56"/>
      <c r="F85" s="56"/>
      <c r="G85" s="56"/>
      <c r="H85" s="56"/>
      <c r="I85" s="56"/>
      <c r="J85" s="56"/>
      <c r="K85" s="56"/>
      <c r="L85" s="56"/>
      <c r="M85" s="56"/>
      <c r="N85" s="56"/>
      <c r="O85" s="56"/>
      <c r="P85" s="56"/>
    </row>
    <row r="86">
      <c r="A86" s="56"/>
      <c r="B86" s="56"/>
      <c r="C86" s="56"/>
      <c r="D86" s="56"/>
      <c r="E86" s="56"/>
      <c r="F86" s="56"/>
      <c r="G86" s="56"/>
      <c r="H86" s="56"/>
      <c r="I86" s="56"/>
      <c r="J86" s="56"/>
      <c r="K86" s="56"/>
      <c r="L86" s="56"/>
      <c r="M86" s="56"/>
      <c r="N86" s="56"/>
      <c r="O86" s="56"/>
      <c r="P86" s="56"/>
    </row>
    <row r="87">
      <c r="A87" s="56"/>
      <c r="B87" s="56"/>
      <c r="C87" s="56"/>
      <c r="D87" s="56"/>
      <c r="E87" s="56"/>
      <c r="F87" s="56"/>
      <c r="G87" s="56"/>
      <c r="H87" s="56"/>
      <c r="I87" s="56"/>
      <c r="J87" s="56"/>
      <c r="K87" s="56"/>
      <c r="L87" s="56"/>
      <c r="M87" s="56"/>
      <c r="N87" s="56"/>
      <c r="O87" s="56"/>
      <c r="P87" s="56"/>
    </row>
    <row r="88">
      <c r="A88" s="56"/>
      <c r="B88" s="56"/>
      <c r="C88" s="56"/>
      <c r="D88" s="56"/>
      <c r="E88" s="56"/>
      <c r="F88" s="56"/>
      <c r="G88" s="56"/>
      <c r="H88" s="56"/>
      <c r="I88" s="56"/>
      <c r="J88" s="56"/>
      <c r="K88" s="56"/>
      <c r="L88" s="56"/>
      <c r="M88" s="56"/>
      <c r="N88" s="56"/>
      <c r="O88" s="56"/>
      <c r="P88" s="56"/>
    </row>
    <row r="89">
      <c r="A89" s="56"/>
      <c r="B89" s="56"/>
      <c r="C89" s="56"/>
      <c r="D89" s="56"/>
      <c r="E89" s="56"/>
      <c r="F89" s="56"/>
      <c r="G89" s="56"/>
      <c r="H89" s="56"/>
      <c r="I89" s="56"/>
      <c r="J89" s="56"/>
      <c r="K89" s="56"/>
      <c r="L89" s="56"/>
      <c r="M89" s="56"/>
      <c r="N89" s="56"/>
      <c r="O89" s="56"/>
      <c r="P89" s="56"/>
    </row>
    <row r="90">
      <c r="A90" s="56"/>
      <c r="B90" s="56"/>
      <c r="C90" s="56"/>
      <c r="D90" s="56"/>
      <c r="E90" s="56"/>
      <c r="F90" s="56"/>
      <c r="G90" s="56"/>
      <c r="H90" s="56"/>
      <c r="I90" s="56"/>
      <c r="J90" s="56"/>
      <c r="K90" s="56"/>
      <c r="L90" s="56"/>
      <c r="M90" s="56"/>
      <c r="N90" s="56"/>
      <c r="O90" s="56"/>
      <c r="P90" s="56"/>
    </row>
    <row r="91">
      <c r="A91" s="56"/>
      <c r="B91" s="56"/>
      <c r="C91" s="56"/>
      <c r="D91" s="56"/>
      <c r="E91" s="56"/>
      <c r="F91" s="56"/>
      <c r="G91" s="56"/>
      <c r="H91" s="56"/>
      <c r="I91" s="56"/>
      <c r="J91" s="56"/>
      <c r="K91" s="56"/>
      <c r="L91" s="56"/>
      <c r="M91" s="56"/>
      <c r="N91" s="56"/>
      <c r="O91" s="56"/>
      <c r="P91" s="56"/>
    </row>
    <row r="92">
      <c r="A92" s="56"/>
      <c r="B92" s="56"/>
      <c r="C92" s="56"/>
      <c r="D92" s="56"/>
      <c r="E92" s="56"/>
      <c r="F92" s="56"/>
      <c r="G92" s="56"/>
      <c r="H92" s="56"/>
      <c r="I92" s="56"/>
      <c r="J92" s="56"/>
      <c r="K92" s="56"/>
      <c r="L92" s="56"/>
      <c r="M92" s="56"/>
      <c r="N92" s="56"/>
      <c r="O92" s="56"/>
      <c r="P92" s="56"/>
    </row>
    <row r="93">
      <c r="A93" s="56"/>
      <c r="B93" s="56"/>
      <c r="C93" s="56"/>
      <c r="D93" s="56"/>
      <c r="E93" s="56"/>
      <c r="F93" s="56"/>
      <c r="G93" s="56"/>
      <c r="H93" s="56"/>
      <c r="I93" s="56"/>
      <c r="J93" s="56"/>
      <c r="K93" s="56"/>
      <c r="L93" s="56"/>
      <c r="M93" s="56"/>
      <c r="N93" s="56"/>
      <c r="O93" s="56"/>
      <c r="P93" s="56"/>
    </row>
    <row r="94">
      <c r="A94" s="56"/>
      <c r="B94" s="56"/>
      <c r="C94" s="56"/>
      <c r="D94" s="56"/>
      <c r="E94" s="56"/>
      <c r="F94" s="56"/>
      <c r="G94" s="56"/>
      <c r="H94" s="56"/>
      <c r="I94" s="56"/>
      <c r="J94" s="56"/>
      <c r="K94" s="56"/>
      <c r="L94" s="56"/>
      <c r="M94" s="56"/>
      <c r="N94" s="56"/>
      <c r="O94" s="56"/>
      <c r="P94" s="56"/>
    </row>
    <row r="95">
      <c r="A95" s="56"/>
      <c r="B95" s="56"/>
      <c r="C95" s="56"/>
      <c r="D95" s="56"/>
      <c r="E95" s="56"/>
      <c r="F95" s="56"/>
      <c r="G95" s="56"/>
      <c r="H95" s="56"/>
      <c r="I95" s="56"/>
      <c r="J95" s="56"/>
      <c r="K95" s="56"/>
      <c r="L95" s="56"/>
      <c r="M95" s="56"/>
      <c r="N95" s="56"/>
      <c r="O95" s="56"/>
      <c r="P95" s="56"/>
    </row>
    <row r="96">
      <c r="A96" s="56"/>
      <c r="B96" s="56"/>
      <c r="C96" s="56"/>
      <c r="D96" s="56"/>
      <c r="E96" s="56"/>
      <c r="F96" s="56"/>
      <c r="G96" s="56"/>
      <c r="H96" s="56"/>
      <c r="I96" s="56"/>
      <c r="J96" s="56"/>
      <c r="K96" s="56"/>
      <c r="L96" s="56"/>
      <c r="M96" s="56"/>
      <c r="N96" s="56"/>
      <c r="O96" s="56"/>
      <c r="P96" s="56"/>
    </row>
    <row r="97">
      <c r="A97" s="56"/>
      <c r="B97" s="56"/>
      <c r="C97" s="56"/>
      <c r="D97" s="56"/>
      <c r="E97" s="56"/>
      <c r="F97" s="56"/>
      <c r="G97" s="56"/>
      <c r="H97" s="56"/>
      <c r="I97" s="56"/>
      <c r="J97" s="56"/>
      <c r="K97" s="56"/>
      <c r="L97" s="56"/>
      <c r="M97" s="56"/>
      <c r="N97" s="56"/>
      <c r="O97" s="56"/>
      <c r="P97" s="56"/>
    </row>
    <row r="98">
      <c r="A98" s="56"/>
      <c r="B98" s="56"/>
      <c r="C98" s="56"/>
      <c r="D98" s="56"/>
      <c r="E98" s="56"/>
      <c r="F98" s="56"/>
      <c r="G98" s="56"/>
      <c r="H98" s="56"/>
      <c r="I98" s="56"/>
      <c r="J98" s="56"/>
      <c r="K98" s="56"/>
      <c r="L98" s="56"/>
      <c r="M98" s="56"/>
      <c r="N98" s="56"/>
      <c r="O98" s="56"/>
      <c r="P98" s="56"/>
    </row>
    <row r="99">
      <c r="A99" s="56"/>
      <c r="B99" s="56"/>
      <c r="C99" s="56"/>
      <c r="D99" s="56"/>
      <c r="E99" s="56"/>
      <c r="F99" s="56"/>
      <c r="G99" s="56"/>
      <c r="H99" s="56"/>
      <c r="I99" s="56"/>
      <c r="J99" s="56"/>
      <c r="K99" s="56"/>
      <c r="L99" s="56"/>
      <c r="M99" s="56"/>
      <c r="N99" s="56"/>
      <c r="O99" s="56"/>
      <c r="P99" s="56"/>
    </row>
    <row r="100">
      <c r="A100" s="56"/>
      <c r="B100" s="56"/>
      <c r="C100" s="56"/>
      <c r="D100" s="56"/>
      <c r="E100" s="56"/>
      <c r="F100" s="56"/>
      <c r="G100" s="56"/>
      <c r="H100" s="56"/>
      <c r="I100" s="56"/>
      <c r="J100" s="56"/>
      <c r="K100" s="56"/>
      <c r="L100" s="56"/>
      <c r="M100" s="56"/>
      <c r="N100" s="56"/>
      <c r="O100" s="56"/>
      <c r="P100" s="56"/>
    </row>
  </sheetData>
  <dataValidations>
    <dataValidation type="list" allowBlank="1" showErrorMessage="1" sqref="K2:K13">
      <formula1>"プレイアブル＆敵キャラでも登場可,敵キャラonly "</formula1>
    </dataValidation>
    <dataValidation type="list" allowBlank="1" showErrorMessage="1" sqref="J2:J71">
      <formula1>"SSR,SR,R,N"</formula1>
    </dataValidation>
    <dataValidation type="list" allowBlank="1" showErrorMessage="1" sqref="L2:L13">
      <formula1>"アタック,ディフェンス,サポート"</formula1>
    </dataValidation>
  </dataValidations>
  <drawing r:id="rId1"/>
</worksheet>
</file>